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fif.sharepoint.com/sites/CPH-ARKADERNE/Delte dokumenter/Uddannelserne/Finansiel/FIN/2024 forår/Planlægning/Eksamen/Cases til 2024/Nr. 1 - Par med barn. Førstegangsboligkøb/Beregninger/"/>
    </mc:Choice>
  </mc:AlternateContent>
  <xr:revisionPtr revIDLastSave="70" documentId="8_{1D411EAF-5921-411E-935C-E1086A6CD8F8}" xr6:coauthVersionLast="47" xr6:coauthVersionMax="47" xr10:uidLastSave="{D31511B3-826C-475C-96F1-815ECF9901F7}"/>
  <bookViews>
    <workbookView xWindow="-110" yWindow="-110" windowWidth="19420" windowHeight="10420" tabRatio="500" xr2:uid="{00000000-000D-0000-FFFF-FFFF00000000}"/>
  </bookViews>
  <sheets>
    <sheet name="Budget" sheetId="3" r:id="rId1"/>
    <sheet name="Andelsboliglån" sheetId="1" r:id="rId2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3" l="1"/>
  <c r="B2" i="3" l="1"/>
  <c r="B5" i="3" s="1"/>
  <c r="B18" i="3" s="1"/>
  <c r="J16" i="1" l="1"/>
  <c r="J15" i="1"/>
  <c r="J14" i="1"/>
  <c r="J13" i="1"/>
  <c r="J12" i="1"/>
  <c r="J11" i="1"/>
  <c r="J10" i="1"/>
  <c r="J9" i="1"/>
  <c r="J8" i="1"/>
  <c r="J7" i="1"/>
  <c r="J6" i="1"/>
  <c r="J5" i="1"/>
  <c r="B3" i="1" l="1"/>
  <c r="B7" i="1" l="1"/>
  <c r="B8" i="1" s="1"/>
  <c r="G14" i="1" s="1"/>
  <c r="B11" i="1"/>
  <c r="C11" i="1" l="1"/>
  <c r="D11" i="1" s="1"/>
  <c r="H16" i="1"/>
  <c r="G17" i="1" s="1"/>
  <c r="B12" i="1" l="1"/>
  <c r="C12" i="1" s="1"/>
  <c r="D12" i="1" s="1"/>
  <c r="A12" i="1"/>
  <c r="B13" i="1" l="1"/>
  <c r="C13" i="1" s="1"/>
  <c r="D13" i="1" s="1"/>
  <c r="A13" i="1"/>
  <c r="B14" i="1" l="1"/>
  <c r="C14" i="1" s="1"/>
  <c r="D14" i="1" s="1"/>
  <c r="A14" i="1"/>
  <c r="B15" i="1" l="1"/>
  <c r="C15" i="1" s="1"/>
  <c r="D15" i="1" s="1"/>
  <c r="A15" i="1"/>
  <c r="B16" i="1" l="1"/>
  <c r="C16" i="1" s="1"/>
  <c r="D16" i="1" s="1"/>
  <c r="A16" i="1"/>
  <c r="B17" i="1" l="1"/>
  <c r="C17" i="1" s="1"/>
  <c r="D17" i="1" s="1"/>
  <c r="A17" i="1"/>
  <c r="B18" i="1" l="1"/>
  <c r="C18" i="1" s="1"/>
  <c r="D18" i="1" s="1"/>
  <c r="A18" i="1"/>
  <c r="A19" i="1" l="1"/>
  <c r="B19" i="1"/>
  <c r="C19" i="1" s="1"/>
  <c r="D19" i="1" s="1"/>
  <c r="B20" i="1" s="1"/>
  <c r="A20" i="1" l="1"/>
  <c r="C20" i="1"/>
  <c r="D20" i="1" s="1"/>
  <c r="B21" i="1" s="1"/>
  <c r="C21" i="1" s="1"/>
  <c r="D21" i="1" s="1"/>
  <c r="A21" i="1" l="1"/>
  <c r="A22" i="1" s="1"/>
  <c r="B22" i="1"/>
  <c r="G6" i="1" l="1"/>
  <c r="C22" i="1"/>
  <c r="D22" i="1" s="1"/>
  <c r="B23" i="1" s="1"/>
  <c r="A23" i="1" l="1"/>
  <c r="C23" i="1"/>
  <c r="D23" i="1" s="1"/>
  <c r="B24" i="1" s="1"/>
  <c r="C24" i="1" s="1"/>
  <c r="D24" i="1" s="1"/>
  <c r="A24" i="1" l="1"/>
  <c r="A25" i="1" s="1"/>
  <c r="B25" i="1"/>
  <c r="C25" i="1" s="1"/>
  <c r="D25" i="1" s="1"/>
  <c r="B26" i="1" l="1"/>
  <c r="A26" i="1"/>
  <c r="C26" i="1" l="1"/>
  <c r="D26" i="1" s="1"/>
  <c r="B27" i="1" s="1"/>
  <c r="A27" i="1" l="1"/>
  <c r="C27" i="1"/>
  <c r="D27" i="1" s="1"/>
  <c r="B28" i="1" s="1"/>
  <c r="C28" i="1" s="1"/>
  <c r="D28" i="1" s="1"/>
  <c r="A28" i="1" l="1"/>
  <c r="A29" i="1" s="1"/>
  <c r="B29" i="1"/>
  <c r="C29" i="1" s="1"/>
  <c r="D29" i="1" s="1"/>
  <c r="B30" i="1" l="1"/>
  <c r="A30" i="1"/>
  <c r="C30" i="1" l="1"/>
  <c r="D30" i="1" s="1"/>
  <c r="B31" i="1" s="1"/>
  <c r="A31" i="1" l="1"/>
  <c r="C31" i="1"/>
  <c r="D31" i="1" s="1"/>
  <c r="B32" i="1" s="1"/>
  <c r="C32" i="1" s="1"/>
  <c r="D32" i="1" s="1"/>
  <c r="A32" i="1" l="1"/>
  <c r="A33" i="1" s="1"/>
  <c r="B33" i="1"/>
  <c r="C33" i="1" s="1"/>
  <c r="D33" i="1" s="1"/>
  <c r="B34" i="1" l="1"/>
  <c r="A34" i="1"/>
  <c r="G7" i="1" l="1"/>
  <c r="C34" i="1"/>
  <c r="D34" i="1" s="1"/>
  <c r="B35" i="1" s="1"/>
  <c r="C35" i="1" l="1"/>
  <c r="D35" i="1" s="1"/>
  <c r="B36" i="1" s="1"/>
  <c r="A35" i="1"/>
  <c r="A36" i="1" l="1"/>
  <c r="C36" i="1"/>
  <c r="D36" i="1" s="1"/>
  <c r="B37" i="1" s="1"/>
  <c r="A37" i="1" l="1"/>
  <c r="C37" i="1"/>
  <c r="D37" i="1" s="1"/>
  <c r="A38" i="1" l="1"/>
  <c r="B38" i="1"/>
  <c r="C38" i="1" s="1"/>
  <c r="D38" i="1" s="1"/>
  <c r="A39" i="1" l="1"/>
  <c r="B39" i="1"/>
  <c r="C39" i="1" s="1"/>
  <c r="D39" i="1" s="1"/>
  <c r="B40" i="1" s="1"/>
  <c r="C40" i="1" s="1"/>
  <c r="D40" i="1" s="1"/>
  <c r="A40" i="1" l="1"/>
  <c r="A41" i="1" s="1"/>
  <c r="B41" i="1"/>
  <c r="C41" i="1" s="1"/>
  <c r="D41" i="1" s="1"/>
  <c r="B42" i="1" l="1"/>
  <c r="A42" i="1"/>
  <c r="C42" i="1" l="1"/>
  <c r="D42" i="1" s="1"/>
  <c r="B43" i="1" s="1"/>
  <c r="C43" i="1" s="1"/>
  <c r="D43" i="1" s="1"/>
  <c r="A43" i="1" l="1"/>
  <c r="A44" i="1" s="1"/>
  <c r="B44" i="1"/>
  <c r="C44" i="1" s="1"/>
  <c r="D44" i="1" s="1"/>
  <c r="B45" i="1" l="1"/>
  <c r="C45" i="1" s="1"/>
  <c r="D45" i="1" s="1"/>
  <c r="A45" i="1"/>
  <c r="B46" i="1" l="1"/>
  <c r="A46" i="1"/>
  <c r="G8" i="1" l="1"/>
  <c r="C46" i="1"/>
  <c r="D46" i="1" s="1"/>
  <c r="B47" i="1" s="1"/>
  <c r="A47" i="1" l="1"/>
  <c r="C47" i="1"/>
  <c r="D47" i="1" s="1"/>
  <c r="B48" i="1" s="1"/>
  <c r="C48" i="1" s="1"/>
  <c r="D48" i="1" s="1"/>
  <c r="A48" i="1" l="1"/>
  <c r="A49" i="1" s="1"/>
  <c r="B49" i="1"/>
  <c r="C49" i="1" s="1"/>
  <c r="D49" i="1" s="1"/>
  <c r="B50" i="1" l="1"/>
  <c r="A50" i="1"/>
  <c r="C50" i="1" l="1"/>
  <c r="D50" i="1" s="1"/>
  <c r="B51" i="1" s="1"/>
  <c r="C51" i="1" l="1"/>
  <c r="D51" i="1" s="1"/>
  <c r="B52" i="1" s="1"/>
  <c r="A51" i="1"/>
  <c r="A52" i="1" l="1"/>
  <c r="C52" i="1"/>
  <c r="D52" i="1" s="1"/>
  <c r="B53" i="1" s="1"/>
  <c r="C53" i="1" l="1"/>
  <c r="D53" i="1" s="1"/>
  <c r="B54" i="1" s="1"/>
  <c r="A53" i="1"/>
  <c r="A54" i="1" l="1"/>
  <c r="C54" i="1"/>
  <c r="D54" i="1" s="1"/>
  <c r="B55" i="1" s="1"/>
  <c r="A55" i="1" l="1"/>
  <c r="C55" i="1"/>
  <c r="D55" i="1" s="1"/>
  <c r="B56" i="1" s="1"/>
  <c r="A56" i="1" l="1"/>
  <c r="C56" i="1"/>
  <c r="D56" i="1" s="1"/>
  <c r="B57" i="1" s="1"/>
  <c r="C57" i="1" s="1"/>
  <c r="D57" i="1" s="1"/>
  <c r="A57" i="1" l="1"/>
  <c r="A58" i="1" s="1"/>
  <c r="B58" i="1"/>
  <c r="G9" i="1" l="1"/>
  <c r="C58" i="1"/>
  <c r="D58" i="1" s="1"/>
  <c r="B59" i="1" s="1"/>
  <c r="C59" i="1" l="1"/>
  <c r="D59" i="1" s="1"/>
  <c r="A59" i="1"/>
  <c r="B60" i="1" l="1"/>
  <c r="C60" i="1" s="1"/>
  <c r="D60" i="1" s="1"/>
  <c r="B61" i="1" s="1"/>
  <c r="C61" i="1" s="1"/>
  <c r="D61" i="1" s="1"/>
  <c r="A60" i="1"/>
  <c r="A61" i="1" l="1"/>
  <c r="A62" i="1" s="1"/>
  <c r="B62" i="1"/>
  <c r="C62" i="1" l="1"/>
  <c r="D62" i="1" s="1"/>
  <c r="A63" i="1" s="1"/>
  <c r="B63" i="1" l="1"/>
  <c r="C63" i="1" s="1"/>
  <c r="D63" i="1" s="1"/>
  <c r="B64" i="1" s="1"/>
  <c r="C64" i="1" s="1"/>
  <c r="D64" i="1" s="1"/>
  <c r="A64" i="1" l="1"/>
  <c r="A65" i="1" s="1"/>
  <c r="B65" i="1"/>
  <c r="C65" i="1" s="1"/>
  <c r="D65" i="1" s="1"/>
  <c r="B66" i="1" l="1"/>
  <c r="A66" i="1"/>
  <c r="C66" i="1" l="1"/>
  <c r="D66" i="1" s="1"/>
  <c r="B67" i="1" s="1"/>
  <c r="C67" i="1" s="1"/>
  <c r="D67" i="1" s="1"/>
  <c r="A67" i="1" l="1"/>
  <c r="A68" i="1" s="1"/>
  <c r="B68" i="1"/>
  <c r="C68" i="1" s="1"/>
  <c r="D68" i="1" s="1"/>
  <c r="B69" i="1" l="1"/>
  <c r="C69" i="1" s="1"/>
  <c r="D69" i="1" s="1"/>
  <c r="A69" i="1"/>
  <c r="B70" i="1" l="1"/>
  <c r="A70" i="1"/>
  <c r="G10" i="1" l="1"/>
  <c r="C70" i="1"/>
  <c r="D70" i="1" s="1"/>
  <c r="A71" i="1" s="1"/>
  <c r="B71" i="1" l="1"/>
  <c r="C71" i="1" s="1"/>
  <c r="D71" i="1" s="1"/>
  <c r="B72" i="1" s="1"/>
  <c r="C72" i="1" s="1"/>
  <c r="D72" i="1" s="1"/>
  <c r="A72" i="1" l="1"/>
  <c r="A73" i="1" s="1"/>
  <c r="B73" i="1"/>
  <c r="C73" i="1" s="1"/>
  <c r="D73" i="1" s="1"/>
  <c r="B74" i="1" l="1"/>
  <c r="A74" i="1"/>
  <c r="C74" i="1" l="1"/>
  <c r="D74" i="1" s="1"/>
  <c r="A75" i="1" s="1"/>
  <c r="B75" i="1" l="1"/>
  <c r="C75" i="1" s="1"/>
  <c r="D75" i="1" s="1"/>
  <c r="B76" i="1" s="1"/>
  <c r="A76" i="1" l="1"/>
  <c r="C76" i="1"/>
  <c r="D76" i="1" s="1"/>
  <c r="B77" i="1" s="1"/>
  <c r="C77" i="1" s="1"/>
  <c r="D77" i="1" s="1"/>
  <c r="A77" i="1" l="1"/>
  <c r="A78" i="1" s="1"/>
  <c r="B78" i="1"/>
  <c r="C78" i="1" l="1"/>
  <c r="D78" i="1" s="1"/>
  <c r="B79" i="1" s="1"/>
  <c r="A79" i="1" l="1"/>
  <c r="C79" i="1"/>
  <c r="D79" i="1" s="1"/>
  <c r="B80" i="1" s="1"/>
  <c r="C80" i="1" s="1"/>
  <c r="D80" i="1" s="1"/>
  <c r="A80" i="1" l="1"/>
  <c r="A81" i="1" s="1"/>
  <c r="B81" i="1"/>
  <c r="C81" i="1" s="1"/>
  <c r="D81" i="1" s="1"/>
  <c r="B82" i="1" l="1"/>
  <c r="A82" i="1"/>
  <c r="G11" i="1" l="1"/>
  <c r="C82" i="1"/>
  <c r="D82" i="1" s="1"/>
  <c r="B83" i="1" s="1"/>
  <c r="A83" i="1" l="1"/>
  <c r="C83" i="1"/>
  <c r="D83" i="1" s="1"/>
  <c r="B84" i="1" s="1"/>
  <c r="C84" i="1" s="1"/>
  <c r="D84" i="1" s="1"/>
  <c r="A84" i="1" l="1"/>
  <c r="A85" i="1" s="1"/>
  <c r="B85" i="1"/>
  <c r="C85" i="1" s="1"/>
  <c r="D85" i="1" s="1"/>
  <c r="B86" i="1" l="1"/>
  <c r="C86" i="1" s="1"/>
  <c r="D86" i="1" s="1"/>
  <c r="A86" i="1"/>
  <c r="B87" i="1" l="1"/>
  <c r="C87" i="1" s="1"/>
  <c r="D87" i="1" s="1"/>
  <c r="A87" i="1"/>
  <c r="B88" i="1" l="1"/>
  <c r="C88" i="1" s="1"/>
  <c r="D88" i="1" s="1"/>
  <c r="A88" i="1"/>
  <c r="B89" i="1" l="1"/>
  <c r="C89" i="1" s="1"/>
  <c r="D89" i="1" s="1"/>
  <c r="A89" i="1"/>
  <c r="B90" i="1" l="1"/>
  <c r="C90" i="1" s="1"/>
  <c r="D90" i="1" s="1"/>
  <c r="A90" i="1"/>
  <c r="B91" i="1" l="1"/>
  <c r="C91" i="1" s="1"/>
  <c r="D91" i="1" s="1"/>
  <c r="A91" i="1"/>
  <c r="B92" i="1" l="1"/>
  <c r="C92" i="1" s="1"/>
  <c r="D92" i="1" s="1"/>
  <c r="A92" i="1"/>
  <c r="B93" i="1" l="1"/>
  <c r="C93" i="1" s="1"/>
  <c r="D93" i="1" s="1"/>
  <c r="A93" i="1"/>
  <c r="B94" i="1" l="1"/>
  <c r="G12" i="1" s="1"/>
  <c r="A94" i="1"/>
  <c r="C94" i="1" l="1"/>
  <c r="D94" i="1" s="1"/>
  <c r="B95" i="1" s="1"/>
  <c r="A95" i="1" l="1"/>
  <c r="C95" i="1"/>
  <c r="D95" i="1" s="1"/>
  <c r="A96" i="1" l="1"/>
  <c r="B96" i="1"/>
  <c r="C96" i="1" s="1"/>
  <c r="D96" i="1" s="1"/>
  <c r="A97" i="1" l="1"/>
  <c r="B97" i="1"/>
  <c r="C97" i="1" s="1"/>
  <c r="D97" i="1" s="1"/>
  <c r="B98" i="1" s="1"/>
  <c r="C98" i="1" s="1"/>
  <c r="D98" i="1" s="1"/>
  <c r="A98" i="1" l="1"/>
  <c r="A99" i="1" s="1"/>
  <c r="B99" i="1"/>
  <c r="C99" i="1" s="1"/>
  <c r="D99" i="1" s="1"/>
  <c r="B100" i="1" l="1"/>
  <c r="C100" i="1" s="1"/>
  <c r="D100" i="1" s="1"/>
  <c r="A100" i="1"/>
  <c r="A101" i="1" l="1"/>
  <c r="B101" i="1"/>
  <c r="C101" i="1" s="1"/>
  <c r="D101" i="1" s="1"/>
  <c r="B102" i="1" l="1"/>
  <c r="C102" i="1" s="1"/>
  <c r="D102" i="1" s="1"/>
  <c r="A102" i="1"/>
  <c r="B103" i="1" l="1"/>
  <c r="C103" i="1" s="1"/>
  <c r="D103" i="1" s="1"/>
  <c r="A103" i="1"/>
  <c r="B104" i="1" l="1"/>
  <c r="C104" i="1" s="1"/>
  <c r="D104" i="1" s="1"/>
  <c r="A104" i="1"/>
  <c r="A105" i="1" l="1"/>
  <c r="B105" i="1"/>
  <c r="C105" i="1" s="1"/>
  <c r="D105" i="1" s="1"/>
  <c r="B106" i="1" l="1"/>
  <c r="C106" i="1" s="1"/>
  <c r="D106" i="1" s="1"/>
  <c r="A106" i="1"/>
  <c r="B107" i="1" l="1"/>
  <c r="C107" i="1" s="1"/>
  <c r="D107" i="1" s="1"/>
  <c r="A107" i="1"/>
  <c r="B108" i="1" l="1"/>
  <c r="C108" i="1" s="1"/>
  <c r="D108" i="1" s="1"/>
  <c r="A108" i="1"/>
  <c r="A109" i="1" l="1"/>
  <c r="B109" i="1"/>
  <c r="C109" i="1" s="1"/>
  <c r="D109" i="1" s="1"/>
  <c r="B110" i="1" l="1"/>
  <c r="C110" i="1" s="1"/>
  <c r="D110" i="1" s="1"/>
  <c r="A110" i="1"/>
  <c r="B111" i="1" l="1"/>
  <c r="C111" i="1" s="1"/>
  <c r="D111" i="1" s="1"/>
  <c r="A111" i="1"/>
  <c r="B112" i="1" l="1"/>
  <c r="C112" i="1" s="1"/>
  <c r="D112" i="1" s="1"/>
  <c r="A112" i="1"/>
  <c r="A113" i="1" l="1"/>
  <c r="B113" i="1"/>
  <c r="C113" i="1" s="1"/>
  <c r="D113" i="1" s="1"/>
  <c r="A114" i="1" l="1"/>
  <c r="B114" i="1"/>
  <c r="C114" i="1" s="1"/>
  <c r="D114" i="1" s="1"/>
  <c r="B115" i="1" l="1"/>
  <c r="C115" i="1" s="1"/>
  <c r="D115" i="1" s="1"/>
  <c r="A115" i="1"/>
  <c r="B116" i="1" l="1"/>
  <c r="C116" i="1" s="1"/>
  <c r="D116" i="1" s="1"/>
  <c r="A116" i="1"/>
  <c r="A117" i="1" l="1"/>
  <c r="B117" i="1"/>
  <c r="C117" i="1" s="1"/>
  <c r="D117" i="1" s="1"/>
  <c r="B118" i="1" l="1"/>
  <c r="C118" i="1" s="1"/>
  <c r="D118" i="1" s="1"/>
  <c r="A118" i="1"/>
  <c r="B119" i="1" l="1"/>
  <c r="C119" i="1" s="1"/>
  <c r="D119" i="1" s="1"/>
  <c r="A119" i="1"/>
  <c r="B120" i="1" l="1"/>
  <c r="C120" i="1" s="1"/>
  <c r="D120" i="1" s="1"/>
  <c r="A120" i="1"/>
  <c r="A121" i="1" l="1"/>
  <c r="B121" i="1"/>
  <c r="C121" i="1" s="1"/>
  <c r="D121" i="1" s="1"/>
  <c r="B122" i="1" l="1"/>
  <c r="C122" i="1" s="1"/>
  <c r="D122" i="1" s="1"/>
  <c r="A122" i="1"/>
  <c r="B123" i="1" l="1"/>
  <c r="C123" i="1" s="1"/>
  <c r="D123" i="1" s="1"/>
  <c r="A123" i="1"/>
  <c r="B124" i="1" l="1"/>
  <c r="C124" i="1" s="1"/>
  <c r="D124" i="1" s="1"/>
  <c r="A124" i="1"/>
  <c r="A125" i="1" l="1"/>
  <c r="B125" i="1"/>
  <c r="C125" i="1" s="1"/>
  <c r="D125" i="1" s="1"/>
  <c r="B126" i="1" l="1"/>
  <c r="C126" i="1" s="1"/>
  <c r="D126" i="1" s="1"/>
  <c r="A126" i="1"/>
  <c r="B127" i="1" l="1"/>
  <c r="C127" i="1" s="1"/>
  <c r="D127" i="1" s="1"/>
  <c r="A127" i="1"/>
  <c r="A128" i="1" l="1"/>
  <c r="B128" i="1"/>
  <c r="C128" i="1" s="1"/>
  <c r="D128" i="1" s="1"/>
  <c r="A129" i="1" l="1"/>
  <c r="B129" i="1"/>
  <c r="C129" i="1" s="1"/>
  <c r="D129" i="1" s="1"/>
  <c r="B130" i="1" l="1"/>
  <c r="C130" i="1" s="1"/>
  <c r="D130" i="1" s="1"/>
  <c r="A1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Søren Møller Jensen (SMJ - Lektor - Cphbusiness)</author>
  </authors>
  <commentList>
    <comment ref="B1" authorId="0" shapeId="0" xr:uid="{1B18AC5F-86EF-4004-B36F-4173ECCE1769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det beløb, der lånes.</t>
        </r>
      </text>
    </comment>
    <comment ref="B2" authorId="0" shapeId="0" xr:uid="{A8D6E0E9-F520-4864-86FB-2B8E9D32B4FA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eventuelle stiftelsesomkostninger på lånet (tastes som positiv værdi).</t>
        </r>
      </text>
    </comment>
    <comment ref="B5" authorId="0" shapeId="0" xr:uid="{EF844C0D-F336-49EA-99E5-B909F0E20116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 totale antal år, lånet løber over.</t>
        </r>
      </text>
    </comment>
  </commentList>
</comments>
</file>

<file path=xl/sharedStrings.xml><?xml version="1.0" encoding="utf-8"?>
<sst xmlns="http://schemas.openxmlformats.org/spreadsheetml/2006/main" count="43" uniqueCount="41">
  <si>
    <t>Hovedstol</t>
  </si>
  <si>
    <t>Stiftelsesomk.</t>
  </si>
  <si>
    <t>Provenue</t>
  </si>
  <si>
    <t>Rente pr. år</t>
  </si>
  <si>
    <t>Årlige renteudgifter</t>
  </si>
  <si>
    <t>Antal år</t>
  </si>
  <si>
    <t>KUN VED 12 TERMINER PR. ÅR</t>
  </si>
  <si>
    <t xml:space="preserve"> </t>
  </si>
  <si>
    <t>Terminer pr. år</t>
  </si>
  <si>
    <t>År 1</t>
  </si>
  <si>
    <t>Antal terminer</t>
  </si>
  <si>
    <t>År 2</t>
  </si>
  <si>
    <t>Ydelse pr. termin</t>
  </si>
  <si>
    <t>År 3</t>
  </si>
  <si>
    <t>År 4</t>
  </si>
  <si>
    <t xml:space="preserve">Termin </t>
  </si>
  <si>
    <t>Rente</t>
  </si>
  <si>
    <t>afdrag</t>
  </si>
  <si>
    <t xml:space="preserve">restgæld </t>
  </si>
  <si>
    <t>År 5</t>
  </si>
  <si>
    <t>År 6</t>
  </si>
  <si>
    <t>År 7</t>
  </si>
  <si>
    <t>Årlig ydelse</t>
  </si>
  <si>
    <t>Effektiv rente pr. termin</t>
  </si>
  <si>
    <t>ÅOP</t>
  </si>
  <si>
    <t>Faste udgifter</t>
  </si>
  <si>
    <t>Indkomst m.m.</t>
  </si>
  <si>
    <t>Boligafgift</t>
  </si>
  <si>
    <t>Andelsboliglån</t>
  </si>
  <si>
    <t>El, vand og varme</t>
  </si>
  <si>
    <t>Vuggestue</t>
  </si>
  <si>
    <t>Indboforsikring</t>
  </si>
  <si>
    <t>Fagforening</t>
  </si>
  <si>
    <t>A-kasse</t>
  </si>
  <si>
    <t>Disponibel indkomst/måned</t>
  </si>
  <si>
    <t>Løn, brutto/år</t>
  </si>
  <si>
    <t>Skat/år</t>
  </si>
  <si>
    <t>Børneydelse/år</t>
  </si>
  <si>
    <t>Rådighedsbeløb/måned</t>
  </si>
  <si>
    <t>Internet/telefon/streaming</t>
  </si>
  <si>
    <t>Billeje + øvrig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</si>
</sst>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k_r_-;\-* #,##0\ _k_r_-;_-* &quot;-&quot;\ _k_r_-;_-@_-"/>
    <numFmt numFmtId="165" formatCode="_-* #,##0.00\ _k_r_-;\-* #,##0.00\ _k_r_-;_-* &quot;-&quot;??\ _k_r_-;_-@_-"/>
    <numFmt numFmtId="166" formatCode="#,##0.00_ ;[Red]\-#,##0.00\ "/>
    <numFmt numFmtId="167" formatCode="_-* #,##0.00\ _k_r_-;\-* #,##0.00\ _k_r_-;_-* &quot;-&quot;\ _k_r_-;_-@_-"/>
    <numFmt numFmtId="168" formatCode="0.00000%"/>
    <numFmt numFmtId="169" formatCode="_-* #,##0.00\ _k_r_._-;\-* #,##0.00\ _k_r_._-;_-* &quot;-&quot;??\ _k_r_.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167" fontId="3" fillId="0" borderId="0" xfId="0" applyNumberFormat="1" applyFont="1" applyAlignment="1">
      <alignment horizontal="center" vertical="center"/>
    </xf>
    <xf numFmtId="166" fontId="3" fillId="0" borderId="0" xfId="0" applyNumberFormat="1" applyFont="1"/>
    <xf numFmtId="0" fontId="6" fillId="2" borderId="0" xfId="0" applyFont="1" applyFill="1"/>
    <xf numFmtId="167" fontId="6" fillId="2" borderId="0" xfId="0" applyNumberFormat="1" applyFont="1" applyFill="1" applyAlignment="1">
      <alignment horizontal="center" vertical="center"/>
    </xf>
    <xf numFmtId="0" fontId="3" fillId="2" borderId="0" xfId="0" applyFont="1" applyFill="1"/>
    <xf numFmtId="10" fontId="0" fillId="0" borderId="0" xfId="0" applyNumberFormat="1"/>
    <xf numFmtId="10" fontId="3" fillId="2" borderId="0" xfId="8" applyNumberFormat="1" applyFont="1" applyFill="1"/>
    <xf numFmtId="9" fontId="0" fillId="0" borderId="0" xfId="0" applyNumberFormat="1"/>
    <xf numFmtId="168" fontId="0" fillId="0" borderId="0" xfId="0" applyNumberFormat="1" applyAlignment="1">
      <alignment horizontal="left" indent="3"/>
    </xf>
    <xf numFmtId="165" fontId="0" fillId="3" borderId="0" xfId="1" applyFont="1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4" fontId="3" fillId="2" borderId="0" xfId="0" applyNumberFormat="1" applyFont="1" applyFill="1"/>
    <xf numFmtId="165" fontId="0" fillId="0" borderId="0" xfId="1" applyFont="1" applyFill="1" applyAlignment="1">
      <alignment horizontal="center"/>
    </xf>
    <xf numFmtId="169" fontId="0" fillId="0" borderId="0" xfId="0" applyNumberFormat="1"/>
    <xf numFmtId="3" fontId="0" fillId="0" borderId="0" xfId="0" applyNumberFormat="1"/>
    <xf numFmtId="3" fontId="3" fillId="0" borderId="0" xfId="0" applyNumberFormat="1" applyFont="1"/>
    <xf numFmtId="0" fontId="9" fillId="0" borderId="0" xfId="0" applyFont="1"/>
  </cellXfs>
  <cellStyles count="11">
    <cellStyle name="Besøgt link" xfId="10" builtinId="9" hidden="1"/>
    <cellStyle name="Besøgt link" xfId="5" builtinId="9" hidden="1"/>
    <cellStyle name="Besøgt link" xfId="7" builtinId="9" hidden="1"/>
    <cellStyle name="Besøgt link" xfId="3" builtinId="9" hidden="1"/>
    <cellStyle name="Komma" xfId="1" builtinId="3"/>
    <cellStyle name="Link" xfId="9" builtinId="8" hidden="1"/>
    <cellStyle name="Link" xfId="6" builtinId="8" hidden="1"/>
    <cellStyle name="Link" xfId="2" builtinId="8" hidden="1"/>
    <cellStyle name="Link" xfId="4" builtinId="8" hidden="1"/>
    <cellStyle name="Normal" xfId="0" builtinId="0"/>
    <cellStyle name="Procent" xfId="8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ontor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B23C-275D-48E6-B190-C4D69501A2D2}">
  <dimension ref="A1:B18"/>
  <sheetViews>
    <sheetView tabSelected="1" workbookViewId="0">
      <selection activeCell="A6" sqref="A6"/>
    </sheetView>
  </sheetViews>
  <sheetFormatPr defaultRowHeight="15.5" x14ac:dyDescent="0.35"/>
  <cols>
    <col min="1" max="1" width="26.25" customWidth="1"/>
    <col min="2" max="2" width="8.6640625" style="20"/>
  </cols>
  <sheetData>
    <row r="1" spans="1:2" x14ac:dyDescent="0.35">
      <c r="A1" s="22" t="s">
        <v>26</v>
      </c>
    </row>
    <row r="2" spans="1:2" x14ac:dyDescent="0.35">
      <c r="A2" t="s">
        <v>35</v>
      </c>
      <c r="B2" s="20">
        <f>12*(35000+40000)</f>
        <v>900000</v>
      </c>
    </row>
    <row r="3" spans="1:2" x14ac:dyDescent="0.35">
      <c r="A3" t="s">
        <v>36</v>
      </c>
      <c r="B3" s="20">
        <v>300373</v>
      </c>
    </row>
    <row r="4" spans="1:2" x14ac:dyDescent="0.35">
      <c r="A4" t="s">
        <v>37</v>
      </c>
      <c r="B4" s="20">
        <f>4*5124</f>
        <v>20496</v>
      </c>
    </row>
    <row r="5" spans="1:2" x14ac:dyDescent="0.35">
      <c r="A5" s="4" t="s">
        <v>34</v>
      </c>
      <c r="B5" s="21">
        <f>(B2-B3+B4)/12</f>
        <v>51676.916666666664</v>
      </c>
    </row>
    <row r="7" spans="1:2" x14ac:dyDescent="0.35">
      <c r="A7" s="22" t="s">
        <v>25</v>
      </c>
    </row>
    <row r="8" spans="1:2" x14ac:dyDescent="0.35">
      <c r="A8" t="s">
        <v>27</v>
      </c>
      <c r="B8" s="20">
        <v>4000</v>
      </c>
    </row>
    <row r="9" spans="1:2" x14ac:dyDescent="0.35">
      <c r="A9" t="s">
        <v>28</v>
      </c>
      <c r="B9" s="20">
        <v>6042</v>
      </c>
    </row>
    <row r="10" spans="1:2" x14ac:dyDescent="0.35">
      <c r="A10" t="s">
        <v>29</v>
      </c>
      <c r="B10" s="20">
        <v>1500</v>
      </c>
    </row>
    <row r="11" spans="1:2" x14ac:dyDescent="0.35">
      <c r="A11" t="s">
        <v>30</v>
      </c>
      <c r="B11" s="20">
        <v>4000</v>
      </c>
    </row>
    <row r="12" spans="1:2" x14ac:dyDescent="0.35">
      <c r="A12" t="s">
        <v>32</v>
      </c>
      <c r="B12" s="20">
        <v>1000</v>
      </c>
    </row>
    <row r="13" spans="1:2" x14ac:dyDescent="0.35">
      <c r="A13" t="s">
        <v>33</v>
      </c>
      <c r="B13" s="20">
        <v>1100</v>
      </c>
    </row>
    <row r="14" spans="1:2" x14ac:dyDescent="0.35">
      <c r="A14" t="s">
        <v>31</v>
      </c>
      <c r="B14" s="20">
        <v>250</v>
      </c>
    </row>
    <row r="15" spans="1:2" x14ac:dyDescent="0.35">
      <c r="A15" t="s">
        <v>39</v>
      </c>
      <c r="B15" s="20">
        <v>800</v>
      </c>
    </row>
    <row r="16" spans="1:2" x14ac:dyDescent="0.35">
      <c r="A16" t="s">
        <v>40</v>
      </c>
      <c r="B16" s="20">
        <v>2000</v>
      </c>
    </row>
    <row r="18" spans="1:2" x14ac:dyDescent="0.35">
      <c r="A18" s="4" t="s">
        <v>38</v>
      </c>
      <c r="B18" s="21">
        <f>B5-(SUM(B8:B17))</f>
        <v>30984.916666666664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workbookViewId="0">
      <selection activeCell="A23" sqref="A23"/>
    </sheetView>
  </sheetViews>
  <sheetFormatPr defaultColWidth="11" defaultRowHeight="15.5" x14ac:dyDescent="0.35"/>
  <cols>
    <col min="1" max="1" width="16.58203125" customWidth="1"/>
    <col min="2" max="2" width="14.5" customWidth="1"/>
    <col min="3" max="3" width="12.75" customWidth="1"/>
    <col min="4" max="4" width="15.58203125" customWidth="1"/>
    <col min="6" max="6" width="14.58203125" customWidth="1"/>
    <col min="7" max="7" width="12.33203125" customWidth="1"/>
    <col min="10" max="10" width="11.83203125" customWidth="1"/>
  </cols>
  <sheetData>
    <row r="1" spans="1:10" x14ac:dyDescent="0.35">
      <c r="A1" s="4" t="s">
        <v>0</v>
      </c>
      <c r="B1" s="14">
        <v>750000</v>
      </c>
    </row>
    <row r="2" spans="1:10" x14ac:dyDescent="0.35">
      <c r="A2" s="4" t="s">
        <v>1</v>
      </c>
      <c r="B2" s="14"/>
      <c r="D2" s="19"/>
    </row>
    <row r="3" spans="1:10" x14ac:dyDescent="0.35">
      <c r="A3" s="4" t="s">
        <v>2</v>
      </c>
      <c r="B3" s="18">
        <f>B1-B2</f>
        <v>750000</v>
      </c>
    </row>
    <row r="4" spans="1:10" x14ac:dyDescent="0.35">
      <c r="A4" s="4" t="s">
        <v>3</v>
      </c>
      <c r="B4" s="15">
        <v>7.4999999999999997E-2</v>
      </c>
      <c r="F4" s="4" t="s">
        <v>4</v>
      </c>
      <c r="G4" s="4"/>
    </row>
    <row r="5" spans="1:10" x14ac:dyDescent="0.35">
      <c r="A5" s="4" t="s">
        <v>5</v>
      </c>
      <c r="B5" s="16">
        <v>20</v>
      </c>
      <c r="D5" s="12"/>
      <c r="F5" s="4" t="s">
        <v>6</v>
      </c>
      <c r="G5" s="4"/>
      <c r="H5" s="4" t="s">
        <v>7</v>
      </c>
      <c r="I5" s="4"/>
      <c r="J5">
        <f>7.22/12</f>
        <v>0.60166666666666668</v>
      </c>
    </row>
    <row r="6" spans="1:10" x14ac:dyDescent="0.35">
      <c r="A6" s="4" t="s">
        <v>8</v>
      </c>
      <c r="B6" s="16">
        <v>12</v>
      </c>
      <c r="F6" s="7" t="s">
        <v>9</v>
      </c>
      <c r="G6" s="8">
        <f>SUM(B11:B22)</f>
        <v>55679.484678298424</v>
      </c>
      <c r="H6" s="5"/>
      <c r="I6" s="4"/>
      <c r="J6">
        <f t="shared" ref="J6:J16" si="0">7.22/12</f>
        <v>0.60166666666666668</v>
      </c>
    </row>
    <row r="7" spans="1:10" x14ac:dyDescent="0.35">
      <c r="A7" s="4" t="s">
        <v>10</v>
      </c>
      <c r="B7" s="3">
        <f>B5*B6</f>
        <v>240</v>
      </c>
      <c r="F7" s="7" t="s">
        <v>11</v>
      </c>
      <c r="G7" s="8">
        <f>SUM(B23:B34)</f>
        <v>54373.401385585224</v>
      </c>
      <c r="H7" s="4"/>
      <c r="I7" s="4"/>
      <c r="J7">
        <f t="shared" si="0"/>
        <v>0.60166666666666668</v>
      </c>
    </row>
    <row r="8" spans="1:10" x14ac:dyDescent="0.35">
      <c r="A8" s="4" t="s">
        <v>12</v>
      </c>
      <c r="B8" s="6">
        <f>PMT(B4/B6,B7,-B1)</f>
        <v>6041.9489516385538</v>
      </c>
      <c r="D8" s="13"/>
      <c r="F8" s="7" t="s">
        <v>13</v>
      </c>
      <c r="G8" s="8">
        <f>SUM(B35:B46)</f>
        <v>52965.923452536255</v>
      </c>
      <c r="H8" s="4"/>
      <c r="I8" s="4"/>
      <c r="J8">
        <f t="shared" si="0"/>
        <v>0.60166666666666668</v>
      </c>
    </row>
    <row r="9" spans="1:10" x14ac:dyDescent="0.35">
      <c r="F9" s="7" t="s">
        <v>14</v>
      </c>
      <c r="G9" s="8">
        <f>SUM(B47:B58)</f>
        <v>51449.179349712198</v>
      </c>
      <c r="H9" s="4"/>
      <c r="I9" s="4"/>
      <c r="J9">
        <f t="shared" si="0"/>
        <v>0.60166666666666668</v>
      </c>
    </row>
    <row r="10" spans="1:10" x14ac:dyDescent="0.35">
      <c r="A10" s="4" t="s">
        <v>15</v>
      </c>
      <c r="B10" s="4" t="s">
        <v>16</v>
      </c>
      <c r="C10" s="4" t="s">
        <v>17</v>
      </c>
      <c r="D10" s="4" t="s">
        <v>18</v>
      </c>
      <c r="F10" s="7" t="s">
        <v>19</v>
      </c>
      <c r="G10" s="8">
        <f>SUM(B59:B70)</f>
        <v>49814.686460386336</v>
      </c>
      <c r="H10" s="4"/>
      <c r="I10" s="4"/>
      <c r="J10">
        <f t="shared" si="0"/>
        <v>0.60166666666666668</v>
      </c>
    </row>
    <row r="11" spans="1:10" x14ac:dyDescent="0.35">
      <c r="A11" s="1">
        <v>1</v>
      </c>
      <c r="B11" s="2">
        <f>B1*B4/B6</f>
        <v>4687.5</v>
      </c>
      <c r="C11" s="2">
        <f>$B$8-B11</f>
        <v>1354.4489516385538</v>
      </c>
      <c r="D11" s="2">
        <f>B1-C11</f>
        <v>748645.55104836146</v>
      </c>
      <c r="F11" s="7" t="s">
        <v>20</v>
      </c>
      <c r="G11" s="8">
        <f>SUM(B71:B82)</f>
        <v>48053.303640250429</v>
      </c>
      <c r="H11" s="4"/>
      <c r="I11" s="4"/>
      <c r="J11">
        <f t="shared" si="0"/>
        <v>0.60166666666666668</v>
      </c>
    </row>
    <row r="12" spans="1:10" x14ac:dyDescent="0.35">
      <c r="A12" s="1">
        <f>IF(D11&lt;0.1,0,A11+1)</f>
        <v>2</v>
      </c>
      <c r="B12" s="2">
        <f>IF(D11&lt;0.1,0,D11*$B$4/$B$6)</f>
        <v>4679.0346940522586</v>
      </c>
      <c r="C12" s="2">
        <f>IF(D11&lt;0.1,0,$B$8-B12)</f>
        <v>1362.9142575862952</v>
      </c>
      <c r="D12" s="2">
        <f>IF(D11&lt;0.1,0,D11-C12)</f>
        <v>747282.63679077511</v>
      </c>
      <c r="F12" s="7" t="s">
        <v>21</v>
      </c>
      <c r="G12" s="8">
        <f>SUM(B83:B94)</f>
        <v>46155.180094207011</v>
      </c>
      <c r="H12" s="4"/>
      <c r="I12" s="4"/>
      <c r="J12">
        <f t="shared" si="0"/>
        <v>0.60166666666666668</v>
      </c>
    </row>
    <row r="13" spans="1:10" x14ac:dyDescent="0.35">
      <c r="A13" s="1">
        <f t="shared" ref="A13:A76" si="1">IF(D12&lt;0.1,0,A12+1)</f>
        <v>3</v>
      </c>
      <c r="B13" s="2">
        <f t="shared" ref="B13:B76" si="2">IF(D12&lt;0.1,0,D12*$B$4/$B$6)</f>
        <v>4670.5164799423446</v>
      </c>
      <c r="C13" s="2">
        <f t="shared" ref="C13:C76" si="3">IF(D12&lt;0.1,0,$B$8-B13)</f>
        <v>1371.4324716962092</v>
      </c>
      <c r="D13" s="2">
        <f t="shared" ref="D13:D19" si="4">IF(D12&lt;0.1,0,D12-C13)</f>
        <v>745911.20431907894</v>
      </c>
      <c r="F13" s="4"/>
      <c r="G13" s="4"/>
      <c r="H13" s="4"/>
      <c r="I13" s="4"/>
      <c r="J13">
        <f t="shared" si="0"/>
        <v>0.60166666666666668</v>
      </c>
    </row>
    <row r="14" spans="1:10" x14ac:dyDescent="0.35">
      <c r="A14" s="1">
        <f t="shared" si="1"/>
        <v>4</v>
      </c>
      <c r="B14" s="2">
        <f t="shared" si="2"/>
        <v>4661.9450269942436</v>
      </c>
      <c r="C14" s="2">
        <f t="shared" si="3"/>
        <v>1380.0039246443102</v>
      </c>
      <c r="D14" s="2">
        <f t="shared" si="4"/>
        <v>744531.20039443462</v>
      </c>
      <c r="F14" s="9" t="s">
        <v>22</v>
      </c>
      <c r="G14" s="17">
        <f>B6*B8</f>
        <v>72503.387419662642</v>
      </c>
      <c r="J14">
        <f t="shared" si="0"/>
        <v>0.60166666666666668</v>
      </c>
    </row>
    <row r="15" spans="1:10" x14ac:dyDescent="0.35">
      <c r="A15" s="1">
        <f t="shared" si="1"/>
        <v>5</v>
      </c>
      <c r="B15" s="2">
        <f t="shared" si="2"/>
        <v>4653.320002465216</v>
      </c>
      <c r="C15" s="2">
        <f t="shared" si="3"/>
        <v>1388.6289491733378</v>
      </c>
      <c r="D15" s="2">
        <f t="shared" si="4"/>
        <v>743142.57144526124</v>
      </c>
      <c r="J15">
        <f t="shared" si="0"/>
        <v>0.60166666666666668</v>
      </c>
    </row>
    <row r="16" spans="1:10" x14ac:dyDescent="0.35">
      <c r="A16" s="1">
        <f t="shared" si="1"/>
        <v>6</v>
      </c>
      <c r="B16" s="2">
        <f t="shared" si="2"/>
        <v>4644.641071532883</v>
      </c>
      <c r="C16" s="2">
        <f t="shared" si="3"/>
        <v>1397.3078801056708</v>
      </c>
      <c r="D16" s="2">
        <f t="shared" si="4"/>
        <v>741745.26356515556</v>
      </c>
      <c r="F16" t="s">
        <v>23</v>
      </c>
      <c r="H16" s="10">
        <f>RATE(B7,-B8,B3)</f>
        <v>6.2500000000000342E-3</v>
      </c>
      <c r="J16">
        <f t="shared" si="0"/>
        <v>0.60166666666666668</v>
      </c>
    </row>
    <row r="17" spans="1:7" x14ac:dyDescent="0.35">
      <c r="A17" s="1">
        <f t="shared" si="1"/>
        <v>7</v>
      </c>
      <c r="B17" s="2">
        <f t="shared" si="2"/>
        <v>4635.9078972822217</v>
      </c>
      <c r="C17" s="2">
        <f t="shared" si="3"/>
        <v>1406.0410543563321</v>
      </c>
      <c r="D17" s="2">
        <f t="shared" si="4"/>
        <v>740339.22251079918</v>
      </c>
      <c r="F17" s="9" t="s">
        <v>24</v>
      </c>
      <c r="G17" s="11">
        <f>(1+H16)^B6-1</f>
        <v>7.7632598856030688E-2</v>
      </c>
    </row>
    <row r="18" spans="1:7" x14ac:dyDescent="0.35">
      <c r="A18" s="1">
        <f t="shared" si="1"/>
        <v>8</v>
      </c>
      <c r="B18" s="2">
        <f t="shared" si="2"/>
        <v>4627.1201406924947</v>
      </c>
      <c r="C18" s="2">
        <f t="shared" si="3"/>
        <v>1414.8288109460591</v>
      </c>
      <c r="D18" s="2">
        <f t="shared" si="4"/>
        <v>738924.3936998531</v>
      </c>
    </row>
    <row r="19" spans="1:7" x14ac:dyDescent="0.35">
      <c r="A19" s="1">
        <f t="shared" si="1"/>
        <v>9</v>
      </c>
      <c r="B19" s="2">
        <f t="shared" si="2"/>
        <v>4618.2774606240819</v>
      </c>
      <c r="C19" s="2">
        <f t="shared" si="3"/>
        <v>1423.6714910144719</v>
      </c>
      <c r="D19" s="2">
        <f t="shared" si="4"/>
        <v>737500.72220883868</v>
      </c>
    </row>
    <row r="20" spans="1:7" x14ac:dyDescent="0.35">
      <c r="A20" s="1">
        <f t="shared" si="1"/>
        <v>10</v>
      </c>
      <c r="B20" s="2">
        <f t="shared" si="2"/>
        <v>4609.3795138052419</v>
      </c>
      <c r="C20" s="2">
        <f t="shared" si="3"/>
        <v>1432.5694378333119</v>
      </c>
      <c r="D20" s="2">
        <f t="shared" ref="D20:D21" si="5">IF(D19&lt;0.1,0,D19-C20)</f>
        <v>736068.15277100541</v>
      </c>
      <c r="F20" t="s">
        <v>7</v>
      </c>
      <c r="G20" t="s">
        <v>7</v>
      </c>
    </row>
    <row r="21" spans="1:7" x14ac:dyDescent="0.35">
      <c r="A21" s="1">
        <f t="shared" si="1"/>
        <v>11</v>
      </c>
      <c r="B21" s="2">
        <f t="shared" si="2"/>
        <v>4600.4259548187838</v>
      </c>
      <c r="C21" s="2">
        <f t="shared" si="3"/>
        <v>1441.52299681977</v>
      </c>
      <c r="D21" s="2">
        <f t="shared" si="5"/>
        <v>734626.6297741856</v>
      </c>
    </row>
    <row r="22" spans="1:7" x14ac:dyDescent="0.35">
      <c r="A22" s="1">
        <f t="shared" si="1"/>
        <v>12</v>
      </c>
      <c r="B22" s="2">
        <f t="shared" si="2"/>
        <v>4591.4164360886598</v>
      </c>
      <c r="C22" s="2">
        <f t="shared" si="3"/>
        <v>1450.532515549894</v>
      </c>
      <c r="D22" s="2">
        <f t="shared" ref="D22:D26" si="6">IF(D21&lt;0.1,0,D21-C22)</f>
        <v>733176.09725863568</v>
      </c>
    </row>
    <row r="23" spans="1:7" x14ac:dyDescent="0.35">
      <c r="A23" s="1">
        <f t="shared" si="1"/>
        <v>13</v>
      </c>
      <c r="B23" s="2">
        <f t="shared" si="2"/>
        <v>4582.3506078664732</v>
      </c>
      <c r="C23" s="2">
        <f t="shared" si="3"/>
        <v>1459.5983437720806</v>
      </c>
      <c r="D23" s="2">
        <f t="shared" si="6"/>
        <v>731716.49891486357</v>
      </c>
    </row>
    <row r="24" spans="1:7" x14ac:dyDescent="0.35">
      <c r="A24" s="1">
        <f t="shared" si="1"/>
        <v>14</v>
      </c>
      <c r="B24" s="2">
        <f t="shared" si="2"/>
        <v>4573.2281182178967</v>
      </c>
      <c r="C24" s="2">
        <f t="shared" si="3"/>
        <v>1468.7208334206571</v>
      </c>
      <c r="D24" s="2">
        <f t="shared" si="6"/>
        <v>730247.77808144293</v>
      </c>
    </row>
    <row r="25" spans="1:7" x14ac:dyDescent="0.35">
      <c r="A25" s="1">
        <f t="shared" si="1"/>
        <v>15</v>
      </c>
      <c r="B25" s="2">
        <f t="shared" si="2"/>
        <v>4564.0486130090185</v>
      </c>
      <c r="C25" s="2">
        <f t="shared" si="3"/>
        <v>1477.9003386295353</v>
      </c>
      <c r="D25" s="2">
        <f t="shared" si="6"/>
        <v>728769.87774281343</v>
      </c>
    </row>
    <row r="26" spans="1:7" x14ac:dyDescent="0.35">
      <c r="A26" s="1">
        <f t="shared" si="1"/>
        <v>16</v>
      </c>
      <c r="B26" s="2">
        <f t="shared" si="2"/>
        <v>4554.8117358925838</v>
      </c>
      <c r="C26" s="2">
        <f t="shared" si="3"/>
        <v>1487.13721574597</v>
      </c>
      <c r="D26" s="2">
        <f t="shared" si="6"/>
        <v>727282.74052706745</v>
      </c>
    </row>
    <row r="27" spans="1:7" x14ac:dyDescent="0.35">
      <c r="A27" s="1">
        <f t="shared" si="1"/>
        <v>17</v>
      </c>
      <c r="B27" s="2">
        <f t="shared" si="2"/>
        <v>4545.517128294171</v>
      </c>
      <c r="C27" s="2">
        <f t="shared" si="3"/>
        <v>1496.4318233443828</v>
      </c>
      <c r="D27" s="2">
        <f t="shared" ref="D27:D90" si="7">IF(D26&lt;0.1,0,D26-C27)</f>
        <v>725786.30870372301</v>
      </c>
    </row>
    <row r="28" spans="1:7" x14ac:dyDescent="0.35">
      <c r="A28" s="1">
        <f t="shared" si="1"/>
        <v>18</v>
      </c>
      <c r="B28" s="2">
        <f t="shared" si="2"/>
        <v>4536.164429398269</v>
      </c>
      <c r="C28" s="2">
        <f t="shared" si="3"/>
        <v>1505.7845222402848</v>
      </c>
      <c r="D28" s="2">
        <f t="shared" si="7"/>
        <v>724280.52418148273</v>
      </c>
    </row>
    <row r="29" spans="1:7" x14ac:dyDescent="0.35">
      <c r="A29" s="1">
        <f t="shared" si="1"/>
        <v>19</v>
      </c>
      <c r="B29" s="2">
        <f t="shared" si="2"/>
        <v>4526.7532761342673</v>
      </c>
      <c r="C29" s="2">
        <f t="shared" si="3"/>
        <v>1515.1956755042866</v>
      </c>
      <c r="D29" s="2">
        <f t="shared" si="7"/>
        <v>722765.32850597845</v>
      </c>
    </row>
    <row r="30" spans="1:7" x14ac:dyDescent="0.35">
      <c r="A30" s="1">
        <f t="shared" si="1"/>
        <v>20</v>
      </c>
      <c r="B30" s="2">
        <f t="shared" si="2"/>
        <v>4517.283303162365</v>
      </c>
      <c r="C30" s="2">
        <f t="shared" si="3"/>
        <v>1524.6656484761888</v>
      </c>
      <c r="D30" s="2">
        <f t="shared" si="7"/>
        <v>721240.66285750223</v>
      </c>
    </row>
    <row r="31" spans="1:7" x14ac:dyDescent="0.35">
      <c r="A31" s="1">
        <f t="shared" si="1"/>
        <v>21</v>
      </c>
      <c r="B31" s="2">
        <f t="shared" si="2"/>
        <v>4507.7541428593886</v>
      </c>
      <c r="C31" s="2">
        <f t="shared" si="3"/>
        <v>1534.1948087791652</v>
      </c>
      <c r="D31" s="2">
        <f t="shared" si="7"/>
        <v>719706.46804872307</v>
      </c>
    </row>
    <row r="32" spans="1:7" x14ac:dyDescent="0.35">
      <c r="A32" s="1">
        <f t="shared" si="1"/>
        <v>22</v>
      </c>
      <c r="B32" s="2">
        <f t="shared" si="2"/>
        <v>4498.165425304519</v>
      </c>
      <c r="C32" s="2">
        <f t="shared" si="3"/>
        <v>1543.7835263340348</v>
      </c>
      <c r="D32" s="2">
        <f t="shared" si="7"/>
        <v>718162.68452238909</v>
      </c>
    </row>
    <row r="33" spans="1:4" x14ac:dyDescent="0.35">
      <c r="A33" s="1">
        <f t="shared" si="1"/>
        <v>23</v>
      </c>
      <c r="B33" s="2">
        <f t="shared" si="2"/>
        <v>4488.5167782649314</v>
      </c>
      <c r="C33" s="2">
        <f t="shared" si="3"/>
        <v>1553.4321733736224</v>
      </c>
      <c r="D33" s="2">
        <f t="shared" si="7"/>
        <v>716609.25234901544</v>
      </c>
    </row>
    <row r="34" spans="1:4" x14ac:dyDescent="0.35">
      <c r="A34" s="1">
        <f t="shared" si="1"/>
        <v>24</v>
      </c>
      <c r="B34" s="2">
        <f t="shared" si="2"/>
        <v>4478.8078271813465</v>
      </c>
      <c r="C34" s="2">
        <f t="shared" si="3"/>
        <v>1563.1411244572073</v>
      </c>
      <c r="D34" s="2">
        <f t="shared" si="7"/>
        <v>715046.1112245582</v>
      </c>
    </row>
    <row r="35" spans="1:4" x14ac:dyDescent="0.35">
      <c r="A35" s="1">
        <f t="shared" si="1"/>
        <v>25</v>
      </c>
      <c r="B35" s="2">
        <f t="shared" si="2"/>
        <v>4469.0381951534882</v>
      </c>
      <c r="C35" s="2">
        <f t="shared" si="3"/>
        <v>1572.9107564850656</v>
      </c>
      <c r="D35" s="2">
        <f t="shared" si="7"/>
        <v>713473.20046807313</v>
      </c>
    </row>
    <row r="36" spans="1:4" x14ac:dyDescent="0.35">
      <c r="A36" s="1">
        <f t="shared" si="1"/>
        <v>26</v>
      </c>
      <c r="B36" s="2">
        <f t="shared" si="2"/>
        <v>4459.2075029254565</v>
      </c>
      <c r="C36" s="2">
        <f t="shared" si="3"/>
        <v>1582.7414487130973</v>
      </c>
      <c r="D36" s="2">
        <f t="shared" si="7"/>
        <v>711890.45901936002</v>
      </c>
    </row>
    <row r="37" spans="1:4" x14ac:dyDescent="0.35">
      <c r="A37" s="1">
        <f t="shared" si="1"/>
        <v>27</v>
      </c>
      <c r="B37" s="2">
        <f t="shared" si="2"/>
        <v>4449.3153688709999</v>
      </c>
      <c r="C37" s="2">
        <f t="shared" si="3"/>
        <v>1592.6335827675539</v>
      </c>
      <c r="D37" s="2">
        <f t="shared" si="7"/>
        <v>710297.82543659245</v>
      </c>
    </row>
    <row r="38" spans="1:4" x14ac:dyDescent="0.35">
      <c r="A38" s="1">
        <f t="shared" si="1"/>
        <v>28</v>
      </c>
      <c r="B38" s="2">
        <f t="shared" si="2"/>
        <v>4439.3614089787025</v>
      </c>
      <c r="C38" s="2">
        <f t="shared" si="3"/>
        <v>1602.5875426598514</v>
      </c>
      <c r="D38" s="2">
        <f t="shared" si="7"/>
        <v>708695.23789393262</v>
      </c>
    </row>
    <row r="39" spans="1:4" x14ac:dyDescent="0.35">
      <c r="A39" s="1">
        <f t="shared" si="1"/>
        <v>29</v>
      </c>
      <c r="B39" s="2">
        <f t="shared" si="2"/>
        <v>4429.345236837079</v>
      </c>
      <c r="C39" s="2">
        <f t="shared" si="3"/>
        <v>1612.6037148014748</v>
      </c>
      <c r="D39" s="2">
        <f t="shared" si="7"/>
        <v>707082.63417913113</v>
      </c>
    </row>
    <row r="40" spans="1:4" x14ac:dyDescent="0.35">
      <c r="A40" s="1">
        <f t="shared" si="1"/>
        <v>30</v>
      </c>
      <c r="B40" s="2">
        <f t="shared" si="2"/>
        <v>4419.2664636195695</v>
      </c>
      <c r="C40" s="2">
        <f t="shared" si="3"/>
        <v>1622.6824880189843</v>
      </c>
      <c r="D40" s="2">
        <f t="shared" si="7"/>
        <v>705459.95169111213</v>
      </c>
    </row>
    <row r="41" spans="1:4" x14ac:dyDescent="0.35">
      <c r="A41" s="1">
        <f t="shared" si="1"/>
        <v>31</v>
      </c>
      <c r="B41" s="2">
        <f t="shared" si="2"/>
        <v>4409.1246980694505</v>
      </c>
      <c r="C41" s="2">
        <f t="shared" si="3"/>
        <v>1632.8242535691033</v>
      </c>
      <c r="D41" s="2">
        <f t="shared" si="7"/>
        <v>703827.12743754301</v>
      </c>
    </row>
    <row r="42" spans="1:4" x14ac:dyDescent="0.35">
      <c r="A42" s="1">
        <f t="shared" si="1"/>
        <v>32</v>
      </c>
      <c r="B42" s="2">
        <f t="shared" si="2"/>
        <v>4398.9195464846434</v>
      </c>
      <c r="C42" s="2">
        <f t="shared" si="3"/>
        <v>1643.0294051539104</v>
      </c>
      <c r="D42" s="2">
        <f t="shared" si="7"/>
        <v>702184.09803238907</v>
      </c>
    </row>
    <row r="43" spans="1:4" x14ac:dyDescent="0.35">
      <c r="A43" s="1">
        <f t="shared" si="1"/>
        <v>33</v>
      </c>
      <c r="B43" s="2">
        <f t="shared" si="2"/>
        <v>4388.6506127024313</v>
      </c>
      <c r="C43" s="2">
        <f t="shared" si="3"/>
        <v>1653.2983389361225</v>
      </c>
      <c r="D43" s="2">
        <f t="shared" si="7"/>
        <v>700530.79969345289</v>
      </c>
    </row>
    <row r="44" spans="1:4" x14ac:dyDescent="0.35">
      <c r="A44" s="1">
        <f t="shared" si="1"/>
        <v>34</v>
      </c>
      <c r="B44" s="2">
        <f t="shared" si="2"/>
        <v>4378.3174980840804</v>
      </c>
      <c r="C44" s="2">
        <f t="shared" si="3"/>
        <v>1663.6314535544734</v>
      </c>
      <c r="D44" s="2">
        <f t="shared" si="7"/>
        <v>698867.1682398984</v>
      </c>
    </row>
    <row r="45" spans="1:4" x14ac:dyDescent="0.35">
      <c r="A45" s="1">
        <f t="shared" si="1"/>
        <v>35</v>
      </c>
      <c r="B45" s="2">
        <f t="shared" si="2"/>
        <v>4367.9198014993644</v>
      </c>
      <c r="C45" s="2">
        <f t="shared" si="3"/>
        <v>1674.0291501391894</v>
      </c>
      <c r="D45" s="2">
        <f t="shared" si="7"/>
        <v>697193.13908975921</v>
      </c>
    </row>
    <row r="46" spans="1:4" x14ac:dyDescent="0.35">
      <c r="A46" s="1">
        <f t="shared" si="1"/>
        <v>36</v>
      </c>
      <c r="B46" s="2">
        <f t="shared" si="2"/>
        <v>4357.457119310995</v>
      </c>
      <c r="C46" s="2">
        <f t="shared" si="3"/>
        <v>1684.4918323275588</v>
      </c>
      <c r="D46" s="2">
        <f t="shared" si="7"/>
        <v>695508.64725743164</v>
      </c>
    </row>
    <row r="47" spans="1:4" x14ac:dyDescent="0.35">
      <c r="A47" s="1">
        <f t="shared" si="1"/>
        <v>37</v>
      </c>
      <c r="B47" s="2">
        <f t="shared" si="2"/>
        <v>4346.9290453589474</v>
      </c>
      <c r="C47" s="2">
        <f t="shared" si="3"/>
        <v>1695.0199062796064</v>
      </c>
      <c r="D47" s="2">
        <f t="shared" si="7"/>
        <v>693813.62735115201</v>
      </c>
    </row>
    <row r="48" spans="1:4" x14ac:dyDescent="0.35">
      <c r="A48" s="1">
        <f t="shared" si="1"/>
        <v>38</v>
      </c>
      <c r="B48" s="2">
        <f t="shared" si="2"/>
        <v>4336.3351709446997</v>
      </c>
      <c r="C48" s="2">
        <f t="shared" si="3"/>
        <v>1705.6137806938541</v>
      </c>
      <c r="D48" s="2">
        <f t="shared" si="7"/>
        <v>692108.01357045816</v>
      </c>
    </row>
    <row r="49" spans="1:4" x14ac:dyDescent="0.35">
      <c r="A49" s="1">
        <f t="shared" si="1"/>
        <v>39</v>
      </c>
      <c r="B49" s="2">
        <f t="shared" si="2"/>
        <v>4325.6750848153633</v>
      </c>
      <c r="C49" s="2">
        <f t="shared" si="3"/>
        <v>1716.2738668231905</v>
      </c>
      <c r="D49" s="2">
        <f t="shared" si="7"/>
        <v>690391.73970363499</v>
      </c>
    </row>
    <row r="50" spans="1:4" x14ac:dyDescent="0.35">
      <c r="A50" s="1">
        <f t="shared" si="1"/>
        <v>40</v>
      </c>
      <c r="B50" s="2">
        <f t="shared" si="2"/>
        <v>4314.9483731477185</v>
      </c>
      <c r="C50" s="2">
        <f t="shared" si="3"/>
        <v>1727.0005784908353</v>
      </c>
      <c r="D50" s="2">
        <f t="shared" si="7"/>
        <v>688664.7391251442</v>
      </c>
    </row>
    <row r="51" spans="1:4" x14ac:dyDescent="0.35">
      <c r="A51" s="1">
        <f t="shared" si="1"/>
        <v>41</v>
      </c>
      <c r="B51" s="2">
        <f t="shared" si="2"/>
        <v>4304.1546195321507</v>
      </c>
      <c r="C51" s="2">
        <f t="shared" si="3"/>
        <v>1737.7943321064031</v>
      </c>
      <c r="D51" s="2">
        <f t="shared" si="7"/>
        <v>686926.94479303784</v>
      </c>
    </row>
    <row r="52" spans="1:4" x14ac:dyDescent="0.35">
      <c r="A52" s="1">
        <f t="shared" si="1"/>
        <v>42</v>
      </c>
      <c r="B52" s="2">
        <f t="shared" si="2"/>
        <v>4293.2934049564865</v>
      </c>
      <c r="C52" s="2">
        <f t="shared" si="3"/>
        <v>1748.6555466820673</v>
      </c>
      <c r="D52" s="2">
        <f t="shared" si="7"/>
        <v>685178.28924635577</v>
      </c>
    </row>
    <row r="53" spans="1:4" x14ac:dyDescent="0.35">
      <c r="A53" s="1">
        <f t="shared" si="1"/>
        <v>43</v>
      </c>
      <c r="B53" s="2">
        <f t="shared" si="2"/>
        <v>4282.3643077897232</v>
      </c>
      <c r="C53" s="2">
        <f t="shared" si="3"/>
        <v>1759.5846438488306</v>
      </c>
      <c r="D53" s="2">
        <f t="shared" si="7"/>
        <v>683418.70460250694</v>
      </c>
    </row>
    <row r="54" spans="1:4" x14ac:dyDescent="0.35">
      <c r="A54" s="1">
        <f t="shared" si="1"/>
        <v>44</v>
      </c>
      <c r="B54" s="2">
        <f t="shared" si="2"/>
        <v>4271.3669037656682</v>
      </c>
      <c r="C54" s="2">
        <f t="shared" si="3"/>
        <v>1770.5820478728856</v>
      </c>
      <c r="D54" s="2">
        <f t="shared" si="7"/>
        <v>681648.122554634</v>
      </c>
    </row>
    <row r="55" spans="1:4" x14ac:dyDescent="0.35">
      <c r="A55" s="1">
        <f t="shared" si="1"/>
        <v>45</v>
      </c>
      <c r="B55" s="2">
        <f t="shared" si="2"/>
        <v>4260.3007659664627</v>
      </c>
      <c r="C55" s="2">
        <f t="shared" si="3"/>
        <v>1781.6481856720911</v>
      </c>
      <c r="D55" s="2">
        <f t="shared" si="7"/>
        <v>679866.47436896188</v>
      </c>
    </row>
    <row r="56" spans="1:4" x14ac:dyDescent="0.35">
      <c r="A56" s="1">
        <f t="shared" si="1"/>
        <v>46</v>
      </c>
      <c r="B56" s="2">
        <f t="shared" si="2"/>
        <v>4249.1654648060112</v>
      </c>
      <c r="C56" s="2">
        <f t="shared" si="3"/>
        <v>1792.7834868325426</v>
      </c>
      <c r="D56" s="2">
        <f t="shared" si="7"/>
        <v>678073.69088212936</v>
      </c>
    </row>
    <row r="57" spans="1:4" x14ac:dyDescent="0.35">
      <c r="A57" s="1">
        <f t="shared" si="1"/>
        <v>47</v>
      </c>
      <c r="B57" s="2">
        <f t="shared" si="2"/>
        <v>4237.9605680133081</v>
      </c>
      <c r="C57" s="2">
        <f t="shared" si="3"/>
        <v>1803.9883836252457</v>
      </c>
      <c r="D57" s="2">
        <f t="shared" si="7"/>
        <v>676269.70249850408</v>
      </c>
    </row>
    <row r="58" spans="1:4" x14ac:dyDescent="0.35">
      <c r="A58" s="1">
        <f t="shared" si="1"/>
        <v>48</v>
      </c>
      <c r="B58" s="2">
        <f t="shared" si="2"/>
        <v>4226.6856406156503</v>
      </c>
      <c r="C58" s="2">
        <f t="shared" si="3"/>
        <v>1815.2633110229035</v>
      </c>
      <c r="D58" s="2">
        <f t="shared" si="7"/>
        <v>674454.43918748118</v>
      </c>
    </row>
    <row r="59" spans="1:4" x14ac:dyDescent="0.35">
      <c r="A59" s="1">
        <f t="shared" si="1"/>
        <v>49</v>
      </c>
      <c r="B59" s="2">
        <f t="shared" si="2"/>
        <v>4215.3402449217574</v>
      </c>
      <c r="C59" s="2">
        <f t="shared" si="3"/>
        <v>1826.6087067167964</v>
      </c>
      <c r="D59" s="2">
        <f t="shared" si="7"/>
        <v>672627.83048076439</v>
      </c>
    </row>
    <row r="60" spans="1:4" x14ac:dyDescent="0.35">
      <c r="A60" s="1">
        <f t="shared" si="1"/>
        <v>50</v>
      </c>
      <c r="B60" s="2">
        <f t="shared" si="2"/>
        <v>4203.9239405047774</v>
      </c>
      <c r="C60" s="2">
        <f t="shared" si="3"/>
        <v>1838.0250111337764</v>
      </c>
      <c r="D60" s="2">
        <f t="shared" si="7"/>
        <v>670789.80546963064</v>
      </c>
    </row>
    <row r="61" spans="1:4" x14ac:dyDescent="0.35">
      <c r="A61" s="1">
        <f t="shared" si="1"/>
        <v>51</v>
      </c>
      <c r="B61" s="2">
        <f t="shared" si="2"/>
        <v>4192.4362841851917</v>
      </c>
      <c r="C61" s="2">
        <f t="shared" si="3"/>
        <v>1849.5126674533622</v>
      </c>
      <c r="D61" s="2">
        <f t="shared" si="7"/>
        <v>668940.29280217725</v>
      </c>
    </row>
    <row r="62" spans="1:4" x14ac:dyDescent="0.35">
      <c r="A62" s="1">
        <f t="shared" si="1"/>
        <v>52</v>
      </c>
      <c r="B62" s="2">
        <f t="shared" si="2"/>
        <v>4180.876830013608</v>
      </c>
      <c r="C62" s="2">
        <f t="shared" si="3"/>
        <v>1861.0721216249458</v>
      </c>
      <c r="D62" s="2">
        <f t="shared" si="7"/>
        <v>667079.2206805523</v>
      </c>
    </row>
    <row r="63" spans="1:4" x14ac:dyDescent="0.35">
      <c r="A63" s="1">
        <f t="shared" si="1"/>
        <v>53</v>
      </c>
      <c r="B63" s="2">
        <f t="shared" si="2"/>
        <v>4169.2451292534515</v>
      </c>
      <c r="C63" s="2">
        <f t="shared" si="3"/>
        <v>1872.7038223851023</v>
      </c>
      <c r="D63" s="2">
        <f t="shared" si="7"/>
        <v>665206.51685816725</v>
      </c>
    </row>
    <row r="64" spans="1:4" x14ac:dyDescent="0.35">
      <c r="A64" s="1">
        <f t="shared" si="1"/>
        <v>54</v>
      </c>
      <c r="B64" s="2">
        <f t="shared" si="2"/>
        <v>4157.5407303635448</v>
      </c>
      <c r="C64" s="2">
        <f t="shared" si="3"/>
        <v>1884.4082212750091</v>
      </c>
      <c r="D64" s="2">
        <f t="shared" si="7"/>
        <v>663322.10863689228</v>
      </c>
    </row>
    <row r="65" spans="1:4" x14ac:dyDescent="0.35">
      <c r="A65" s="1">
        <f t="shared" si="1"/>
        <v>55</v>
      </c>
      <c r="B65" s="2">
        <f t="shared" si="2"/>
        <v>4145.7631789805764</v>
      </c>
      <c r="C65" s="2">
        <f t="shared" si="3"/>
        <v>1896.1857726579774</v>
      </c>
      <c r="D65" s="2">
        <f t="shared" si="7"/>
        <v>661425.92286423431</v>
      </c>
    </row>
    <row r="66" spans="1:4" x14ac:dyDescent="0.35">
      <c r="A66" s="1">
        <f t="shared" si="1"/>
        <v>56</v>
      </c>
      <c r="B66" s="2">
        <f t="shared" si="2"/>
        <v>4133.9120179014644</v>
      </c>
      <c r="C66" s="2">
        <f t="shared" si="3"/>
        <v>1908.0369337370894</v>
      </c>
      <c r="D66" s="2">
        <f t="shared" si="7"/>
        <v>659517.8859304972</v>
      </c>
    </row>
    <row r="67" spans="1:4" x14ac:dyDescent="0.35">
      <c r="A67" s="1">
        <f t="shared" si="1"/>
        <v>57</v>
      </c>
      <c r="B67" s="2">
        <f t="shared" si="2"/>
        <v>4121.9867870656071</v>
      </c>
      <c r="C67" s="2">
        <f t="shared" si="3"/>
        <v>1919.9621645729467</v>
      </c>
      <c r="D67" s="2">
        <f t="shared" si="7"/>
        <v>657597.92376592429</v>
      </c>
    </row>
    <row r="68" spans="1:4" x14ac:dyDescent="0.35">
      <c r="A68" s="1">
        <f t="shared" si="1"/>
        <v>58</v>
      </c>
      <c r="B68" s="2">
        <f t="shared" si="2"/>
        <v>4109.9870235370263</v>
      </c>
      <c r="C68" s="2">
        <f t="shared" si="3"/>
        <v>1931.9619281015275</v>
      </c>
      <c r="D68" s="2">
        <f t="shared" si="7"/>
        <v>655665.9618378228</v>
      </c>
    </row>
    <row r="69" spans="1:4" x14ac:dyDescent="0.35">
      <c r="A69" s="1">
        <f t="shared" si="1"/>
        <v>59</v>
      </c>
      <c r="B69" s="2">
        <f t="shared" si="2"/>
        <v>4097.9122614863927</v>
      </c>
      <c r="C69" s="2">
        <f t="shared" si="3"/>
        <v>1944.0366901521611</v>
      </c>
      <c r="D69" s="2">
        <f t="shared" si="7"/>
        <v>653721.92514767067</v>
      </c>
    </row>
    <row r="70" spans="1:4" x14ac:dyDescent="0.35">
      <c r="A70" s="1">
        <f t="shared" si="1"/>
        <v>60</v>
      </c>
      <c r="B70" s="2">
        <f t="shared" si="2"/>
        <v>4085.7620321729414</v>
      </c>
      <c r="C70" s="2">
        <f t="shared" si="3"/>
        <v>1956.1869194656124</v>
      </c>
      <c r="D70" s="2">
        <f t="shared" si="7"/>
        <v>651765.73822820501</v>
      </c>
    </row>
    <row r="71" spans="1:4" x14ac:dyDescent="0.35">
      <c r="A71" s="1">
        <f t="shared" si="1"/>
        <v>61</v>
      </c>
      <c r="B71" s="2">
        <f t="shared" si="2"/>
        <v>4073.5358639262813</v>
      </c>
      <c r="C71" s="2">
        <f t="shared" si="3"/>
        <v>1968.4130877122725</v>
      </c>
      <c r="D71" s="2">
        <f t="shared" si="7"/>
        <v>649797.32514049276</v>
      </c>
    </row>
    <row r="72" spans="1:4" x14ac:dyDescent="0.35">
      <c r="A72" s="1">
        <f t="shared" si="1"/>
        <v>62</v>
      </c>
      <c r="B72" s="2">
        <f t="shared" si="2"/>
        <v>4061.2332821280797</v>
      </c>
      <c r="C72" s="2">
        <f t="shared" si="3"/>
        <v>1980.7156695104741</v>
      </c>
      <c r="D72" s="2">
        <f t="shared" si="7"/>
        <v>647816.60947098234</v>
      </c>
    </row>
    <row r="73" spans="1:4" x14ac:dyDescent="0.35">
      <c r="A73" s="1">
        <f t="shared" si="1"/>
        <v>63</v>
      </c>
      <c r="B73" s="2">
        <f t="shared" si="2"/>
        <v>4048.8538091936393</v>
      </c>
      <c r="C73" s="2">
        <f t="shared" si="3"/>
        <v>1993.0951424449145</v>
      </c>
      <c r="D73" s="2">
        <f t="shared" si="7"/>
        <v>645823.51432853739</v>
      </c>
    </row>
    <row r="74" spans="1:4" x14ac:dyDescent="0.35">
      <c r="A74" s="1">
        <f t="shared" si="1"/>
        <v>64</v>
      </c>
      <c r="B74" s="2">
        <f t="shared" si="2"/>
        <v>4036.3969645533584</v>
      </c>
      <c r="C74" s="2">
        <f t="shared" si="3"/>
        <v>2005.5519870851954</v>
      </c>
      <c r="D74" s="2">
        <f t="shared" si="7"/>
        <v>643817.96234145225</v>
      </c>
    </row>
    <row r="75" spans="1:4" x14ac:dyDescent="0.35">
      <c r="A75" s="1">
        <f t="shared" si="1"/>
        <v>65</v>
      </c>
      <c r="B75" s="2">
        <f t="shared" si="2"/>
        <v>4023.8622646340768</v>
      </c>
      <c r="C75" s="2">
        <f t="shared" si="3"/>
        <v>2018.086687004477</v>
      </c>
      <c r="D75" s="2">
        <f t="shared" si="7"/>
        <v>641799.87565444782</v>
      </c>
    </row>
    <row r="76" spans="1:4" x14ac:dyDescent="0.35">
      <c r="A76" s="1">
        <f t="shared" si="1"/>
        <v>66</v>
      </c>
      <c r="B76" s="2">
        <f t="shared" si="2"/>
        <v>4011.2492228402989</v>
      </c>
      <c r="C76" s="2">
        <f t="shared" si="3"/>
        <v>2030.6997287982549</v>
      </c>
      <c r="D76" s="2">
        <f t="shared" si="7"/>
        <v>639769.17592564959</v>
      </c>
    </row>
    <row r="77" spans="1:4" x14ac:dyDescent="0.35">
      <c r="A77" s="1">
        <f t="shared" ref="A77:A130" si="8">IF(D76&lt;0.1,0,A76+1)</f>
        <v>67</v>
      </c>
      <c r="B77" s="2">
        <f t="shared" ref="B77:B130" si="9">IF(D76&lt;0.1,0,D76*$B$4/$B$6)</f>
        <v>3998.5573495353096</v>
      </c>
      <c r="C77" s="2">
        <f t="shared" ref="C77:C130" si="10">IF(D76&lt;0.1,0,$B$8-B77)</f>
        <v>2043.3916021032442</v>
      </c>
      <c r="D77" s="2">
        <f t="shared" si="7"/>
        <v>637725.78432354634</v>
      </c>
    </row>
    <row r="78" spans="1:4" x14ac:dyDescent="0.35">
      <c r="A78" s="1">
        <f t="shared" si="8"/>
        <v>68</v>
      </c>
      <c r="B78" s="2">
        <f t="shared" si="9"/>
        <v>3985.7861520221645</v>
      </c>
      <c r="C78" s="2">
        <f t="shared" si="10"/>
        <v>2056.1627996163893</v>
      </c>
      <c r="D78" s="2">
        <f t="shared" si="7"/>
        <v>635669.62152392999</v>
      </c>
    </row>
    <row r="79" spans="1:4" x14ac:dyDescent="0.35">
      <c r="A79" s="1">
        <f t="shared" si="8"/>
        <v>69</v>
      </c>
      <c r="B79" s="2">
        <f t="shared" si="9"/>
        <v>3972.9351345245627</v>
      </c>
      <c r="C79" s="2">
        <f t="shared" si="10"/>
        <v>2069.0138171139911</v>
      </c>
      <c r="D79" s="2">
        <f t="shared" si="7"/>
        <v>633600.60770681605</v>
      </c>
    </row>
    <row r="80" spans="1:4" x14ac:dyDescent="0.35">
      <c r="A80" s="1">
        <f t="shared" si="8"/>
        <v>70</v>
      </c>
      <c r="B80" s="2">
        <f t="shared" si="9"/>
        <v>3960.0037981676001</v>
      </c>
      <c r="C80" s="2">
        <f t="shared" si="10"/>
        <v>2081.9451534709538</v>
      </c>
      <c r="D80" s="2">
        <f t="shared" si="7"/>
        <v>631518.66255334509</v>
      </c>
    </row>
    <row r="81" spans="1:4" x14ac:dyDescent="0.35">
      <c r="A81" s="1">
        <f t="shared" si="8"/>
        <v>71</v>
      </c>
      <c r="B81" s="2">
        <f t="shared" si="9"/>
        <v>3946.9916409584071</v>
      </c>
      <c r="C81" s="2">
        <f t="shared" si="10"/>
        <v>2094.9573106801467</v>
      </c>
      <c r="D81" s="2">
        <f t="shared" si="7"/>
        <v>629423.7052426649</v>
      </c>
    </row>
    <row r="82" spans="1:4" x14ac:dyDescent="0.35">
      <c r="A82" s="1">
        <f t="shared" si="8"/>
        <v>72</v>
      </c>
      <c r="B82" s="2">
        <f t="shared" si="9"/>
        <v>3933.8981577666559</v>
      </c>
      <c r="C82" s="2">
        <f t="shared" si="10"/>
        <v>2108.0507938718979</v>
      </c>
      <c r="D82" s="2">
        <f t="shared" si="7"/>
        <v>627315.65444879304</v>
      </c>
    </row>
    <row r="83" spans="1:4" x14ac:dyDescent="0.35">
      <c r="A83" s="1">
        <f t="shared" si="8"/>
        <v>73</v>
      </c>
      <c r="B83" s="2">
        <f t="shared" si="9"/>
        <v>3920.7228403049562</v>
      </c>
      <c r="C83" s="2">
        <f t="shared" si="10"/>
        <v>2121.2261113335976</v>
      </c>
      <c r="D83" s="2">
        <f t="shared" si="7"/>
        <v>625194.42833745945</v>
      </c>
    </row>
    <row r="84" spans="1:4" x14ac:dyDescent="0.35">
      <c r="A84" s="1">
        <f t="shared" si="8"/>
        <v>74</v>
      </c>
      <c r="B84" s="2">
        <f t="shared" si="9"/>
        <v>3907.4651771091212</v>
      </c>
      <c r="C84" s="2">
        <f t="shared" si="10"/>
        <v>2134.4837745294326</v>
      </c>
      <c r="D84" s="2">
        <f t="shared" si="7"/>
        <v>623059.94456293003</v>
      </c>
    </row>
    <row r="85" spans="1:4" x14ac:dyDescent="0.35">
      <c r="A85" s="1">
        <f t="shared" si="8"/>
        <v>75</v>
      </c>
      <c r="B85" s="2">
        <f t="shared" si="9"/>
        <v>3894.1246535183127</v>
      </c>
      <c r="C85" s="2">
        <f t="shared" si="10"/>
        <v>2147.8242981202411</v>
      </c>
      <c r="D85" s="2">
        <f t="shared" si="7"/>
        <v>620912.12026480981</v>
      </c>
    </row>
    <row r="86" spans="1:4" x14ac:dyDescent="0.35">
      <c r="A86" s="1">
        <f t="shared" si="8"/>
        <v>76</v>
      </c>
      <c r="B86" s="2">
        <f t="shared" si="9"/>
        <v>3880.7007516550616</v>
      </c>
      <c r="C86" s="2">
        <f t="shared" si="10"/>
        <v>2161.2481999834922</v>
      </c>
      <c r="D86" s="2">
        <f t="shared" si="7"/>
        <v>618750.87206482631</v>
      </c>
    </row>
    <row r="87" spans="1:4" x14ac:dyDescent="0.35">
      <c r="A87" s="1">
        <f t="shared" si="8"/>
        <v>77</v>
      </c>
      <c r="B87" s="2">
        <f t="shared" si="9"/>
        <v>3867.1929504051641</v>
      </c>
      <c r="C87" s="2">
        <f t="shared" si="10"/>
        <v>2174.7560012333897</v>
      </c>
      <c r="D87" s="2">
        <f t="shared" si="7"/>
        <v>616576.11606359296</v>
      </c>
    </row>
    <row r="88" spans="1:4" x14ac:dyDescent="0.35">
      <c r="A88" s="1">
        <f t="shared" si="8"/>
        <v>78</v>
      </c>
      <c r="B88" s="2">
        <f t="shared" si="9"/>
        <v>3853.6007253974562</v>
      </c>
      <c r="C88" s="2">
        <f t="shared" si="10"/>
        <v>2188.3482262410976</v>
      </c>
      <c r="D88" s="2">
        <f t="shared" si="7"/>
        <v>614387.76783735189</v>
      </c>
    </row>
    <row r="89" spans="1:4" x14ac:dyDescent="0.35">
      <c r="A89" s="1">
        <f t="shared" si="8"/>
        <v>79</v>
      </c>
      <c r="B89" s="2">
        <f t="shared" si="9"/>
        <v>3839.9235489834496</v>
      </c>
      <c r="C89" s="2">
        <f t="shared" si="10"/>
        <v>2202.0254026551042</v>
      </c>
      <c r="D89" s="2">
        <f t="shared" si="7"/>
        <v>612185.74243469676</v>
      </c>
    </row>
    <row r="90" spans="1:4" x14ac:dyDescent="0.35">
      <c r="A90" s="1">
        <f t="shared" si="8"/>
        <v>80</v>
      </c>
      <c r="B90" s="2">
        <f t="shared" si="9"/>
        <v>3826.160890216855</v>
      </c>
      <c r="C90" s="2">
        <f t="shared" si="10"/>
        <v>2215.7880614216988</v>
      </c>
      <c r="D90" s="2">
        <f t="shared" si="7"/>
        <v>609969.95437327505</v>
      </c>
    </row>
    <row r="91" spans="1:4" x14ac:dyDescent="0.35">
      <c r="A91" s="1">
        <f t="shared" si="8"/>
        <v>81</v>
      </c>
      <c r="B91" s="2">
        <f t="shared" si="9"/>
        <v>3812.3122148329689</v>
      </c>
      <c r="C91" s="2">
        <f t="shared" si="10"/>
        <v>2229.6367368055849</v>
      </c>
      <c r="D91" s="2">
        <f t="shared" ref="D91:D130" si="11">IF(D90&lt;0.1,0,D90-C91)</f>
        <v>607740.3176364695</v>
      </c>
    </row>
    <row r="92" spans="1:4" x14ac:dyDescent="0.35">
      <c r="A92" s="1">
        <f t="shared" si="8"/>
        <v>82</v>
      </c>
      <c r="B92" s="2">
        <f t="shared" si="9"/>
        <v>3798.3769852279343</v>
      </c>
      <c r="C92" s="2">
        <f t="shared" si="10"/>
        <v>2243.5719664106196</v>
      </c>
      <c r="D92" s="2">
        <f t="shared" si="11"/>
        <v>605496.74567005888</v>
      </c>
    </row>
    <row r="93" spans="1:4" x14ac:dyDescent="0.35">
      <c r="A93" s="1">
        <f t="shared" si="8"/>
        <v>83</v>
      </c>
      <c r="B93" s="2">
        <f t="shared" si="9"/>
        <v>3784.354660437868</v>
      </c>
      <c r="C93" s="2">
        <f t="shared" si="10"/>
        <v>2257.5942912006858</v>
      </c>
      <c r="D93" s="2">
        <f t="shared" si="11"/>
        <v>603239.15137885825</v>
      </c>
    </row>
    <row r="94" spans="1:4" x14ac:dyDescent="0.35">
      <c r="A94" s="1">
        <f t="shared" si="8"/>
        <v>84</v>
      </c>
      <c r="B94" s="2">
        <f t="shared" si="9"/>
        <v>3770.2446961178644</v>
      </c>
      <c r="C94" s="2">
        <f t="shared" si="10"/>
        <v>2271.7042555206895</v>
      </c>
      <c r="D94" s="2">
        <f t="shared" si="11"/>
        <v>600967.44712333754</v>
      </c>
    </row>
    <row r="95" spans="1:4" x14ac:dyDescent="0.35">
      <c r="A95" s="1">
        <f t="shared" si="8"/>
        <v>85</v>
      </c>
      <c r="B95" s="2">
        <f t="shared" si="9"/>
        <v>3756.0465445208592</v>
      </c>
      <c r="C95" s="2">
        <f t="shared" si="10"/>
        <v>2285.9024071176946</v>
      </c>
      <c r="D95" s="2">
        <f t="shared" si="11"/>
        <v>598681.54471621988</v>
      </c>
    </row>
    <row r="96" spans="1:4" x14ac:dyDescent="0.35">
      <c r="A96" s="1">
        <f t="shared" si="8"/>
        <v>86</v>
      </c>
      <c r="B96" s="2">
        <f t="shared" si="9"/>
        <v>3741.7596544763742</v>
      </c>
      <c r="C96" s="2">
        <f t="shared" si="10"/>
        <v>2300.1892971621796</v>
      </c>
      <c r="D96" s="2">
        <f t="shared" si="11"/>
        <v>596381.35541905765</v>
      </c>
    </row>
    <row r="97" spans="1:4" x14ac:dyDescent="0.35">
      <c r="A97" s="1">
        <f t="shared" si="8"/>
        <v>87</v>
      </c>
      <c r="B97" s="2">
        <f t="shared" si="9"/>
        <v>3727.3834713691103</v>
      </c>
      <c r="C97" s="2">
        <f t="shared" si="10"/>
        <v>2314.5654802694435</v>
      </c>
      <c r="D97" s="2">
        <f t="shared" si="11"/>
        <v>594066.78993878816</v>
      </c>
    </row>
    <row r="98" spans="1:4" x14ac:dyDescent="0.35">
      <c r="A98" s="1">
        <f t="shared" si="8"/>
        <v>88</v>
      </c>
      <c r="B98" s="2">
        <f t="shared" si="9"/>
        <v>3712.9174371174263</v>
      </c>
      <c r="C98" s="2">
        <f t="shared" si="10"/>
        <v>2329.0315145211275</v>
      </c>
      <c r="D98" s="2">
        <f t="shared" si="11"/>
        <v>591737.75842426706</v>
      </c>
    </row>
    <row r="99" spans="1:4" x14ac:dyDescent="0.35">
      <c r="A99" s="1">
        <f t="shared" si="8"/>
        <v>89</v>
      </c>
      <c r="B99" s="2">
        <f t="shared" si="9"/>
        <v>3698.3609901516688</v>
      </c>
      <c r="C99" s="2">
        <f t="shared" si="10"/>
        <v>2343.587961486885</v>
      </c>
      <c r="D99" s="2">
        <f t="shared" si="11"/>
        <v>589394.17046278017</v>
      </c>
    </row>
    <row r="100" spans="1:4" x14ac:dyDescent="0.35">
      <c r="A100" s="1">
        <f t="shared" si="8"/>
        <v>90</v>
      </c>
      <c r="B100" s="2">
        <f t="shared" si="9"/>
        <v>3683.713565392376</v>
      </c>
      <c r="C100" s="2">
        <f t="shared" si="10"/>
        <v>2358.2353862461778</v>
      </c>
      <c r="D100" s="2">
        <f t="shared" si="11"/>
        <v>587035.93507653393</v>
      </c>
    </row>
    <row r="101" spans="1:4" x14ac:dyDescent="0.35">
      <c r="A101" s="1">
        <f t="shared" si="8"/>
        <v>91</v>
      </c>
      <c r="B101" s="2">
        <f t="shared" si="9"/>
        <v>3668.9745942283371</v>
      </c>
      <c r="C101" s="2">
        <f t="shared" si="10"/>
        <v>2372.9743574102167</v>
      </c>
      <c r="D101" s="2">
        <f t="shared" si="11"/>
        <v>584662.96071912372</v>
      </c>
    </row>
    <row r="102" spans="1:4" x14ac:dyDescent="0.35">
      <c r="A102" s="1">
        <f t="shared" si="8"/>
        <v>92</v>
      </c>
      <c r="B102" s="2">
        <f t="shared" si="9"/>
        <v>3654.1435044945229</v>
      </c>
      <c r="C102" s="2">
        <f t="shared" si="10"/>
        <v>2387.8054471440309</v>
      </c>
      <c r="D102" s="2">
        <f t="shared" si="11"/>
        <v>582275.15527197963</v>
      </c>
    </row>
    <row r="103" spans="1:4" x14ac:dyDescent="0.35">
      <c r="A103" s="1">
        <f t="shared" si="8"/>
        <v>93</v>
      </c>
      <c r="B103" s="2">
        <f t="shared" si="9"/>
        <v>3639.219720449873</v>
      </c>
      <c r="C103" s="2">
        <f t="shared" si="10"/>
        <v>2402.7292311886808</v>
      </c>
      <c r="D103" s="2">
        <f t="shared" si="11"/>
        <v>579872.42604079098</v>
      </c>
    </row>
    <row r="104" spans="1:4" x14ac:dyDescent="0.35">
      <c r="A104" s="1">
        <f t="shared" si="8"/>
        <v>94</v>
      </c>
      <c r="B104" s="2">
        <f t="shared" si="9"/>
        <v>3624.2026627549435</v>
      </c>
      <c r="C104" s="2">
        <f t="shared" si="10"/>
        <v>2417.7462888836103</v>
      </c>
      <c r="D104" s="2">
        <f t="shared" si="11"/>
        <v>577454.67975190736</v>
      </c>
    </row>
    <row r="105" spans="1:4" x14ac:dyDescent="0.35">
      <c r="A105" s="1">
        <f t="shared" si="8"/>
        <v>95</v>
      </c>
      <c r="B105" s="2">
        <f t="shared" si="9"/>
        <v>3609.0917484494207</v>
      </c>
      <c r="C105" s="2">
        <f t="shared" si="10"/>
        <v>2432.8572031891331</v>
      </c>
      <c r="D105" s="2">
        <f t="shared" si="11"/>
        <v>575021.82254871819</v>
      </c>
    </row>
    <row r="106" spans="1:4" x14ac:dyDescent="0.35">
      <c r="A106" s="1">
        <f t="shared" si="8"/>
        <v>96</v>
      </c>
      <c r="B106" s="2">
        <f t="shared" si="9"/>
        <v>3593.8863909294887</v>
      </c>
      <c r="C106" s="2">
        <f t="shared" si="10"/>
        <v>2448.0625607090651</v>
      </c>
      <c r="D106" s="2">
        <f t="shared" si="11"/>
        <v>572573.75998800911</v>
      </c>
    </row>
    <row r="107" spans="1:4" x14ac:dyDescent="0.35">
      <c r="A107" s="1">
        <f t="shared" si="8"/>
        <v>97</v>
      </c>
      <c r="B107" s="2">
        <f t="shared" si="9"/>
        <v>3578.585999925057</v>
      </c>
      <c r="C107" s="2">
        <f t="shared" si="10"/>
        <v>2463.3629517134968</v>
      </c>
      <c r="D107" s="2">
        <f t="shared" si="11"/>
        <v>570110.39703629562</v>
      </c>
    </row>
    <row r="108" spans="1:4" x14ac:dyDescent="0.35">
      <c r="A108" s="1">
        <f t="shared" si="8"/>
        <v>98</v>
      </c>
      <c r="B108" s="2">
        <f t="shared" si="9"/>
        <v>3563.1899814768476</v>
      </c>
      <c r="C108" s="2">
        <f t="shared" si="10"/>
        <v>2478.7589701617062</v>
      </c>
      <c r="D108" s="2">
        <f t="shared" si="11"/>
        <v>567631.63806613395</v>
      </c>
    </row>
    <row r="109" spans="1:4" x14ac:dyDescent="0.35">
      <c r="A109" s="1">
        <f t="shared" si="8"/>
        <v>99</v>
      </c>
      <c r="B109" s="2">
        <f t="shared" si="9"/>
        <v>3547.6977379133368</v>
      </c>
      <c r="C109" s="2">
        <f t="shared" si="10"/>
        <v>2494.251213725217</v>
      </c>
      <c r="D109" s="2">
        <f t="shared" si="11"/>
        <v>565137.38685240876</v>
      </c>
    </row>
    <row r="110" spans="1:4" x14ac:dyDescent="0.35">
      <c r="A110" s="1">
        <f t="shared" si="8"/>
        <v>100</v>
      </c>
      <c r="B110" s="2">
        <f t="shared" si="9"/>
        <v>3532.1086678275547</v>
      </c>
      <c r="C110" s="2">
        <f t="shared" si="10"/>
        <v>2509.8402838109992</v>
      </c>
      <c r="D110" s="2">
        <f t="shared" si="11"/>
        <v>562627.54656859778</v>
      </c>
    </row>
    <row r="111" spans="1:4" x14ac:dyDescent="0.35">
      <c r="A111" s="1">
        <f t="shared" si="8"/>
        <v>101</v>
      </c>
      <c r="B111" s="2">
        <f t="shared" si="9"/>
        <v>3516.4221660537364</v>
      </c>
      <c r="C111" s="2">
        <f t="shared" si="10"/>
        <v>2525.5267855848174</v>
      </c>
      <c r="D111" s="2">
        <f t="shared" si="11"/>
        <v>560102.01978301292</v>
      </c>
    </row>
    <row r="112" spans="1:4" x14ac:dyDescent="0.35">
      <c r="A112" s="1">
        <f t="shared" si="8"/>
        <v>102</v>
      </c>
      <c r="B112" s="2">
        <f t="shared" si="9"/>
        <v>3500.6376236438305</v>
      </c>
      <c r="C112" s="2">
        <f t="shared" si="10"/>
        <v>2541.3113279947233</v>
      </c>
      <c r="D112" s="2">
        <f t="shared" si="11"/>
        <v>557560.70845501823</v>
      </c>
    </row>
    <row r="113" spans="1:4" x14ac:dyDescent="0.35">
      <c r="A113" s="1">
        <f t="shared" si="8"/>
        <v>103</v>
      </c>
      <c r="B113" s="2">
        <f t="shared" si="9"/>
        <v>3484.7544278438636</v>
      </c>
      <c r="C113" s="2">
        <f t="shared" si="10"/>
        <v>2557.1945237946902</v>
      </c>
      <c r="D113" s="2">
        <f t="shared" si="11"/>
        <v>555003.51393122354</v>
      </c>
    </row>
    <row r="114" spans="1:4" x14ac:dyDescent="0.35">
      <c r="A114" s="1">
        <f t="shared" si="8"/>
        <v>104</v>
      </c>
      <c r="B114" s="2">
        <f t="shared" si="9"/>
        <v>3468.7719620701469</v>
      </c>
      <c r="C114" s="2">
        <f t="shared" si="10"/>
        <v>2573.176989568407</v>
      </c>
      <c r="D114" s="2">
        <f t="shared" si="11"/>
        <v>552430.33694165514</v>
      </c>
    </row>
    <row r="115" spans="1:4" x14ac:dyDescent="0.35">
      <c r="A115" s="1">
        <f t="shared" si="8"/>
        <v>105</v>
      </c>
      <c r="B115" s="2">
        <f t="shared" si="9"/>
        <v>3452.6896058853449</v>
      </c>
      <c r="C115" s="2">
        <f t="shared" si="10"/>
        <v>2589.2593457532089</v>
      </c>
      <c r="D115" s="2">
        <f t="shared" si="11"/>
        <v>549841.07759590191</v>
      </c>
    </row>
    <row r="116" spans="1:4" x14ac:dyDescent="0.35">
      <c r="A116" s="1">
        <f t="shared" si="8"/>
        <v>106</v>
      </c>
      <c r="B116" s="2">
        <f t="shared" si="9"/>
        <v>3436.5067349743872</v>
      </c>
      <c r="C116" s="2">
        <f t="shared" si="10"/>
        <v>2605.4422166641666</v>
      </c>
      <c r="D116" s="2">
        <f t="shared" si="11"/>
        <v>547235.6353792377</v>
      </c>
    </row>
    <row r="117" spans="1:4" x14ac:dyDescent="0.35">
      <c r="A117" s="1">
        <f t="shared" si="8"/>
        <v>107</v>
      </c>
      <c r="B117" s="2">
        <f t="shared" si="9"/>
        <v>3420.2227211202353</v>
      </c>
      <c r="C117" s="2">
        <f t="shared" si="10"/>
        <v>2621.7262305183185</v>
      </c>
      <c r="D117" s="2">
        <f t="shared" si="11"/>
        <v>544613.90914871939</v>
      </c>
    </row>
    <row r="118" spans="1:4" x14ac:dyDescent="0.35">
      <c r="A118" s="1">
        <f t="shared" si="8"/>
        <v>108</v>
      </c>
      <c r="B118" s="2">
        <f t="shared" si="9"/>
        <v>3403.8369321794962</v>
      </c>
      <c r="C118" s="2">
        <f t="shared" si="10"/>
        <v>2638.1120194590576</v>
      </c>
      <c r="D118" s="2">
        <f t="shared" si="11"/>
        <v>541975.79712926038</v>
      </c>
    </row>
    <row r="119" spans="1:4" x14ac:dyDescent="0.35">
      <c r="A119" s="1">
        <f t="shared" si="8"/>
        <v>109</v>
      </c>
      <c r="B119" s="2">
        <f t="shared" si="9"/>
        <v>3387.348732057877</v>
      </c>
      <c r="C119" s="2">
        <f t="shared" si="10"/>
        <v>2654.6002195806768</v>
      </c>
      <c r="D119" s="2">
        <f t="shared" si="11"/>
        <v>539321.19690967968</v>
      </c>
    </row>
    <row r="120" spans="1:4" x14ac:dyDescent="0.35">
      <c r="A120" s="1">
        <f t="shared" si="8"/>
        <v>110</v>
      </c>
      <c r="B120" s="2">
        <f t="shared" si="9"/>
        <v>3370.7574806854977</v>
      </c>
      <c r="C120" s="2">
        <f t="shared" si="10"/>
        <v>2671.1914709530561</v>
      </c>
      <c r="D120" s="2">
        <f t="shared" si="11"/>
        <v>536650.00543872663</v>
      </c>
    </row>
    <row r="121" spans="1:4" x14ac:dyDescent="0.35">
      <c r="A121" s="1">
        <f t="shared" si="8"/>
        <v>111</v>
      </c>
      <c r="B121" s="2">
        <f t="shared" si="9"/>
        <v>3354.0625339920412</v>
      </c>
      <c r="C121" s="2">
        <f t="shared" si="10"/>
        <v>2687.8864176465127</v>
      </c>
      <c r="D121" s="2">
        <f t="shared" si="11"/>
        <v>533962.11902108009</v>
      </c>
    </row>
    <row r="122" spans="1:4" x14ac:dyDescent="0.35">
      <c r="A122" s="1">
        <f t="shared" si="8"/>
        <v>112</v>
      </c>
      <c r="B122" s="2">
        <f t="shared" si="9"/>
        <v>3337.2632438817504</v>
      </c>
      <c r="C122" s="2">
        <f t="shared" si="10"/>
        <v>2704.6857077568034</v>
      </c>
      <c r="D122" s="2">
        <f t="shared" si="11"/>
        <v>531257.4333133233</v>
      </c>
    </row>
    <row r="123" spans="1:4" x14ac:dyDescent="0.35">
      <c r="A123" s="1">
        <f t="shared" si="8"/>
        <v>113</v>
      </c>
      <c r="B123" s="2">
        <f t="shared" si="9"/>
        <v>3320.3589582082709</v>
      </c>
      <c r="C123" s="2">
        <f t="shared" si="10"/>
        <v>2721.5899934302829</v>
      </c>
      <c r="D123" s="2">
        <f t="shared" si="11"/>
        <v>528535.843319893</v>
      </c>
    </row>
    <row r="124" spans="1:4" x14ac:dyDescent="0.35">
      <c r="A124" s="1">
        <f t="shared" si="8"/>
        <v>114</v>
      </c>
      <c r="B124" s="2">
        <f t="shared" si="9"/>
        <v>3303.349020749331</v>
      </c>
      <c r="C124" s="2">
        <f t="shared" si="10"/>
        <v>2738.5999308892228</v>
      </c>
      <c r="D124" s="2">
        <f t="shared" si="11"/>
        <v>525797.24338900379</v>
      </c>
    </row>
    <row r="125" spans="1:4" x14ac:dyDescent="0.35">
      <c r="A125" s="1">
        <f t="shared" si="8"/>
        <v>115</v>
      </c>
      <c r="B125" s="2">
        <f t="shared" si="9"/>
        <v>3286.2327711812736</v>
      </c>
      <c r="C125" s="2">
        <f t="shared" si="10"/>
        <v>2755.7161804572802</v>
      </c>
      <c r="D125" s="2">
        <f t="shared" si="11"/>
        <v>523041.52720854653</v>
      </c>
    </row>
    <row r="126" spans="1:4" x14ac:dyDescent="0.35">
      <c r="A126" s="1">
        <f t="shared" si="8"/>
        <v>116</v>
      </c>
      <c r="B126" s="2">
        <f t="shared" si="9"/>
        <v>3269.0095450534154</v>
      </c>
      <c r="C126" s="2">
        <f t="shared" si="10"/>
        <v>2772.9394065851384</v>
      </c>
      <c r="D126" s="2">
        <f t="shared" si="11"/>
        <v>520268.5878019614</v>
      </c>
    </row>
    <row r="127" spans="1:4" x14ac:dyDescent="0.35">
      <c r="A127" s="1">
        <f t="shared" si="8"/>
        <v>117</v>
      </c>
      <c r="B127" s="2">
        <f t="shared" si="9"/>
        <v>3251.6786737622588</v>
      </c>
      <c r="C127" s="2">
        <f t="shared" si="10"/>
        <v>2790.270277876295</v>
      </c>
      <c r="D127" s="2">
        <f t="shared" si="11"/>
        <v>517478.31752408511</v>
      </c>
    </row>
    <row r="128" spans="1:4" x14ac:dyDescent="0.35">
      <c r="A128" s="1">
        <f t="shared" si="8"/>
        <v>118</v>
      </c>
      <c r="B128" s="2">
        <f t="shared" si="9"/>
        <v>3234.2394845255317</v>
      </c>
      <c r="C128" s="2">
        <f t="shared" si="10"/>
        <v>2807.7094671130221</v>
      </c>
      <c r="D128" s="2">
        <f t="shared" si="11"/>
        <v>514670.60805697209</v>
      </c>
    </row>
    <row r="129" spans="1:4" x14ac:dyDescent="0.35">
      <c r="A129" s="1">
        <f t="shared" si="8"/>
        <v>119</v>
      </c>
      <c r="B129" s="2">
        <f t="shared" si="9"/>
        <v>3216.6913003560753</v>
      </c>
      <c r="C129" s="2">
        <f t="shared" si="10"/>
        <v>2825.2576512824785</v>
      </c>
      <c r="D129" s="2">
        <f t="shared" si="11"/>
        <v>511845.35040568962</v>
      </c>
    </row>
    <row r="130" spans="1:4" x14ac:dyDescent="0.35">
      <c r="A130" s="1">
        <f t="shared" si="8"/>
        <v>120</v>
      </c>
      <c r="B130" s="2">
        <f t="shared" si="9"/>
        <v>3199.03344003556</v>
      </c>
      <c r="C130" s="2">
        <f t="shared" si="10"/>
        <v>2842.9155116029938</v>
      </c>
      <c r="D130" s="2">
        <f t="shared" si="11"/>
        <v>509002.43489408662</v>
      </c>
    </row>
  </sheetData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7703E81A8C4F4F84C4D3E91E8B5630" ma:contentTypeVersion="20" ma:contentTypeDescription="Opret et nyt dokument." ma:contentTypeScope="" ma:versionID="22358ece56b26247a36be34b619d3e05">
  <xsd:schema xmlns:xsd="http://www.w3.org/2001/XMLSchema" xmlns:xs="http://www.w3.org/2001/XMLSchema" xmlns:p="http://schemas.microsoft.com/office/2006/metadata/properties" xmlns:ns2="16ac6e9a-87b1-4d42-8e4b-874341318658" xmlns:ns3="94403252-ad3d-48b3-8d14-394b12702aee" targetNamespace="http://schemas.microsoft.com/office/2006/metadata/properties" ma:root="true" ma:fieldsID="3dc62b1a53c011a4034baa3eacfede45" ns2:_="" ns3:_="">
    <xsd:import namespace="16ac6e9a-87b1-4d42-8e4b-874341318658"/>
    <xsd:import namespace="94403252-ad3d-48b3-8d14-394b12702a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c6e9a-87b1-4d42-8e4b-874341318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03252-ad3d-48b3-8d14-394b12702aee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d25629c-bc10-454f-b0c3-96032a508a10}" ma:internalName="TaxCatchAll" ma:showField="CatchAllData" ma:web="94403252-ad3d-48b3-8d14-394b12702a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403252-ad3d-48b3-8d14-394b12702aee" xsi:nil="true"/>
    <lcf76f155ced4ddcb4097134ff3c332f xmlns="16ac6e9a-87b1-4d42-8e4b-874341318658">
      <Terms xmlns="http://schemas.microsoft.com/office/infopath/2007/PartnerControls"/>
    </lcf76f155ced4ddcb4097134ff3c332f>
    <SharedWithUsers xmlns="94403252-ad3d-48b3-8d14-394b12702aee">
      <UserInfo>
        <DisplayName/>
        <AccountId xsi:nil="true"/>
        <AccountType/>
      </UserInfo>
    </SharedWithUsers>
    <MediaLengthInSeconds xmlns="16ac6e9a-87b1-4d42-8e4b-874341318658" xsi:nil="true"/>
  </documentManagement>
</p:properties>
</file>

<file path=customXml/itemProps1.xml><?xml version="1.0" encoding="utf-8"?>
<ds:datastoreItem xmlns:ds="http://schemas.openxmlformats.org/officeDocument/2006/customXml" ds:itemID="{0A2F7003-0513-4BCD-AB6A-71E6E42FE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FA5A88-8DB8-40A4-AEDC-92C7FE576E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ac6e9a-87b1-4d42-8e4b-874341318658"/>
    <ds:schemaRef ds:uri="94403252-ad3d-48b3-8d14-394b12702a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042B-76F2-453A-9DAA-4122908BB7CB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4403252-ad3d-48b3-8d14-394b12702aee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16ac6e9a-87b1-4d42-8e4b-874341318658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Budget</vt:lpstr>
      <vt:lpstr>Andelsboliglån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Lauritsen</dc:creator>
  <cp:keywords/>
  <dc:description/>
  <cp:lastModifiedBy>Søren Møller Jensen (SMJ - Lektor - Cphbusiness)</cp:lastModifiedBy>
  <cp:revision/>
  <dcterms:created xsi:type="dcterms:W3CDTF">2015-02-02T13:11:45Z</dcterms:created>
  <dcterms:modified xsi:type="dcterms:W3CDTF">2024-06-10T08:03:16Z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0x010100E57703E81A8C4F4F84C4D3E91E8B5630</vt:lpwstr>
  </property>
  <property fmtid="{D5CDD505-2E9C-101B-9397-08002B2CF9AE}" pid="3" name="MediaServiceImageTags">
    <vt:lpwstr/>
  </property>
  <property fmtid="{D5CDD505-2E9C-101B-9397-08002B2CF9AE}" pid="4" name="Order">
    <vt:r8>18337900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