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fif.sharepoint.com/sites/CPH-ARKADERNE/Delte dokumenter/Uddannelserne/Finansiel/FIN/2024 forår/Planlægning/Eksamen/Cases til 2024/Nr. 5 - Førstegangsboligkøb. Kommer fra andelsbolig/Beregninger/"/>
    </mc:Choice>
  </mc:AlternateContent>
  <xr:revisionPtr revIDLastSave="90" documentId="8_{1EC90341-11BC-4E46-A929-BCB941DEDF56}" xr6:coauthVersionLast="47" xr6:coauthVersionMax="47" xr10:uidLastSave="{2E931D15-0E2A-44AA-8357-A326E2CC8894}"/>
  <bookViews>
    <workbookView xWindow="-110" yWindow="-110" windowWidth="19420" windowHeight="10420" activeTab="4" xr2:uid="{00000000-000D-0000-FFFF-FFFF00000000}"/>
  </bookViews>
  <sheets>
    <sheet name="Budget" sheetId="3" r:id="rId1"/>
    <sheet name="Andelsboliglån" sheetId="4" r:id="rId2"/>
    <sheet name="Billån" sheetId="5" r:id="rId3"/>
    <sheet name="Skat. Frederik" sheetId="1" r:id="rId4"/>
    <sheet name="Skat. Nina" sheetId="2" r:id="rId5"/>
    <sheet name="Realkredit" sheetId="6" r:id="rId6"/>
    <sheet name="Boliglån" sheetId="7" r:id="rId7"/>
  </sheets>
  <definedNames>
    <definedName name="Gift">'Skat. Frederik'!$G$8</definedName>
    <definedName name="Skatteordning">#REF!</definedName>
    <definedName name="TABLE" localSheetId="3">'Skat. Frederik'!$C$2:$C$2</definedName>
    <definedName name="TABLE_10" localSheetId="3">'Skat. Frederik'!$C$35:$C$35</definedName>
    <definedName name="TABLE_11" localSheetId="3">'Skat. Frederik'!$C$36:$C$36</definedName>
    <definedName name="TABLE_12" localSheetId="3">'Skat. Frederik'!#REF!</definedName>
    <definedName name="TABLE_13" localSheetId="3">'Skat. Frederik'!$C$38:$C$38</definedName>
    <definedName name="TABLE_14" localSheetId="3">'Skat. Frederik'!$C$40:$C$40</definedName>
    <definedName name="TABLE_15" localSheetId="3">'Skat. Frederik'!#REF!</definedName>
    <definedName name="TABLE_16" localSheetId="3">'Skat. Frederik'!$C$41:$C$41</definedName>
    <definedName name="TABLE_17" localSheetId="3">'Skat. Frederik'!$C$42:$C$42</definedName>
    <definedName name="TABLE_18" localSheetId="3">'Skat. Frederik'!$C$43:$C$43</definedName>
    <definedName name="TABLE_19" localSheetId="3">'Skat. Frederik'!$C$44:$C$44</definedName>
    <definedName name="TABLE_2" localSheetId="3">'Skat. Frederik'!$C$8:$C$8</definedName>
    <definedName name="TABLE_20" localSheetId="3">'Skat. Frederik'!$C$47:$C$47</definedName>
    <definedName name="TABLE_21" localSheetId="3">'Skat. Frederik'!$C$48:$C$48</definedName>
    <definedName name="TABLE_22" localSheetId="3">'Skat. Frederik'!$C$49:$C$49</definedName>
    <definedName name="TABLE_23" localSheetId="3">'Skat. Frederik'!$C$50:$C$50</definedName>
    <definedName name="TABLE_24" localSheetId="3">'Skat. Frederik'!$C$51:$C$51</definedName>
    <definedName name="TABLE_25" localSheetId="3">'Skat. Frederik'!$C$52:$C$52</definedName>
    <definedName name="TABLE_26" localSheetId="3">'Skat. Frederik'!$C$53:$C$53</definedName>
    <definedName name="TABLE_27" localSheetId="3">'Skat. Frederik'!$C$54:$C$54</definedName>
    <definedName name="TABLE_28" localSheetId="3">'Skat. Frederik'!$C$57:$C$57</definedName>
    <definedName name="TABLE_29" localSheetId="3">'Skat. Frederik'!$C$58:$C$58</definedName>
    <definedName name="TABLE_3" localSheetId="3">'Skat. Frederik'!$C$9:$C$9</definedName>
    <definedName name="TABLE_30" localSheetId="3">'Skat. Frederik'!$C$60:$C$60</definedName>
    <definedName name="TABLE_31" localSheetId="3">'Skat. Frederik'!$C$61:$C$61</definedName>
    <definedName name="TABLE_32" localSheetId="3">'Skat. Frederik'!$C$62:$C$62</definedName>
    <definedName name="TABLE_33" localSheetId="3">'Skat. Frederik'!$C$63:$C$63</definedName>
    <definedName name="TABLE_34" localSheetId="3">'Skat. Frederik'!$C$67:$C$67</definedName>
    <definedName name="TABLE_35" localSheetId="3">'Skat. Frederik'!$C$68:$C$68</definedName>
    <definedName name="TABLE_36" localSheetId="3">'Skat. Frederik'!$C$69:$C$69</definedName>
    <definedName name="TABLE_37" localSheetId="3">'Skat. Frederik'!$C$70:$C$70</definedName>
    <definedName name="TABLE_38" localSheetId="3">'Skat. Frederik'!$C$73:$C$73</definedName>
    <definedName name="TABLE_39" localSheetId="3">'Skat. Frederik'!$C$74:$C$74</definedName>
    <definedName name="TABLE_4" localSheetId="3">'Skat. Frederik'!$C$11:$C$11</definedName>
    <definedName name="TABLE_40" localSheetId="3">'Skat. Frederik'!$C$76:$C$76</definedName>
    <definedName name="TABLE_41" localSheetId="3">'Skat. Frederik'!$C$77:$C$77</definedName>
    <definedName name="TABLE_42" localSheetId="3">'Skat. Frederik'!$C$81:$C$81</definedName>
    <definedName name="TABLE_43" localSheetId="3">'Skat. Frederik'!#REF!</definedName>
    <definedName name="TABLE_44" localSheetId="3">'Skat. Frederik'!#REF!</definedName>
    <definedName name="TABLE_45" localSheetId="3">'Skat. Frederik'!$C$82:$C$82</definedName>
    <definedName name="TABLE_46" localSheetId="3">'Skat. Frederik'!$C$83:$C$83</definedName>
    <definedName name="TABLE_47" localSheetId="3">'Skat. Frederik'!$C$85:$C$85</definedName>
    <definedName name="TABLE_48" localSheetId="3">'Skat. Frederik'!$C$86:$C$86</definedName>
    <definedName name="TABLE_49" localSheetId="3">'Skat. Frederik'!$C$87:$C$87</definedName>
    <definedName name="TABLE_5" localSheetId="3">'Skat. Frederik'!$C$13:$C$13</definedName>
    <definedName name="TABLE_50" localSheetId="3">'Skat. Frederik'!$C$88:$C$88</definedName>
    <definedName name="TABLE_51" localSheetId="3">'Skat. Frederik'!$C$89:$C$89</definedName>
    <definedName name="TABLE_52" localSheetId="3">'Skat. Frederik'!$C$90:$C$90</definedName>
    <definedName name="TABLE_53" localSheetId="3">'Skat. Frederik'!#REF!</definedName>
    <definedName name="TABLE_54" localSheetId="3">'Skat. Frederik'!#REF!</definedName>
    <definedName name="TABLE_55" localSheetId="3">'Skat. Frederik'!#REF!</definedName>
    <definedName name="TABLE_56" localSheetId="3">'Skat. Frederik'!$C$102:$C$102</definedName>
    <definedName name="TABLE_57" localSheetId="3">'Skat. Frederik'!$C$103:$C$103</definedName>
    <definedName name="TABLE_58" localSheetId="3">'Skat. Frederik'!$C$109:$C$109</definedName>
    <definedName name="TABLE_59" localSheetId="3">'Skat. Frederik'!$C$110:$C$110</definedName>
    <definedName name="TABLE_6" localSheetId="3">'Skat. Frederik'!$C$18:$C$18</definedName>
    <definedName name="TABLE_60" localSheetId="3">'Skat. Frederik'!$C$112:$C$112</definedName>
    <definedName name="TABLE_61" localSheetId="3">'Skat. Frederik'!$C$122:$C$122</definedName>
    <definedName name="TABLE_62" localSheetId="3">'Skat. Frederik'!$C$20:$C$20</definedName>
    <definedName name="TABLE_63" localSheetId="3">'Skat. Frederik'!$C$26:$C$26</definedName>
    <definedName name="TABLE_7" localSheetId="3">'Skat. Frederik'!$C$22:$C$22</definedName>
    <definedName name="TABLE_8" localSheetId="3">'Skat. Frederik'!$C$31:$C$31</definedName>
    <definedName name="TABLE_9" localSheetId="3">'Skat. Frederik'!$C$32:$C$32</definedName>
    <definedName name="_xlnm.Print_Area" localSheetId="3">'Skat. Frederik'!$A$1:$F$147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44" i="1"/>
  <c r="J16" i="4"/>
  <c r="J15" i="4"/>
  <c r="J14" i="4"/>
  <c r="J13" i="4"/>
  <c r="J12" i="4"/>
  <c r="J11" i="4"/>
  <c r="B11" i="4"/>
  <c r="J10" i="4"/>
  <c r="J9" i="4"/>
  <c r="J8" i="4"/>
  <c r="B8" i="4"/>
  <c r="G14" i="4" s="1"/>
  <c r="J7" i="4"/>
  <c r="B7" i="4"/>
  <c r="J6" i="4"/>
  <c r="J5" i="4"/>
  <c r="B3" i="4"/>
  <c r="B13" i="3"/>
  <c r="J16" i="5"/>
  <c r="J15" i="5"/>
  <c r="J14" i="5"/>
  <c r="G14" i="5"/>
  <c r="J13" i="5"/>
  <c r="J12" i="5"/>
  <c r="J11" i="5"/>
  <c r="C11" i="5"/>
  <c r="D11" i="5" s="1"/>
  <c r="B11" i="5"/>
  <c r="J10" i="5"/>
  <c r="J9" i="5"/>
  <c r="J8" i="5"/>
  <c r="B8" i="5"/>
  <c r="H16" i="5" s="1"/>
  <c r="G17" i="5" s="1"/>
  <c r="J7" i="5"/>
  <c r="B7" i="5"/>
  <c r="J6" i="5"/>
  <c r="J5" i="5"/>
  <c r="B3" i="5"/>
  <c r="B2" i="3"/>
  <c r="E27" i="2"/>
  <c r="E32" i="2"/>
  <c r="E32" i="1"/>
  <c r="E27" i="1" s="1"/>
  <c r="D143" i="2"/>
  <c r="E142" i="2"/>
  <c r="E140" i="2"/>
  <c r="D141" i="2" s="1"/>
  <c r="E135" i="2"/>
  <c r="D134" i="2"/>
  <c r="B134" i="2"/>
  <c r="D133" i="2"/>
  <c r="B133" i="2"/>
  <c r="E132" i="2"/>
  <c r="E134" i="2" s="1"/>
  <c r="E130" i="2"/>
  <c r="D129" i="2"/>
  <c r="B129" i="2"/>
  <c r="D128" i="2"/>
  <c r="B128" i="2"/>
  <c r="E127" i="2"/>
  <c r="E129" i="2" s="1"/>
  <c r="B119" i="2"/>
  <c r="F117" i="2"/>
  <c r="F113" i="2"/>
  <c r="B113" i="2"/>
  <c r="F112" i="2"/>
  <c r="E111" i="2"/>
  <c r="F110" i="2"/>
  <c r="D106" i="2"/>
  <c r="B106" i="2"/>
  <c r="D105" i="2"/>
  <c r="B105" i="2"/>
  <c r="F103" i="2"/>
  <c r="F99" i="2"/>
  <c r="F98" i="2"/>
  <c r="B98" i="2"/>
  <c r="F97" i="2"/>
  <c r="F96" i="2"/>
  <c r="E96" i="2"/>
  <c r="F95" i="2"/>
  <c r="E95" i="2"/>
  <c r="F94" i="2"/>
  <c r="E94" i="2"/>
  <c r="E97" i="2" s="1"/>
  <c r="E98" i="2" s="1"/>
  <c r="E99" i="2" s="1"/>
  <c r="E100" i="2" s="1"/>
  <c r="F89" i="2"/>
  <c r="F88" i="2"/>
  <c r="F87" i="2"/>
  <c r="F86" i="2"/>
  <c r="D86" i="2"/>
  <c r="F84" i="2"/>
  <c r="F83" i="2"/>
  <c r="F82" i="2"/>
  <c r="E82" i="2"/>
  <c r="F81" i="2"/>
  <c r="F78" i="2"/>
  <c r="B78" i="2"/>
  <c r="F77" i="2"/>
  <c r="F76" i="2"/>
  <c r="F75" i="2"/>
  <c r="F74" i="2"/>
  <c r="F71" i="2"/>
  <c r="F70" i="2"/>
  <c r="F69" i="2"/>
  <c r="E69" i="2"/>
  <c r="E76" i="2" s="1"/>
  <c r="F68" i="2"/>
  <c r="F66" i="2"/>
  <c r="F63" i="2"/>
  <c r="E63" i="2"/>
  <c r="E103" i="2" s="1"/>
  <c r="E104" i="2" s="1"/>
  <c r="B104" i="2" s="1"/>
  <c r="F56" i="2"/>
  <c r="E56" i="2"/>
  <c r="F55" i="2"/>
  <c r="D51" i="2"/>
  <c r="F47" i="2"/>
  <c r="F45" i="2"/>
  <c r="E45" i="2"/>
  <c r="E47" i="2" s="1"/>
  <c r="E35" i="2"/>
  <c r="F33" i="2"/>
  <c r="F40" i="2" s="1"/>
  <c r="F54" i="2"/>
  <c r="F30" i="2"/>
  <c r="E24" i="2"/>
  <c r="B143" i="2" s="1"/>
  <c r="E143" i="2" s="1"/>
  <c r="E16" i="2"/>
  <c r="B141" i="2" s="1"/>
  <c r="E15" i="2"/>
  <c r="A71" i="2" s="1"/>
  <c r="E14" i="2"/>
  <c r="B84" i="2" s="1"/>
  <c r="G8" i="2"/>
  <c r="B9" i="3" l="1"/>
  <c r="C11" i="4"/>
  <c r="D11" i="4" s="1"/>
  <c r="H16" i="4"/>
  <c r="G17" i="4" s="1"/>
  <c r="B12" i="5"/>
  <c r="A12" i="5"/>
  <c r="E55" i="2"/>
  <c r="E33" i="2"/>
  <c r="E110" i="2"/>
  <c r="E112" i="2" s="1"/>
  <c r="E113" i="2" s="1"/>
  <c r="E114" i="2" s="1"/>
  <c r="E40" i="2"/>
  <c r="E74" i="2" s="1"/>
  <c r="E75" i="2"/>
  <c r="E86" i="2" s="1"/>
  <c r="E117" i="2"/>
  <c r="E118" i="2" s="1"/>
  <c r="E119" i="2" s="1"/>
  <c r="E120" i="2" s="1"/>
  <c r="F57" i="2"/>
  <c r="F58" i="2" s="1"/>
  <c r="E106" i="2"/>
  <c r="E105" i="2"/>
  <c r="E107" i="2" s="1"/>
  <c r="E141" i="2"/>
  <c r="E144" i="2" s="1"/>
  <c r="E87" i="2"/>
  <c r="E81" i="2"/>
  <c r="E83" i="2" s="1"/>
  <c r="E84" i="2" s="1"/>
  <c r="E85" i="2" s="1"/>
  <c r="B71" i="2"/>
  <c r="E128" i="2"/>
  <c r="E131" i="2" s="1"/>
  <c r="E133" i="2"/>
  <c r="E136" i="2" s="1"/>
  <c r="E54" i="2"/>
  <c r="E57" i="2" s="1"/>
  <c r="E58" i="2" s="1"/>
  <c r="E68" i="2" s="1"/>
  <c r="E70" i="2" s="1"/>
  <c r="E71" i="2" s="1"/>
  <c r="E72" i="2" s="1"/>
  <c r="B89" i="2"/>
  <c r="E33" i="1"/>
  <c r="F33" i="1"/>
  <c r="B12" i="4" l="1"/>
  <c r="A12" i="4"/>
  <c r="C12" i="5"/>
  <c r="D12" i="5" s="1"/>
  <c r="E77" i="2"/>
  <c r="E78" i="2" s="1"/>
  <c r="E79" i="2" s="1"/>
  <c r="E137" i="2"/>
  <c r="E146" i="2" s="1"/>
  <c r="E150" i="2" s="1"/>
  <c r="E88" i="2"/>
  <c r="E89" i="2" s="1"/>
  <c r="E90" i="2" s="1"/>
  <c r="E91" i="2" s="1"/>
  <c r="E135" i="1"/>
  <c r="E130" i="1"/>
  <c r="E134" i="1"/>
  <c r="F55" i="1"/>
  <c r="F54" i="1"/>
  <c r="E24" i="1"/>
  <c r="E16" i="1"/>
  <c r="E15" i="1"/>
  <c r="E14" i="1"/>
  <c r="F56" i="1"/>
  <c r="E56" i="1"/>
  <c r="B98" i="1"/>
  <c r="C12" i="4" l="1"/>
  <c r="D12" i="4" s="1"/>
  <c r="C13" i="5"/>
  <c r="D13" i="5" s="1"/>
  <c r="A13" i="5"/>
  <c r="B13" i="5"/>
  <c r="E122" i="2"/>
  <c r="E149" i="2" s="1"/>
  <c r="E151" i="2" s="1"/>
  <c r="F57" i="1"/>
  <c r="B13" i="4" l="1"/>
  <c r="A13" i="4"/>
  <c r="B14" i="5"/>
  <c r="C14" i="5" s="1"/>
  <c r="D14" i="5" s="1"/>
  <c r="A14" i="5"/>
  <c r="G8" i="1"/>
  <c r="B84" i="1"/>
  <c r="B141" i="1"/>
  <c r="B143" i="1"/>
  <c r="F30" i="1"/>
  <c r="F40" i="1"/>
  <c r="E45" i="1"/>
  <c r="F45" i="1"/>
  <c r="F47" i="1" s="1"/>
  <c r="D51" i="1"/>
  <c r="E63" i="1"/>
  <c r="E103" i="1" s="1"/>
  <c r="F63" i="1"/>
  <c r="F66" i="1"/>
  <c r="E69" i="1"/>
  <c r="E76" i="1" s="1"/>
  <c r="B78" i="1"/>
  <c r="E82" i="1"/>
  <c r="E94" i="1"/>
  <c r="E95" i="1"/>
  <c r="B105" i="1"/>
  <c r="B106" i="1"/>
  <c r="E110" i="1"/>
  <c r="B113" i="1"/>
  <c r="B119" i="1"/>
  <c r="E127" i="1"/>
  <c r="E129" i="1" s="1"/>
  <c r="B128" i="1"/>
  <c r="E128" i="1" s="1"/>
  <c r="D128" i="1"/>
  <c r="B129" i="1"/>
  <c r="D129" i="1"/>
  <c r="E132" i="1"/>
  <c r="B133" i="1"/>
  <c r="E133" i="1" s="1"/>
  <c r="D133" i="1"/>
  <c r="B134" i="1"/>
  <c r="D134" i="1"/>
  <c r="E140" i="1"/>
  <c r="D141" i="1" s="1"/>
  <c r="E142" i="1"/>
  <c r="D143" i="1" s="1"/>
  <c r="C13" i="4" l="1"/>
  <c r="D13" i="4" s="1"/>
  <c r="A15" i="5"/>
  <c r="B15" i="5"/>
  <c r="C15" i="5" s="1"/>
  <c r="D15" i="5" s="1"/>
  <c r="E143" i="1"/>
  <c r="E141" i="1"/>
  <c r="F82" i="1"/>
  <c r="F117" i="1"/>
  <c r="D105" i="1"/>
  <c r="F81" i="1"/>
  <c r="D106" i="1"/>
  <c r="F94" i="1"/>
  <c r="F74" i="1"/>
  <c r="F69" i="1"/>
  <c r="F76" i="1" s="1"/>
  <c r="F103" i="1"/>
  <c r="E104" i="1" s="1"/>
  <c r="B104" i="1" s="1"/>
  <c r="F95" i="1"/>
  <c r="D86" i="1"/>
  <c r="F110" i="1"/>
  <c r="F112" i="1" s="1"/>
  <c r="F113" i="1" s="1"/>
  <c r="F58" i="1"/>
  <c r="F68" i="1" s="1"/>
  <c r="B89" i="1"/>
  <c r="B71" i="1"/>
  <c r="A71" i="1"/>
  <c r="A14" i="4" l="1"/>
  <c r="B14" i="4"/>
  <c r="C14" i="4" s="1"/>
  <c r="D14" i="4" s="1"/>
  <c r="A16" i="5"/>
  <c r="B16" i="5"/>
  <c r="C16" i="5" s="1"/>
  <c r="D16" i="5" s="1"/>
  <c r="E131" i="1"/>
  <c r="E136" i="1"/>
  <c r="E144" i="1"/>
  <c r="F83" i="1"/>
  <c r="E105" i="1"/>
  <c r="E106" i="1"/>
  <c r="E96" i="1"/>
  <c r="E97" i="1" s="1"/>
  <c r="E98" i="1" s="1"/>
  <c r="E99" i="1" s="1"/>
  <c r="F70" i="1"/>
  <c r="F71" i="1" s="1"/>
  <c r="A15" i="4" l="1"/>
  <c r="B15" i="4"/>
  <c r="C15" i="4" s="1"/>
  <c r="D15" i="4" s="1"/>
  <c r="B17" i="5"/>
  <c r="C17" i="5" s="1"/>
  <c r="D17" i="5" s="1"/>
  <c r="A17" i="5"/>
  <c r="E47" i="1"/>
  <c r="E137" i="1"/>
  <c r="E146" i="1" s="1"/>
  <c r="E150" i="1" s="1"/>
  <c r="E107" i="1"/>
  <c r="F84" i="1"/>
  <c r="B16" i="4" l="1"/>
  <c r="C16" i="4" s="1"/>
  <c r="D16" i="4" s="1"/>
  <c r="A16" i="4"/>
  <c r="A18" i="5"/>
  <c r="B18" i="5"/>
  <c r="C18" i="5" s="1"/>
  <c r="D18" i="5" s="1"/>
  <c r="E75" i="1"/>
  <c r="F75" i="1"/>
  <c r="F77" i="1" s="1"/>
  <c r="F78" i="1" s="1"/>
  <c r="E117" i="1"/>
  <c r="E118" i="1" s="1"/>
  <c r="E119" i="1" s="1"/>
  <c r="E120" i="1" s="1"/>
  <c r="B17" i="4" l="1"/>
  <c r="C17" i="4" s="1"/>
  <c r="D17" i="4" s="1"/>
  <c r="A17" i="4"/>
  <c r="B19" i="5"/>
  <c r="C19" i="5" s="1"/>
  <c r="D19" i="5" s="1"/>
  <c r="A19" i="5"/>
  <c r="E55" i="1"/>
  <c r="B18" i="4" l="1"/>
  <c r="C18" i="4" s="1"/>
  <c r="D18" i="4" s="1"/>
  <c r="A18" i="4"/>
  <c r="A20" i="5"/>
  <c r="B20" i="5"/>
  <c r="C20" i="5" s="1"/>
  <c r="D20" i="5" s="1"/>
  <c r="E35" i="1"/>
  <c r="E40" i="1" s="1"/>
  <c r="E111" i="1"/>
  <c r="E112" i="1" s="1"/>
  <c r="E113" i="1" s="1"/>
  <c r="E114" i="1" s="1"/>
  <c r="E54" i="1"/>
  <c r="E57" i="1" s="1"/>
  <c r="A19" i="4" l="1"/>
  <c r="B19" i="4"/>
  <c r="C19" i="4" s="1"/>
  <c r="D19" i="4" s="1"/>
  <c r="B21" i="5"/>
  <c r="C21" i="5" s="1"/>
  <c r="D21" i="5" s="1"/>
  <c r="A21" i="5"/>
  <c r="E81" i="1"/>
  <c r="E83" i="1" s="1"/>
  <c r="F96" i="1"/>
  <c r="F97" i="1" s="1"/>
  <c r="F98" i="1" s="1"/>
  <c r="F99" i="1" s="1"/>
  <c r="E100" i="1" s="1"/>
  <c r="E58" i="1"/>
  <c r="E68" i="1" s="1"/>
  <c r="E70" i="1" s="1"/>
  <c r="E71" i="1" s="1"/>
  <c r="E72" i="1" s="1"/>
  <c r="E87" i="1"/>
  <c r="E74" i="1"/>
  <c r="E77" i="1" s="1"/>
  <c r="E78" i="1" s="1"/>
  <c r="E79" i="1" s="1"/>
  <c r="B20" i="4" l="1"/>
  <c r="C20" i="4" s="1"/>
  <c r="D20" i="4" s="1"/>
  <c r="A20" i="4"/>
  <c r="A22" i="5"/>
  <c r="B22" i="5"/>
  <c r="G6" i="5" s="1"/>
  <c r="E84" i="1"/>
  <c r="E85" i="1" s="1"/>
  <c r="F86" i="1"/>
  <c r="F88" i="1" s="1"/>
  <c r="F89" i="1" s="1"/>
  <c r="F87" i="1"/>
  <c r="E86" i="1"/>
  <c r="E88" i="1" s="1"/>
  <c r="E89" i="1" s="1"/>
  <c r="E90" i="1" s="1"/>
  <c r="E91" i="1" s="1"/>
  <c r="E122" i="1" s="1"/>
  <c r="E149" i="1" s="1"/>
  <c r="E151" i="1" s="1"/>
  <c r="B3" i="3" s="1"/>
  <c r="B5" i="3" s="1"/>
  <c r="B23" i="3" s="1"/>
  <c r="A21" i="4" l="1"/>
  <c r="B21" i="4"/>
  <c r="C21" i="4" s="1"/>
  <c r="D21" i="4" s="1"/>
  <c r="C22" i="5"/>
  <c r="D22" i="5" s="1"/>
  <c r="A22" i="4" l="1"/>
  <c r="B22" i="4"/>
  <c r="G6" i="4" s="1"/>
  <c r="B23" i="5"/>
  <c r="C23" i="5"/>
  <c r="D23" i="5" s="1"/>
  <c r="A23" i="5"/>
  <c r="C22" i="4" l="1"/>
  <c r="D22" i="4" s="1"/>
  <c r="A24" i="5"/>
  <c r="B24" i="5"/>
  <c r="C24" i="5" s="1"/>
  <c r="D24" i="5" s="1"/>
  <c r="B23" i="4" l="1"/>
  <c r="A23" i="4"/>
  <c r="B25" i="5"/>
  <c r="C25" i="5" s="1"/>
  <c r="D25" i="5" s="1"/>
  <c r="A25" i="5"/>
  <c r="C23" i="4" l="1"/>
  <c r="D23" i="4" s="1"/>
  <c r="A26" i="5"/>
  <c r="D26" i="5"/>
  <c r="B26" i="5"/>
  <c r="C26" i="5"/>
  <c r="B24" i="4" l="1"/>
  <c r="A24" i="4"/>
  <c r="B27" i="5"/>
  <c r="A27" i="5"/>
  <c r="C24" i="4" l="1"/>
  <c r="D24" i="4" s="1"/>
  <c r="C27" i="5"/>
  <c r="D27" i="5" s="1"/>
  <c r="A25" i="4" l="1"/>
  <c r="B25" i="4"/>
  <c r="A28" i="5"/>
  <c r="B28" i="5"/>
  <c r="C28" i="5" s="1"/>
  <c r="D28" i="5" s="1"/>
  <c r="C25" i="4" l="1"/>
  <c r="D25" i="4" s="1"/>
  <c r="B29" i="5"/>
  <c r="C29" i="5" s="1"/>
  <c r="D29" i="5" s="1"/>
  <c r="A29" i="5"/>
  <c r="B26" i="4" l="1"/>
  <c r="C26" i="4" s="1"/>
  <c r="D26" i="4" s="1"/>
  <c r="A26" i="4"/>
  <c r="A30" i="5"/>
  <c r="B30" i="5"/>
  <c r="C30" i="5" s="1"/>
  <c r="D30" i="5" s="1"/>
  <c r="A27" i="4" l="1"/>
  <c r="B27" i="4"/>
  <c r="C27" i="4" s="1"/>
  <c r="D27" i="4" s="1"/>
  <c r="B31" i="5"/>
  <c r="C31" i="5"/>
  <c r="D31" i="5" s="1"/>
  <c r="A31" i="5"/>
  <c r="B28" i="4" l="1"/>
  <c r="C28" i="4" s="1"/>
  <c r="D28" i="4" s="1"/>
  <c r="A28" i="4"/>
  <c r="A32" i="5"/>
  <c r="B32" i="5"/>
  <c r="C32" i="5" s="1"/>
  <c r="D32" i="5" s="1"/>
  <c r="A29" i="4" l="1"/>
  <c r="B29" i="4"/>
  <c r="C29" i="4" s="1"/>
  <c r="D29" i="4" s="1"/>
  <c r="B33" i="5"/>
  <c r="C33" i="5" s="1"/>
  <c r="D33" i="5" s="1"/>
  <c r="A33" i="5"/>
  <c r="B30" i="4" l="1"/>
  <c r="C30" i="4" s="1"/>
  <c r="D30" i="4" s="1"/>
  <c r="A30" i="4"/>
  <c r="A34" i="5"/>
  <c r="B34" i="5"/>
  <c r="G7" i="5" s="1"/>
  <c r="A31" i="4" l="1"/>
  <c r="B31" i="4"/>
  <c r="C31" i="4" s="1"/>
  <c r="D31" i="4" s="1"/>
  <c r="C34" i="5"/>
  <c r="D34" i="5" s="1"/>
  <c r="B32" i="4" l="1"/>
  <c r="C32" i="4" s="1"/>
  <c r="D32" i="4" s="1"/>
  <c r="A32" i="4"/>
  <c r="B35" i="5"/>
  <c r="A35" i="5"/>
  <c r="C35" i="5"/>
  <c r="D35" i="5" s="1"/>
  <c r="A33" i="4" l="1"/>
  <c r="B33" i="4"/>
  <c r="C33" i="4" s="1"/>
  <c r="D33" i="4" s="1"/>
  <c r="A36" i="5"/>
  <c r="B36" i="5"/>
  <c r="B34" i="4" l="1"/>
  <c r="G7" i="4" s="1"/>
  <c r="A34" i="4"/>
  <c r="C36" i="5"/>
  <c r="D36" i="5" s="1"/>
  <c r="C34" i="4" l="1"/>
  <c r="D34" i="4" s="1"/>
  <c r="B37" i="5"/>
  <c r="A37" i="5"/>
  <c r="C37" i="5"/>
  <c r="D37" i="5" s="1"/>
  <c r="B35" i="4" l="1"/>
  <c r="A35" i="4"/>
  <c r="A38" i="5"/>
  <c r="B38" i="5"/>
  <c r="C38" i="5" s="1"/>
  <c r="D38" i="5" s="1"/>
  <c r="C35" i="4" l="1"/>
  <c r="D35" i="4" s="1"/>
  <c r="B39" i="5"/>
  <c r="C39" i="5" s="1"/>
  <c r="D39" i="5" s="1"/>
  <c r="A39" i="5"/>
  <c r="B36" i="4" l="1"/>
  <c r="A36" i="4"/>
  <c r="A40" i="5"/>
  <c r="B40" i="5"/>
  <c r="D40" i="5"/>
  <c r="C40" i="5"/>
  <c r="C36" i="4" l="1"/>
  <c r="D36" i="4" s="1"/>
  <c r="B41" i="5"/>
  <c r="C41" i="5" s="1"/>
  <c r="D41" i="5" s="1"/>
  <c r="A41" i="5"/>
  <c r="A37" i="4" l="1"/>
  <c r="B37" i="4"/>
  <c r="C37" i="4" s="1"/>
  <c r="D37" i="4" s="1"/>
  <c r="A42" i="5"/>
  <c r="B42" i="5"/>
  <c r="C42" i="5" s="1"/>
  <c r="D42" i="5" s="1"/>
  <c r="B38" i="4" l="1"/>
  <c r="C38" i="4" s="1"/>
  <c r="D38" i="4" s="1"/>
  <c r="A38" i="4"/>
  <c r="B43" i="5"/>
  <c r="C43" i="5" s="1"/>
  <c r="D43" i="5" s="1"/>
  <c r="A43" i="5"/>
  <c r="A39" i="4" l="1"/>
  <c r="B39" i="4"/>
  <c r="C39" i="4" s="1"/>
  <c r="D39" i="4" s="1"/>
  <c r="A44" i="5"/>
  <c r="B44" i="5"/>
  <c r="C44" i="5" s="1"/>
  <c r="D44" i="5" s="1"/>
  <c r="B40" i="4" l="1"/>
  <c r="C40" i="4" s="1"/>
  <c r="D40" i="4" s="1"/>
  <c r="A40" i="4"/>
  <c r="B45" i="5"/>
  <c r="C45" i="5" s="1"/>
  <c r="D45" i="5" s="1"/>
  <c r="A45" i="5"/>
  <c r="A41" i="4" l="1"/>
  <c r="B41" i="4"/>
  <c r="C41" i="4" s="1"/>
  <c r="D41" i="4" s="1"/>
  <c r="A46" i="5"/>
  <c r="B46" i="5"/>
  <c r="G8" i="5" s="1"/>
  <c r="B42" i="4" l="1"/>
  <c r="C42" i="4" s="1"/>
  <c r="D42" i="4" s="1"/>
  <c r="A42" i="4"/>
  <c r="C46" i="5"/>
  <c r="D46" i="5" s="1"/>
  <c r="B43" i="4" l="1"/>
  <c r="C43" i="4" s="1"/>
  <c r="D43" i="4" s="1"/>
  <c r="A43" i="4"/>
  <c r="B47" i="5"/>
  <c r="A47" i="5"/>
  <c r="C47" i="5"/>
  <c r="D47" i="5" s="1"/>
  <c r="B44" i="4" l="1"/>
  <c r="C44" i="4" s="1"/>
  <c r="D44" i="4" s="1"/>
  <c r="A44" i="4"/>
  <c r="A48" i="5"/>
  <c r="B48" i="5"/>
  <c r="C48" i="5"/>
  <c r="D48" i="5" s="1"/>
  <c r="A45" i="4" l="1"/>
  <c r="B45" i="4"/>
  <c r="C45" i="4" s="1"/>
  <c r="D45" i="4" s="1"/>
  <c r="B49" i="5"/>
  <c r="C49" i="5" s="1"/>
  <c r="D49" i="5" s="1"/>
  <c r="A49" i="5"/>
  <c r="B46" i="4" l="1"/>
  <c r="G8" i="4" s="1"/>
  <c r="A46" i="4"/>
  <c r="A50" i="5"/>
  <c r="B50" i="5"/>
  <c r="C50" i="5"/>
  <c r="D50" i="5" s="1"/>
  <c r="C46" i="4" l="1"/>
  <c r="D46" i="4" s="1"/>
  <c r="B51" i="5"/>
  <c r="C51" i="5"/>
  <c r="D51" i="5" s="1"/>
  <c r="A51" i="5"/>
  <c r="A47" i="4" l="1"/>
  <c r="B47" i="4"/>
  <c r="C47" i="4" s="1"/>
  <c r="D47" i="4" s="1"/>
  <c r="A52" i="5"/>
  <c r="B52" i="5"/>
  <c r="C52" i="5" s="1"/>
  <c r="D52" i="5" s="1"/>
  <c r="B48" i="4" l="1"/>
  <c r="C48" i="4" s="1"/>
  <c r="D48" i="4" s="1"/>
  <c r="A48" i="4"/>
  <c r="B53" i="5"/>
  <c r="C53" i="5"/>
  <c r="D53" i="5" s="1"/>
  <c r="A53" i="5"/>
  <c r="A49" i="4" l="1"/>
  <c r="B49" i="4"/>
  <c r="C49" i="4" s="1"/>
  <c r="D49" i="4" s="1"/>
  <c r="A54" i="5"/>
  <c r="B54" i="5"/>
  <c r="C54" i="5" s="1"/>
  <c r="D54" i="5" s="1"/>
  <c r="B50" i="4" l="1"/>
  <c r="C50" i="4" s="1"/>
  <c r="D50" i="4" s="1"/>
  <c r="A50" i="4"/>
  <c r="B55" i="5"/>
  <c r="C55" i="5"/>
  <c r="D55" i="5" s="1"/>
  <c r="A55" i="5"/>
  <c r="A51" i="4" l="1"/>
  <c r="B51" i="4"/>
  <c r="A56" i="5"/>
  <c r="B56" i="5"/>
  <c r="C56" i="5" s="1"/>
  <c r="D56" i="5" s="1"/>
  <c r="C51" i="4" l="1"/>
  <c r="D51" i="4" s="1"/>
  <c r="B57" i="5"/>
  <c r="A57" i="5"/>
  <c r="C57" i="5"/>
  <c r="D57" i="5" s="1"/>
  <c r="B52" i="4" l="1"/>
  <c r="C52" i="4" s="1"/>
  <c r="D52" i="4" s="1"/>
  <c r="A52" i="4"/>
  <c r="A58" i="5"/>
  <c r="B58" i="5"/>
  <c r="G9" i="5" s="1"/>
  <c r="B53" i="4" l="1"/>
  <c r="C53" i="4" s="1"/>
  <c r="D53" i="4" s="1"/>
  <c r="A53" i="4"/>
  <c r="C58" i="5"/>
  <c r="D58" i="5" s="1"/>
  <c r="B54" i="4" l="1"/>
  <c r="C54" i="4" s="1"/>
  <c r="D54" i="4" s="1"/>
  <c r="A54" i="4"/>
  <c r="B59" i="5"/>
  <c r="C59" i="5"/>
  <c r="D59" i="5" s="1"/>
  <c r="A59" i="5"/>
  <c r="A55" i="4" l="1"/>
  <c r="B55" i="4"/>
  <c r="C55" i="4" s="1"/>
  <c r="D55" i="4" s="1"/>
  <c r="A60" i="5"/>
  <c r="B60" i="5"/>
  <c r="C60" i="5" s="1"/>
  <c r="D60" i="5" s="1"/>
  <c r="B56" i="4" l="1"/>
  <c r="C56" i="4" s="1"/>
  <c r="D56" i="4" s="1"/>
  <c r="A56" i="4"/>
  <c r="B61" i="5"/>
  <c r="C61" i="5" s="1"/>
  <c r="D61" i="5" s="1"/>
  <c r="A61" i="5"/>
  <c r="A57" i="4" l="1"/>
  <c r="B57" i="4"/>
  <c r="C57" i="4" s="1"/>
  <c r="D57" i="4" s="1"/>
  <c r="A62" i="5"/>
  <c r="B62" i="5"/>
  <c r="B58" i="4" l="1"/>
  <c r="G9" i="4" s="1"/>
  <c r="A58" i="4"/>
  <c r="C62" i="5"/>
  <c r="D62" i="5" s="1"/>
  <c r="C58" i="4" l="1"/>
  <c r="D58" i="4" s="1"/>
  <c r="B63" i="5"/>
  <c r="C63" i="5" s="1"/>
  <c r="D63" i="5" s="1"/>
  <c r="A63" i="5"/>
  <c r="A59" i="4" l="1"/>
  <c r="B59" i="4"/>
  <c r="A64" i="5"/>
  <c r="B64" i="5"/>
  <c r="C64" i="5" s="1"/>
  <c r="D64" i="5" s="1"/>
  <c r="C59" i="4" l="1"/>
  <c r="D59" i="4" s="1"/>
  <c r="B65" i="5"/>
  <c r="A65" i="5"/>
  <c r="C65" i="5"/>
  <c r="D65" i="5" s="1"/>
  <c r="B60" i="4" l="1"/>
  <c r="A60" i="4"/>
  <c r="C66" i="5"/>
  <c r="D66" i="5" s="1"/>
  <c r="A66" i="5"/>
  <c r="B66" i="5"/>
  <c r="C60" i="4" l="1"/>
  <c r="D60" i="4" s="1"/>
  <c r="B67" i="5"/>
  <c r="C67" i="5"/>
  <c r="D67" i="5" s="1"/>
  <c r="A67" i="5"/>
  <c r="A61" i="4" l="1"/>
  <c r="B61" i="4"/>
  <c r="A68" i="5"/>
  <c r="B68" i="5"/>
  <c r="C68" i="5" s="1"/>
  <c r="D68" i="5" s="1"/>
  <c r="C61" i="4" l="1"/>
  <c r="D61" i="4" s="1"/>
  <c r="B69" i="5"/>
  <c r="C69" i="5"/>
  <c r="D69" i="5" s="1"/>
  <c r="A69" i="5"/>
  <c r="B62" i="4" l="1"/>
  <c r="C62" i="4" s="1"/>
  <c r="D62" i="4" s="1"/>
  <c r="A62" i="4"/>
  <c r="A70" i="5"/>
  <c r="B70" i="5"/>
  <c r="G10" i="5" s="1"/>
  <c r="A63" i="4" l="1"/>
  <c r="B63" i="4"/>
  <c r="C63" i="4" s="1"/>
  <c r="D63" i="4" s="1"/>
  <c r="C70" i="5"/>
  <c r="D70" i="5" s="1"/>
  <c r="B64" i="4" l="1"/>
  <c r="C64" i="4" s="1"/>
  <c r="D64" i="4" s="1"/>
  <c r="A64" i="4"/>
  <c r="B71" i="5"/>
  <c r="A71" i="5"/>
  <c r="C71" i="5"/>
  <c r="D71" i="5" s="1"/>
  <c r="B65" i="4" l="1"/>
  <c r="C65" i="4" s="1"/>
  <c r="D65" i="4" s="1"/>
  <c r="A65" i="4"/>
  <c r="A72" i="5"/>
  <c r="B72" i="5"/>
  <c r="B66" i="4" l="1"/>
  <c r="C66" i="4" s="1"/>
  <c r="D66" i="4" s="1"/>
  <c r="A66" i="4"/>
  <c r="C72" i="5"/>
  <c r="D72" i="5" s="1"/>
  <c r="A67" i="4" l="1"/>
  <c r="B67" i="4"/>
  <c r="C67" i="4" s="1"/>
  <c r="D67" i="4" s="1"/>
  <c r="B73" i="5"/>
  <c r="A73" i="5"/>
  <c r="C73" i="5"/>
  <c r="D73" i="5" s="1"/>
  <c r="B68" i="4" l="1"/>
  <c r="C68" i="4" s="1"/>
  <c r="D68" i="4" s="1"/>
  <c r="A68" i="4"/>
  <c r="A74" i="5"/>
  <c r="B74" i="5"/>
  <c r="C74" i="5" s="1"/>
  <c r="D74" i="5" s="1"/>
  <c r="A69" i="4" l="1"/>
  <c r="B69" i="4"/>
  <c r="C69" i="4" s="1"/>
  <c r="D69" i="4" s="1"/>
  <c r="B75" i="5"/>
  <c r="C75" i="5"/>
  <c r="D75" i="5" s="1"/>
  <c r="A75" i="5"/>
  <c r="B70" i="4" l="1"/>
  <c r="G10" i="4" s="1"/>
  <c r="A70" i="4"/>
  <c r="A76" i="5"/>
  <c r="B76" i="5"/>
  <c r="C76" i="5" s="1"/>
  <c r="D76" i="5" s="1"/>
  <c r="C70" i="4" l="1"/>
  <c r="D70" i="4" s="1"/>
  <c r="B77" i="5"/>
  <c r="A77" i="5"/>
  <c r="C77" i="5"/>
  <c r="D77" i="5" s="1"/>
  <c r="A71" i="4" l="1"/>
  <c r="B71" i="4"/>
  <c r="C71" i="4" s="1"/>
  <c r="D71" i="4" s="1"/>
  <c r="A78" i="5"/>
  <c r="B78" i="5"/>
  <c r="C78" i="5" s="1"/>
  <c r="D78" i="5" s="1"/>
  <c r="B72" i="4" l="1"/>
  <c r="A72" i="4"/>
  <c r="B79" i="5"/>
  <c r="C79" i="5"/>
  <c r="D79" i="5" s="1"/>
  <c r="A79" i="5"/>
  <c r="C72" i="4" l="1"/>
  <c r="D72" i="4" s="1"/>
  <c r="A80" i="5"/>
  <c r="B80" i="5"/>
  <c r="C80" i="5" s="1"/>
  <c r="D80" i="5" s="1"/>
  <c r="B73" i="4" l="1"/>
  <c r="C73" i="4" s="1"/>
  <c r="D73" i="4" s="1"/>
  <c r="A73" i="4"/>
  <c r="B81" i="5"/>
  <c r="A81" i="5"/>
  <c r="C81" i="5"/>
  <c r="D81" i="5" s="1"/>
  <c r="B74" i="4" l="1"/>
  <c r="C74" i="4" s="1"/>
  <c r="D74" i="4" s="1"/>
  <c r="A74" i="4"/>
  <c r="A82" i="5"/>
  <c r="B82" i="5"/>
  <c r="G11" i="5" s="1"/>
  <c r="A75" i="4" l="1"/>
  <c r="B75" i="4"/>
  <c r="C75" i="4" s="1"/>
  <c r="D75" i="4" s="1"/>
  <c r="C82" i="5"/>
  <c r="D82" i="5" s="1"/>
  <c r="B76" i="4" l="1"/>
  <c r="C76" i="4" s="1"/>
  <c r="D76" i="4" s="1"/>
  <c r="A76" i="4"/>
  <c r="B83" i="5"/>
  <c r="C83" i="5"/>
  <c r="D83" i="5" s="1"/>
  <c r="A83" i="5"/>
  <c r="A77" i="4" l="1"/>
  <c r="B77" i="4"/>
  <c r="C77" i="4" s="1"/>
  <c r="D77" i="4" s="1"/>
  <c r="A84" i="5"/>
  <c r="B84" i="5"/>
  <c r="B78" i="4" l="1"/>
  <c r="C78" i="4" s="1"/>
  <c r="D78" i="4" s="1"/>
  <c r="A78" i="4"/>
  <c r="C84" i="5"/>
  <c r="D84" i="5" s="1"/>
  <c r="A79" i="4" l="1"/>
  <c r="B79" i="4"/>
  <c r="C79" i="4" s="1"/>
  <c r="D79" i="4" s="1"/>
  <c r="B85" i="5"/>
  <c r="A85" i="5"/>
  <c r="B80" i="4" l="1"/>
  <c r="C80" i="4" s="1"/>
  <c r="D80" i="4" s="1"/>
  <c r="A80" i="4"/>
  <c r="C85" i="5"/>
  <c r="D85" i="5" s="1"/>
  <c r="A81" i="4" l="1"/>
  <c r="B81" i="4"/>
  <c r="C81" i="4" s="1"/>
  <c r="D81" i="4" s="1"/>
  <c r="A86" i="5"/>
  <c r="B86" i="5"/>
  <c r="C86" i="5" s="1"/>
  <c r="D86" i="5" s="1"/>
  <c r="B82" i="4" l="1"/>
  <c r="G11" i="4" s="1"/>
  <c r="A82" i="4"/>
  <c r="B87" i="5"/>
  <c r="C87" i="5" s="1"/>
  <c r="D87" i="5" s="1"/>
  <c r="A87" i="5"/>
  <c r="C82" i="4" l="1"/>
  <c r="D82" i="4" s="1"/>
  <c r="A88" i="5"/>
  <c r="B88" i="5"/>
  <c r="C88" i="5" s="1"/>
  <c r="D88" i="5" s="1"/>
  <c r="B83" i="4" l="1"/>
  <c r="C83" i="4" s="1"/>
  <c r="D83" i="4" s="1"/>
  <c r="A83" i="4"/>
  <c r="B89" i="5"/>
  <c r="C89" i="5" s="1"/>
  <c r="D89" i="5" s="1"/>
  <c r="A89" i="5"/>
  <c r="B84" i="4" l="1"/>
  <c r="C84" i="4" s="1"/>
  <c r="D84" i="4" s="1"/>
  <c r="A84" i="4"/>
  <c r="A90" i="5"/>
  <c r="B90" i="5"/>
  <c r="C90" i="5" s="1"/>
  <c r="D90" i="5" s="1"/>
  <c r="A85" i="4" l="1"/>
  <c r="B85" i="4"/>
  <c r="C85" i="4" s="1"/>
  <c r="D85" i="4" s="1"/>
  <c r="B91" i="5"/>
  <c r="C91" i="5" s="1"/>
  <c r="D91" i="5" s="1"/>
  <c r="A91" i="5"/>
  <c r="B86" i="4" l="1"/>
  <c r="C86" i="4" s="1"/>
  <c r="D86" i="4" s="1"/>
  <c r="A86" i="4"/>
  <c r="A92" i="5"/>
  <c r="B92" i="5"/>
  <c r="C92" i="5" s="1"/>
  <c r="D92" i="5" s="1"/>
  <c r="A87" i="4" l="1"/>
  <c r="B87" i="4"/>
  <c r="B93" i="5"/>
  <c r="C93" i="5" s="1"/>
  <c r="D93" i="5" s="1"/>
  <c r="A93" i="5"/>
  <c r="C87" i="4" l="1"/>
  <c r="D87" i="4" s="1"/>
  <c r="A94" i="5"/>
  <c r="B94" i="5"/>
  <c r="G12" i="5" s="1"/>
  <c r="B88" i="4" l="1"/>
  <c r="C88" i="4" s="1"/>
  <c r="D88" i="4" s="1"/>
  <c r="A88" i="4"/>
  <c r="C94" i="5"/>
  <c r="D94" i="5" s="1"/>
  <c r="A89" i="4" l="1"/>
  <c r="B89" i="4"/>
  <c r="C89" i="4" s="1"/>
  <c r="D89" i="4" s="1"/>
  <c r="B95" i="5"/>
  <c r="C95" i="5" s="1"/>
  <c r="D95" i="5" s="1"/>
  <c r="A95" i="5"/>
  <c r="B90" i="4" l="1"/>
  <c r="C90" i="4" s="1"/>
  <c r="D90" i="4" s="1"/>
  <c r="A90" i="4"/>
  <c r="A96" i="5"/>
  <c r="B96" i="5"/>
  <c r="C96" i="5" s="1"/>
  <c r="D96" i="5" s="1"/>
  <c r="A91" i="4" l="1"/>
  <c r="B91" i="4"/>
  <c r="C91" i="4" s="1"/>
  <c r="D91" i="4" s="1"/>
  <c r="B97" i="5"/>
  <c r="C97" i="5" s="1"/>
  <c r="D97" i="5" s="1"/>
  <c r="A97" i="5"/>
  <c r="B92" i="4" l="1"/>
  <c r="C92" i="4" s="1"/>
  <c r="D92" i="4" s="1"/>
  <c r="A92" i="4"/>
  <c r="A98" i="5"/>
  <c r="B98" i="5"/>
  <c r="C98" i="5" s="1"/>
  <c r="D98" i="5" s="1"/>
  <c r="B93" i="4" l="1"/>
  <c r="C93" i="4" s="1"/>
  <c r="D93" i="4" s="1"/>
  <c r="A93" i="4"/>
  <c r="B99" i="5"/>
  <c r="C99" i="5" s="1"/>
  <c r="D99" i="5" s="1"/>
  <c r="A99" i="5"/>
  <c r="B94" i="4" l="1"/>
  <c r="G12" i="4" s="1"/>
  <c r="A94" i="4"/>
  <c r="A100" i="5"/>
  <c r="B100" i="5"/>
  <c r="C100" i="5" s="1"/>
  <c r="D100" i="5" s="1"/>
  <c r="C94" i="4" l="1"/>
  <c r="D94" i="4" s="1"/>
  <c r="B101" i="5"/>
  <c r="C101" i="5" s="1"/>
  <c r="D101" i="5" s="1"/>
  <c r="A101" i="5"/>
  <c r="A95" i="4" l="1"/>
  <c r="B95" i="4"/>
  <c r="C95" i="4" s="1"/>
  <c r="D95" i="4" s="1"/>
  <c r="A102" i="5"/>
  <c r="B102" i="5"/>
  <c r="C102" i="5" s="1"/>
  <c r="D102" i="5" s="1"/>
  <c r="B96" i="4" l="1"/>
  <c r="C96" i="4" s="1"/>
  <c r="D96" i="4" s="1"/>
  <c r="A96" i="4"/>
  <c r="B103" i="5"/>
  <c r="C103" i="5" s="1"/>
  <c r="D103" i="5" s="1"/>
  <c r="A103" i="5"/>
  <c r="A97" i="4" l="1"/>
  <c r="B97" i="4"/>
  <c r="C97" i="4" s="1"/>
  <c r="D97" i="4" s="1"/>
  <c r="A104" i="5"/>
  <c r="B104" i="5"/>
  <c r="C104" i="5" s="1"/>
  <c r="D104" i="5" s="1"/>
  <c r="B98" i="4" l="1"/>
  <c r="C98" i="4" s="1"/>
  <c r="D98" i="4" s="1"/>
  <c r="A98" i="4"/>
  <c r="B105" i="5"/>
  <c r="C105" i="5" s="1"/>
  <c r="D105" i="5" s="1"/>
  <c r="A105" i="5"/>
  <c r="A99" i="4" l="1"/>
  <c r="B99" i="4"/>
  <c r="C99" i="4" s="1"/>
  <c r="D99" i="4" s="1"/>
  <c r="A106" i="5"/>
  <c r="B106" i="5"/>
  <c r="C106" i="5" s="1"/>
  <c r="D106" i="5" s="1"/>
  <c r="B100" i="4" l="1"/>
  <c r="C100" i="4" s="1"/>
  <c r="D100" i="4" s="1"/>
  <c r="A100" i="4"/>
  <c r="C107" i="5"/>
  <c r="D107" i="5"/>
  <c r="B107" i="5"/>
  <c r="A107" i="5"/>
  <c r="A101" i="4" l="1"/>
  <c r="B101" i="4"/>
  <c r="C101" i="4" s="1"/>
  <c r="D101" i="4" s="1"/>
  <c r="D108" i="5"/>
  <c r="C108" i="5"/>
  <c r="A108" i="5"/>
  <c r="B108" i="5"/>
  <c r="B102" i="4" l="1"/>
  <c r="C102" i="4" s="1"/>
  <c r="D102" i="4" s="1"/>
  <c r="A102" i="4"/>
  <c r="C109" i="5"/>
  <c r="D109" i="5"/>
  <c r="B109" i="5"/>
  <c r="A109" i="5"/>
  <c r="A103" i="4" l="1"/>
  <c r="B103" i="4"/>
  <c r="C103" i="4" s="1"/>
  <c r="D103" i="4" s="1"/>
  <c r="D110" i="5"/>
  <c r="C110" i="5"/>
  <c r="A110" i="5"/>
  <c r="B110" i="5"/>
  <c r="B104" i="4" l="1"/>
  <c r="C104" i="4" s="1"/>
  <c r="D104" i="4" s="1"/>
  <c r="A104" i="4"/>
  <c r="C111" i="5"/>
  <c r="D111" i="5"/>
  <c r="B111" i="5"/>
  <c r="A111" i="5"/>
  <c r="B105" i="4" l="1"/>
  <c r="C105" i="4" s="1"/>
  <c r="D105" i="4" s="1"/>
  <c r="A105" i="4"/>
  <c r="D112" i="5"/>
  <c r="C112" i="5"/>
  <c r="A112" i="5"/>
  <c r="B112" i="5"/>
  <c r="B106" i="4" l="1"/>
  <c r="C106" i="4" s="1"/>
  <c r="D106" i="4" s="1"/>
  <c r="A106" i="4"/>
  <c r="C113" i="5"/>
  <c r="D113" i="5"/>
  <c r="B113" i="5"/>
  <c r="A113" i="5"/>
  <c r="A107" i="4" l="1"/>
  <c r="B107" i="4"/>
  <c r="C107" i="4" s="1"/>
  <c r="D107" i="4" s="1"/>
  <c r="D114" i="5"/>
  <c r="C114" i="5"/>
  <c r="A114" i="5"/>
  <c r="B114" i="5"/>
  <c r="B108" i="4" l="1"/>
  <c r="C108" i="4" s="1"/>
  <c r="D108" i="4" s="1"/>
  <c r="A108" i="4"/>
  <c r="C115" i="5"/>
  <c r="D115" i="5"/>
  <c r="B115" i="5"/>
  <c r="A115" i="5"/>
  <c r="A109" i="4" l="1"/>
  <c r="B109" i="4"/>
  <c r="C109" i="4" s="1"/>
  <c r="D109" i="4" s="1"/>
  <c r="D116" i="5"/>
  <c r="C116" i="5"/>
  <c r="A116" i="5"/>
  <c r="B116" i="5"/>
  <c r="B110" i="4" l="1"/>
  <c r="C110" i="4" s="1"/>
  <c r="D110" i="4" s="1"/>
  <c r="A110" i="4"/>
  <c r="C117" i="5"/>
  <c r="D117" i="5"/>
  <c r="B117" i="5"/>
  <c r="A117" i="5"/>
  <c r="A111" i="4" l="1"/>
  <c r="B111" i="4"/>
  <c r="C111" i="4" s="1"/>
  <c r="D111" i="4" s="1"/>
  <c r="D118" i="5"/>
  <c r="C118" i="5"/>
  <c r="A118" i="5"/>
  <c r="B118" i="5"/>
  <c r="B112" i="4" l="1"/>
  <c r="C112" i="4" s="1"/>
  <c r="D112" i="4" s="1"/>
  <c r="A112" i="4"/>
  <c r="C119" i="5"/>
  <c r="D119" i="5"/>
  <c r="B119" i="5"/>
  <c r="A119" i="5"/>
  <c r="A113" i="4" l="1"/>
  <c r="B113" i="4"/>
  <c r="C113" i="4" s="1"/>
  <c r="D113" i="4" s="1"/>
  <c r="D120" i="5"/>
  <c r="C120" i="5"/>
  <c r="A120" i="5"/>
  <c r="B120" i="5"/>
  <c r="B114" i="4" l="1"/>
  <c r="C114" i="4" s="1"/>
  <c r="D114" i="4" s="1"/>
  <c r="A114" i="4"/>
  <c r="C121" i="5"/>
  <c r="D121" i="5"/>
  <c r="B121" i="5"/>
  <c r="A121" i="5"/>
  <c r="A115" i="4" l="1"/>
  <c r="B115" i="4"/>
  <c r="C115" i="4" s="1"/>
  <c r="D115" i="4" s="1"/>
  <c r="D122" i="5"/>
  <c r="C122" i="5"/>
  <c r="A122" i="5"/>
  <c r="B122" i="5"/>
  <c r="B116" i="4" l="1"/>
  <c r="C116" i="4" s="1"/>
  <c r="D116" i="4" s="1"/>
  <c r="A116" i="4"/>
  <c r="C123" i="5"/>
  <c r="D123" i="5"/>
  <c r="B123" i="5"/>
  <c r="A123" i="5"/>
  <c r="B117" i="4" l="1"/>
  <c r="C117" i="4" s="1"/>
  <c r="D117" i="4" s="1"/>
  <c r="A117" i="4"/>
  <c r="D124" i="5"/>
  <c r="C124" i="5"/>
  <c r="A124" i="5"/>
  <c r="B124" i="5"/>
  <c r="B118" i="4" l="1"/>
  <c r="C118" i="4" s="1"/>
  <c r="D118" i="4" s="1"/>
  <c r="A118" i="4"/>
  <c r="C125" i="5"/>
  <c r="D125" i="5"/>
  <c r="B125" i="5"/>
  <c r="A125" i="5"/>
  <c r="A119" i="4" l="1"/>
  <c r="B119" i="4"/>
  <c r="C119" i="4" s="1"/>
  <c r="D119" i="4" s="1"/>
  <c r="D126" i="5"/>
  <c r="C126" i="5"/>
  <c r="A126" i="5"/>
  <c r="B126" i="5"/>
  <c r="B120" i="4" l="1"/>
  <c r="C120" i="4" s="1"/>
  <c r="D120" i="4" s="1"/>
  <c r="A120" i="4"/>
  <c r="C127" i="5"/>
  <c r="D127" i="5"/>
  <c r="B127" i="5"/>
  <c r="A127" i="5"/>
  <c r="A121" i="4" l="1"/>
  <c r="B121" i="4"/>
  <c r="C121" i="4" s="1"/>
  <c r="D121" i="4" s="1"/>
  <c r="D128" i="5"/>
  <c r="C128" i="5"/>
  <c r="A128" i="5"/>
  <c r="B128" i="5"/>
  <c r="B122" i="4" l="1"/>
  <c r="C122" i="4" s="1"/>
  <c r="D122" i="4" s="1"/>
  <c r="A122" i="4"/>
  <c r="C129" i="5"/>
  <c r="D129" i="5"/>
  <c r="B129" i="5"/>
  <c r="A129" i="5"/>
  <c r="A123" i="4" l="1"/>
  <c r="B123" i="4"/>
  <c r="C123" i="4" s="1"/>
  <c r="D123" i="4" s="1"/>
  <c r="D130" i="5"/>
  <c r="C130" i="5"/>
  <c r="A130" i="5"/>
  <c r="B130" i="5"/>
  <c r="B124" i="4" l="1"/>
  <c r="C124" i="4" s="1"/>
  <c r="D124" i="4" s="1"/>
  <c r="A124" i="4"/>
  <c r="A125" i="4" l="1"/>
  <c r="B125" i="4"/>
  <c r="C125" i="4" s="1"/>
  <c r="D125" i="4" s="1"/>
  <c r="B126" i="4" l="1"/>
  <c r="C126" i="4" s="1"/>
  <c r="D126" i="4" s="1"/>
  <c r="A126" i="4"/>
  <c r="A127" i="4" l="1"/>
  <c r="B127" i="4"/>
  <c r="C127" i="4" s="1"/>
  <c r="D127" i="4" s="1"/>
  <c r="B128" i="4" l="1"/>
  <c r="C128" i="4" s="1"/>
  <c r="D128" i="4" s="1"/>
  <c r="A128" i="4"/>
  <c r="B129" i="4" l="1"/>
  <c r="C129" i="4" s="1"/>
  <c r="D129" i="4" s="1"/>
  <c r="A129" i="4"/>
  <c r="B130" i="4" l="1"/>
  <c r="C130" i="4" s="1"/>
  <c r="D130" i="4" s="1"/>
  <c r="A1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9E745EB4-5622-499E-93D9-9128E53D076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8C621BB1-8871-4543-A5B1-9CB1029D0ED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63A0FAD8-7A70-4060-8EBA-7640C244A341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Søren Møller Jensen (SMJ - Lektor - Cphbusiness)</author>
  </authors>
  <commentList>
    <comment ref="B1" authorId="0" shapeId="0" xr:uid="{3961CD42-1280-4822-89EB-AFBB2754DD1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det beløb, der lånes.</t>
        </r>
      </text>
    </comment>
    <comment ref="B2" authorId="0" shapeId="0" xr:uid="{7548469D-CA59-433D-92D0-EAD815358371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Indtast eventuelle stiftelsesomkostninger på lånet (tastes som positiv værdi).</t>
        </r>
      </text>
    </comment>
    <comment ref="B5" authorId="0" shapeId="0" xr:uid="{CCF31D22-F42C-4D9C-B24A-A2679E3C3ADE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 totale antal år, lånet løber over.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4CED6619-67D2-4D04-BE54-179CE4DC272F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EB665B9D-5204-4CDC-B70B-CC122CB02A61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80913001-849F-4F03-B735-D39659507957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03E7D5C6-66EB-4B02-AC96-667D023155D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CF1EFC5E-EE75-4882-BC59-5895ACF510FC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61704916-B640-4CD7-8B86-D5AB0B04CB7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274FEB5E-F8D0-4594-B8CE-4F89F680A22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89F20709-665C-4C4A-BF72-5AE014AB7BD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9F2D0D9E-7AE1-4816-B50F-CE2B04DEA98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A6DDADA-D3E5-42B4-A1CC-75873D29F88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3B1F2185-A766-4059-BB47-84791856432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1491AE64-9F5A-4256-8F9E-81A614A321E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F06CEA1E-7F9F-4BE0-9F5B-A82D380F959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813D8F24-9FDD-4395-86F2-B42E8BCD726D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44090154-6D24-4E48-B4FE-96D1DD05774F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4FB49CAB-4355-49A5-BBAB-AA34E6CB5D6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74AC3703-8A8A-4031-98C1-37F147641924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44DA2925-0EF2-4C76-B325-80DE298C1A72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650252F0-DFE0-417A-8F81-2BD45325F68D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4D38F67F-0924-4D01-AC86-7C7F3B1C511C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D93E121-7257-47AB-8CFE-440704B7F9E0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Clement Cliford (CLCL - Adjunkt - Cphbusiness)</author>
    <author>Karen Almdal (KAAL - Lektor - Cphbusiness)</author>
    <author>Søren Møller Jensen (SMJ - Lektor - Cphbusiness)</author>
  </authors>
  <commentList>
    <comment ref="C8" authorId="0" shapeId="0" xr:uid="{BB37594C-0B80-4C02-965C-F2528DF7F3D9}">
      <text>
        <r>
          <rPr>
            <b/>
            <sz val="9"/>
            <color indexed="81"/>
            <rFont val="Tahoma"/>
            <family val="2"/>
          </rPr>
          <t>Hvis et par ikke er gift, så skal der laves en separat skatteberegning pr. person.</t>
        </r>
      </text>
    </comment>
    <comment ref="E32" authorId="1" shapeId="0" xr:uid="{413080E6-6F13-4356-A361-4697DA15B957}">
      <text>
        <r>
          <rPr>
            <b/>
            <sz val="9"/>
            <color indexed="81"/>
            <rFont val="Tahoma"/>
            <family val="2"/>
          </rPr>
          <t xml:space="preserve">Løn minus eget bidrag til arb.markedspension + skatteværdi af personalegoder 
Fri tlf. (2024): 3.200 kr.
Firmabil (2024):
Skat af min. 160.000 kr.
23% af værdien under 300.000 kr. 
22% af værdien over 300.000 kr. 
600% af ejerudgiften </t>
        </r>
      </text>
    </comment>
    <comment ref="F32" authorId="1" shapeId="0" xr:uid="{3D1F454A-5D2B-4338-AB43-FCBC40374A61}">
      <text>
        <r>
          <rPr>
            <b/>
            <sz val="9"/>
            <color indexed="81"/>
            <rFont val="Tahoma"/>
            <family val="2"/>
          </rPr>
          <t>Løn minus eget bidrag til arb.markedspension + skatteværdi af personalegoder 
Fri tlf. (2024): 3.200 kr.
Firmabil (2024):
Skat af min. 160.000 kr.
23% af værdien under 300.000 kr. 
22% af værdien over 300.000 kr. 
600% af ejerudgiften</t>
        </r>
      </text>
    </comment>
    <comment ref="E37" authorId="2" shapeId="0" xr:uid="{752A085F-8B23-4A4D-94B2-F08581E8874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F37" authorId="2" shapeId="0" xr:uid="{961BBDB3-C350-4DC9-BFDF-53F2ECD5830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Dette felt er til alle pensioner som bliver udbetalt løbende i det pågældende år (rate/liv/folkep. &amp; ATP).</t>
        </r>
      </text>
    </comment>
    <comment ref="E38" authorId="2" shapeId="0" xr:uid="{7B2D4BC0-7B78-4ABB-AB56-728068567620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F38" authorId="2" shapeId="0" xr:uid="{FB9BCD97-00D4-426D-B0D7-3AA73EBEED71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Her indtastes private pensionsindbetalinger til rate eller liv i det pågældende år.</t>
        </r>
      </text>
    </comment>
    <comment ref="E43" authorId="2" shapeId="0" xr:uid="{C0849E65-48B8-4F1A-9A69-559D399C10D6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F43" authorId="2" shapeId="0" xr:uid="{85F48553-174E-47EA-A7C8-B68899161262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Eksempler på anden kap.indkomst: 
1. Kursgevinster og kurstab på obligationer - husk bagatelgrænse på 2.000 kr.
2. Kapitalafkast fra virksomhed
3. Visse lejeindtægter</t>
        </r>
      </text>
    </comment>
    <comment ref="E44" authorId="2" shapeId="0" xr:uid="{86C59E67-2C0E-40C8-B701-B71F9CC396CB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F44" authorId="2" shapeId="0" xr:uid="{B159A089-4B12-4A15-93FD-39776244B86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Renteudgifter fra lån; bidragsudgifter fra realkreditlån tastes også her.</t>
        </r>
      </text>
    </comment>
    <comment ref="E49" authorId="2" shapeId="0" xr:uid="{833DFDBA-C992-443A-8C66-8D232FF44977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F49" authorId="2" shapeId="0" xr:uid="{70A56787-C10C-41A4-94C3-DC057A104A13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Uddybning og skema til beregning findes her:
https://tax.dk/skat/koerselsfradrag.htm</t>
        </r>
      </text>
    </comment>
    <comment ref="E50" authorId="2" shapeId="0" xr:uid="{096B6D76-4DB7-4E84-A63F-7CF46842FF45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F50" authorId="2" shapeId="0" xr:uid="{F1859004-2206-4433-B0C3-A1589B3DB069}">
      <text>
        <r>
          <rPr>
            <b/>
            <sz val="9"/>
            <color indexed="81"/>
            <rFont val="Tahoma"/>
            <family val="2"/>
          </rPr>
          <t>Søren Møller Jensen (SMJ - Lektor - Cphbusiness):</t>
        </r>
        <r>
          <rPr>
            <sz val="9"/>
            <color indexed="81"/>
            <rFont val="Tahoma"/>
            <family val="2"/>
          </rPr>
          <t xml:space="preserve">
Max fradrag på fagforening er 7.000 kr. 
Hele udgift til A-kasse kan fradrages</t>
        </r>
      </text>
    </comment>
    <comment ref="E51" authorId="1" shapeId="0" xr:uid="{66409668-1505-4D88-B64B-ADAD6C1BEBF9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F51" authorId="1" shapeId="0" xr:uid="{8E89FA44-BC44-4E70-A111-6EC977C8788B}">
      <text>
        <r>
          <rPr>
            <sz val="9"/>
            <color indexed="81"/>
            <rFont val="Tahoma"/>
            <family val="2"/>
          </rPr>
          <t>Eksempler:
- arbejdsværelse i hjemmet
- kurser
- faglitteratur
- dobbelt husførelse
- arbejdstøj</t>
        </r>
      </text>
    </comment>
    <comment ref="E52" authorId="1" shapeId="0" xr:uid="{33ED9009-0B05-4A37-8477-6E3D4846BAF5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F52" authorId="1" shapeId="0" xr:uid="{892878B8-13F2-4F37-867B-7D88AC914539}">
      <text>
        <r>
          <rPr>
            <sz val="9"/>
            <color indexed="81"/>
            <rFont val="Tahoma"/>
            <family val="2"/>
          </rPr>
          <t>Børnebidrag: Grundbeløb 16.440 om året er fradragsberettiget + 2.136 kr. om året i tillæg, som IKKE er fradragsberettiget; i alt betaling på 18.576 kr. om året.</t>
        </r>
      </text>
    </comment>
    <comment ref="E53" authorId="1" shapeId="0" xr:uid="{1FB6943F-25DD-446B-8CDA-197CCDBFB234}">
      <text>
        <r>
          <rPr>
            <sz val="9"/>
            <color indexed="81"/>
            <rFont val="Tahoma"/>
            <family val="2"/>
          </rPr>
          <t xml:space="preserve">Eksempler:
Gaver til velgørenhed max 18.300 kr.
Indskud på etableringskonto
Servicefradrag: max 6.900 kr. </t>
        </r>
      </text>
    </comment>
    <comment ref="F53" authorId="1" shapeId="0" xr:uid="{16C4408A-6117-4B70-82CB-2151CE3CC605}">
      <text>
        <r>
          <rPr>
            <sz val="9"/>
            <color indexed="81"/>
            <rFont val="Tahoma"/>
            <family val="2"/>
          </rPr>
          <t>Eksempler:
Gaver til velgørenhed max 18.300 kr.
Indskud på etableringskonto
Servicefradrag: max 6.900 kr.</t>
        </r>
      </text>
    </comment>
  </commentList>
</comments>
</file>

<file path=xl/sharedStrings.xml><?xml version="1.0" encoding="utf-8"?>
<sst xmlns="http://schemas.openxmlformats.org/spreadsheetml/2006/main" count="659" uniqueCount="289">
  <si>
    <t>Indkomst m.m.</t>
  </si>
  <si>
    <t>Gældsfaktor</t>
  </si>
  <si>
    <t>Løn, brutto/år</t>
  </si>
  <si>
    <t>Indkomst:</t>
  </si>
  <si>
    <t>Skat/år</t>
  </si>
  <si>
    <t>Gæld:</t>
  </si>
  <si>
    <t>Disponibel indkomst/måned</t>
  </si>
  <si>
    <t>Faste udgifter</t>
  </si>
  <si>
    <t>Boligafgift</t>
  </si>
  <si>
    <t>Andelsboliglån</t>
  </si>
  <si>
    <t>El, vand og varme</t>
  </si>
  <si>
    <t>Indboforsikring</t>
  </si>
  <si>
    <t>SU lån</t>
  </si>
  <si>
    <t>Billån</t>
  </si>
  <si>
    <t>Service, el, forsikring m.m. til bil</t>
  </si>
  <si>
    <t>Øvrige transportudgifter</t>
  </si>
  <si>
    <t>Fagforening</t>
  </si>
  <si>
    <t>A-kasse</t>
  </si>
  <si>
    <t>Internet/telefon/streaming</t>
  </si>
  <si>
    <t>Café og restaurantbesøg</t>
  </si>
  <si>
    <t>Sport, fitness m.m.</t>
  </si>
  <si>
    <t>Fast opsparing</t>
  </si>
  <si>
    <t>Rådighedsbeløb/måned</t>
  </si>
  <si>
    <t>Hovedstol</t>
  </si>
  <si>
    <t>Stiftelsesomk.</t>
  </si>
  <si>
    <t>Provenue</t>
  </si>
  <si>
    <t>Rente pr. år</t>
  </si>
  <si>
    <t>Årlige renteudgifter</t>
  </si>
  <si>
    <t>Antal år</t>
  </si>
  <si>
    <t>KUN VED 12 TERMINER PR. ÅR</t>
  </si>
  <si>
    <t xml:space="preserve"> </t>
  </si>
  <si>
    <t>Terminer pr. år</t>
  </si>
  <si>
    <t>År 1</t>
  </si>
  <si>
    <t>Antal terminer</t>
  </si>
  <si>
    <t>År 2</t>
  </si>
  <si>
    <t>Ydelse pr. termin</t>
  </si>
  <si>
    <t>År 3</t>
  </si>
  <si>
    <t>År 4</t>
  </si>
  <si>
    <t xml:space="preserve">Termin </t>
  </si>
  <si>
    <t>Rente</t>
  </si>
  <si>
    <t>afdrag</t>
  </si>
  <si>
    <t xml:space="preserve">restgæld </t>
  </si>
  <si>
    <t>År 5</t>
  </si>
  <si>
    <t>År 6</t>
  </si>
  <si>
    <t>År 7</t>
  </si>
  <si>
    <t>Årlig ydelse</t>
  </si>
  <si>
    <t>Effektiv rente pr. termin</t>
  </si>
  <si>
    <t>ÅOP</t>
  </si>
  <si>
    <t>Kommuneskatteprocenter</t>
  </si>
  <si>
    <t>Satser</t>
  </si>
  <si>
    <t>ja</t>
  </si>
  <si>
    <t>Skatteberegning 2024</t>
  </si>
  <si>
    <t>nej</t>
  </si>
  <si>
    <t>Regnearket implementerer hovedreglerne i indkomstbeskatningen. Brug af dette regneark sker på eget ansvar. Der ydes ikke erstatning, såfremt brugen af regnearket giver anledning til, at der lides et tab.</t>
  </si>
  <si>
    <t>Kommune</t>
  </si>
  <si>
    <t>Skatte</t>
  </si>
  <si>
    <t>Kirke</t>
  </si>
  <si>
    <t>Nedslag</t>
  </si>
  <si>
    <t>Grundskyld</t>
  </si>
  <si>
    <t>Arbejdsmarkedsbidragsprocent AMB § 1</t>
  </si>
  <si>
    <t>pct.</t>
  </si>
  <si>
    <t>prm.</t>
  </si>
  <si>
    <t>Bundskatprocent PSL § 6, stk. 2</t>
  </si>
  <si>
    <t>1. Forskellige oplysninger</t>
  </si>
  <si>
    <t>Sundhedsbidragsprocent PSL § 8</t>
  </si>
  <si>
    <t>Frederik</t>
  </si>
  <si>
    <t>intet sommerhus</t>
  </si>
  <si>
    <t>Topskatprocent PSL § 7, stk. 1</t>
  </si>
  <si>
    <t>Gift ?</t>
  </si>
  <si>
    <t>Albertslund</t>
  </si>
  <si>
    <t>Topskatgrænse PSL § 7, stk. 2</t>
  </si>
  <si>
    <t>Under 18 år hele indkomståret ?</t>
  </si>
  <si>
    <t>Allerød</t>
  </si>
  <si>
    <t>Skatteloftprocent PSL § 19, stk. 1</t>
  </si>
  <si>
    <t>Mere end 15 år til folkepensionsalderen ?</t>
  </si>
  <si>
    <t>Assens</t>
  </si>
  <si>
    <t>Skatteloftprocent positiv nettokapitalindkomst PSL § 19, stk. 2</t>
  </si>
  <si>
    <t>Medlem af Folkekirken ?</t>
  </si>
  <si>
    <t>Ballerup</t>
  </si>
  <si>
    <t>Personfradrag unge PSL § 10, stk. 2</t>
  </si>
  <si>
    <t>Billund</t>
  </si>
  <si>
    <t>Personfradrag PSL § 10, stk. 1</t>
  </si>
  <si>
    <t>Bopælskommune pr. 5. september 2023</t>
  </si>
  <si>
    <t>Lyngby-Taarbæk</t>
  </si>
  <si>
    <t>Bornholm</t>
  </si>
  <si>
    <t>Maksimalt kapitalpensionsfradrag PBL § 16, stk. 1</t>
  </si>
  <si>
    <t>Kommuneskatteprocent</t>
  </si>
  <si>
    <t>Brøndby</t>
  </si>
  <si>
    <t>Bundfradrag positiv nettokapitalindkomst PSL § 7, stk. 1</t>
  </si>
  <si>
    <t>Kirkeskatteprocent</t>
  </si>
  <si>
    <t>Brønderslev</t>
  </si>
  <si>
    <t>Aktieskatprocent under grænse PSL § 8 a, stk. 1</t>
  </si>
  <si>
    <t>Grundskyldspromille</t>
  </si>
  <si>
    <t>Dragør</t>
  </si>
  <si>
    <t>Aktieskatprocent over grænse PSL § 8 a, stk. 2</t>
  </si>
  <si>
    <t>Egedal</t>
  </si>
  <si>
    <t>Grænse aktieskat PSL § 8 a, stk. 1 og 2</t>
  </si>
  <si>
    <t>Ejendomsværdi af enfamiliehus</t>
  </si>
  <si>
    <t>Esbjerg</t>
  </si>
  <si>
    <t>Bundgrænse lønmodtagerfradrag LL § 9, stk. 1</t>
  </si>
  <si>
    <t>Ejendomsværdi af ejerlejlighed</t>
  </si>
  <si>
    <t>Faaborg-Midtfyn</t>
  </si>
  <si>
    <t>Beskæftigelsesfradragsprocent LL § 9 J, stk. 2</t>
  </si>
  <si>
    <t>Hus/ejerlejlighed erhvervet senest 1. juli 1998 ?</t>
  </si>
  <si>
    <t>Fanø</t>
  </si>
  <si>
    <t>Maksimalt beskæftigelsesfradrag LL § 9 J, stk. 2</t>
  </si>
  <si>
    <t>Grundværdi hus/ejerlejlighed</t>
  </si>
  <si>
    <t>Favrskov</t>
  </si>
  <si>
    <t>Ejendomsværdiskatteprocent under grænse</t>
  </si>
  <si>
    <t>Ejendomsværdi af sommerhus</t>
  </si>
  <si>
    <t>Faxe</t>
  </si>
  <si>
    <t>Ejendomsværdiskatteprocent over grænse</t>
  </si>
  <si>
    <t>Beliggenhed sommerhus</t>
  </si>
  <si>
    <t>Fredensborg</t>
  </si>
  <si>
    <t>Grænse ejendomsværdiskat</t>
  </si>
  <si>
    <t>Fredericia</t>
  </si>
  <si>
    <t>Nedslag ejendomsværdiskat ESL § 23, stk. 1</t>
  </si>
  <si>
    <t>Grundværdi sommerhus</t>
  </si>
  <si>
    <t>Frederiksberg</t>
  </si>
  <si>
    <t>Nedslag ejendomsværdiskat ESL § 24, stk. 1</t>
  </si>
  <si>
    <t>Sommerhus erhvervet senest 1. juli 1998 ?</t>
  </si>
  <si>
    <t>Frederikshavn</t>
  </si>
  <si>
    <t>Maksimalt nedslag efter ESL § 24, stk. 1</t>
  </si>
  <si>
    <r>
      <t xml:space="preserve">Bidrag og præmie til </t>
    </r>
    <r>
      <rPr>
        <i/>
        <sz val="10"/>
        <rFont val="Arial"/>
        <family val="2"/>
      </rPr>
      <t>arbejdsgiveradministreret</t>
    </r>
    <r>
      <rPr>
        <sz val="10"/>
        <rFont val="Arial"/>
        <family val="2"/>
      </rPr>
      <t xml:space="preserve"> pension med løbende udbetalinger og ratepension</t>
    </r>
  </si>
  <si>
    <t>Frederikssund</t>
  </si>
  <si>
    <t>Nedslagsprocent negativ nettokapitalindkomst, PSL § 11, stk. 2</t>
  </si>
  <si>
    <t>Furesø</t>
  </si>
  <si>
    <t>Bundfradrag udligningsskat, PSL § 7 a, stk. 4</t>
  </si>
  <si>
    <t>2. Indkomst og fradrag</t>
  </si>
  <si>
    <t>Gentofte</t>
  </si>
  <si>
    <t>Udligningsskatteprocent, PSL § 7 a, stk. 5</t>
  </si>
  <si>
    <t>Skatteyder</t>
  </si>
  <si>
    <t>Gladsaxe</t>
  </si>
  <si>
    <t>Overførbart bundfradrag udligningsskat, PSL § 7 a, stk. 6</t>
  </si>
  <si>
    <t>Personlig indkomst</t>
  </si>
  <si>
    <t>Glostrup</t>
  </si>
  <si>
    <t>Bundgrænse jobfradrag LL § 9 K, stk. 1</t>
  </si>
  <si>
    <t>Løn, honorarer mv. (før fradrag af AMB)</t>
  </si>
  <si>
    <t>Greve</t>
  </si>
  <si>
    <t>Jobfradragsprocent LL § 9 K, stk. 2</t>
  </si>
  <si>
    <t>- reduceres med Arbejdsmarkedsbidrag (AMB)</t>
  </si>
  <si>
    <t>Gribskov</t>
  </si>
  <si>
    <t>Maksimalt jobfradrag LL § 9 K, stk. 2</t>
  </si>
  <si>
    <t>Personlig indkomst fra selvstændig virksomhed</t>
  </si>
  <si>
    <t>Guldborgsund</t>
  </si>
  <si>
    <t>Maksimalt ekstra pensionsfradrag LL § 9 L</t>
  </si>
  <si>
    <t>Haderslev</t>
  </si>
  <si>
    <t>Dagpenge mv., SU og anden personlig indkomst, hvoraf der ikke skal betales AMB</t>
  </si>
  <si>
    <t>Halsnæs</t>
  </si>
  <si>
    <t>Udbetalt pension mv., hvoraf der skal betales udligningsskat</t>
  </si>
  <si>
    <t>Hedensted</t>
  </si>
  <si>
    <r>
      <t xml:space="preserve">Bidrag og præmie til </t>
    </r>
    <r>
      <rPr>
        <i/>
        <sz val="10"/>
        <rFont val="Arial"/>
        <family val="2"/>
      </rPr>
      <t>privattegnet</t>
    </r>
    <r>
      <rPr>
        <sz val="10"/>
        <rFont val="Arial"/>
        <family val="2"/>
      </rPr>
      <t xml:space="preserve"> pension med løbende udbetalinger og ratepension</t>
    </r>
  </si>
  <si>
    <t>Helsingør</t>
  </si>
  <si>
    <t>Herlev</t>
  </si>
  <si>
    <t>Personlig indkomst i alt</t>
  </si>
  <si>
    <t>Herning</t>
  </si>
  <si>
    <t>Kapitalindkomst</t>
  </si>
  <si>
    <t>Hillerød</t>
  </si>
  <si>
    <t>Renteindtægter</t>
  </si>
  <si>
    <t>Hjørring</t>
  </si>
  <si>
    <t>Anden kapitalindkomst</t>
  </si>
  <si>
    <t>Holbæk</t>
  </si>
  <si>
    <t>Renteudgifter</t>
  </si>
  <si>
    <t>Holstebro</t>
  </si>
  <si>
    <t>Personlig kapitalindkomst</t>
  </si>
  <si>
    <t>Horsens</t>
  </si>
  <si>
    <t>Kapitalindkomst fra selvstændig virksomhed</t>
  </si>
  <si>
    <t>Hvidovre</t>
  </si>
  <si>
    <t>Kapitalindkomst i alt</t>
  </si>
  <si>
    <t>Høje-Taastrup</t>
  </si>
  <si>
    <t>Ligningsmæssige fradrag</t>
  </si>
  <si>
    <t>Hørsholm</t>
  </si>
  <si>
    <t>Befordring</t>
  </si>
  <si>
    <t>Ikast-Brande</t>
  </si>
  <si>
    <t>Arbejdsløshedsforsikring og fagligt kontingent</t>
  </si>
  <si>
    <t>Ishøj</t>
  </si>
  <si>
    <t>Øvrige lønmodtagerudgifter over</t>
  </si>
  <si>
    <t>Jammerbugt</t>
  </si>
  <si>
    <t>Underholdsbidrag til tidligere ægtefælle og børnebidrag</t>
  </si>
  <si>
    <t>Kalundborg</t>
  </si>
  <si>
    <t>Andre ligningsmæssig fradrag</t>
  </si>
  <si>
    <t>Kerteminde</t>
  </si>
  <si>
    <t>Beskæftigelsesfradrag</t>
  </si>
  <si>
    <t>Kolding</t>
  </si>
  <si>
    <t>Jobfradrag</t>
  </si>
  <si>
    <t>København</t>
  </si>
  <si>
    <t>Ekstra pensionsfradrag</t>
  </si>
  <si>
    <t>Køge</t>
  </si>
  <si>
    <t>Ligningsmæssige fradrag i alt</t>
  </si>
  <si>
    <t>Langeland</t>
  </si>
  <si>
    <t>Skattepligtig indkomst i alt</t>
  </si>
  <si>
    <t>Lejre</t>
  </si>
  <si>
    <t>Lemvig</t>
  </si>
  <si>
    <t>Aktieindkomst</t>
  </si>
  <si>
    <t>Lolland</t>
  </si>
  <si>
    <t>Udbytte af aktier, hvoraf der er indeholdt 27% udbytteskat (beløb før indeholdelse af udbytteskat)</t>
  </si>
  <si>
    <t>Udbytte af aktier, hvoraf der ikke er indeholdt 27% udbytteskat, samt gevinst/tab på aktier</t>
  </si>
  <si>
    <t>Læsø</t>
  </si>
  <si>
    <t>Aktieindkomst i alt</t>
  </si>
  <si>
    <t>Mariagerfjord</t>
  </si>
  <si>
    <t>Middelfart</t>
  </si>
  <si>
    <t>3. Indkomstskat</t>
  </si>
  <si>
    <t>Morsø</t>
  </si>
  <si>
    <t>Norddjurs</t>
  </si>
  <si>
    <t>Kommunal skat, sundhedsbidrag og kirkeskat</t>
  </si>
  <si>
    <t>Nordfyns</t>
  </si>
  <si>
    <t>Skattepligtig indkomst</t>
  </si>
  <si>
    <t>Nyborg</t>
  </si>
  <si>
    <t>Personfradrag</t>
  </si>
  <si>
    <t>Næstved</t>
  </si>
  <si>
    <t>Beregningsgrundlag</t>
  </si>
  <si>
    <t>Odder</t>
  </si>
  <si>
    <t>% af beregningsgrundlag</t>
  </si>
  <si>
    <t>Odense</t>
  </si>
  <si>
    <t>I alt</t>
  </si>
  <si>
    <t>Odsherred</t>
  </si>
  <si>
    <t>Bundskat</t>
  </si>
  <si>
    <t>Randers</t>
  </si>
  <si>
    <t>Rebild</t>
  </si>
  <si>
    <t>Positiv nettokapitalindkomst</t>
  </si>
  <si>
    <t>Ringkøbing-Skjern</t>
  </si>
  <si>
    <t>Ringsted</t>
  </si>
  <si>
    <t>Roskilde</t>
  </si>
  <si>
    <t>Rudersdal</t>
  </si>
  <si>
    <t>Rødovre</t>
  </si>
  <si>
    <t>Topskat</t>
  </si>
  <si>
    <t>Samsø</t>
  </si>
  <si>
    <t>Silkeborg</t>
  </si>
  <si>
    <t>Bundgrænse</t>
  </si>
  <si>
    <t>Skanderborg</t>
  </si>
  <si>
    <t>Skive</t>
  </si>
  <si>
    <t>Slagelse</t>
  </si>
  <si>
    <t>Topskat af personlig indkomst</t>
  </si>
  <si>
    <t>Solrød</t>
  </si>
  <si>
    <t>Positiv nettokapitalindkomst over</t>
  </si>
  <si>
    <t>Sorø</t>
  </si>
  <si>
    <t>Stevns</t>
  </si>
  <si>
    <t>Struer</t>
  </si>
  <si>
    <t>Svendborg</t>
  </si>
  <si>
    <t>Topskat af positiv nettokapitalindkomst</t>
  </si>
  <si>
    <t>Syddjurs</t>
  </si>
  <si>
    <t>Sønderborg</t>
  </si>
  <si>
    <t>Thisted</t>
  </si>
  <si>
    <t>Udligningsskat</t>
  </si>
  <si>
    <t>Tårnby</t>
  </si>
  <si>
    <t>Pensioner mv., hvoraf der skal betales udligningsskat</t>
  </si>
  <si>
    <t>Tønder</t>
  </si>
  <si>
    <t>Bundfradrag</t>
  </si>
  <si>
    <t>Vallensbæk</t>
  </si>
  <si>
    <t>Overført bundfradrag fra ægtefælle</t>
  </si>
  <si>
    <t>Varde</t>
  </si>
  <si>
    <t>Vejen</t>
  </si>
  <si>
    <t>Vejle</t>
  </si>
  <si>
    <t>Positiv udligningsskat</t>
  </si>
  <si>
    <t>Vesthimmerland</t>
  </si>
  <si>
    <t>Viborg</t>
  </si>
  <si>
    <t>Vordingborg</t>
  </si>
  <si>
    <t>Aktieskat</t>
  </si>
  <si>
    <t>Ærø</t>
  </si>
  <si>
    <t>Aabenraa</t>
  </si>
  <si>
    <t>Aalborg</t>
  </si>
  <si>
    <t>% af beregningsgrundlag indtil</t>
  </si>
  <si>
    <t>Aarhus</t>
  </si>
  <si>
    <t>% af beregningsgrundlag over</t>
  </si>
  <si>
    <t>Kilde: Skatteministeriet, 3/12-2023</t>
  </si>
  <si>
    <t>Arbejdsmarkedsbidrag (AMB)</t>
  </si>
  <si>
    <t>Løn, honorarer mv.</t>
  </si>
  <si>
    <t>Positivt resultat af selvstændig virksomhed, der beskattes som personlig indkomst</t>
  </si>
  <si>
    <t>Nedslag for negativ nettokapitalindkomst</t>
  </si>
  <si>
    <t>Nettokapitalindkomst</t>
  </si>
  <si>
    <r>
      <t xml:space="preserve">Indkomstskat i alt </t>
    </r>
    <r>
      <rPr>
        <sz val="10"/>
        <rFont val="Arial"/>
        <family val="2"/>
      </rPr>
      <t>(grøn check er ikke fratrukket)</t>
    </r>
  </si>
  <si>
    <t>4. Skat af fast ejendom</t>
  </si>
  <si>
    <t>Ejendomsværdiskat</t>
  </si>
  <si>
    <t>Ejendomsværdi enfamiliehus/ejerlejlighed</t>
  </si>
  <si>
    <t>% af 80% af ejendomsværdi indtil</t>
  </si>
  <si>
    <t>% af 80% af ejendomsværdi over</t>
  </si>
  <si>
    <t>Ejendomsværdiskat enfamiliehus/ejerlejlighed</t>
  </si>
  <si>
    <t>Ejendomsværdi sommerhus</t>
  </si>
  <si>
    <t>% af ejendomsværdi indtil</t>
  </si>
  <si>
    <t>% af ejendomsværdi over</t>
  </si>
  <si>
    <t>Ejendomsværdiskat sommerhus</t>
  </si>
  <si>
    <t>Grundskyld (ejendomsskat)</t>
  </si>
  <si>
    <t>Grundværdi enfamiliehus/ejerlejlighed</t>
  </si>
  <si>
    <t>promille af 80% af grundværdi</t>
  </si>
  <si>
    <t>Skat af fast ejendom i alt</t>
  </si>
  <si>
    <t>5. Samlet skat</t>
  </si>
  <si>
    <t>Indkomstskat</t>
  </si>
  <si>
    <t>Skat af fast ejendom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</si>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</sst>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kr&quot;\ * #,##0.00_);_(&quot;kr&quot;\ * \(#,##0.00\);_(&quot;kr&quot;\ * &quot;-&quot;??_);_(@_)"/>
    <numFmt numFmtId="165" formatCode="_-* #,##0.00\ _k_r_._-;\-* #,##0.00\ _k_r_._-;_-* &quot;-&quot;??\ _k_r_._-;_-@_-"/>
    <numFmt numFmtId="166" formatCode="_-* #,##0.00\ _k_r_-;\-* #,##0.00\ _k_r_-;_-* &quot;-&quot;\ _k_r_-;_-@_-"/>
    <numFmt numFmtId="167" formatCode="#,##0.00_ ;[Red]\-#,##0.00\ "/>
    <numFmt numFmtId="168" formatCode="0.00000%"/>
    <numFmt numFmtId="169" formatCode="_-* #,##0\ _k_r_-;\-* #,##0\ _k_r_-;_-* &quot;-&quot;\ _k_r_-;_-@_-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6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0" fillId="0" borderId="2" xfId="0" applyBorder="1"/>
    <xf numFmtId="0" fontId="6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3" fontId="0" fillId="0" borderId="0" xfId="0" applyNumberFormat="1"/>
    <xf numFmtId="3" fontId="0" fillId="0" borderId="1" xfId="0" applyNumberFormat="1" applyBorder="1"/>
    <xf numFmtId="0" fontId="5" fillId="2" borderId="1" xfId="0" applyFont="1" applyFill="1" applyBorder="1" applyAlignment="1">
      <alignment wrapText="1"/>
    </xf>
    <xf numFmtId="14" fontId="7" fillId="0" borderId="0" xfId="0" applyNumberFormat="1" applyFont="1" applyAlignment="1">
      <alignment horizontal="left"/>
    </xf>
    <xf numFmtId="0" fontId="0" fillId="3" borderId="1" xfId="0" applyFill="1" applyBorder="1" applyProtection="1">
      <protection locked="0"/>
    </xf>
    <xf numFmtId="3" fontId="0" fillId="3" borderId="0" xfId="0" applyNumberFormat="1" applyFill="1" applyProtection="1">
      <protection locked="0"/>
    </xf>
    <xf numFmtId="3" fontId="0" fillId="3" borderId="1" xfId="0" applyNumberFormat="1" applyFill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2" fontId="0" fillId="0" borderId="1" xfId="0" applyNumberFormat="1" applyBorder="1"/>
    <xf numFmtId="3" fontId="0" fillId="0" borderId="5" xfId="0" applyNumberFormat="1" applyBorder="1"/>
    <xf numFmtId="0" fontId="3" fillId="2" borderId="0" xfId="0" applyFont="1" applyFill="1" applyAlignment="1">
      <alignment wrapText="1"/>
    </xf>
    <xf numFmtId="2" fontId="0" fillId="0" borderId="0" xfId="0" applyNumberFormat="1"/>
    <xf numFmtId="0" fontId="6" fillId="2" borderId="0" xfId="0" applyFont="1" applyFill="1" applyAlignment="1">
      <alignment wrapText="1"/>
    </xf>
    <xf numFmtId="0" fontId="9" fillId="0" borderId="0" xfId="0" applyFont="1"/>
    <xf numFmtId="0" fontId="0" fillId="0" borderId="6" xfId="0" applyBorder="1"/>
    <xf numFmtId="3" fontId="0" fillId="0" borderId="6" xfId="0" applyNumberFormat="1" applyBorder="1"/>
    <xf numFmtId="0" fontId="0" fillId="0" borderId="3" xfId="0" applyBorder="1"/>
    <xf numFmtId="3" fontId="0" fillId="0" borderId="3" xfId="0" applyNumberFormat="1" applyBorder="1"/>
    <xf numFmtId="3" fontId="0" fillId="0" borderId="4" xfId="0" applyNumberFormat="1" applyBorder="1"/>
    <xf numFmtId="49" fontId="0" fillId="2" borderId="1" xfId="0" applyNumberFormat="1" applyFill="1" applyBorder="1" applyAlignment="1">
      <alignment wrapText="1"/>
    </xf>
    <xf numFmtId="164" fontId="0" fillId="0" borderId="0" xfId="1" applyFont="1" applyAlignment="1">
      <alignment horizontal="center" vertical="center" wrapText="1"/>
    </xf>
    <xf numFmtId="0" fontId="10" fillId="0" borderId="0" xfId="0" applyFont="1"/>
    <xf numFmtId="4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wrapText="1"/>
    </xf>
    <xf numFmtId="3" fontId="0" fillId="5" borderId="1" xfId="0" applyNumberFormat="1" applyFill="1" applyBorder="1" applyProtection="1">
      <protection locked="0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" fontId="0" fillId="0" borderId="1" xfId="0" applyNumberFormat="1" applyBorder="1"/>
    <xf numFmtId="1" fontId="2" fillId="0" borderId="1" xfId="0" applyNumberFormat="1" applyFont="1" applyBorder="1"/>
    <xf numFmtId="3" fontId="0" fillId="5" borderId="1" xfId="0" applyNumberFormat="1" applyFill="1" applyBorder="1"/>
    <xf numFmtId="0" fontId="3" fillId="2" borderId="2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2" fillId="3" borderId="1" xfId="0" applyFont="1" applyFill="1" applyBorder="1" applyProtection="1">
      <protection locked="0"/>
    </xf>
    <xf numFmtId="3" fontId="2" fillId="0" borderId="1" xfId="0" applyNumberFormat="1" applyFont="1" applyBorder="1"/>
    <xf numFmtId="0" fontId="6" fillId="0" borderId="1" xfId="0" applyFont="1" applyBorder="1"/>
    <xf numFmtId="0" fontId="6" fillId="0" borderId="6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0" xfId="0" applyFont="1"/>
    <xf numFmtId="0" fontId="6" fillId="2" borderId="1" xfId="0" applyFont="1" applyFill="1" applyBorder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43" fontId="0" fillId="5" borderId="0" xfId="3" applyFont="1" applyFill="1" applyAlignment="1">
      <alignment horizontal="center"/>
    </xf>
    <xf numFmtId="165" fontId="0" fillId="0" borderId="0" xfId="0" applyNumberFormat="1"/>
    <xf numFmtId="43" fontId="0" fillId="0" borderId="0" xfId="3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0" applyNumberFormat="1"/>
    <xf numFmtId="0" fontId="16" fillId="6" borderId="0" xfId="0" applyFont="1" applyFill="1"/>
    <xf numFmtId="166" fontId="16" fillId="6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7" fontId="15" fillId="0" borderId="0" xfId="0" applyNumberFormat="1" applyFont="1"/>
    <xf numFmtId="168" fontId="0" fillId="0" borderId="0" xfId="0" applyNumberFormat="1" applyAlignment="1">
      <alignment horizontal="left" indent="3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6" borderId="0" xfId="0" applyFont="1" applyFill="1"/>
    <xf numFmtId="4" fontId="15" fillId="6" borderId="0" xfId="0" applyNumberFormat="1" applyFont="1" applyFill="1"/>
    <xf numFmtId="10" fontId="0" fillId="0" borderId="0" xfId="0" applyNumberFormat="1"/>
    <xf numFmtId="10" fontId="15" fillId="6" borderId="0" xfId="4" applyNumberFormat="1" applyFont="1" applyFill="1"/>
    <xf numFmtId="0" fontId="17" fillId="0" borderId="0" xfId="0" applyFont="1"/>
    <xf numFmtId="0" fontId="3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3" fillId="4" borderId="0" xfId="0" applyFont="1" applyFill="1" applyAlignment="1"/>
    <xf numFmtId="0" fontId="0" fillId="4" borderId="0" xfId="0" applyFill="1" applyAlignment="1"/>
    <xf numFmtId="0" fontId="4" fillId="0" borderId="0" xfId="0" applyFont="1" applyAlignment="1"/>
    <xf numFmtId="0" fontId="0" fillId="0" borderId="0" xfId="0" applyAlignment="1"/>
    <xf numFmtId="0" fontId="3" fillId="0" borderId="2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49" fontId="8" fillId="0" borderId="0" xfId="0" applyNumberFormat="1" applyFont="1" applyAlignment="1"/>
  </cellXfs>
  <cellStyles count="5">
    <cellStyle name="Komma" xfId="3" builtinId="3"/>
    <cellStyle name="Normal" xfId="0" builtinId="0"/>
    <cellStyle name="Normal 2" xfId="2" xr:uid="{736E7174-7404-4557-B1CA-6507C2F3B824}"/>
    <cellStyle name="Procent" xfId="4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DD3AAA-B6F2-41FF-B4E1-208150D5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0</xdr:rowOff>
    </xdr:from>
    <xdr:to>
      <xdr:col>6</xdr:col>
      <xdr:colOff>0</xdr:colOff>
      <xdr:row>1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89A19-A51C-4890-9425-1AEA1B348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8425" y="0"/>
          <a:ext cx="828675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4E4E-EE80-4898-B597-CDDDB6056205}">
  <dimension ref="A1:D23"/>
  <sheetViews>
    <sheetView workbookViewId="0">
      <selection activeCell="B16" sqref="B16"/>
    </sheetView>
  </sheetViews>
  <sheetFormatPr defaultRowHeight="12.6"/>
  <cols>
    <col min="1" max="1" width="31.5703125" customWidth="1"/>
    <col min="2" max="2" width="10.5703125" style="8" customWidth="1"/>
    <col min="4" max="4" width="9.5703125" customWidth="1"/>
  </cols>
  <sheetData>
    <row r="1" spans="1:4" ht="15.6">
      <c r="A1" s="59" t="s">
        <v>0</v>
      </c>
      <c r="D1" s="80" t="s">
        <v>1</v>
      </c>
    </row>
    <row r="2" spans="1:4">
      <c r="A2" t="s">
        <v>2</v>
      </c>
      <c r="B2" s="8">
        <f>12*(44000+49000)</f>
        <v>1116000</v>
      </c>
      <c r="D2" s="4" t="s">
        <v>3</v>
      </c>
    </row>
    <row r="3" spans="1:4">
      <c r="A3" t="s">
        <v>4</v>
      </c>
      <c r="B3" s="8">
        <f>'Skat. Frederik'!E151+'Skat. Nina'!E151</f>
        <v>376300.80007012381</v>
      </c>
      <c r="D3" s="4" t="s">
        <v>5</v>
      </c>
    </row>
    <row r="5" spans="1:4" ht="15.6">
      <c r="A5" s="60" t="s">
        <v>6</v>
      </c>
      <c r="B5" s="61">
        <f>(B2-B3+B4)/12</f>
        <v>61641.599994156357</v>
      </c>
    </row>
    <row r="7" spans="1:4" ht="15.6">
      <c r="A7" s="59" t="s">
        <v>7</v>
      </c>
    </row>
    <row r="8" spans="1:4">
      <c r="A8" t="s">
        <v>8</v>
      </c>
      <c r="B8" s="8">
        <v>10000</v>
      </c>
    </row>
    <row r="9" spans="1:4">
      <c r="A9" t="s">
        <v>9</v>
      </c>
      <c r="B9" s="8">
        <f>Andelsboliglån!B8</f>
        <v>6444.7455484144584</v>
      </c>
    </row>
    <row r="10" spans="1:4">
      <c r="A10" t="s">
        <v>10</v>
      </c>
      <c r="B10" s="8">
        <v>1500</v>
      </c>
    </row>
    <row r="11" spans="1:4">
      <c r="A11" t="s">
        <v>11</v>
      </c>
      <c r="B11" s="8">
        <v>250</v>
      </c>
    </row>
    <row r="12" spans="1:4">
      <c r="A12" t="s">
        <v>12</v>
      </c>
      <c r="B12" s="8">
        <v>1900</v>
      </c>
    </row>
    <row r="13" spans="1:4">
      <c r="A13" t="s">
        <v>13</v>
      </c>
      <c r="B13" s="8">
        <f>Billån!B8</f>
        <v>3315.8738408194226</v>
      </c>
    </row>
    <row r="14" spans="1:4">
      <c r="A14" t="s">
        <v>14</v>
      </c>
      <c r="B14" s="8">
        <v>1800</v>
      </c>
    </row>
    <row r="15" spans="1:4">
      <c r="A15" t="s">
        <v>15</v>
      </c>
      <c r="B15" s="8">
        <v>1000</v>
      </c>
    </row>
    <row r="16" spans="1:4">
      <c r="A16" t="s">
        <v>16</v>
      </c>
      <c r="B16" s="8">
        <v>1000</v>
      </c>
    </row>
    <row r="17" spans="1:2">
      <c r="A17" t="s">
        <v>17</v>
      </c>
      <c r="B17" s="8">
        <v>1100</v>
      </c>
    </row>
    <row r="18" spans="1:2">
      <c r="A18" t="s">
        <v>18</v>
      </c>
      <c r="B18" s="8">
        <v>800</v>
      </c>
    </row>
    <row r="19" spans="1:2">
      <c r="A19" t="s">
        <v>19</v>
      </c>
      <c r="B19" s="8">
        <v>2000</v>
      </c>
    </row>
    <row r="20" spans="1:2">
      <c r="A20" t="s">
        <v>20</v>
      </c>
      <c r="B20" s="8">
        <v>2500</v>
      </c>
    </row>
    <row r="21" spans="1:2">
      <c r="A21" s="4" t="s">
        <v>21</v>
      </c>
      <c r="B21" s="8">
        <v>7000</v>
      </c>
    </row>
    <row r="23" spans="1:2" ht="15.6">
      <c r="A23" s="60" t="s">
        <v>22</v>
      </c>
      <c r="B23" s="61">
        <f>B5-(SUM(B8:B22))</f>
        <v>21030.980604922479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2D95-3903-4304-A53F-41EA97E2C080}">
  <dimension ref="A1:J130"/>
  <sheetViews>
    <sheetView workbookViewId="0">
      <selection activeCell="G10" sqref="G10"/>
    </sheetView>
  </sheetViews>
  <sheetFormatPr defaultColWidth="12" defaultRowHeight="12.6"/>
  <cols>
    <col min="1" max="1" width="18.140625" customWidth="1"/>
    <col min="2" max="2" width="15.85546875" customWidth="1"/>
    <col min="3" max="3" width="13.85546875" customWidth="1"/>
    <col min="4" max="4" width="17" customWidth="1"/>
    <col min="6" max="6" width="15.85546875" customWidth="1"/>
    <col min="7" max="7" width="13.42578125" customWidth="1"/>
    <col min="10" max="10" width="12.85546875" customWidth="1"/>
  </cols>
  <sheetData>
    <row r="1" spans="1:10" ht="15.6">
      <c r="A1" s="60" t="s">
        <v>23</v>
      </c>
      <c r="B1" s="62">
        <v>800000</v>
      </c>
    </row>
    <row r="2" spans="1:10" ht="15.6">
      <c r="A2" s="60" t="s">
        <v>24</v>
      </c>
      <c r="B2" s="62"/>
      <c r="D2" s="63"/>
    </row>
    <row r="3" spans="1:10" ht="15.6">
      <c r="A3" s="60" t="s">
        <v>25</v>
      </c>
      <c r="B3" s="64">
        <f>B1-B2</f>
        <v>800000</v>
      </c>
    </row>
    <row r="4" spans="1:10" ht="15.6">
      <c r="A4" s="60" t="s">
        <v>26</v>
      </c>
      <c r="B4" s="65">
        <v>7.4999999999999997E-2</v>
      </c>
      <c r="F4" s="60" t="s">
        <v>27</v>
      </c>
      <c r="G4" s="60"/>
    </row>
    <row r="5" spans="1:10" ht="15.6">
      <c r="A5" s="60" t="s">
        <v>28</v>
      </c>
      <c r="B5" s="66">
        <v>20</v>
      </c>
      <c r="D5" s="67"/>
      <c r="F5" s="60" t="s">
        <v>29</v>
      </c>
      <c r="G5" s="60"/>
      <c r="H5" s="60" t="s">
        <v>30</v>
      </c>
      <c r="I5" s="60"/>
      <c r="J5">
        <f>7.22/12</f>
        <v>0.60166666666666668</v>
      </c>
    </row>
    <row r="6" spans="1:10" ht="15.6">
      <c r="A6" s="60" t="s">
        <v>31</v>
      </c>
      <c r="B6" s="66">
        <v>12</v>
      </c>
      <c r="F6" s="68" t="s">
        <v>32</v>
      </c>
      <c r="G6" s="69">
        <f>SUM(B11:B22)</f>
        <v>59391.450323518329</v>
      </c>
      <c r="H6" s="70"/>
      <c r="I6" s="60"/>
      <c r="J6">
        <f t="shared" ref="J6:J16" si="0">7.22/12</f>
        <v>0.60166666666666668</v>
      </c>
    </row>
    <row r="7" spans="1:10" ht="15.6">
      <c r="A7" s="60" t="s">
        <v>33</v>
      </c>
      <c r="B7" s="71">
        <f>B5*B6</f>
        <v>240</v>
      </c>
      <c r="F7" s="68" t="s">
        <v>34</v>
      </c>
      <c r="G7" s="69">
        <f>SUM(B23:B34)</f>
        <v>57998.294811290922</v>
      </c>
      <c r="H7" s="60"/>
      <c r="I7" s="60"/>
      <c r="J7">
        <f t="shared" si="0"/>
        <v>0.60166666666666668</v>
      </c>
    </row>
    <row r="8" spans="1:10" ht="15.6">
      <c r="A8" s="60" t="s">
        <v>35</v>
      </c>
      <c r="B8" s="72">
        <f>PMT(B4/B6,B7,-B1)</f>
        <v>6444.7455484144584</v>
      </c>
      <c r="D8" s="73"/>
      <c r="F8" s="68" t="s">
        <v>36</v>
      </c>
      <c r="G8" s="69">
        <f>SUM(B35:B46)</f>
        <v>56496.985016038692</v>
      </c>
      <c r="H8" s="60"/>
      <c r="I8" s="60"/>
      <c r="J8">
        <f t="shared" si="0"/>
        <v>0.60166666666666668</v>
      </c>
    </row>
    <row r="9" spans="1:10" ht="15.6">
      <c r="F9" s="68" t="s">
        <v>37</v>
      </c>
      <c r="G9" s="69">
        <f>SUM(B47:B58)</f>
        <v>54879.124639693029</v>
      </c>
      <c r="H9" s="60"/>
      <c r="I9" s="60"/>
      <c r="J9">
        <f t="shared" si="0"/>
        <v>0.60166666666666668</v>
      </c>
    </row>
    <row r="10" spans="1:10" ht="15.6">
      <c r="A10" s="60" t="s">
        <v>38</v>
      </c>
      <c r="B10" s="60" t="s">
        <v>39</v>
      </c>
      <c r="C10" s="60" t="s">
        <v>40</v>
      </c>
      <c r="D10" s="60" t="s">
        <v>41</v>
      </c>
      <c r="F10" s="68" t="s">
        <v>42</v>
      </c>
      <c r="G10" s="69">
        <f>SUM(B59:B70)</f>
        <v>53135.665557745451</v>
      </c>
      <c r="H10" s="60"/>
      <c r="I10" s="60"/>
      <c r="J10">
        <f t="shared" si="0"/>
        <v>0.60166666666666668</v>
      </c>
    </row>
    <row r="11" spans="1:10" ht="15.6">
      <c r="A11" s="74">
        <v>1</v>
      </c>
      <c r="B11" s="75">
        <f>B1*B4/B6</f>
        <v>5000</v>
      </c>
      <c r="C11" s="75">
        <f>$B$8-B11</f>
        <v>1444.7455484144584</v>
      </c>
      <c r="D11" s="75">
        <f>B1-C11</f>
        <v>798555.25445158558</v>
      </c>
      <c r="F11" s="68" t="s">
        <v>43</v>
      </c>
      <c r="G11" s="69">
        <f>SUM(B71:B82)</f>
        <v>51256.857216267133</v>
      </c>
      <c r="H11" s="60"/>
      <c r="I11" s="60"/>
      <c r="J11">
        <f t="shared" si="0"/>
        <v>0.60166666666666668</v>
      </c>
    </row>
    <row r="12" spans="1:10" ht="15.6">
      <c r="A12" s="74">
        <f>IF(D11&lt;0.1,0,A11+1)</f>
        <v>2</v>
      </c>
      <c r="B12" s="75">
        <f>IF(D11&lt;0.1,0,D11*$B$4/$B$6)</f>
        <v>4990.9703403224094</v>
      </c>
      <c r="C12" s="75">
        <f>IF(D11&lt;0.1,0,$B$8-B12)</f>
        <v>1453.7752080920491</v>
      </c>
      <c r="D12" s="75">
        <f>IF(D11&lt;0.1,0,D11-C12)</f>
        <v>797101.47924349352</v>
      </c>
      <c r="F12" s="68" t="s">
        <v>44</v>
      </c>
      <c r="G12" s="69">
        <f>SUM(B83:B94)</f>
        <v>49232.19210048746</v>
      </c>
      <c r="H12" s="60"/>
      <c r="I12" s="60"/>
      <c r="J12">
        <f t="shared" si="0"/>
        <v>0.60166666666666668</v>
      </c>
    </row>
    <row r="13" spans="1:10" ht="15.6">
      <c r="A13" s="74">
        <f t="shared" ref="A13:A76" si="1">IF(D12&lt;0.1,0,A12+1)</f>
        <v>3</v>
      </c>
      <c r="B13" s="75">
        <f t="shared" ref="B13:B76" si="2">IF(D12&lt;0.1,0,D12*$B$4/$B$6)</f>
        <v>4981.8842452718345</v>
      </c>
      <c r="C13" s="75">
        <f t="shared" ref="C13:C76" si="3">IF(D12&lt;0.1,0,$B$8-B13)</f>
        <v>1462.8613031426239</v>
      </c>
      <c r="D13" s="75">
        <f t="shared" ref="D13:D76" si="4">IF(D12&lt;0.1,0,D12-C13)</f>
        <v>795638.6179403509</v>
      </c>
      <c r="F13" s="60"/>
      <c r="G13" s="60"/>
      <c r="H13" s="60"/>
      <c r="I13" s="60"/>
      <c r="J13">
        <f t="shared" si="0"/>
        <v>0.60166666666666668</v>
      </c>
    </row>
    <row r="14" spans="1:10" ht="15.6">
      <c r="A14" s="74">
        <f t="shared" si="1"/>
        <v>4</v>
      </c>
      <c r="B14" s="75">
        <f t="shared" si="2"/>
        <v>4972.7413621271926</v>
      </c>
      <c r="C14" s="75">
        <f t="shared" si="3"/>
        <v>1472.0041862872658</v>
      </c>
      <c r="D14" s="75">
        <f t="shared" si="4"/>
        <v>794166.61375406361</v>
      </c>
      <c r="F14" s="76" t="s">
        <v>45</v>
      </c>
      <c r="G14" s="77">
        <f>B6*B8</f>
        <v>77336.946580973497</v>
      </c>
      <c r="J14">
        <f t="shared" si="0"/>
        <v>0.60166666666666668</v>
      </c>
    </row>
    <row r="15" spans="1:10">
      <c r="A15" s="74">
        <f t="shared" si="1"/>
        <v>5</v>
      </c>
      <c r="B15" s="75">
        <f t="shared" si="2"/>
        <v>4963.5413359628974</v>
      </c>
      <c r="C15" s="75">
        <f t="shared" si="3"/>
        <v>1481.204212451561</v>
      </c>
      <c r="D15" s="75">
        <f t="shared" si="4"/>
        <v>792685.40954161203</v>
      </c>
      <c r="J15">
        <f t="shared" si="0"/>
        <v>0.60166666666666668</v>
      </c>
    </row>
    <row r="16" spans="1:10">
      <c r="A16" s="74">
        <f t="shared" si="1"/>
        <v>6</v>
      </c>
      <c r="B16" s="75">
        <f t="shared" si="2"/>
        <v>4954.2838096350752</v>
      </c>
      <c r="C16" s="75">
        <f t="shared" si="3"/>
        <v>1490.4617387793833</v>
      </c>
      <c r="D16" s="75">
        <f t="shared" si="4"/>
        <v>791194.9478028327</v>
      </c>
      <c r="F16" t="s">
        <v>46</v>
      </c>
      <c r="H16" s="78">
        <f>RATE(B7,-B8,B3)</f>
        <v>6.2500000000000498E-3</v>
      </c>
      <c r="J16">
        <f t="shared" si="0"/>
        <v>0.60166666666666668</v>
      </c>
    </row>
    <row r="17" spans="1:7" ht="15.6">
      <c r="A17" s="74">
        <f t="shared" si="1"/>
        <v>7</v>
      </c>
      <c r="B17" s="75">
        <f t="shared" si="2"/>
        <v>4944.9684237677038</v>
      </c>
      <c r="C17" s="75">
        <f t="shared" si="3"/>
        <v>1499.7771246467546</v>
      </c>
      <c r="D17" s="75">
        <f t="shared" si="4"/>
        <v>789695.170678186</v>
      </c>
      <c r="F17" s="76" t="s">
        <v>47</v>
      </c>
      <c r="G17" s="79">
        <f>(1+H16)^B6-1</f>
        <v>7.7632598856030688E-2</v>
      </c>
    </row>
    <row r="18" spans="1:7">
      <c r="A18" s="74">
        <f t="shared" si="1"/>
        <v>8</v>
      </c>
      <c r="B18" s="75">
        <f t="shared" si="2"/>
        <v>4935.5948167386623</v>
      </c>
      <c r="C18" s="75">
        <f t="shared" si="3"/>
        <v>1509.1507316757961</v>
      </c>
      <c r="D18" s="75">
        <f t="shared" si="4"/>
        <v>788186.01994651021</v>
      </c>
    </row>
    <row r="19" spans="1:7">
      <c r="A19" s="74">
        <f t="shared" si="1"/>
        <v>9</v>
      </c>
      <c r="B19" s="75">
        <f t="shared" si="2"/>
        <v>4926.1626246656888</v>
      </c>
      <c r="C19" s="75">
        <f t="shared" si="3"/>
        <v>1518.5829237487696</v>
      </c>
      <c r="D19" s="75">
        <f t="shared" si="4"/>
        <v>786667.43702276144</v>
      </c>
    </row>
    <row r="20" spans="1:7">
      <c r="A20" s="74">
        <f t="shared" si="1"/>
        <v>10</v>
      </c>
      <c r="B20" s="75">
        <f t="shared" si="2"/>
        <v>4916.671481392259</v>
      </c>
      <c r="C20" s="75">
        <f t="shared" si="3"/>
        <v>1528.0740670221994</v>
      </c>
      <c r="D20" s="75">
        <f t="shared" si="4"/>
        <v>785139.36295573926</v>
      </c>
      <c r="F20" t="s">
        <v>30</v>
      </c>
      <c r="G20" t="s">
        <v>30</v>
      </c>
    </row>
    <row r="21" spans="1:7">
      <c r="A21" s="74">
        <f t="shared" si="1"/>
        <v>11</v>
      </c>
      <c r="B21" s="75">
        <f t="shared" si="2"/>
        <v>4907.12101847337</v>
      </c>
      <c r="C21" s="75">
        <f t="shared" si="3"/>
        <v>1537.6245299410884</v>
      </c>
      <c r="D21" s="75">
        <f t="shared" si="4"/>
        <v>783601.73842579813</v>
      </c>
    </row>
    <row r="22" spans="1:7">
      <c r="A22" s="74">
        <f t="shared" si="1"/>
        <v>12</v>
      </c>
      <c r="B22" s="75">
        <f t="shared" si="2"/>
        <v>4897.5108651612381</v>
      </c>
      <c r="C22" s="75">
        <f t="shared" si="3"/>
        <v>1547.2346832532203</v>
      </c>
      <c r="D22" s="75">
        <f t="shared" si="4"/>
        <v>782054.50374254491</v>
      </c>
    </row>
    <row r="23" spans="1:7">
      <c r="A23" s="74">
        <f t="shared" si="1"/>
        <v>13</v>
      </c>
      <c r="B23" s="75">
        <f t="shared" si="2"/>
        <v>4887.8406483909057</v>
      </c>
      <c r="C23" s="75">
        <f t="shared" si="3"/>
        <v>1556.9049000235527</v>
      </c>
      <c r="D23" s="75">
        <f t="shared" si="4"/>
        <v>780497.59884252131</v>
      </c>
    </row>
    <row r="24" spans="1:7">
      <c r="A24" s="74">
        <f t="shared" si="1"/>
        <v>14</v>
      </c>
      <c r="B24" s="75">
        <f t="shared" si="2"/>
        <v>4878.1099927657579</v>
      </c>
      <c r="C24" s="75">
        <f t="shared" si="3"/>
        <v>1566.6355556487006</v>
      </c>
      <c r="D24" s="75">
        <f t="shared" si="4"/>
        <v>778930.9632868726</v>
      </c>
    </row>
    <row r="25" spans="1:7">
      <c r="A25" s="74">
        <f t="shared" si="1"/>
        <v>15</v>
      </c>
      <c r="B25" s="75">
        <f t="shared" si="2"/>
        <v>4868.3185205429536</v>
      </c>
      <c r="C25" s="75">
        <f t="shared" si="3"/>
        <v>1576.4270278715048</v>
      </c>
      <c r="D25" s="75">
        <f t="shared" si="4"/>
        <v>777354.53625900112</v>
      </c>
    </row>
    <row r="26" spans="1:7">
      <c r="A26" s="74">
        <f t="shared" si="1"/>
        <v>16</v>
      </c>
      <c r="B26" s="75">
        <f t="shared" si="2"/>
        <v>4858.4658516187565</v>
      </c>
      <c r="C26" s="75">
        <f t="shared" si="3"/>
        <v>1586.279696795702</v>
      </c>
      <c r="D26" s="75">
        <f t="shared" si="4"/>
        <v>775768.25656220538</v>
      </c>
    </row>
    <row r="27" spans="1:7">
      <c r="A27" s="74">
        <f t="shared" si="1"/>
        <v>17</v>
      </c>
      <c r="B27" s="75">
        <f t="shared" si="2"/>
        <v>4848.5516035137834</v>
      </c>
      <c r="C27" s="75">
        <f t="shared" si="3"/>
        <v>1596.193944900675</v>
      </c>
      <c r="D27" s="75">
        <f t="shared" si="4"/>
        <v>774172.06261730473</v>
      </c>
    </row>
    <row r="28" spans="1:7">
      <c r="A28" s="74">
        <f t="shared" si="1"/>
        <v>18</v>
      </c>
      <c r="B28" s="75">
        <f t="shared" si="2"/>
        <v>4838.5753913581548</v>
      </c>
      <c r="C28" s="75">
        <f t="shared" si="3"/>
        <v>1606.1701570563037</v>
      </c>
      <c r="D28" s="75">
        <f t="shared" si="4"/>
        <v>772565.89246024843</v>
      </c>
    </row>
    <row r="29" spans="1:7">
      <c r="A29" s="74">
        <f t="shared" si="1"/>
        <v>19</v>
      </c>
      <c r="B29" s="75">
        <f t="shared" si="2"/>
        <v>4828.5368278765527</v>
      </c>
      <c r="C29" s="75">
        <f t="shared" si="3"/>
        <v>1616.2087205379057</v>
      </c>
      <c r="D29" s="75">
        <f t="shared" si="4"/>
        <v>770949.68373971048</v>
      </c>
    </row>
    <row r="30" spans="1:7">
      <c r="A30" s="74">
        <f t="shared" si="1"/>
        <v>20</v>
      </c>
      <c r="B30" s="75">
        <f t="shared" si="2"/>
        <v>4818.4355233731903</v>
      </c>
      <c r="C30" s="75">
        <f t="shared" si="3"/>
        <v>1626.3100250412681</v>
      </c>
      <c r="D30" s="75">
        <f t="shared" si="4"/>
        <v>769323.37371466926</v>
      </c>
    </row>
    <row r="31" spans="1:7">
      <c r="A31" s="74">
        <f t="shared" si="1"/>
        <v>21</v>
      </c>
      <c r="B31" s="75">
        <f t="shared" si="2"/>
        <v>4808.271085716683</v>
      </c>
      <c r="C31" s="75">
        <f t="shared" si="3"/>
        <v>1636.4744626977754</v>
      </c>
      <c r="D31" s="75">
        <f t="shared" si="4"/>
        <v>767686.89925197151</v>
      </c>
    </row>
    <row r="32" spans="1:7">
      <c r="A32" s="74">
        <f t="shared" si="1"/>
        <v>22</v>
      </c>
      <c r="B32" s="75">
        <f t="shared" si="2"/>
        <v>4798.0431203248218</v>
      </c>
      <c r="C32" s="75">
        <f t="shared" si="3"/>
        <v>1646.7024280896367</v>
      </c>
      <c r="D32" s="75">
        <f t="shared" si="4"/>
        <v>766040.19682388182</v>
      </c>
    </row>
    <row r="33" spans="1:4">
      <c r="A33" s="74">
        <f t="shared" si="1"/>
        <v>23</v>
      </c>
      <c r="B33" s="75">
        <f t="shared" si="2"/>
        <v>4787.7512301492616</v>
      </c>
      <c r="C33" s="75">
        <f t="shared" si="3"/>
        <v>1656.9943182651969</v>
      </c>
      <c r="D33" s="75">
        <f t="shared" si="4"/>
        <v>764383.20250561659</v>
      </c>
    </row>
    <row r="34" spans="1:4">
      <c r="A34" s="74">
        <f t="shared" si="1"/>
        <v>24</v>
      </c>
      <c r="B34" s="75">
        <f t="shared" si="2"/>
        <v>4777.3950156601031</v>
      </c>
      <c r="C34" s="75">
        <f t="shared" si="3"/>
        <v>1667.3505327543553</v>
      </c>
      <c r="D34" s="75">
        <f t="shared" si="4"/>
        <v>762715.85197286226</v>
      </c>
    </row>
    <row r="35" spans="1:4">
      <c r="A35" s="74">
        <f t="shared" si="1"/>
        <v>25</v>
      </c>
      <c r="B35" s="75">
        <f t="shared" si="2"/>
        <v>4766.9740748303893</v>
      </c>
      <c r="C35" s="75">
        <f t="shared" si="3"/>
        <v>1677.7714735840691</v>
      </c>
      <c r="D35" s="75">
        <f t="shared" si="4"/>
        <v>761038.08049927815</v>
      </c>
    </row>
    <row r="36" spans="1:4">
      <c r="A36" s="74">
        <f t="shared" si="1"/>
        <v>26</v>
      </c>
      <c r="B36" s="75">
        <f t="shared" si="2"/>
        <v>4756.4880031204884</v>
      </c>
      <c r="C36" s="75">
        <f t="shared" si="3"/>
        <v>1688.25754529397</v>
      </c>
      <c r="D36" s="75">
        <f t="shared" si="4"/>
        <v>759349.82295398414</v>
      </c>
    </row>
    <row r="37" spans="1:4">
      <c r="A37" s="74">
        <f t="shared" si="1"/>
        <v>27</v>
      </c>
      <c r="B37" s="75">
        <f t="shared" si="2"/>
        <v>4745.9363934624007</v>
      </c>
      <c r="C37" s="75">
        <f t="shared" si="3"/>
        <v>1698.8091549520577</v>
      </c>
      <c r="D37" s="75">
        <f t="shared" si="4"/>
        <v>757651.01379903208</v>
      </c>
    </row>
    <row r="38" spans="1:4">
      <c r="A38" s="74">
        <f t="shared" si="1"/>
        <v>28</v>
      </c>
      <c r="B38" s="75">
        <f t="shared" si="2"/>
        <v>4735.3188362439505</v>
      </c>
      <c r="C38" s="75">
        <f t="shared" si="3"/>
        <v>1709.4267121705079</v>
      </c>
      <c r="D38" s="75">
        <f t="shared" si="4"/>
        <v>755941.5870868616</v>
      </c>
    </row>
    <row r="39" spans="1:4">
      <c r="A39" s="74">
        <f t="shared" si="1"/>
        <v>29</v>
      </c>
      <c r="B39" s="75">
        <f t="shared" si="2"/>
        <v>4724.6349192928847</v>
      </c>
      <c r="C39" s="75">
        <f t="shared" si="3"/>
        <v>1720.1106291215738</v>
      </c>
      <c r="D39" s="75">
        <f t="shared" si="4"/>
        <v>754221.47645774006</v>
      </c>
    </row>
    <row r="40" spans="1:4">
      <c r="A40" s="74">
        <f t="shared" si="1"/>
        <v>30</v>
      </c>
      <c r="B40" s="75">
        <f t="shared" si="2"/>
        <v>4713.8842278608754</v>
      </c>
      <c r="C40" s="75">
        <f t="shared" si="3"/>
        <v>1730.861320553583</v>
      </c>
      <c r="D40" s="75">
        <f t="shared" si="4"/>
        <v>752490.61513718648</v>
      </c>
    </row>
    <row r="41" spans="1:4">
      <c r="A41" s="74">
        <f t="shared" si="1"/>
        <v>31</v>
      </c>
      <c r="B41" s="75">
        <f t="shared" si="2"/>
        <v>4703.066344607415</v>
      </c>
      <c r="C41" s="75">
        <f t="shared" si="3"/>
        <v>1741.6792038070435</v>
      </c>
      <c r="D41" s="75">
        <f t="shared" si="4"/>
        <v>750748.93593337946</v>
      </c>
    </row>
    <row r="42" spans="1:4">
      <c r="A42" s="74">
        <f t="shared" si="1"/>
        <v>32</v>
      </c>
      <c r="B42" s="75">
        <f t="shared" si="2"/>
        <v>4692.1808495836212</v>
      </c>
      <c r="C42" s="75">
        <f t="shared" si="3"/>
        <v>1752.5646988308372</v>
      </c>
      <c r="D42" s="75">
        <f t="shared" si="4"/>
        <v>748996.37123454863</v>
      </c>
    </row>
    <row r="43" spans="1:4">
      <c r="A43" s="74">
        <f t="shared" si="1"/>
        <v>33</v>
      </c>
      <c r="B43" s="75">
        <f t="shared" si="2"/>
        <v>4681.2273202159286</v>
      </c>
      <c r="C43" s="75">
        <f t="shared" si="3"/>
        <v>1763.5182281985299</v>
      </c>
      <c r="D43" s="75">
        <f t="shared" si="4"/>
        <v>747232.85300635011</v>
      </c>
    </row>
    <row r="44" spans="1:4">
      <c r="A44" s="74">
        <f t="shared" si="1"/>
        <v>34</v>
      </c>
      <c r="B44" s="75">
        <f t="shared" si="2"/>
        <v>4670.2053312896878</v>
      </c>
      <c r="C44" s="75">
        <f t="shared" si="3"/>
        <v>1774.5402171247706</v>
      </c>
      <c r="D44" s="75">
        <f t="shared" si="4"/>
        <v>745458.31278922537</v>
      </c>
    </row>
    <row r="45" spans="1:4">
      <c r="A45" s="74">
        <f t="shared" si="1"/>
        <v>35</v>
      </c>
      <c r="B45" s="75">
        <f t="shared" si="2"/>
        <v>4659.1144549326582</v>
      </c>
      <c r="C45" s="75">
        <f t="shared" si="3"/>
        <v>1785.6310934818002</v>
      </c>
      <c r="D45" s="75">
        <f t="shared" si="4"/>
        <v>743672.68169574358</v>
      </c>
    </row>
    <row r="46" spans="1:4">
      <c r="A46" s="74">
        <f t="shared" si="1"/>
        <v>36</v>
      </c>
      <c r="B46" s="75">
        <f t="shared" si="2"/>
        <v>4647.954260598397</v>
      </c>
      <c r="C46" s="75">
        <f t="shared" si="3"/>
        <v>1796.7912878160614</v>
      </c>
      <c r="D46" s="75">
        <f t="shared" si="4"/>
        <v>741875.89040792757</v>
      </c>
    </row>
    <row r="47" spans="1:4">
      <c r="A47" s="74">
        <f t="shared" si="1"/>
        <v>37</v>
      </c>
      <c r="B47" s="75">
        <f t="shared" si="2"/>
        <v>4636.7243150495469</v>
      </c>
      <c r="C47" s="75">
        <f t="shared" si="3"/>
        <v>1808.0212333649115</v>
      </c>
      <c r="D47" s="75">
        <f t="shared" si="4"/>
        <v>740067.86917456263</v>
      </c>
    </row>
    <row r="48" spans="1:4">
      <c r="A48" s="74">
        <f t="shared" si="1"/>
        <v>38</v>
      </c>
      <c r="B48" s="75">
        <f t="shared" si="2"/>
        <v>4625.4241823410166</v>
      </c>
      <c r="C48" s="75">
        <f t="shared" si="3"/>
        <v>1819.3213660734418</v>
      </c>
      <c r="D48" s="75">
        <f t="shared" si="4"/>
        <v>738248.54780848918</v>
      </c>
    </row>
    <row r="49" spans="1:4">
      <c r="A49" s="74">
        <f t="shared" si="1"/>
        <v>39</v>
      </c>
      <c r="B49" s="75">
        <f t="shared" si="2"/>
        <v>4614.0534238030568</v>
      </c>
      <c r="C49" s="75">
        <f t="shared" si="3"/>
        <v>1830.6921246114016</v>
      </c>
      <c r="D49" s="75">
        <f t="shared" si="4"/>
        <v>736417.85568387783</v>
      </c>
    </row>
    <row r="50" spans="1:4">
      <c r="A50" s="74">
        <f t="shared" si="1"/>
        <v>40</v>
      </c>
      <c r="B50" s="75">
        <f t="shared" si="2"/>
        <v>4602.6115980242366</v>
      </c>
      <c r="C50" s="75">
        <f t="shared" si="3"/>
        <v>1842.1339503902218</v>
      </c>
      <c r="D50" s="75">
        <f t="shared" si="4"/>
        <v>734575.72173348756</v>
      </c>
    </row>
    <row r="51" spans="1:4">
      <c r="A51" s="74">
        <f t="shared" si="1"/>
        <v>41</v>
      </c>
      <c r="B51" s="75">
        <f t="shared" si="2"/>
        <v>4591.0982608342974</v>
      </c>
      <c r="C51" s="75">
        <f t="shared" si="3"/>
        <v>1853.647287580161</v>
      </c>
      <c r="D51" s="75">
        <f t="shared" si="4"/>
        <v>732722.07444590738</v>
      </c>
    </row>
    <row r="52" spans="1:4">
      <c r="A52" s="74">
        <f t="shared" si="1"/>
        <v>42</v>
      </c>
      <c r="B52" s="75">
        <f t="shared" si="2"/>
        <v>4579.5129652869209</v>
      </c>
      <c r="C52" s="75">
        <f t="shared" si="3"/>
        <v>1865.2325831275375</v>
      </c>
      <c r="D52" s="75">
        <f t="shared" si="4"/>
        <v>730856.84186277981</v>
      </c>
    </row>
    <row r="53" spans="1:4">
      <c r="A53" s="74">
        <f t="shared" si="1"/>
        <v>43</v>
      </c>
      <c r="B53" s="75">
        <f t="shared" si="2"/>
        <v>4567.855261642374</v>
      </c>
      <c r="C53" s="75">
        <f t="shared" si="3"/>
        <v>1876.8902867720844</v>
      </c>
      <c r="D53" s="75">
        <f t="shared" si="4"/>
        <v>728979.95157600776</v>
      </c>
    </row>
    <row r="54" spans="1:4">
      <c r="A54" s="74">
        <f t="shared" si="1"/>
        <v>44</v>
      </c>
      <c r="B54" s="75">
        <f t="shared" si="2"/>
        <v>4556.1246973500483</v>
      </c>
      <c r="C54" s="75">
        <f t="shared" si="3"/>
        <v>1888.6208510644101</v>
      </c>
      <c r="D54" s="75">
        <f t="shared" si="4"/>
        <v>727091.33072494331</v>
      </c>
    </row>
    <row r="55" spans="1:4">
      <c r="A55" s="74">
        <f t="shared" si="1"/>
        <v>45</v>
      </c>
      <c r="B55" s="75">
        <f t="shared" si="2"/>
        <v>4544.3208170308953</v>
      </c>
      <c r="C55" s="75">
        <f t="shared" si="3"/>
        <v>1900.4247313835631</v>
      </c>
      <c r="D55" s="75">
        <f t="shared" si="4"/>
        <v>725190.90599355975</v>
      </c>
    </row>
    <row r="56" spans="1:4">
      <c r="A56" s="74">
        <f t="shared" si="1"/>
        <v>46</v>
      </c>
      <c r="B56" s="75">
        <f t="shared" si="2"/>
        <v>4532.4431624597482</v>
      </c>
      <c r="C56" s="75">
        <f t="shared" si="3"/>
        <v>1912.3023859547102</v>
      </c>
      <c r="D56" s="75">
        <f t="shared" si="4"/>
        <v>723278.60360760498</v>
      </c>
    </row>
    <row r="57" spans="1:4">
      <c r="A57" s="74">
        <f t="shared" si="1"/>
        <v>47</v>
      </c>
      <c r="B57" s="75">
        <f t="shared" si="2"/>
        <v>4520.4912725475306</v>
      </c>
      <c r="C57" s="75">
        <f t="shared" si="3"/>
        <v>1924.2542758669279</v>
      </c>
      <c r="D57" s="75">
        <f t="shared" si="4"/>
        <v>721354.34933173808</v>
      </c>
    </row>
    <row r="58" spans="1:4">
      <c r="A58" s="74">
        <f t="shared" si="1"/>
        <v>48</v>
      </c>
      <c r="B58" s="75">
        <f t="shared" si="2"/>
        <v>4508.4646833233628</v>
      </c>
      <c r="C58" s="75">
        <f t="shared" si="3"/>
        <v>1936.2808650910956</v>
      </c>
      <c r="D58" s="75">
        <f t="shared" si="4"/>
        <v>719418.06846664695</v>
      </c>
    </row>
    <row r="59" spans="1:4">
      <c r="A59" s="74">
        <f t="shared" si="1"/>
        <v>49</v>
      </c>
      <c r="B59" s="75">
        <f t="shared" si="2"/>
        <v>4496.3629279165434</v>
      </c>
      <c r="C59" s="75">
        <f t="shared" si="3"/>
        <v>1948.382620497915</v>
      </c>
      <c r="D59" s="75">
        <f t="shared" si="4"/>
        <v>717469.68584614899</v>
      </c>
    </row>
    <row r="60" spans="1:4">
      <c r="A60" s="74">
        <f t="shared" si="1"/>
        <v>50</v>
      </c>
      <c r="B60" s="75">
        <f t="shared" si="2"/>
        <v>4484.1855365384308</v>
      </c>
      <c r="C60" s="75">
        <f t="shared" si="3"/>
        <v>1960.5600118760276</v>
      </c>
      <c r="D60" s="75">
        <f t="shared" si="4"/>
        <v>715509.12583427294</v>
      </c>
    </row>
    <row r="61" spans="1:4">
      <c r="A61" s="74">
        <f t="shared" si="1"/>
        <v>51</v>
      </c>
      <c r="B61" s="75">
        <f t="shared" si="2"/>
        <v>4471.9320364642053</v>
      </c>
      <c r="C61" s="75">
        <f t="shared" si="3"/>
        <v>1972.8135119502531</v>
      </c>
      <c r="D61" s="75">
        <f t="shared" si="4"/>
        <v>713536.31232232274</v>
      </c>
    </row>
    <row r="62" spans="1:4">
      <c r="A62" s="74">
        <f t="shared" si="1"/>
        <v>52</v>
      </c>
      <c r="B62" s="75">
        <f t="shared" si="2"/>
        <v>4459.6019520145173</v>
      </c>
      <c r="C62" s="75">
        <f t="shared" si="3"/>
        <v>1985.1435963999411</v>
      </c>
      <c r="D62" s="75">
        <f t="shared" si="4"/>
        <v>711551.16872592282</v>
      </c>
    </row>
    <row r="63" spans="1:4">
      <c r="A63" s="74">
        <f t="shared" si="1"/>
        <v>53</v>
      </c>
      <c r="B63" s="75">
        <f t="shared" si="2"/>
        <v>4447.1948045370173</v>
      </c>
      <c r="C63" s="75">
        <f t="shared" si="3"/>
        <v>1997.5507438774412</v>
      </c>
      <c r="D63" s="75">
        <f t="shared" si="4"/>
        <v>709553.6179820454</v>
      </c>
    </row>
    <row r="64" spans="1:4">
      <c r="A64" s="74">
        <f t="shared" si="1"/>
        <v>54</v>
      </c>
      <c r="B64" s="75">
        <f t="shared" si="2"/>
        <v>4434.7101123877837</v>
      </c>
      <c r="C64" s="75">
        <f t="shared" si="3"/>
        <v>2010.0354360266747</v>
      </c>
      <c r="D64" s="75">
        <f t="shared" si="4"/>
        <v>707543.58254601876</v>
      </c>
    </row>
    <row r="65" spans="1:4">
      <c r="A65" s="74">
        <f t="shared" si="1"/>
        <v>55</v>
      </c>
      <c r="B65" s="75">
        <f t="shared" si="2"/>
        <v>4422.1473909126171</v>
      </c>
      <c r="C65" s="75">
        <f t="shared" si="3"/>
        <v>2022.5981575018413</v>
      </c>
      <c r="D65" s="75">
        <f t="shared" si="4"/>
        <v>705520.98438851687</v>
      </c>
    </row>
    <row r="66" spans="1:4">
      <c r="A66" s="74">
        <f t="shared" si="1"/>
        <v>56</v>
      </c>
      <c r="B66" s="75">
        <f t="shared" si="2"/>
        <v>4409.5061524282301</v>
      </c>
      <c r="C66" s="75">
        <f t="shared" si="3"/>
        <v>2035.2393959862284</v>
      </c>
      <c r="D66" s="75">
        <f t="shared" si="4"/>
        <v>703485.74499253067</v>
      </c>
    </row>
    <row r="67" spans="1:4">
      <c r="A67" s="74">
        <f t="shared" si="1"/>
        <v>57</v>
      </c>
      <c r="B67" s="75">
        <f t="shared" si="2"/>
        <v>4396.7859062033167</v>
      </c>
      <c r="C67" s="75">
        <f t="shared" si="3"/>
        <v>2047.9596422111417</v>
      </c>
      <c r="D67" s="75">
        <f t="shared" si="4"/>
        <v>701437.78535031958</v>
      </c>
    </row>
    <row r="68" spans="1:4">
      <c r="A68" s="74">
        <f t="shared" si="1"/>
        <v>58</v>
      </c>
      <c r="B68" s="75">
        <f t="shared" si="2"/>
        <v>4383.9861584394976</v>
      </c>
      <c r="C68" s="75">
        <f t="shared" si="3"/>
        <v>2060.7593899749609</v>
      </c>
      <c r="D68" s="75">
        <f t="shared" si="4"/>
        <v>699377.02596034459</v>
      </c>
    </row>
    <row r="69" spans="1:4">
      <c r="A69" s="74">
        <f t="shared" si="1"/>
        <v>59</v>
      </c>
      <c r="B69" s="75">
        <f t="shared" si="2"/>
        <v>4371.1064122521539</v>
      </c>
      <c r="C69" s="75">
        <f t="shared" si="3"/>
        <v>2073.6391361623046</v>
      </c>
      <c r="D69" s="75">
        <f t="shared" si="4"/>
        <v>697303.38682418223</v>
      </c>
    </row>
    <row r="70" spans="1:4">
      <c r="A70" s="74">
        <f t="shared" si="1"/>
        <v>60</v>
      </c>
      <c r="B70" s="75">
        <f t="shared" si="2"/>
        <v>4358.146167651139</v>
      </c>
      <c r="C70" s="75">
        <f t="shared" si="3"/>
        <v>2086.5993807633195</v>
      </c>
      <c r="D70" s="75">
        <f t="shared" si="4"/>
        <v>695216.78744341887</v>
      </c>
    </row>
    <row r="71" spans="1:4">
      <c r="A71" s="74">
        <f t="shared" si="1"/>
        <v>61</v>
      </c>
      <c r="B71" s="75">
        <f t="shared" si="2"/>
        <v>4345.1049215213679</v>
      </c>
      <c r="C71" s="75">
        <f t="shared" si="3"/>
        <v>2099.6406268930905</v>
      </c>
      <c r="D71" s="75">
        <f t="shared" si="4"/>
        <v>693117.14681652572</v>
      </c>
    </row>
    <row r="72" spans="1:4">
      <c r="A72" s="74">
        <f t="shared" si="1"/>
        <v>62</v>
      </c>
      <c r="B72" s="75">
        <f t="shared" si="2"/>
        <v>4331.9821676032852</v>
      </c>
      <c r="C72" s="75">
        <f t="shared" si="3"/>
        <v>2112.7633808111732</v>
      </c>
      <c r="D72" s="75">
        <f t="shared" si="4"/>
        <v>691004.38343571452</v>
      </c>
    </row>
    <row r="73" spans="1:4">
      <c r="A73" s="74">
        <f t="shared" si="1"/>
        <v>63</v>
      </c>
      <c r="B73" s="75">
        <f t="shared" si="2"/>
        <v>4318.777396473216</v>
      </c>
      <c r="C73" s="75">
        <f t="shared" si="3"/>
        <v>2125.9681519412425</v>
      </c>
      <c r="D73" s="75">
        <f t="shared" si="4"/>
        <v>688878.41528377333</v>
      </c>
    </row>
    <row r="74" spans="1:4">
      <c r="A74" s="74">
        <f t="shared" si="1"/>
        <v>64</v>
      </c>
      <c r="B74" s="75">
        <f t="shared" si="2"/>
        <v>4305.4900955235835</v>
      </c>
      <c r="C74" s="75">
        <f t="shared" si="3"/>
        <v>2139.2554528908749</v>
      </c>
      <c r="D74" s="75">
        <f t="shared" si="4"/>
        <v>686739.15983088245</v>
      </c>
    </row>
    <row r="75" spans="1:4">
      <c r="A75" s="74">
        <f t="shared" si="1"/>
        <v>65</v>
      </c>
      <c r="B75" s="75">
        <f t="shared" si="2"/>
        <v>4292.1197489430151</v>
      </c>
      <c r="C75" s="75">
        <f t="shared" si="3"/>
        <v>2152.6257994714433</v>
      </c>
      <c r="D75" s="75">
        <f t="shared" si="4"/>
        <v>684586.53403141105</v>
      </c>
    </row>
    <row r="76" spans="1:4">
      <c r="A76" s="74">
        <f t="shared" si="1"/>
        <v>66</v>
      </c>
      <c r="B76" s="75">
        <f t="shared" si="2"/>
        <v>4278.6658376963187</v>
      </c>
      <c r="C76" s="75">
        <f t="shared" si="3"/>
        <v>2166.0797107181397</v>
      </c>
      <c r="D76" s="75">
        <f t="shared" si="4"/>
        <v>682420.45432069292</v>
      </c>
    </row>
    <row r="77" spans="1:4">
      <c r="A77" s="74">
        <f t="shared" ref="A77:A130" si="5">IF(D76&lt;0.1,0,A76+1)</f>
        <v>67</v>
      </c>
      <c r="B77" s="75">
        <f t="shared" ref="B77:B130" si="6">IF(D76&lt;0.1,0,D76*$B$4/$B$6)</f>
        <v>4265.127839504331</v>
      </c>
      <c r="C77" s="75">
        <f t="shared" ref="C77:C130" si="7">IF(D76&lt;0.1,0,$B$8-B77)</f>
        <v>2179.6177089101275</v>
      </c>
      <c r="D77" s="75">
        <f t="shared" ref="D77:D130" si="8">IF(D76&lt;0.1,0,D76-C77)</f>
        <v>680240.83661178278</v>
      </c>
    </row>
    <row r="78" spans="1:4">
      <c r="A78" s="74">
        <f t="shared" si="5"/>
        <v>68</v>
      </c>
      <c r="B78" s="75">
        <f t="shared" si="6"/>
        <v>4251.505228823642</v>
      </c>
      <c r="C78" s="75">
        <f t="shared" si="7"/>
        <v>2193.2403195908164</v>
      </c>
      <c r="D78" s="75">
        <f t="shared" si="8"/>
        <v>678047.596292192</v>
      </c>
    </row>
    <row r="79" spans="1:4">
      <c r="A79" s="74">
        <f t="shared" si="5"/>
        <v>69</v>
      </c>
      <c r="B79" s="75">
        <f t="shared" si="6"/>
        <v>4237.7974768262002</v>
      </c>
      <c r="C79" s="75">
        <f t="shared" si="7"/>
        <v>2206.9480715882582</v>
      </c>
      <c r="D79" s="75">
        <f t="shared" si="8"/>
        <v>675840.6482206037</v>
      </c>
    </row>
    <row r="80" spans="1:4">
      <c r="A80" s="74">
        <f t="shared" si="5"/>
        <v>70</v>
      </c>
      <c r="B80" s="75">
        <f t="shared" si="6"/>
        <v>4224.0040513787726</v>
      </c>
      <c r="C80" s="75">
        <f t="shared" si="7"/>
        <v>2220.7414970356858</v>
      </c>
      <c r="D80" s="75">
        <f t="shared" si="8"/>
        <v>673619.90672356798</v>
      </c>
    </row>
    <row r="81" spans="1:4">
      <c r="A81" s="74">
        <f t="shared" si="5"/>
        <v>71</v>
      </c>
      <c r="B81" s="75">
        <f t="shared" si="6"/>
        <v>4210.1244170222999</v>
      </c>
      <c r="C81" s="75">
        <f t="shared" si="7"/>
        <v>2234.6211313921585</v>
      </c>
      <c r="D81" s="75">
        <f t="shared" si="8"/>
        <v>671385.28559217579</v>
      </c>
    </row>
    <row r="82" spans="1:4">
      <c r="A82" s="74">
        <f t="shared" si="5"/>
        <v>72</v>
      </c>
      <c r="B82" s="75">
        <f t="shared" si="6"/>
        <v>4196.1580349510987</v>
      </c>
      <c r="C82" s="75">
        <f t="shared" si="7"/>
        <v>2248.5875134633598</v>
      </c>
      <c r="D82" s="75">
        <f t="shared" si="8"/>
        <v>669136.69807871245</v>
      </c>
    </row>
    <row r="83" spans="1:4">
      <c r="A83" s="74">
        <f t="shared" si="5"/>
        <v>73</v>
      </c>
      <c r="B83" s="75">
        <f t="shared" si="6"/>
        <v>4182.1043629919523</v>
      </c>
      <c r="C83" s="75">
        <f t="shared" si="7"/>
        <v>2262.6411854225062</v>
      </c>
      <c r="D83" s="75">
        <f t="shared" si="8"/>
        <v>666874.0568932899</v>
      </c>
    </row>
    <row r="84" spans="1:4">
      <c r="A84" s="74">
        <f t="shared" si="5"/>
        <v>74</v>
      </c>
      <c r="B84" s="75">
        <f t="shared" si="6"/>
        <v>4167.9628555830614</v>
      </c>
      <c r="C84" s="75">
        <f t="shared" si="7"/>
        <v>2276.7826928313971</v>
      </c>
      <c r="D84" s="75">
        <f t="shared" si="8"/>
        <v>664597.27420045855</v>
      </c>
    </row>
    <row r="85" spans="1:4">
      <c r="A85" s="74">
        <f t="shared" si="5"/>
        <v>75</v>
      </c>
      <c r="B85" s="75">
        <f t="shared" si="6"/>
        <v>4153.7329637528655</v>
      </c>
      <c r="C85" s="75">
        <f t="shared" si="7"/>
        <v>2291.0125846615929</v>
      </c>
      <c r="D85" s="75">
        <f t="shared" si="8"/>
        <v>662306.26161579695</v>
      </c>
    </row>
    <row r="86" spans="1:4">
      <c r="A86" s="74">
        <f t="shared" si="5"/>
        <v>76</v>
      </c>
      <c r="B86" s="75">
        <f t="shared" si="6"/>
        <v>4139.4141350987311</v>
      </c>
      <c r="C86" s="75">
        <f t="shared" si="7"/>
        <v>2305.3314133157273</v>
      </c>
      <c r="D86" s="75">
        <f t="shared" si="8"/>
        <v>660000.93020248122</v>
      </c>
    </row>
    <row r="87" spans="1:4">
      <c r="A87" s="74">
        <f t="shared" si="5"/>
        <v>77</v>
      </c>
      <c r="B87" s="75">
        <f t="shared" si="6"/>
        <v>4125.0058137655078</v>
      </c>
      <c r="C87" s="75">
        <f t="shared" si="7"/>
        <v>2319.7397346489506</v>
      </c>
      <c r="D87" s="75">
        <f t="shared" si="8"/>
        <v>657681.19046783226</v>
      </c>
    </row>
    <row r="88" spans="1:4">
      <c r="A88" s="74">
        <f t="shared" si="5"/>
        <v>78</v>
      </c>
      <c r="B88" s="75">
        <f t="shared" si="6"/>
        <v>4110.5074404239513</v>
      </c>
      <c r="C88" s="75">
        <f t="shared" si="7"/>
        <v>2334.2381079905072</v>
      </c>
      <c r="D88" s="75">
        <f t="shared" si="8"/>
        <v>655346.95235984179</v>
      </c>
    </row>
    <row r="89" spans="1:4">
      <c r="A89" s="74">
        <f t="shared" si="5"/>
        <v>79</v>
      </c>
      <c r="B89" s="75">
        <f t="shared" si="6"/>
        <v>4095.9184522490109</v>
      </c>
      <c r="C89" s="75">
        <f t="shared" si="7"/>
        <v>2348.8270961654475</v>
      </c>
      <c r="D89" s="75">
        <f t="shared" si="8"/>
        <v>652998.1252636764</v>
      </c>
    </row>
    <row r="90" spans="1:4">
      <c r="A90" s="74">
        <f t="shared" si="5"/>
        <v>80</v>
      </c>
      <c r="B90" s="75">
        <f t="shared" si="6"/>
        <v>4081.2382828979771</v>
      </c>
      <c r="C90" s="75">
        <f t="shared" si="7"/>
        <v>2363.5072655164813</v>
      </c>
      <c r="D90" s="75">
        <f t="shared" si="8"/>
        <v>650634.61799815996</v>
      </c>
    </row>
    <row r="91" spans="1:4">
      <c r="A91" s="74">
        <f t="shared" si="5"/>
        <v>81</v>
      </c>
      <c r="B91" s="75">
        <f t="shared" si="6"/>
        <v>4066.4663624884997</v>
      </c>
      <c r="C91" s="75">
        <f t="shared" si="7"/>
        <v>2378.2791859259587</v>
      </c>
      <c r="D91" s="75">
        <f t="shared" si="8"/>
        <v>648256.338812234</v>
      </c>
    </row>
    <row r="92" spans="1:4">
      <c r="A92" s="74">
        <f t="shared" si="5"/>
        <v>82</v>
      </c>
      <c r="B92" s="75">
        <f t="shared" si="6"/>
        <v>4051.6021175764622</v>
      </c>
      <c r="C92" s="75">
        <f t="shared" si="7"/>
        <v>2393.1434308379962</v>
      </c>
      <c r="D92" s="75">
        <f t="shared" si="8"/>
        <v>645863.19538139598</v>
      </c>
    </row>
    <row r="93" spans="1:4">
      <c r="A93" s="74">
        <f t="shared" si="5"/>
        <v>83</v>
      </c>
      <c r="B93" s="75">
        <f t="shared" si="6"/>
        <v>4036.6449711337245</v>
      </c>
      <c r="C93" s="75">
        <f t="shared" si="7"/>
        <v>2408.1005772807339</v>
      </c>
      <c r="D93" s="75">
        <f t="shared" si="8"/>
        <v>643455.09480411524</v>
      </c>
    </row>
    <row r="94" spans="1:4">
      <c r="A94" s="74">
        <f t="shared" si="5"/>
        <v>84</v>
      </c>
      <c r="B94" s="75">
        <f t="shared" si="6"/>
        <v>4021.5943425257205</v>
      </c>
      <c r="C94" s="75">
        <f t="shared" si="7"/>
        <v>2423.1512058887379</v>
      </c>
      <c r="D94" s="75">
        <f t="shared" si="8"/>
        <v>641031.94359822653</v>
      </c>
    </row>
    <row r="95" spans="1:4">
      <c r="A95" s="74">
        <f t="shared" si="5"/>
        <v>85</v>
      </c>
      <c r="B95" s="75">
        <f t="shared" si="6"/>
        <v>4006.4496474889161</v>
      </c>
      <c r="C95" s="75">
        <f t="shared" si="7"/>
        <v>2438.2959009255424</v>
      </c>
      <c r="D95" s="75">
        <f t="shared" si="8"/>
        <v>638593.647697301</v>
      </c>
    </row>
    <row r="96" spans="1:4">
      <c r="A96" s="74">
        <f t="shared" si="5"/>
        <v>86</v>
      </c>
      <c r="B96" s="75">
        <f t="shared" si="6"/>
        <v>3991.2102981081312</v>
      </c>
      <c r="C96" s="75">
        <f t="shared" si="7"/>
        <v>2453.5352503063273</v>
      </c>
      <c r="D96" s="75">
        <f t="shared" si="8"/>
        <v>636140.11244699464</v>
      </c>
    </row>
    <row r="97" spans="1:4">
      <c r="A97" s="74">
        <f t="shared" si="5"/>
        <v>87</v>
      </c>
      <c r="B97" s="75">
        <f t="shared" si="6"/>
        <v>3975.8757027937168</v>
      </c>
      <c r="C97" s="75">
        <f t="shared" si="7"/>
        <v>2468.8698456207417</v>
      </c>
      <c r="D97" s="75">
        <f t="shared" si="8"/>
        <v>633671.24260137393</v>
      </c>
    </row>
    <row r="98" spans="1:4">
      <c r="A98" s="74">
        <f t="shared" si="5"/>
        <v>88</v>
      </c>
      <c r="B98" s="75">
        <f t="shared" si="6"/>
        <v>3960.4452662585868</v>
      </c>
      <c r="C98" s="75">
        <f t="shared" si="7"/>
        <v>2484.3002821558716</v>
      </c>
      <c r="D98" s="75">
        <f t="shared" si="8"/>
        <v>631186.94231921807</v>
      </c>
    </row>
    <row r="99" spans="1:4">
      <c r="A99" s="74">
        <f t="shared" si="5"/>
        <v>89</v>
      </c>
      <c r="B99" s="75">
        <f t="shared" si="6"/>
        <v>3944.9183894951129</v>
      </c>
      <c r="C99" s="75">
        <f t="shared" si="7"/>
        <v>2499.8271589193455</v>
      </c>
      <c r="D99" s="75">
        <f t="shared" si="8"/>
        <v>628687.11516029877</v>
      </c>
    </row>
    <row r="100" spans="1:4">
      <c r="A100" s="74">
        <f t="shared" si="5"/>
        <v>90</v>
      </c>
      <c r="B100" s="75">
        <f t="shared" si="6"/>
        <v>3929.2944697518669</v>
      </c>
      <c r="C100" s="75">
        <f t="shared" si="7"/>
        <v>2515.4510786625915</v>
      </c>
      <c r="D100" s="75">
        <f t="shared" si="8"/>
        <v>626171.66408163612</v>
      </c>
    </row>
    <row r="101" spans="1:4">
      <c r="A101" s="74">
        <f t="shared" si="5"/>
        <v>91</v>
      </c>
      <c r="B101" s="75">
        <f t="shared" si="6"/>
        <v>3913.5729005102257</v>
      </c>
      <c r="C101" s="75">
        <f t="shared" si="7"/>
        <v>2531.1726479042327</v>
      </c>
      <c r="D101" s="75">
        <f t="shared" si="8"/>
        <v>623640.49143373186</v>
      </c>
    </row>
    <row r="102" spans="1:4">
      <c r="A102" s="74">
        <f t="shared" si="5"/>
        <v>92</v>
      </c>
      <c r="B102" s="75">
        <f t="shared" si="6"/>
        <v>3897.7530714608238</v>
      </c>
      <c r="C102" s="75">
        <f t="shared" si="7"/>
        <v>2546.9924769536347</v>
      </c>
      <c r="D102" s="75">
        <f t="shared" si="8"/>
        <v>621093.4989567782</v>
      </c>
    </row>
    <row r="103" spans="1:4">
      <c r="A103" s="74">
        <f t="shared" si="5"/>
        <v>93</v>
      </c>
      <c r="B103" s="75">
        <f t="shared" si="6"/>
        <v>3881.8343684798638</v>
      </c>
      <c r="C103" s="75">
        <f t="shared" si="7"/>
        <v>2562.9111799345947</v>
      </c>
      <c r="D103" s="75">
        <f t="shared" si="8"/>
        <v>618530.58777684357</v>
      </c>
    </row>
    <row r="104" spans="1:4">
      <c r="A104" s="74">
        <f t="shared" si="5"/>
        <v>94</v>
      </c>
      <c r="B104" s="75">
        <f t="shared" si="6"/>
        <v>3865.8161736052721</v>
      </c>
      <c r="C104" s="75">
        <f t="shared" si="7"/>
        <v>2578.9293748091864</v>
      </c>
      <c r="D104" s="75">
        <f t="shared" si="8"/>
        <v>615951.65840203443</v>
      </c>
    </row>
    <row r="105" spans="1:4">
      <c r="A105" s="74">
        <f t="shared" si="5"/>
        <v>95</v>
      </c>
      <c r="B105" s="75">
        <f t="shared" si="6"/>
        <v>3849.6978650127148</v>
      </c>
      <c r="C105" s="75">
        <f t="shared" si="7"/>
        <v>2595.0476834017436</v>
      </c>
      <c r="D105" s="75">
        <f t="shared" si="8"/>
        <v>613356.6107186327</v>
      </c>
    </row>
    <row r="106" spans="1:4">
      <c r="A106" s="74">
        <f t="shared" si="5"/>
        <v>96</v>
      </c>
      <c r="B106" s="75">
        <f t="shared" si="6"/>
        <v>3833.4788169914541</v>
      </c>
      <c r="C106" s="75">
        <f t="shared" si="7"/>
        <v>2611.2667314230043</v>
      </c>
      <c r="D106" s="75">
        <f t="shared" si="8"/>
        <v>610745.34398720972</v>
      </c>
    </row>
    <row r="107" spans="1:4">
      <c r="A107" s="74">
        <f t="shared" si="5"/>
        <v>97</v>
      </c>
      <c r="B107" s="75">
        <f t="shared" si="6"/>
        <v>3817.1583999200607</v>
      </c>
      <c r="C107" s="75">
        <f t="shared" si="7"/>
        <v>2627.5871484943978</v>
      </c>
      <c r="D107" s="75">
        <f t="shared" si="8"/>
        <v>608117.75683871529</v>
      </c>
    </row>
    <row r="108" spans="1:4">
      <c r="A108" s="74">
        <f t="shared" si="5"/>
        <v>98</v>
      </c>
      <c r="B108" s="75">
        <f t="shared" si="6"/>
        <v>3800.7359802419705</v>
      </c>
      <c r="C108" s="75">
        <f t="shared" si="7"/>
        <v>2644.0095681724879</v>
      </c>
      <c r="D108" s="75">
        <f t="shared" si="8"/>
        <v>605473.74727054278</v>
      </c>
    </row>
    <row r="109" spans="1:4">
      <c r="A109" s="74">
        <f t="shared" si="5"/>
        <v>99</v>
      </c>
      <c r="B109" s="75">
        <f t="shared" si="6"/>
        <v>3784.2109204408921</v>
      </c>
      <c r="C109" s="75">
        <f t="shared" si="7"/>
        <v>2660.5346279735663</v>
      </c>
      <c r="D109" s="75">
        <f t="shared" si="8"/>
        <v>602813.21264256921</v>
      </c>
    </row>
    <row r="110" spans="1:4">
      <c r="A110" s="74">
        <f t="shared" si="5"/>
        <v>100</v>
      </c>
      <c r="B110" s="75">
        <f t="shared" si="6"/>
        <v>3767.5825790160575</v>
      </c>
      <c r="C110" s="75">
        <f t="shared" si="7"/>
        <v>2677.1629693984009</v>
      </c>
      <c r="D110" s="75">
        <f t="shared" si="8"/>
        <v>600136.04967317078</v>
      </c>
    </row>
    <row r="111" spans="1:4">
      <c r="A111" s="74">
        <f t="shared" si="5"/>
        <v>101</v>
      </c>
      <c r="B111" s="75">
        <f t="shared" si="6"/>
        <v>3750.8503104573174</v>
      </c>
      <c r="C111" s="75">
        <f t="shared" si="7"/>
        <v>2693.895237957141</v>
      </c>
      <c r="D111" s="75">
        <f t="shared" si="8"/>
        <v>597442.15443521366</v>
      </c>
    </row>
    <row r="112" spans="1:4">
      <c r="A112" s="74">
        <f t="shared" si="5"/>
        <v>102</v>
      </c>
      <c r="B112" s="75">
        <f t="shared" si="6"/>
        <v>3734.013465220085</v>
      </c>
      <c r="C112" s="75">
        <f t="shared" si="7"/>
        <v>2710.7320831943734</v>
      </c>
      <c r="D112" s="75">
        <f t="shared" si="8"/>
        <v>594731.42235201923</v>
      </c>
    </row>
    <row r="113" spans="1:4">
      <c r="A113" s="74">
        <f t="shared" si="5"/>
        <v>103</v>
      </c>
      <c r="B113" s="75">
        <f t="shared" si="6"/>
        <v>3717.0713897001201</v>
      </c>
      <c r="C113" s="75">
        <f t="shared" si="7"/>
        <v>2727.6741587143383</v>
      </c>
      <c r="D113" s="75">
        <f t="shared" si="8"/>
        <v>592003.74819330487</v>
      </c>
    </row>
    <row r="114" spans="1:4">
      <c r="A114" s="74">
        <f t="shared" si="5"/>
        <v>104</v>
      </c>
      <c r="B114" s="75">
        <f t="shared" si="6"/>
        <v>3700.0234262081553</v>
      </c>
      <c r="C114" s="75">
        <f t="shared" si="7"/>
        <v>2744.7221222063031</v>
      </c>
      <c r="D114" s="75">
        <f t="shared" si="8"/>
        <v>589259.02607109852</v>
      </c>
    </row>
    <row r="115" spans="1:4">
      <c r="A115" s="74">
        <f t="shared" si="5"/>
        <v>105</v>
      </c>
      <c r="B115" s="75">
        <f t="shared" si="6"/>
        <v>3682.868912944366</v>
      </c>
      <c r="C115" s="75">
        <f t="shared" si="7"/>
        <v>2761.8766354700924</v>
      </c>
      <c r="D115" s="75">
        <f t="shared" si="8"/>
        <v>586497.14943562844</v>
      </c>
    </row>
    <row r="116" spans="1:4">
      <c r="A116" s="74">
        <f t="shared" si="5"/>
        <v>106</v>
      </c>
      <c r="B116" s="75">
        <f t="shared" si="6"/>
        <v>3665.6071839726774</v>
      </c>
      <c r="C116" s="75">
        <f t="shared" si="7"/>
        <v>2779.1383644417811</v>
      </c>
      <c r="D116" s="75">
        <f t="shared" si="8"/>
        <v>583718.01107118663</v>
      </c>
    </row>
    <row r="117" spans="1:4">
      <c r="A117" s="74">
        <f t="shared" si="5"/>
        <v>107</v>
      </c>
      <c r="B117" s="75">
        <f t="shared" si="6"/>
        <v>3648.2375691949164</v>
      </c>
      <c r="C117" s="75">
        <f t="shared" si="7"/>
        <v>2796.507979219542</v>
      </c>
      <c r="D117" s="75">
        <f t="shared" si="8"/>
        <v>580921.50309196708</v>
      </c>
    </row>
    <row r="118" spans="1:4">
      <c r="A118" s="74">
        <f t="shared" si="5"/>
        <v>108</v>
      </c>
      <c r="B118" s="75">
        <f t="shared" si="6"/>
        <v>3630.7593943247939</v>
      </c>
      <c r="C118" s="75">
        <f t="shared" si="7"/>
        <v>2813.9861540896645</v>
      </c>
      <c r="D118" s="75">
        <f t="shared" si="8"/>
        <v>578107.5169378774</v>
      </c>
    </row>
    <row r="119" spans="1:4">
      <c r="A119" s="74">
        <f t="shared" si="5"/>
        <v>109</v>
      </c>
      <c r="B119" s="75">
        <f t="shared" si="6"/>
        <v>3613.171980861734</v>
      </c>
      <c r="C119" s="75">
        <f t="shared" si="7"/>
        <v>2831.5735675527244</v>
      </c>
      <c r="D119" s="75">
        <f t="shared" si="8"/>
        <v>575275.94337032468</v>
      </c>
    </row>
    <row r="120" spans="1:4">
      <c r="A120" s="74">
        <f t="shared" si="5"/>
        <v>110</v>
      </c>
      <c r="B120" s="75">
        <f t="shared" si="6"/>
        <v>3595.4746460645292</v>
      </c>
      <c r="C120" s="75">
        <f t="shared" si="7"/>
        <v>2849.2709023499292</v>
      </c>
      <c r="D120" s="75">
        <f t="shared" si="8"/>
        <v>572426.67246797471</v>
      </c>
    </row>
    <row r="121" spans="1:4">
      <c r="A121" s="74">
        <f t="shared" si="5"/>
        <v>111</v>
      </c>
      <c r="B121" s="75">
        <f t="shared" si="6"/>
        <v>3577.666702924842</v>
      </c>
      <c r="C121" s="75">
        <f t="shared" si="7"/>
        <v>2867.0788454896165</v>
      </c>
      <c r="D121" s="75">
        <f t="shared" si="8"/>
        <v>569559.59362248506</v>
      </c>
    </row>
    <row r="122" spans="1:4">
      <c r="A122" s="74">
        <f t="shared" si="5"/>
        <v>112</v>
      </c>
      <c r="B122" s="75">
        <f t="shared" si="6"/>
        <v>3559.7474601405315</v>
      </c>
      <c r="C122" s="75">
        <f t="shared" si="7"/>
        <v>2884.9980882739269</v>
      </c>
      <c r="D122" s="75">
        <f t="shared" si="8"/>
        <v>566674.59553421114</v>
      </c>
    </row>
    <row r="123" spans="1:4">
      <c r="A123" s="74">
        <f t="shared" si="5"/>
        <v>113</v>
      </c>
      <c r="B123" s="75">
        <f t="shared" si="6"/>
        <v>3541.7162220888199</v>
      </c>
      <c r="C123" s="75">
        <f t="shared" si="7"/>
        <v>2903.0293263256385</v>
      </c>
      <c r="D123" s="75">
        <f t="shared" si="8"/>
        <v>563771.56620788551</v>
      </c>
    </row>
    <row r="124" spans="1:4">
      <c r="A124" s="74">
        <f t="shared" si="5"/>
        <v>114</v>
      </c>
      <c r="B124" s="75">
        <f t="shared" si="6"/>
        <v>3523.5722887992847</v>
      </c>
      <c r="C124" s="75">
        <f t="shared" si="7"/>
        <v>2921.1732596151737</v>
      </c>
      <c r="D124" s="75">
        <f t="shared" si="8"/>
        <v>560850.39294827031</v>
      </c>
    </row>
    <row r="125" spans="1:4">
      <c r="A125" s="74">
        <f t="shared" si="5"/>
        <v>115</v>
      </c>
      <c r="B125" s="75">
        <f t="shared" si="6"/>
        <v>3505.3149559266894</v>
      </c>
      <c r="C125" s="75">
        <f t="shared" si="7"/>
        <v>2939.430592487769</v>
      </c>
      <c r="D125" s="75">
        <f t="shared" si="8"/>
        <v>557910.96235578251</v>
      </c>
    </row>
    <row r="126" spans="1:4">
      <c r="A126" s="74">
        <f t="shared" si="5"/>
        <v>116</v>
      </c>
      <c r="B126" s="75">
        <f t="shared" si="6"/>
        <v>3486.9435147236404</v>
      </c>
      <c r="C126" s="75">
        <f t="shared" si="7"/>
        <v>2957.802033690818</v>
      </c>
      <c r="D126" s="75">
        <f t="shared" si="8"/>
        <v>554953.16032209166</v>
      </c>
    </row>
    <row r="127" spans="1:4">
      <c r="A127" s="74">
        <f t="shared" si="5"/>
        <v>117</v>
      </c>
      <c r="B127" s="75">
        <f t="shared" si="6"/>
        <v>3468.4572520130728</v>
      </c>
      <c r="C127" s="75">
        <f t="shared" si="7"/>
        <v>2976.2882964013857</v>
      </c>
      <c r="D127" s="75">
        <f t="shared" si="8"/>
        <v>551976.87202569027</v>
      </c>
    </row>
    <row r="128" spans="1:4">
      <c r="A128" s="74">
        <f t="shared" si="5"/>
        <v>118</v>
      </c>
      <c r="B128" s="75">
        <f t="shared" si="6"/>
        <v>3449.8554501605645</v>
      </c>
      <c r="C128" s="75">
        <f t="shared" si="7"/>
        <v>2994.8900982538939</v>
      </c>
      <c r="D128" s="75">
        <f t="shared" si="8"/>
        <v>548981.98192743643</v>
      </c>
    </row>
    <row r="129" spans="1:4">
      <c r="A129" s="74">
        <f t="shared" si="5"/>
        <v>119</v>
      </c>
      <c r="B129" s="75">
        <f t="shared" si="6"/>
        <v>3431.1373870464777</v>
      </c>
      <c r="C129" s="75">
        <f t="shared" si="7"/>
        <v>3013.6081613679808</v>
      </c>
      <c r="D129" s="75">
        <f t="shared" si="8"/>
        <v>545968.37376606849</v>
      </c>
    </row>
    <row r="130" spans="1:4">
      <c r="A130" s="74">
        <f t="shared" si="5"/>
        <v>120</v>
      </c>
      <c r="B130" s="75">
        <f t="shared" si="6"/>
        <v>3412.3023360379279</v>
      </c>
      <c r="C130" s="75">
        <f t="shared" si="7"/>
        <v>3032.4432123765305</v>
      </c>
      <c r="D130" s="75">
        <f t="shared" si="8"/>
        <v>542935.93055369193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37E6-19D4-473D-9328-47CD53D5FD32}">
  <dimension ref="A1:J130"/>
  <sheetViews>
    <sheetView workbookViewId="0">
      <selection activeCell="G7" sqref="G7"/>
    </sheetView>
  </sheetViews>
  <sheetFormatPr defaultColWidth="12" defaultRowHeight="12.6"/>
  <cols>
    <col min="1" max="1" width="18.140625" customWidth="1"/>
    <col min="2" max="2" width="15.85546875" customWidth="1"/>
    <col min="3" max="3" width="13.85546875" customWidth="1"/>
    <col min="4" max="4" width="17" customWidth="1"/>
    <col min="6" max="6" width="15.85546875" customWidth="1"/>
    <col min="7" max="7" width="13.42578125" customWidth="1"/>
    <col min="10" max="10" width="12.85546875" customWidth="1"/>
  </cols>
  <sheetData>
    <row r="1" spans="1:10" ht="15.6">
      <c r="A1" s="60" t="s">
        <v>23</v>
      </c>
      <c r="B1" s="62">
        <v>250000</v>
      </c>
    </row>
    <row r="2" spans="1:10" ht="15.6">
      <c r="A2" s="60" t="s">
        <v>24</v>
      </c>
      <c r="B2" s="62"/>
      <c r="D2" s="63"/>
    </row>
    <row r="3" spans="1:10" ht="15.6">
      <c r="A3" s="60" t="s">
        <v>25</v>
      </c>
      <c r="B3" s="64">
        <f>B1-B2</f>
        <v>250000</v>
      </c>
    </row>
    <row r="4" spans="1:10" ht="15.6">
      <c r="A4" s="60" t="s">
        <v>26</v>
      </c>
      <c r="B4" s="65">
        <v>6.25E-2</v>
      </c>
      <c r="F4" s="60" t="s">
        <v>27</v>
      </c>
      <c r="G4" s="60"/>
    </row>
    <row r="5" spans="1:10" ht="15.6">
      <c r="A5" s="60" t="s">
        <v>28</v>
      </c>
      <c r="B5" s="66">
        <v>8</v>
      </c>
      <c r="D5" s="67"/>
      <c r="F5" s="60" t="s">
        <v>29</v>
      </c>
      <c r="G5" s="60"/>
      <c r="H5" s="60" t="s">
        <v>30</v>
      </c>
      <c r="I5" s="60"/>
      <c r="J5">
        <f>7.22/12</f>
        <v>0.60166666666666668</v>
      </c>
    </row>
    <row r="6" spans="1:10" ht="15.6">
      <c r="A6" s="60" t="s">
        <v>31</v>
      </c>
      <c r="B6" s="66">
        <v>12</v>
      </c>
      <c r="F6" s="68" t="s">
        <v>32</v>
      </c>
      <c r="G6" s="69">
        <f>SUM(B11:B22)</f>
        <v>14920.599431552033</v>
      </c>
      <c r="H6" s="70"/>
      <c r="I6" s="60"/>
      <c r="J6">
        <f t="shared" ref="J6:J16" si="0">7.22/12</f>
        <v>0.60166666666666668</v>
      </c>
    </row>
    <row r="7" spans="1:10" ht="15.6">
      <c r="A7" s="60" t="s">
        <v>33</v>
      </c>
      <c r="B7" s="71">
        <f>B5*B6</f>
        <v>96</v>
      </c>
      <c r="F7" s="68" t="s">
        <v>34</v>
      </c>
      <c r="G7" s="69">
        <f>SUM(B23:B34)</f>
        <v>13320.923192637154</v>
      </c>
      <c r="H7" s="60"/>
      <c r="I7" s="60"/>
      <c r="J7">
        <f t="shared" si="0"/>
        <v>0.60166666666666668</v>
      </c>
    </row>
    <row r="8" spans="1:10" ht="15.6">
      <c r="A8" s="60" t="s">
        <v>35</v>
      </c>
      <c r="B8" s="72">
        <f>PMT(B4/B6,B7,-B1)</f>
        <v>3315.8738408194226</v>
      </c>
      <c r="D8" s="73"/>
      <c r="F8" s="68" t="s">
        <v>36</v>
      </c>
      <c r="G8" s="69">
        <f>SUM(B35:B46)</f>
        <v>11618.352875252607</v>
      </c>
      <c r="H8" s="60"/>
      <c r="I8" s="60"/>
      <c r="J8">
        <f t="shared" si="0"/>
        <v>0.60166666666666668</v>
      </c>
    </row>
    <row r="9" spans="1:10" ht="15.6">
      <c r="F9" s="68" t="s">
        <v>37</v>
      </c>
      <c r="G9" s="69">
        <f>SUM(B47:B58)</f>
        <v>9806.2701455589759</v>
      </c>
      <c r="H9" s="60"/>
      <c r="I9" s="60"/>
      <c r="J9">
        <f t="shared" si="0"/>
        <v>0.60166666666666668</v>
      </c>
    </row>
    <row r="10" spans="1:10" ht="15.6">
      <c r="A10" s="60" t="s">
        <v>38</v>
      </c>
      <c r="B10" s="60" t="s">
        <v>39</v>
      </c>
      <c r="C10" s="60" t="s">
        <v>40</v>
      </c>
      <c r="D10" s="60" t="s">
        <v>41</v>
      </c>
      <c r="F10" s="68" t="s">
        <v>42</v>
      </c>
      <c r="G10" s="69">
        <f>SUM(B59:B70)</f>
        <v>7877.6309664746232</v>
      </c>
      <c r="H10" s="60"/>
      <c r="I10" s="60"/>
      <c r="J10">
        <f t="shared" si="0"/>
        <v>0.60166666666666668</v>
      </c>
    </row>
    <row r="11" spans="1:10" ht="15.6">
      <c r="A11" s="74">
        <v>1</v>
      </c>
      <c r="B11" s="75">
        <f>B1*B4/B6</f>
        <v>1302.0833333333333</v>
      </c>
      <c r="C11" s="75">
        <f>$B$8-B11</f>
        <v>2013.7905074860894</v>
      </c>
      <c r="D11" s="75">
        <f>B1-C11</f>
        <v>247986.20949251391</v>
      </c>
      <c r="F11" s="68" t="s">
        <v>43</v>
      </c>
      <c r="G11" s="69">
        <f>SUM(B71:B82)</f>
        <v>5824.9382156706633</v>
      </c>
      <c r="H11" s="60"/>
      <c r="I11" s="60"/>
      <c r="J11">
        <f t="shared" si="0"/>
        <v>0.60166666666666668</v>
      </c>
    </row>
    <row r="12" spans="1:10" ht="15.6">
      <c r="A12" s="74">
        <f>IF(D11&lt;0.1,0,A11+1)</f>
        <v>2</v>
      </c>
      <c r="B12" s="75">
        <f>IF(D11&lt;0.1,0,D11*$B$4/$B$6)</f>
        <v>1291.5948411068432</v>
      </c>
      <c r="C12" s="75">
        <f>IF(D11&lt;0.1,0,$B$8-B12)</f>
        <v>2024.2789997125794</v>
      </c>
      <c r="D12" s="75">
        <f>IF(D11&lt;0.1,0,D11-C12)</f>
        <v>245961.93049280133</v>
      </c>
      <c r="F12" s="68" t="s">
        <v>44</v>
      </c>
      <c r="G12" s="69">
        <f>SUM(B83:B94)</f>
        <v>3640.212542305695</v>
      </c>
      <c r="H12" s="60"/>
      <c r="I12" s="60"/>
      <c r="J12">
        <f t="shared" si="0"/>
        <v>0.60166666666666668</v>
      </c>
    </row>
    <row r="13" spans="1:10" ht="15.6">
      <c r="A13" s="74">
        <f t="shared" ref="A13:A76" si="1">IF(D12&lt;0.1,0,A12+1)</f>
        <v>3</v>
      </c>
      <c r="B13" s="75">
        <f t="shared" ref="B13:B76" si="2">IF(D12&lt;0.1,0,D12*$B$4/$B$6)</f>
        <v>1281.0517213166736</v>
      </c>
      <c r="C13" s="75">
        <f t="shared" ref="C13:C76" si="3">IF(D12&lt;0.1,0,$B$8-B13)</f>
        <v>2034.822119502749</v>
      </c>
      <c r="D13" s="75">
        <f t="shared" ref="D13:D76" si="4">IF(D12&lt;0.1,0,D12-C13)</f>
        <v>243927.10837329857</v>
      </c>
      <c r="F13" s="60"/>
      <c r="G13" s="60"/>
      <c r="H13" s="60"/>
      <c r="I13" s="60"/>
      <c r="J13">
        <f t="shared" si="0"/>
        <v>0.60166666666666668</v>
      </c>
    </row>
    <row r="14" spans="1:10" ht="15.6">
      <c r="A14" s="74">
        <f t="shared" si="1"/>
        <v>4</v>
      </c>
      <c r="B14" s="75">
        <f t="shared" si="2"/>
        <v>1270.4536894442633</v>
      </c>
      <c r="C14" s="75">
        <f t="shared" si="3"/>
        <v>2045.4201513751593</v>
      </c>
      <c r="D14" s="75">
        <f t="shared" si="4"/>
        <v>241881.68822192342</v>
      </c>
      <c r="F14" s="76" t="s">
        <v>45</v>
      </c>
      <c r="G14" s="77">
        <f>B6*B8</f>
        <v>39790.486089833073</v>
      </c>
      <c r="J14">
        <f t="shared" si="0"/>
        <v>0.60166666666666668</v>
      </c>
    </row>
    <row r="15" spans="1:10">
      <c r="A15" s="74">
        <f t="shared" si="1"/>
        <v>5</v>
      </c>
      <c r="B15" s="75">
        <f t="shared" si="2"/>
        <v>1259.8004594891845</v>
      </c>
      <c r="C15" s="75">
        <f t="shared" si="3"/>
        <v>2056.0733813302381</v>
      </c>
      <c r="D15" s="75">
        <f t="shared" si="4"/>
        <v>239825.61484059319</v>
      </c>
      <c r="J15">
        <f t="shared" si="0"/>
        <v>0.60166666666666668</v>
      </c>
    </row>
    <row r="16" spans="1:10">
      <c r="A16" s="74">
        <f t="shared" si="1"/>
        <v>6</v>
      </c>
      <c r="B16" s="75">
        <f t="shared" si="2"/>
        <v>1249.0917439614229</v>
      </c>
      <c r="C16" s="75">
        <f t="shared" si="3"/>
        <v>2066.7820968579999</v>
      </c>
      <c r="D16" s="75">
        <f t="shared" si="4"/>
        <v>237758.8327437352</v>
      </c>
      <c r="F16" t="s">
        <v>46</v>
      </c>
      <c r="H16" s="78">
        <f>RATE(B7,-B8,B3)</f>
        <v>5.2083333333334675E-3</v>
      </c>
      <c r="J16">
        <f t="shared" si="0"/>
        <v>0.60166666666666668</v>
      </c>
    </row>
    <row r="17" spans="1:7" ht="15.6">
      <c r="A17" s="74">
        <f t="shared" si="1"/>
        <v>7</v>
      </c>
      <c r="B17" s="75">
        <f t="shared" si="2"/>
        <v>1238.3272538736207</v>
      </c>
      <c r="C17" s="75">
        <f t="shared" si="3"/>
        <v>2077.5465869458021</v>
      </c>
      <c r="D17" s="75">
        <f t="shared" si="4"/>
        <v>235681.2861567894</v>
      </c>
      <c r="F17" s="76" t="s">
        <v>47</v>
      </c>
      <c r="G17" s="79">
        <f>(1+H16)^B6-1</f>
        <v>6.4321814606351779E-2</v>
      </c>
    </row>
    <row r="18" spans="1:7">
      <c r="A18" s="74">
        <f t="shared" si="1"/>
        <v>8</v>
      </c>
      <c r="B18" s="75">
        <f t="shared" si="2"/>
        <v>1227.5066987332782</v>
      </c>
      <c r="C18" s="75">
        <f t="shared" si="3"/>
        <v>2088.3671420861447</v>
      </c>
      <c r="D18" s="75">
        <f t="shared" si="4"/>
        <v>233592.91901470325</v>
      </c>
    </row>
    <row r="19" spans="1:7">
      <c r="A19" s="74">
        <f t="shared" si="1"/>
        <v>9</v>
      </c>
      <c r="B19" s="75">
        <f t="shared" si="2"/>
        <v>1216.6297865349127</v>
      </c>
      <c r="C19" s="75">
        <f t="shared" si="3"/>
        <v>2099.2440542845097</v>
      </c>
      <c r="D19" s="75">
        <f t="shared" si="4"/>
        <v>231493.67496041875</v>
      </c>
    </row>
    <row r="20" spans="1:7">
      <c r="A20" s="74">
        <f t="shared" si="1"/>
        <v>10</v>
      </c>
      <c r="B20" s="75">
        <f t="shared" si="2"/>
        <v>1205.6962237521809</v>
      </c>
      <c r="C20" s="75">
        <f t="shared" si="3"/>
        <v>2110.177617067242</v>
      </c>
      <c r="D20" s="75">
        <f t="shared" si="4"/>
        <v>229383.49734335151</v>
      </c>
      <c r="F20" t="s">
        <v>30</v>
      </c>
      <c r="G20" t="s">
        <v>30</v>
      </c>
    </row>
    <row r="21" spans="1:7">
      <c r="A21" s="74">
        <f t="shared" si="1"/>
        <v>11</v>
      </c>
      <c r="B21" s="75">
        <f t="shared" si="2"/>
        <v>1194.7057153299559</v>
      </c>
      <c r="C21" s="75">
        <f t="shared" si="3"/>
        <v>2121.1681254894665</v>
      </c>
      <c r="D21" s="75">
        <f t="shared" si="4"/>
        <v>227262.32921786205</v>
      </c>
    </row>
    <row r="22" spans="1:7">
      <c r="A22" s="74">
        <f t="shared" si="1"/>
        <v>12</v>
      </c>
      <c r="B22" s="75">
        <f t="shared" si="2"/>
        <v>1183.6579646763648</v>
      </c>
      <c r="C22" s="75">
        <f t="shared" si="3"/>
        <v>2132.2158761430578</v>
      </c>
      <c r="D22" s="75">
        <f t="shared" si="4"/>
        <v>225130.113341719</v>
      </c>
    </row>
    <row r="23" spans="1:7">
      <c r="A23" s="74">
        <f t="shared" si="1"/>
        <v>13</v>
      </c>
      <c r="B23" s="75">
        <f t="shared" si="2"/>
        <v>1172.5526736547865</v>
      </c>
      <c r="C23" s="75">
        <f t="shared" si="3"/>
        <v>2143.3211671646359</v>
      </c>
      <c r="D23" s="75">
        <f t="shared" si="4"/>
        <v>222986.79217455437</v>
      </c>
    </row>
    <row r="24" spans="1:7">
      <c r="A24" s="74">
        <f t="shared" si="1"/>
        <v>14</v>
      </c>
      <c r="B24" s="75">
        <f t="shared" si="2"/>
        <v>1161.3895425758039</v>
      </c>
      <c r="C24" s="75">
        <f t="shared" si="3"/>
        <v>2154.4842982436185</v>
      </c>
      <c r="D24" s="75">
        <f t="shared" si="4"/>
        <v>220832.30787631075</v>
      </c>
    </row>
    <row r="25" spans="1:7">
      <c r="A25" s="74">
        <f t="shared" si="1"/>
        <v>15</v>
      </c>
      <c r="B25" s="75">
        <f t="shared" si="2"/>
        <v>1150.1682701891184</v>
      </c>
      <c r="C25" s="75">
        <f t="shared" si="3"/>
        <v>2165.7055706303045</v>
      </c>
      <c r="D25" s="75">
        <f t="shared" si="4"/>
        <v>218666.60230568046</v>
      </c>
    </row>
    <row r="26" spans="1:7">
      <c r="A26" s="74">
        <f t="shared" si="1"/>
        <v>16</v>
      </c>
      <c r="B26" s="75">
        <f t="shared" si="2"/>
        <v>1138.888553675419</v>
      </c>
      <c r="C26" s="75">
        <f t="shared" si="3"/>
        <v>2176.9852871440035</v>
      </c>
      <c r="D26" s="75">
        <f t="shared" si="4"/>
        <v>216489.61701853646</v>
      </c>
    </row>
    <row r="27" spans="1:7">
      <c r="A27" s="74">
        <f t="shared" si="1"/>
        <v>17</v>
      </c>
      <c r="B27" s="75">
        <f t="shared" si="2"/>
        <v>1127.5500886382108</v>
      </c>
      <c r="C27" s="75">
        <f t="shared" si="3"/>
        <v>2188.3237521812116</v>
      </c>
      <c r="D27" s="75">
        <f t="shared" si="4"/>
        <v>214301.29326635523</v>
      </c>
    </row>
    <row r="28" spans="1:7">
      <c r="A28" s="74">
        <f t="shared" si="1"/>
        <v>18</v>
      </c>
      <c r="B28" s="75">
        <f t="shared" si="2"/>
        <v>1116.1525690956003</v>
      </c>
      <c r="C28" s="75">
        <f t="shared" si="3"/>
        <v>2199.7212717238226</v>
      </c>
      <c r="D28" s="75">
        <f t="shared" si="4"/>
        <v>212101.57199463141</v>
      </c>
    </row>
    <row r="29" spans="1:7">
      <c r="A29" s="74">
        <f t="shared" si="1"/>
        <v>19</v>
      </c>
      <c r="B29" s="75">
        <f t="shared" si="2"/>
        <v>1104.6956874720386</v>
      </c>
      <c r="C29" s="75">
        <f t="shared" si="3"/>
        <v>2211.1781533473841</v>
      </c>
      <c r="D29" s="75">
        <f t="shared" si="4"/>
        <v>209890.39384128404</v>
      </c>
    </row>
    <row r="30" spans="1:7">
      <c r="A30" s="74">
        <f t="shared" si="1"/>
        <v>20</v>
      </c>
      <c r="B30" s="75">
        <f t="shared" si="2"/>
        <v>1093.179134590021</v>
      </c>
      <c r="C30" s="75">
        <f t="shared" si="3"/>
        <v>2222.6947062294016</v>
      </c>
      <c r="D30" s="75">
        <f t="shared" si="4"/>
        <v>207667.69913505463</v>
      </c>
    </row>
    <row r="31" spans="1:7">
      <c r="A31" s="74">
        <f t="shared" si="1"/>
        <v>21</v>
      </c>
      <c r="B31" s="75">
        <f t="shared" si="2"/>
        <v>1081.6025996617429</v>
      </c>
      <c r="C31" s="75">
        <f t="shared" si="3"/>
        <v>2234.2712411576795</v>
      </c>
      <c r="D31" s="75">
        <f t="shared" si="4"/>
        <v>205433.42789389694</v>
      </c>
    </row>
    <row r="32" spans="1:7">
      <c r="A32" s="74">
        <f t="shared" si="1"/>
        <v>22</v>
      </c>
      <c r="B32" s="75">
        <f t="shared" si="2"/>
        <v>1069.9657702807133</v>
      </c>
      <c r="C32" s="75">
        <f t="shared" si="3"/>
        <v>2245.9080705387096</v>
      </c>
      <c r="D32" s="75">
        <f t="shared" si="4"/>
        <v>203187.51982335822</v>
      </c>
    </row>
    <row r="33" spans="1:4">
      <c r="A33" s="74">
        <f t="shared" si="1"/>
        <v>23</v>
      </c>
      <c r="B33" s="75">
        <f t="shared" si="2"/>
        <v>1058.2683324133241</v>
      </c>
      <c r="C33" s="75">
        <f t="shared" si="3"/>
        <v>2257.6055084060986</v>
      </c>
      <c r="D33" s="75">
        <f t="shared" si="4"/>
        <v>200929.91431495213</v>
      </c>
    </row>
    <row r="34" spans="1:4">
      <c r="A34" s="74">
        <f t="shared" si="1"/>
        <v>24</v>
      </c>
      <c r="B34" s="75">
        <f t="shared" si="2"/>
        <v>1046.5099703903757</v>
      </c>
      <c r="C34" s="75">
        <f t="shared" si="3"/>
        <v>2269.363870429047</v>
      </c>
      <c r="D34" s="75">
        <f t="shared" si="4"/>
        <v>198660.55044452308</v>
      </c>
    </row>
    <row r="35" spans="1:4">
      <c r="A35" s="74">
        <f t="shared" si="1"/>
        <v>25</v>
      </c>
      <c r="B35" s="75">
        <f t="shared" si="2"/>
        <v>1034.6903668985576</v>
      </c>
      <c r="C35" s="75">
        <f t="shared" si="3"/>
        <v>2281.1834739208653</v>
      </c>
      <c r="D35" s="75">
        <f t="shared" si="4"/>
        <v>196379.36697060222</v>
      </c>
    </row>
    <row r="36" spans="1:4">
      <c r="A36" s="74">
        <f t="shared" si="1"/>
        <v>26</v>
      </c>
      <c r="B36" s="75">
        <f t="shared" si="2"/>
        <v>1022.8092029718865</v>
      </c>
      <c r="C36" s="75">
        <f t="shared" si="3"/>
        <v>2293.0646378475362</v>
      </c>
      <c r="D36" s="75">
        <f t="shared" si="4"/>
        <v>194086.30233275468</v>
      </c>
    </row>
    <row r="37" spans="1:4">
      <c r="A37" s="74">
        <f t="shared" si="1"/>
        <v>27</v>
      </c>
      <c r="B37" s="75">
        <f t="shared" si="2"/>
        <v>1010.8661579830973</v>
      </c>
      <c r="C37" s="75">
        <f t="shared" si="3"/>
        <v>2305.0076828363253</v>
      </c>
      <c r="D37" s="75">
        <f t="shared" si="4"/>
        <v>191781.29464991836</v>
      </c>
    </row>
    <row r="38" spans="1:4">
      <c r="A38" s="74">
        <f t="shared" si="1"/>
        <v>28</v>
      </c>
      <c r="B38" s="75">
        <f t="shared" si="2"/>
        <v>998.86090963499146</v>
      </c>
      <c r="C38" s="75">
        <f t="shared" si="3"/>
        <v>2317.0129311844312</v>
      </c>
      <c r="D38" s="75">
        <f t="shared" si="4"/>
        <v>189464.28171873392</v>
      </c>
    </row>
    <row r="39" spans="1:4">
      <c r="A39" s="74">
        <f t="shared" si="1"/>
        <v>29</v>
      </c>
      <c r="B39" s="75">
        <f t="shared" si="2"/>
        <v>986.79313395173915</v>
      </c>
      <c r="C39" s="75">
        <f t="shared" si="3"/>
        <v>2329.0807068676836</v>
      </c>
      <c r="D39" s="75">
        <f t="shared" si="4"/>
        <v>187135.20101186624</v>
      </c>
    </row>
    <row r="40" spans="1:4">
      <c r="A40" s="74">
        <f t="shared" si="1"/>
        <v>30</v>
      </c>
      <c r="B40" s="75">
        <f t="shared" si="2"/>
        <v>974.66250527013665</v>
      </c>
      <c r="C40" s="75">
        <f t="shared" si="3"/>
        <v>2341.2113355492861</v>
      </c>
      <c r="D40" s="75">
        <f t="shared" si="4"/>
        <v>184793.98967631697</v>
      </c>
    </row>
    <row r="41" spans="1:4">
      <c r="A41" s="74">
        <f t="shared" si="1"/>
        <v>31</v>
      </c>
      <c r="B41" s="75">
        <f t="shared" si="2"/>
        <v>962.4686962308175</v>
      </c>
      <c r="C41" s="75">
        <f t="shared" si="3"/>
        <v>2353.4051445886053</v>
      </c>
      <c r="D41" s="75">
        <f t="shared" si="4"/>
        <v>182440.58453172835</v>
      </c>
    </row>
    <row r="42" spans="1:4">
      <c r="A42" s="74">
        <f t="shared" si="1"/>
        <v>32</v>
      </c>
      <c r="B42" s="75">
        <f t="shared" si="2"/>
        <v>950.2113777694185</v>
      </c>
      <c r="C42" s="75">
        <f t="shared" si="3"/>
        <v>2365.6624630500041</v>
      </c>
      <c r="D42" s="75">
        <f t="shared" si="4"/>
        <v>180074.92206867834</v>
      </c>
    </row>
    <row r="43" spans="1:4">
      <c r="A43" s="74">
        <f t="shared" si="1"/>
        <v>33</v>
      </c>
      <c r="B43" s="75">
        <f t="shared" si="2"/>
        <v>937.89021910769964</v>
      </c>
      <c r="C43" s="75">
        <f t="shared" si="3"/>
        <v>2377.9836217117231</v>
      </c>
      <c r="D43" s="75">
        <f t="shared" si="4"/>
        <v>177696.93844696661</v>
      </c>
    </row>
    <row r="44" spans="1:4">
      <c r="A44" s="74">
        <f t="shared" si="1"/>
        <v>34</v>
      </c>
      <c r="B44" s="75">
        <f t="shared" si="2"/>
        <v>925.5048877446178</v>
      </c>
      <c r="C44" s="75">
        <f t="shared" si="3"/>
        <v>2390.3689530748047</v>
      </c>
      <c r="D44" s="75">
        <f t="shared" si="4"/>
        <v>175306.56949389182</v>
      </c>
    </row>
    <row r="45" spans="1:4">
      <c r="A45" s="74">
        <f t="shared" si="1"/>
        <v>35</v>
      </c>
      <c r="B45" s="75">
        <f t="shared" si="2"/>
        <v>913.05504944735321</v>
      </c>
      <c r="C45" s="75">
        <f t="shared" si="3"/>
        <v>2402.8187913720694</v>
      </c>
      <c r="D45" s="75">
        <f t="shared" si="4"/>
        <v>172903.75070251976</v>
      </c>
    </row>
    <row r="46" spans="1:4">
      <c r="A46" s="74">
        <f t="shared" si="1"/>
        <v>36</v>
      </c>
      <c r="B46" s="75">
        <f t="shared" si="2"/>
        <v>900.54036824229036</v>
      </c>
      <c r="C46" s="75">
        <f t="shared" si="3"/>
        <v>2415.3334725771324</v>
      </c>
      <c r="D46" s="75">
        <f t="shared" si="4"/>
        <v>170488.41722994263</v>
      </c>
    </row>
    <row r="47" spans="1:4">
      <c r="A47" s="74">
        <f t="shared" si="1"/>
        <v>37</v>
      </c>
      <c r="B47" s="75">
        <f t="shared" si="2"/>
        <v>887.96050640595115</v>
      </c>
      <c r="C47" s="75">
        <f t="shared" si="3"/>
        <v>2427.9133344134716</v>
      </c>
      <c r="D47" s="75">
        <f t="shared" si="4"/>
        <v>168060.50389552917</v>
      </c>
    </row>
    <row r="48" spans="1:4">
      <c r="A48" s="74">
        <f t="shared" si="1"/>
        <v>38</v>
      </c>
      <c r="B48" s="75">
        <f t="shared" si="2"/>
        <v>875.31512445588112</v>
      </c>
      <c r="C48" s="75">
        <f t="shared" si="3"/>
        <v>2440.5587163635414</v>
      </c>
      <c r="D48" s="75">
        <f t="shared" si="4"/>
        <v>165619.94517916563</v>
      </c>
    </row>
    <row r="49" spans="1:4">
      <c r="A49" s="74">
        <f t="shared" si="1"/>
        <v>39</v>
      </c>
      <c r="B49" s="75">
        <f t="shared" si="2"/>
        <v>862.6038811414877</v>
      </c>
      <c r="C49" s="75">
        <f t="shared" si="3"/>
        <v>2453.2699596779348</v>
      </c>
      <c r="D49" s="75">
        <f t="shared" si="4"/>
        <v>163166.67521948769</v>
      </c>
    </row>
    <row r="50" spans="1:4">
      <c r="A50" s="74">
        <f t="shared" si="1"/>
        <v>40</v>
      </c>
      <c r="B50" s="75">
        <f t="shared" si="2"/>
        <v>849.82643343483176</v>
      </c>
      <c r="C50" s="75">
        <f t="shared" si="3"/>
        <v>2466.0474073845908</v>
      </c>
      <c r="D50" s="75">
        <f t="shared" si="4"/>
        <v>160700.62781210311</v>
      </c>
    </row>
    <row r="51" spans="1:4">
      <c r="A51" s="74">
        <f t="shared" si="1"/>
        <v>41</v>
      </c>
      <c r="B51" s="75">
        <f t="shared" si="2"/>
        <v>836.98243652137035</v>
      </c>
      <c r="C51" s="75">
        <f t="shared" si="3"/>
        <v>2478.8914042980523</v>
      </c>
      <c r="D51" s="75">
        <f t="shared" si="4"/>
        <v>158221.73640780506</v>
      </c>
    </row>
    <row r="52" spans="1:4">
      <c r="A52" s="74">
        <f t="shared" si="1"/>
        <v>42</v>
      </c>
      <c r="B52" s="75">
        <f t="shared" si="2"/>
        <v>824.07154379065139</v>
      </c>
      <c r="C52" s="75">
        <f t="shared" si="3"/>
        <v>2491.8022970287711</v>
      </c>
      <c r="D52" s="75">
        <f t="shared" si="4"/>
        <v>155729.93411077629</v>
      </c>
    </row>
    <row r="53" spans="1:4">
      <c r="A53" s="74">
        <f t="shared" si="1"/>
        <v>43</v>
      </c>
      <c r="B53" s="75">
        <f t="shared" si="2"/>
        <v>811.09340682695984</v>
      </c>
      <c r="C53" s="75">
        <f t="shared" si="3"/>
        <v>2504.7804339924628</v>
      </c>
      <c r="D53" s="75">
        <f t="shared" si="4"/>
        <v>153225.15367678381</v>
      </c>
    </row>
    <row r="54" spans="1:4">
      <c r="A54" s="74">
        <f t="shared" si="1"/>
        <v>44</v>
      </c>
      <c r="B54" s="75">
        <f t="shared" si="2"/>
        <v>798.04767539991565</v>
      </c>
      <c r="C54" s="75">
        <f t="shared" si="3"/>
        <v>2517.8261654195071</v>
      </c>
      <c r="D54" s="75">
        <f t="shared" si="4"/>
        <v>150707.3275113643</v>
      </c>
    </row>
    <row r="55" spans="1:4">
      <c r="A55" s="74">
        <f t="shared" si="1"/>
        <v>45</v>
      </c>
      <c r="B55" s="75">
        <f t="shared" si="2"/>
        <v>784.93399745502245</v>
      </c>
      <c r="C55" s="75">
        <f t="shared" si="3"/>
        <v>2530.9398433644001</v>
      </c>
      <c r="D55" s="75">
        <f t="shared" si="4"/>
        <v>148176.38766799989</v>
      </c>
    </row>
    <row r="56" spans="1:4">
      <c r="A56" s="74">
        <f t="shared" si="1"/>
        <v>46</v>
      </c>
      <c r="B56" s="75">
        <f t="shared" si="2"/>
        <v>771.75201910416615</v>
      </c>
      <c r="C56" s="75">
        <f t="shared" si="3"/>
        <v>2544.1218217152564</v>
      </c>
      <c r="D56" s="75">
        <f t="shared" si="4"/>
        <v>145632.26584628463</v>
      </c>
    </row>
    <row r="57" spans="1:4">
      <c r="A57" s="74">
        <f t="shared" si="1"/>
        <v>47</v>
      </c>
      <c r="B57" s="75">
        <f t="shared" si="2"/>
        <v>758.50138461606582</v>
      </c>
      <c r="C57" s="75">
        <f t="shared" si="3"/>
        <v>2557.3724562033567</v>
      </c>
      <c r="D57" s="75">
        <f t="shared" si="4"/>
        <v>143074.89339008127</v>
      </c>
    </row>
    <row r="58" spans="1:4">
      <c r="A58" s="74">
        <f t="shared" si="1"/>
        <v>48</v>
      </c>
      <c r="B58" s="75">
        <f t="shared" si="2"/>
        <v>745.18173640667328</v>
      </c>
      <c r="C58" s="75">
        <f t="shared" si="3"/>
        <v>2570.6921044127494</v>
      </c>
      <c r="D58" s="75">
        <f t="shared" si="4"/>
        <v>140504.20128566853</v>
      </c>
    </row>
    <row r="59" spans="1:4">
      <c r="A59" s="74">
        <f t="shared" si="1"/>
        <v>49</v>
      </c>
      <c r="B59" s="75">
        <f t="shared" si="2"/>
        <v>731.79271502952361</v>
      </c>
      <c r="C59" s="75">
        <f t="shared" si="3"/>
        <v>2584.081125789899</v>
      </c>
      <c r="D59" s="75">
        <f t="shared" si="4"/>
        <v>137920.12015987863</v>
      </c>
    </row>
    <row r="60" spans="1:4">
      <c r="A60" s="74">
        <f t="shared" si="1"/>
        <v>50</v>
      </c>
      <c r="B60" s="75">
        <f t="shared" si="2"/>
        <v>718.33395916603456</v>
      </c>
      <c r="C60" s="75">
        <f t="shared" si="3"/>
        <v>2597.539881653388</v>
      </c>
      <c r="D60" s="75">
        <f t="shared" si="4"/>
        <v>135322.58027822524</v>
      </c>
    </row>
    <row r="61" spans="1:4">
      <c r="A61" s="74">
        <f t="shared" si="1"/>
        <v>51</v>
      </c>
      <c r="B61" s="75">
        <f t="shared" si="2"/>
        <v>704.80510561575647</v>
      </c>
      <c r="C61" s="75">
        <f t="shared" si="3"/>
        <v>2611.0687352036662</v>
      </c>
      <c r="D61" s="75">
        <f t="shared" si="4"/>
        <v>132711.51154302157</v>
      </c>
    </row>
    <row r="62" spans="1:4">
      <c r="A62" s="74">
        <f t="shared" si="1"/>
        <v>52</v>
      </c>
      <c r="B62" s="75">
        <f t="shared" si="2"/>
        <v>691.20578928657062</v>
      </c>
      <c r="C62" s="75">
        <f t="shared" si="3"/>
        <v>2624.6680515328521</v>
      </c>
      <c r="D62" s="75">
        <f t="shared" si="4"/>
        <v>130086.84349148872</v>
      </c>
    </row>
    <row r="63" spans="1:4">
      <c r="A63" s="74">
        <f t="shared" si="1"/>
        <v>53</v>
      </c>
      <c r="B63" s="75">
        <f t="shared" si="2"/>
        <v>677.53564318483711</v>
      </c>
      <c r="C63" s="75">
        <f t="shared" si="3"/>
        <v>2638.3381976345854</v>
      </c>
      <c r="D63" s="75">
        <f t="shared" si="4"/>
        <v>127448.50529385413</v>
      </c>
    </row>
    <row r="64" spans="1:4">
      <c r="A64" s="74">
        <f t="shared" si="1"/>
        <v>54</v>
      </c>
      <c r="B64" s="75">
        <f t="shared" si="2"/>
        <v>663.79429840549028</v>
      </c>
      <c r="C64" s="75">
        <f t="shared" si="3"/>
        <v>2652.0795424139324</v>
      </c>
      <c r="D64" s="75">
        <f t="shared" si="4"/>
        <v>124796.4257514402</v>
      </c>
    </row>
    <row r="65" spans="1:4">
      <c r="A65" s="74">
        <f t="shared" si="1"/>
        <v>55</v>
      </c>
      <c r="B65" s="75">
        <f t="shared" si="2"/>
        <v>649.98138412208436</v>
      </c>
      <c r="C65" s="75">
        <f t="shared" si="3"/>
        <v>2665.8924566973383</v>
      </c>
      <c r="D65" s="75">
        <f t="shared" si="4"/>
        <v>122130.53329474285</v>
      </c>
    </row>
    <row r="66" spans="1:4">
      <c r="A66" s="74">
        <f t="shared" si="1"/>
        <v>56</v>
      </c>
      <c r="B66" s="75">
        <f t="shared" si="2"/>
        <v>636.09652757678566</v>
      </c>
      <c r="C66" s="75">
        <f t="shared" si="3"/>
        <v>2679.7773132426369</v>
      </c>
      <c r="D66" s="75">
        <f t="shared" si="4"/>
        <v>119450.75598150022</v>
      </c>
    </row>
    <row r="67" spans="1:4">
      <c r="A67" s="74">
        <f t="shared" si="1"/>
        <v>57</v>
      </c>
      <c r="B67" s="75">
        <f t="shared" si="2"/>
        <v>622.13935407031363</v>
      </c>
      <c r="C67" s="75">
        <f t="shared" si="3"/>
        <v>2693.7344867491092</v>
      </c>
      <c r="D67" s="75">
        <f t="shared" si="4"/>
        <v>116757.02149475111</v>
      </c>
    </row>
    <row r="68" spans="1:4">
      <c r="A68" s="74">
        <f t="shared" si="1"/>
        <v>58</v>
      </c>
      <c r="B68" s="75">
        <f t="shared" si="2"/>
        <v>608.10948695182867</v>
      </c>
      <c r="C68" s="75">
        <f t="shared" si="3"/>
        <v>2707.7643538675939</v>
      </c>
      <c r="D68" s="75">
        <f t="shared" si="4"/>
        <v>114049.25714088352</v>
      </c>
    </row>
    <row r="69" spans="1:4">
      <c r="A69" s="74">
        <f t="shared" si="1"/>
        <v>59</v>
      </c>
      <c r="B69" s="75">
        <f t="shared" si="2"/>
        <v>594.0065476087683</v>
      </c>
      <c r="C69" s="75">
        <f t="shared" si="3"/>
        <v>2721.8672932106542</v>
      </c>
      <c r="D69" s="75">
        <f t="shared" si="4"/>
        <v>111327.38984767286</v>
      </c>
    </row>
    <row r="70" spans="1:4">
      <c r="A70" s="74">
        <f t="shared" si="1"/>
        <v>60</v>
      </c>
      <c r="B70" s="75">
        <f t="shared" si="2"/>
        <v>579.83015545662954</v>
      </c>
      <c r="C70" s="75">
        <f t="shared" si="3"/>
        <v>2736.043685362793</v>
      </c>
      <c r="D70" s="75">
        <f t="shared" si="4"/>
        <v>108591.34616231007</v>
      </c>
    </row>
    <row r="71" spans="1:4">
      <c r="A71" s="74">
        <f t="shared" si="1"/>
        <v>61</v>
      </c>
      <c r="B71" s="75">
        <f t="shared" si="2"/>
        <v>565.57992792869834</v>
      </c>
      <c r="C71" s="75">
        <f t="shared" si="3"/>
        <v>2750.2939128907242</v>
      </c>
      <c r="D71" s="75">
        <f t="shared" si="4"/>
        <v>105841.05224941934</v>
      </c>
    </row>
    <row r="72" spans="1:4">
      <c r="A72" s="74">
        <f t="shared" si="1"/>
        <v>62</v>
      </c>
      <c r="B72" s="75">
        <f t="shared" si="2"/>
        <v>551.25548046572578</v>
      </c>
      <c r="C72" s="75">
        <f t="shared" si="3"/>
        <v>2764.618360353697</v>
      </c>
      <c r="D72" s="75">
        <f t="shared" si="4"/>
        <v>103076.43388906565</v>
      </c>
    </row>
    <row r="73" spans="1:4">
      <c r="A73" s="74">
        <f t="shared" si="1"/>
        <v>63</v>
      </c>
      <c r="B73" s="75">
        <f t="shared" si="2"/>
        <v>536.8564265055503</v>
      </c>
      <c r="C73" s="75">
        <f t="shared" si="3"/>
        <v>2779.0174143138725</v>
      </c>
      <c r="D73" s="75">
        <f t="shared" si="4"/>
        <v>100297.41647475178</v>
      </c>
    </row>
    <row r="74" spans="1:4">
      <c r="A74" s="74">
        <f t="shared" si="1"/>
        <v>64</v>
      </c>
      <c r="B74" s="75">
        <f t="shared" si="2"/>
        <v>522.38237747266555</v>
      </c>
      <c r="C74" s="75">
        <f t="shared" si="3"/>
        <v>2793.491463346757</v>
      </c>
      <c r="D74" s="75">
        <f t="shared" si="4"/>
        <v>97503.925011405023</v>
      </c>
    </row>
    <row r="75" spans="1:4">
      <c r="A75" s="74">
        <f t="shared" si="1"/>
        <v>65</v>
      </c>
      <c r="B75" s="75">
        <f t="shared" si="2"/>
        <v>507.83294276773449</v>
      </c>
      <c r="C75" s="75">
        <f t="shared" si="3"/>
        <v>2808.0408980516881</v>
      </c>
      <c r="D75" s="75">
        <f t="shared" si="4"/>
        <v>94695.884113353328</v>
      </c>
    </row>
    <row r="76" spans="1:4">
      <c r="A76" s="74">
        <f t="shared" si="1"/>
        <v>66</v>
      </c>
      <c r="B76" s="75">
        <f t="shared" si="2"/>
        <v>493.20772975704858</v>
      </c>
      <c r="C76" s="75">
        <f t="shared" si="3"/>
        <v>2822.6661110623741</v>
      </c>
      <c r="D76" s="75">
        <f t="shared" si="4"/>
        <v>91873.21800229096</v>
      </c>
    </row>
    <row r="77" spans="1:4">
      <c r="A77" s="74">
        <f t="shared" ref="A77:A130" si="5">IF(D76&lt;0.1,0,A76+1)</f>
        <v>67</v>
      </c>
      <c r="B77" s="75">
        <f t="shared" ref="B77:B130" si="6">IF(D76&lt;0.1,0,D76*$B$4/$B$6)</f>
        <v>478.5063437619321</v>
      </c>
      <c r="C77" s="75">
        <f t="shared" ref="C77:C130" si="7">IF(D76&lt;0.1,0,$B$8-B77)</f>
        <v>2837.3674970574907</v>
      </c>
      <c r="D77" s="75">
        <f t="shared" ref="D77:D130" si="8">IF(D76&lt;0.1,0,D76-C77)</f>
        <v>89035.850505233466</v>
      </c>
    </row>
    <row r="78" spans="1:4">
      <c r="A78" s="74">
        <f t="shared" si="5"/>
        <v>68</v>
      </c>
      <c r="B78" s="75">
        <f t="shared" si="6"/>
        <v>463.72838804809095</v>
      </c>
      <c r="C78" s="75">
        <f t="shared" si="7"/>
        <v>2852.1454527713317</v>
      </c>
      <c r="D78" s="75">
        <f t="shared" si="8"/>
        <v>86183.70505246213</v>
      </c>
    </row>
    <row r="79" spans="1:4">
      <c r="A79" s="74">
        <f t="shared" si="5"/>
        <v>69</v>
      </c>
      <c r="B79" s="75">
        <f t="shared" si="6"/>
        <v>448.87346381490693</v>
      </c>
      <c r="C79" s="75">
        <f t="shared" si="7"/>
        <v>2867.0003770045159</v>
      </c>
      <c r="D79" s="75">
        <f t="shared" si="8"/>
        <v>83316.704675457615</v>
      </c>
    </row>
    <row r="80" spans="1:4">
      <c r="A80" s="74">
        <f t="shared" si="5"/>
        <v>70</v>
      </c>
      <c r="B80" s="75">
        <f t="shared" si="6"/>
        <v>433.94117018467506</v>
      </c>
      <c r="C80" s="75">
        <f t="shared" si="7"/>
        <v>2881.9326706347474</v>
      </c>
      <c r="D80" s="75">
        <f t="shared" si="8"/>
        <v>80434.772004822866</v>
      </c>
    </row>
    <row r="81" spans="1:4">
      <c r="A81" s="74">
        <f t="shared" si="5"/>
        <v>71</v>
      </c>
      <c r="B81" s="75">
        <f t="shared" si="6"/>
        <v>418.93110419178578</v>
      </c>
      <c r="C81" s="75">
        <f t="shared" si="7"/>
        <v>2896.9427366276368</v>
      </c>
      <c r="D81" s="75">
        <f t="shared" si="8"/>
        <v>77537.82926819523</v>
      </c>
    </row>
    <row r="82" spans="1:4">
      <c r="A82" s="74">
        <f t="shared" si="5"/>
        <v>72</v>
      </c>
      <c r="B82" s="75">
        <f t="shared" si="6"/>
        <v>403.84286077185016</v>
      </c>
      <c r="C82" s="75">
        <f t="shared" si="7"/>
        <v>2912.0309800475725</v>
      </c>
      <c r="D82" s="75">
        <f t="shared" si="8"/>
        <v>74625.798288147664</v>
      </c>
    </row>
    <row r="83" spans="1:4">
      <c r="A83" s="74">
        <f t="shared" si="5"/>
        <v>73</v>
      </c>
      <c r="B83" s="75">
        <f t="shared" si="6"/>
        <v>388.67603275076908</v>
      </c>
      <c r="C83" s="75">
        <f t="shared" si="7"/>
        <v>2927.1978080686536</v>
      </c>
      <c r="D83" s="75">
        <f t="shared" si="8"/>
        <v>71698.600480079011</v>
      </c>
    </row>
    <row r="84" spans="1:4">
      <c r="A84" s="74">
        <f t="shared" si="5"/>
        <v>74</v>
      </c>
      <c r="B84" s="75">
        <f t="shared" si="6"/>
        <v>373.43021083374487</v>
      </c>
      <c r="C84" s="75">
        <f t="shared" si="7"/>
        <v>2942.4436299856779</v>
      </c>
      <c r="D84" s="75">
        <f t="shared" si="8"/>
        <v>68756.156850093335</v>
      </c>
    </row>
    <row r="85" spans="1:4">
      <c r="A85" s="74">
        <f t="shared" si="5"/>
        <v>75</v>
      </c>
      <c r="B85" s="75">
        <f t="shared" si="6"/>
        <v>358.1049835942361</v>
      </c>
      <c r="C85" s="75">
        <f t="shared" si="7"/>
        <v>2957.7688572251864</v>
      </c>
      <c r="D85" s="75">
        <f t="shared" si="8"/>
        <v>65798.387992868142</v>
      </c>
    </row>
    <row r="86" spans="1:4">
      <c r="A86" s="74">
        <f t="shared" si="5"/>
        <v>76</v>
      </c>
      <c r="B86" s="75">
        <f t="shared" si="6"/>
        <v>342.6999374628549</v>
      </c>
      <c r="C86" s="75">
        <f t="shared" si="7"/>
        <v>2973.1739033565677</v>
      </c>
      <c r="D86" s="75">
        <f t="shared" si="8"/>
        <v>62825.214089511574</v>
      </c>
    </row>
    <row r="87" spans="1:4">
      <c r="A87" s="74">
        <f t="shared" si="5"/>
        <v>77</v>
      </c>
      <c r="B87" s="75">
        <f t="shared" si="6"/>
        <v>327.21465671620609</v>
      </c>
      <c r="C87" s="75">
        <f t="shared" si="7"/>
        <v>2988.6591841032164</v>
      </c>
      <c r="D87" s="75">
        <f t="shared" si="8"/>
        <v>59836.55490540836</v>
      </c>
    </row>
    <row r="88" spans="1:4">
      <c r="A88" s="74">
        <f t="shared" si="5"/>
        <v>78</v>
      </c>
      <c r="B88" s="75">
        <f t="shared" si="6"/>
        <v>311.64872346566852</v>
      </c>
      <c r="C88" s="75">
        <f t="shared" si="7"/>
        <v>3004.2251173537543</v>
      </c>
      <c r="D88" s="75">
        <f t="shared" si="8"/>
        <v>56832.329788054609</v>
      </c>
    </row>
    <row r="89" spans="1:4">
      <c r="A89" s="74">
        <f t="shared" si="5"/>
        <v>79</v>
      </c>
      <c r="B89" s="75">
        <f t="shared" si="6"/>
        <v>296.00171764611775</v>
      </c>
      <c r="C89" s="75">
        <f t="shared" si="7"/>
        <v>3019.8721231733048</v>
      </c>
      <c r="D89" s="75">
        <f t="shared" si="8"/>
        <v>53812.457664881302</v>
      </c>
    </row>
    <row r="90" spans="1:4">
      <c r="A90" s="74">
        <f t="shared" si="5"/>
        <v>80</v>
      </c>
      <c r="B90" s="75">
        <f t="shared" si="6"/>
        <v>280.27321700459009</v>
      </c>
      <c r="C90" s="75">
        <f t="shared" si="7"/>
        <v>3035.6006238148325</v>
      </c>
      <c r="D90" s="75">
        <f t="shared" si="8"/>
        <v>50776.857041066469</v>
      </c>
    </row>
    <row r="91" spans="1:4">
      <c r="A91" s="74">
        <f t="shared" si="5"/>
        <v>81</v>
      </c>
      <c r="B91" s="75">
        <f t="shared" si="6"/>
        <v>264.46279708888784</v>
      </c>
      <c r="C91" s="75">
        <f t="shared" si="7"/>
        <v>3051.4110437305349</v>
      </c>
      <c r="D91" s="75">
        <f t="shared" si="8"/>
        <v>47725.445997335933</v>
      </c>
    </row>
    <row r="92" spans="1:4">
      <c r="A92" s="74">
        <f t="shared" si="5"/>
        <v>82</v>
      </c>
      <c r="B92" s="75">
        <f t="shared" si="6"/>
        <v>248.57003123612466</v>
      </c>
      <c r="C92" s="75">
        <f t="shared" si="7"/>
        <v>3067.3038095832981</v>
      </c>
      <c r="D92" s="75">
        <f t="shared" si="8"/>
        <v>44658.142187752637</v>
      </c>
    </row>
    <row r="93" spans="1:4">
      <c r="A93" s="74">
        <f t="shared" si="5"/>
        <v>83</v>
      </c>
      <c r="B93" s="75">
        <f t="shared" si="6"/>
        <v>232.59449056121164</v>
      </c>
      <c r="C93" s="75">
        <f t="shared" si="7"/>
        <v>3083.2793502582108</v>
      </c>
      <c r="D93" s="75">
        <f t="shared" si="8"/>
        <v>41574.862837494424</v>
      </c>
    </row>
    <row r="94" spans="1:4">
      <c r="A94" s="74">
        <f t="shared" si="5"/>
        <v>84</v>
      </c>
      <c r="B94" s="75">
        <f t="shared" si="6"/>
        <v>216.53574394528346</v>
      </c>
      <c r="C94" s="75">
        <f t="shared" si="7"/>
        <v>3099.3380968741394</v>
      </c>
      <c r="D94" s="75">
        <f t="shared" si="8"/>
        <v>38475.524740620283</v>
      </c>
    </row>
    <row r="95" spans="1:4">
      <c r="A95" s="74">
        <f t="shared" si="5"/>
        <v>85</v>
      </c>
      <c r="B95" s="75">
        <f t="shared" si="6"/>
        <v>200.39335802406399</v>
      </c>
      <c r="C95" s="75">
        <f t="shared" si="7"/>
        <v>3115.4804827953585</v>
      </c>
      <c r="D95" s="75">
        <f t="shared" si="8"/>
        <v>35360.044257824928</v>
      </c>
    </row>
    <row r="96" spans="1:4">
      <c r="A96" s="74">
        <f t="shared" si="5"/>
        <v>86</v>
      </c>
      <c r="B96" s="75">
        <f t="shared" si="6"/>
        <v>184.16689717617149</v>
      </c>
      <c r="C96" s="75">
        <f t="shared" si="7"/>
        <v>3131.7069436432512</v>
      </c>
      <c r="D96" s="75">
        <f t="shared" si="8"/>
        <v>32228.337314181677</v>
      </c>
    </row>
    <row r="97" spans="1:4">
      <c r="A97" s="74">
        <f t="shared" si="5"/>
        <v>87</v>
      </c>
      <c r="B97" s="75">
        <f t="shared" si="6"/>
        <v>167.8559235113629</v>
      </c>
      <c r="C97" s="75">
        <f t="shared" si="7"/>
        <v>3148.0179173080596</v>
      </c>
      <c r="D97" s="75">
        <f t="shared" si="8"/>
        <v>29080.319396873616</v>
      </c>
    </row>
    <row r="98" spans="1:4">
      <c r="A98" s="74">
        <f t="shared" si="5"/>
        <v>88</v>
      </c>
      <c r="B98" s="75">
        <f t="shared" si="6"/>
        <v>151.45999685871675</v>
      </c>
      <c r="C98" s="75">
        <f t="shared" si="7"/>
        <v>3164.4138439607059</v>
      </c>
      <c r="D98" s="75">
        <f t="shared" si="8"/>
        <v>25915.905552912911</v>
      </c>
    </row>
    <row r="99" spans="1:4">
      <c r="A99" s="74">
        <f t="shared" si="5"/>
        <v>89</v>
      </c>
      <c r="B99" s="75">
        <f t="shared" si="6"/>
        <v>134.97867475475473</v>
      </c>
      <c r="C99" s="75">
        <f t="shared" si="7"/>
        <v>3180.895166064668</v>
      </c>
      <c r="D99" s="75">
        <f t="shared" si="8"/>
        <v>22735.010386848244</v>
      </c>
    </row>
    <row r="100" spans="1:4">
      <c r="A100" s="74">
        <f t="shared" si="5"/>
        <v>90</v>
      </c>
      <c r="B100" s="75">
        <f t="shared" si="6"/>
        <v>118.41151243150127</v>
      </c>
      <c r="C100" s="75">
        <f t="shared" si="7"/>
        <v>3197.4623283879214</v>
      </c>
      <c r="D100" s="75">
        <f t="shared" si="8"/>
        <v>19537.548058460321</v>
      </c>
    </row>
    <row r="101" spans="1:4">
      <c r="A101" s="74">
        <f t="shared" si="5"/>
        <v>91</v>
      </c>
      <c r="B101" s="75">
        <f t="shared" si="6"/>
        <v>101.75806280448084</v>
      </c>
      <c r="C101" s="75">
        <f t="shared" si="7"/>
        <v>3214.115778014942</v>
      </c>
      <c r="D101" s="75">
        <f t="shared" si="8"/>
        <v>16323.432280445379</v>
      </c>
    </row>
    <row r="102" spans="1:4">
      <c r="A102" s="74">
        <f t="shared" si="5"/>
        <v>92</v>
      </c>
      <c r="B102" s="75">
        <f t="shared" si="6"/>
        <v>85.017876460653014</v>
      </c>
      <c r="C102" s="75">
        <f t="shared" si="7"/>
        <v>3230.8559643587696</v>
      </c>
      <c r="D102" s="75">
        <f t="shared" si="8"/>
        <v>13092.576316086608</v>
      </c>
    </row>
    <row r="103" spans="1:4">
      <c r="A103" s="74">
        <f t="shared" si="5"/>
        <v>93</v>
      </c>
      <c r="B103" s="75">
        <f t="shared" si="6"/>
        <v>68.190501646284417</v>
      </c>
      <c r="C103" s="75">
        <f t="shared" si="7"/>
        <v>3247.6833391731384</v>
      </c>
      <c r="D103" s="75">
        <f t="shared" si="8"/>
        <v>9844.8929769134702</v>
      </c>
    </row>
    <row r="104" spans="1:4">
      <c r="A104" s="74">
        <f t="shared" si="5"/>
        <v>94</v>
      </c>
      <c r="B104" s="75">
        <f t="shared" si="6"/>
        <v>51.275484254757657</v>
      </c>
      <c r="C104" s="75">
        <f t="shared" si="7"/>
        <v>3264.5983565646648</v>
      </c>
      <c r="D104" s="75">
        <f t="shared" si="8"/>
        <v>6580.2946203488054</v>
      </c>
    </row>
    <row r="105" spans="1:4">
      <c r="A105" s="74">
        <f t="shared" si="5"/>
        <v>95</v>
      </c>
      <c r="B105" s="75">
        <f t="shared" si="6"/>
        <v>34.272367814316695</v>
      </c>
      <c r="C105" s="75">
        <f t="shared" si="7"/>
        <v>3281.6014730051061</v>
      </c>
      <c r="D105" s="75">
        <f t="shared" si="8"/>
        <v>3298.6931473436994</v>
      </c>
    </row>
    <row r="106" spans="1:4">
      <c r="A106" s="74">
        <f t="shared" si="5"/>
        <v>96</v>
      </c>
      <c r="B106" s="75">
        <f t="shared" si="6"/>
        <v>17.180693475748434</v>
      </c>
      <c r="C106" s="75">
        <f t="shared" si="7"/>
        <v>3298.6931473436744</v>
      </c>
      <c r="D106" s="75">
        <f t="shared" si="8"/>
        <v>2.5011104298755527E-11</v>
      </c>
    </row>
    <row r="107" spans="1:4">
      <c r="A107" s="74">
        <f t="shared" si="5"/>
        <v>0</v>
      </c>
      <c r="B107" s="75">
        <f t="shared" si="6"/>
        <v>0</v>
      </c>
      <c r="C107" s="75">
        <f t="shared" si="7"/>
        <v>0</v>
      </c>
      <c r="D107" s="75">
        <f t="shared" si="8"/>
        <v>0</v>
      </c>
    </row>
    <row r="108" spans="1:4">
      <c r="A108" s="74">
        <f t="shared" si="5"/>
        <v>0</v>
      </c>
      <c r="B108" s="75">
        <f t="shared" si="6"/>
        <v>0</v>
      </c>
      <c r="C108" s="75">
        <f t="shared" si="7"/>
        <v>0</v>
      </c>
      <c r="D108" s="75">
        <f t="shared" si="8"/>
        <v>0</v>
      </c>
    </row>
    <row r="109" spans="1:4">
      <c r="A109" s="74">
        <f t="shared" si="5"/>
        <v>0</v>
      </c>
      <c r="B109" s="75">
        <f t="shared" si="6"/>
        <v>0</v>
      </c>
      <c r="C109" s="75">
        <f t="shared" si="7"/>
        <v>0</v>
      </c>
      <c r="D109" s="75">
        <f t="shared" si="8"/>
        <v>0</v>
      </c>
    </row>
    <row r="110" spans="1:4">
      <c r="A110" s="74">
        <f t="shared" si="5"/>
        <v>0</v>
      </c>
      <c r="B110" s="75">
        <f t="shared" si="6"/>
        <v>0</v>
      </c>
      <c r="C110" s="75">
        <f t="shared" si="7"/>
        <v>0</v>
      </c>
      <c r="D110" s="75">
        <f t="shared" si="8"/>
        <v>0</v>
      </c>
    </row>
    <row r="111" spans="1:4">
      <c r="A111" s="74">
        <f t="shared" si="5"/>
        <v>0</v>
      </c>
      <c r="B111" s="75">
        <f t="shared" si="6"/>
        <v>0</v>
      </c>
      <c r="C111" s="75">
        <f t="shared" si="7"/>
        <v>0</v>
      </c>
      <c r="D111" s="75">
        <f t="shared" si="8"/>
        <v>0</v>
      </c>
    </row>
    <row r="112" spans="1:4">
      <c r="A112" s="74">
        <f t="shared" si="5"/>
        <v>0</v>
      </c>
      <c r="B112" s="75">
        <f t="shared" si="6"/>
        <v>0</v>
      </c>
      <c r="C112" s="75">
        <f t="shared" si="7"/>
        <v>0</v>
      </c>
      <c r="D112" s="75">
        <f t="shared" si="8"/>
        <v>0</v>
      </c>
    </row>
    <row r="113" spans="1:4">
      <c r="A113" s="74">
        <f t="shared" si="5"/>
        <v>0</v>
      </c>
      <c r="B113" s="75">
        <f t="shared" si="6"/>
        <v>0</v>
      </c>
      <c r="C113" s="75">
        <f t="shared" si="7"/>
        <v>0</v>
      </c>
      <c r="D113" s="75">
        <f t="shared" si="8"/>
        <v>0</v>
      </c>
    </row>
    <row r="114" spans="1:4">
      <c r="A114" s="74">
        <f t="shared" si="5"/>
        <v>0</v>
      </c>
      <c r="B114" s="75">
        <f t="shared" si="6"/>
        <v>0</v>
      </c>
      <c r="C114" s="75">
        <f t="shared" si="7"/>
        <v>0</v>
      </c>
      <c r="D114" s="75">
        <f t="shared" si="8"/>
        <v>0</v>
      </c>
    </row>
    <row r="115" spans="1:4">
      <c r="A115" s="74">
        <f t="shared" si="5"/>
        <v>0</v>
      </c>
      <c r="B115" s="75">
        <f t="shared" si="6"/>
        <v>0</v>
      </c>
      <c r="C115" s="75">
        <f t="shared" si="7"/>
        <v>0</v>
      </c>
      <c r="D115" s="75">
        <f t="shared" si="8"/>
        <v>0</v>
      </c>
    </row>
    <row r="116" spans="1:4">
      <c r="A116" s="74">
        <f t="shared" si="5"/>
        <v>0</v>
      </c>
      <c r="B116" s="75">
        <f t="shared" si="6"/>
        <v>0</v>
      </c>
      <c r="C116" s="75">
        <f t="shared" si="7"/>
        <v>0</v>
      </c>
      <c r="D116" s="75">
        <f t="shared" si="8"/>
        <v>0</v>
      </c>
    </row>
    <row r="117" spans="1:4">
      <c r="A117" s="74">
        <f t="shared" si="5"/>
        <v>0</v>
      </c>
      <c r="B117" s="75">
        <f t="shared" si="6"/>
        <v>0</v>
      </c>
      <c r="C117" s="75">
        <f t="shared" si="7"/>
        <v>0</v>
      </c>
      <c r="D117" s="75">
        <f t="shared" si="8"/>
        <v>0</v>
      </c>
    </row>
    <row r="118" spans="1:4">
      <c r="A118" s="74">
        <f t="shared" si="5"/>
        <v>0</v>
      </c>
      <c r="B118" s="75">
        <f t="shared" si="6"/>
        <v>0</v>
      </c>
      <c r="C118" s="75">
        <f t="shared" si="7"/>
        <v>0</v>
      </c>
      <c r="D118" s="75">
        <f t="shared" si="8"/>
        <v>0</v>
      </c>
    </row>
    <row r="119" spans="1:4">
      <c r="A119" s="74">
        <f t="shared" si="5"/>
        <v>0</v>
      </c>
      <c r="B119" s="75">
        <f t="shared" si="6"/>
        <v>0</v>
      </c>
      <c r="C119" s="75">
        <f t="shared" si="7"/>
        <v>0</v>
      </c>
      <c r="D119" s="75">
        <f t="shared" si="8"/>
        <v>0</v>
      </c>
    </row>
    <row r="120" spans="1:4">
      <c r="A120" s="74">
        <f t="shared" si="5"/>
        <v>0</v>
      </c>
      <c r="B120" s="75">
        <f t="shared" si="6"/>
        <v>0</v>
      </c>
      <c r="C120" s="75">
        <f t="shared" si="7"/>
        <v>0</v>
      </c>
      <c r="D120" s="75">
        <f t="shared" si="8"/>
        <v>0</v>
      </c>
    </row>
    <row r="121" spans="1:4">
      <c r="A121" s="74">
        <f t="shared" si="5"/>
        <v>0</v>
      </c>
      <c r="B121" s="75">
        <f t="shared" si="6"/>
        <v>0</v>
      </c>
      <c r="C121" s="75">
        <f t="shared" si="7"/>
        <v>0</v>
      </c>
      <c r="D121" s="75">
        <f t="shared" si="8"/>
        <v>0</v>
      </c>
    </row>
    <row r="122" spans="1:4">
      <c r="A122" s="74">
        <f t="shared" si="5"/>
        <v>0</v>
      </c>
      <c r="B122" s="75">
        <f t="shared" si="6"/>
        <v>0</v>
      </c>
      <c r="C122" s="75">
        <f t="shared" si="7"/>
        <v>0</v>
      </c>
      <c r="D122" s="75">
        <f t="shared" si="8"/>
        <v>0</v>
      </c>
    </row>
    <row r="123" spans="1:4">
      <c r="A123" s="74">
        <f t="shared" si="5"/>
        <v>0</v>
      </c>
      <c r="B123" s="75">
        <f t="shared" si="6"/>
        <v>0</v>
      </c>
      <c r="C123" s="75">
        <f t="shared" si="7"/>
        <v>0</v>
      </c>
      <c r="D123" s="75">
        <f t="shared" si="8"/>
        <v>0</v>
      </c>
    </row>
    <row r="124" spans="1:4">
      <c r="A124" s="74">
        <f t="shared" si="5"/>
        <v>0</v>
      </c>
      <c r="B124" s="75">
        <f t="shared" si="6"/>
        <v>0</v>
      </c>
      <c r="C124" s="75">
        <f t="shared" si="7"/>
        <v>0</v>
      </c>
      <c r="D124" s="75">
        <f t="shared" si="8"/>
        <v>0</v>
      </c>
    </row>
    <row r="125" spans="1:4">
      <c r="A125" s="74">
        <f t="shared" si="5"/>
        <v>0</v>
      </c>
      <c r="B125" s="75">
        <f t="shared" si="6"/>
        <v>0</v>
      </c>
      <c r="C125" s="75">
        <f t="shared" si="7"/>
        <v>0</v>
      </c>
      <c r="D125" s="75">
        <f t="shared" si="8"/>
        <v>0</v>
      </c>
    </row>
    <row r="126" spans="1:4">
      <c r="A126" s="74">
        <f t="shared" si="5"/>
        <v>0</v>
      </c>
      <c r="B126" s="75">
        <f t="shared" si="6"/>
        <v>0</v>
      </c>
      <c r="C126" s="75">
        <f t="shared" si="7"/>
        <v>0</v>
      </c>
      <c r="D126" s="75">
        <f t="shared" si="8"/>
        <v>0</v>
      </c>
    </row>
    <row r="127" spans="1:4">
      <c r="A127" s="74">
        <f t="shared" si="5"/>
        <v>0</v>
      </c>
      <c r="B127" s="75">
        <f t="shared" si="6"/>
        <v>0</v>
      </c>
      <c r="C127" s="75">
        <f t="shared" si="7"/>
        <v>0</v>
      </c>
      <c r="D127" s="75">
        <f t="shared" si="8"/>
        <v>0</v>
      </c>
    </row>
    <row r="128" spans="1:4">
      <c r="A128" s="74">
        <f t="shared" si="5"/>
        <v>0</v>
      </c>
      <c r="B128" s="75">
        <f t="shared" si="6"/>
        <v>0</v>
      </c>
      <c r="C128" s="75">
        <f t="shared" si="7"/>
        <v>0</v>
      </c>
      <c r="D128" s="75">
        <f t="shared" si="8"/>
        <v>0</v>
      </c>
    </row>
    <row r="129" spans="1:4">
      <c r="A129" s="74">
        <f t="shared" si="5"/>
        <v>0</v>
      </c>
      <c r="B129" s="75">
        <f t="shared" si="6"/>
        <v>0</v>
      </c>
      <c r="C129" s="75">
        <f t="shared" si="7"/>
        <v>0</v>
      </c>
      <c r="D129" s="75">
        <f t="shared" si="8"/>
        <v>0</v>
      </c>
    </row>
    <row r="130" spans="1:4">
      <c r="A130" s="74">
        <f t="shared" si="5"/>
        <v>0</v>
      </c>
      <c r="B130" s="75">
        <f t="shared" si="6"/>
        <v>0</v>
      </c>
      <c r="C130" s="75">
        <f t="shared" si="7"/>
        <v>0</v>
      </c>
      <c r="D130" s="75">
        <f t="shared" si="8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S151"/>
  <sheetViews>
    <sheetView topLeftCell="A35" workbookViewId="0">
      <selection activeCell="F50" sqref="F50"/>
    </sheetView>
  </sheetViews>
  <sheetFormatPr defaultRowHeight="12.6"/>
  <cols>
    <col min="1" max="2" width="6" bestFit="1" customWidth="1"/>
    <col min="3" max="3" width="43.7109375" customWidth="1"/>
    <col min="5" max="5" width="11.28515625" customWidth="1"/>
    <col min="6" max="6" width="10.28515625" customWidth="1"/>
    <col min="7" max="7" width="9.140625" hidden="1" customWidth="1"/>
    <col min="9" max="9" width="24.140625" bestFit="1" customWidth="1"/>
    <col min="10" max="10" width="6.42578125" bestFit="1" customWidth="1"/>
    <col min="11" max="11" width="5.28515625" customWidth="1"/>
    <col min="12" max="12" width="7.7109375" customWidth="1"/>
    <col min="13" max="13" width="10.42578125" bestFit="1" customWidth="1"/>
    <col min="15" max="15" width="53.7109375" customWidth="1"/>
    <col min="16" max="16" width="9.140625" bestFit="1" customWidth="1"/>
    <col min="18" max="19" width="0" hidden="1" customWidth="1"/>
  </cols>
  <sheetData>
    <row r="1" spans="1:19" ht="12.95">
      <c r="A1" s="4"/>
      <c r="C1" s="11">
        <v>45291</v>
      </c>
      <c r="I1" s="86" t="s">
        <v>48</v>
      </c>
      <c r="J1" s="87"/>
      <c r="K1" s="87"/>
      <c r="L1" s="87"/>
      <c r="M1" s="87"/>
      <c r="O1" s="86" t="s">
        <v>49</v>
      </c>
      <c r="P1" s="86"/>
      <c r="R1" t="b">
        <v>1</v>
      </c>
      <c r="S1" t="s">
        <v>50</v>
      </c>
    </row>
    <row r="2" spans="1:19" ht="20.100000000000001">
      <c r="C2" s="85" t="s">
        <v>51</v>
      </c>
      <c r="D2" s="85"/>
      <c r="E2" s="88"/>
      <c r="F2" s="88"/>
      <c r="R2" t="b">
        <v>0</v>
      </c>
      <c r="S2" t="s">
        <v>52</v>
      </c>
    </row>
    <row r="3" spans="1:19" ht="12.95">
      <c r="C3" s="84" t="s">
        <v>53</v>
      </c>
      <c r="D3" s="84"/>
      <c r="E3" s="84"/>
      <c r="F3" s="84"/>
      <c r="I3" s="38">
        <v>2024</v>
      </c>
      <c r="O3" s="38">
        <v>2024</v>
      </c>
    </row>
    <row r="4" spans="1:19">
      <c r="C4" s="89"/>
      <c r="D4" s="89"/>
      <c r="E4" s="89"/>
      <c r="F4" s="89"/>
      <c r="I4" t="s">
        <v>54</v>
      </c>
      <c r="J4" s="4" t="s">
        <v>55</v>
      </c>
      <c r="K4" s="4" t="s">
        <v>56</v>
      </c>
      <c r="L4" t="s">
        <v>57</v>
      </c>
      <c r="M4" t="s">
        <v>58</v>
      </c>
      <c r="O4" s="33" t="s">
        <v>59</v>
      </c>
      <c r="P4">
        <v>8</v>
      </c>
    </row>
    <row r="5" spans="1:19" ht="14.45">
      <c r="J5" s="4" t="s">
        <v>60</v>
      </c>
      <c r="K5" s="4" t="s">
        <v>60</v>
      </c>
      <c r="L5" t="s">
        <v>60</v>
      </c>
      <c r="M5" t="s">
        <v>61</v>
      </c>
      <c r="O5" s="33" t="s">
        <v>62</v>
      </c>
      <c r="P5">
        <v>12.06</v>
      </c>
      <c r="Q5" s="23"/>
    </row>
    <row r="6" spans="1:19" ht="12.95">
      <c r="C6" s="49" t="s">
        <v>63</v>
      </c>
      <c r="D6" s="50"/>
      <c r="E6" s="15"/>
      <c r="F6" s="16"/>
      <c r="J6" s="4"/>
      <c r="K6" s="4"/>
      <c r="O6" s="33" t="s">
        <v>64</v>
      </c>
      <c r="P6">
        <v>0</v>
      </c>
    </row>
    <row r="7" spans="1:19" ht="12.95">
      <c r="C7" s="1"/>
      <c r="D7" s="5"/>
      <c r="E7" s="48" t="s">
        <v>65</v>
      </c>
      <c r="F7" s="48"/>
      <c r="I7" s="40" t="s">
        <v>66</v>
      </c>
      <c r="J7" s="21"/>
      <c r="K7" s="21"/>
      <c r="L7" s="21"/>
      <c r="M7" s="21">
        <v>0</v>
      </c>
      <c r="O7" s="33" t="s">
        <v>67</v>
      </c>
      <c r="P7">
        <v>15</v>
      </c>
    </row>
    <row r="8" spans="1:19">
      <c r="C8" s="3" t="s">
        <v>68</v>
      </c>
      <c r="D8" s="3"/>
      <c r="E8" s="51" t="s">
        <v>52</v>
      </c>
      <c r="F8" s="1"/>
      <c r="G8" t="b">
        <f>IF(E8=S1,TRUE,FALSE)</f>
        <v>0</v>
      </c>
      <c r="I8" s="42" t="s">
        <v>69</v>
      </c>
      <c r="J8" s="43">
        <v>25.6</v>
      </c>
      <c r="K8" s="43">
        <v>0.8</v>
      </c>
      <c r="L8" s="43">
        <v>0.59</v>
      </c>
      <c r="M8" s="43">
        <v>9.1</v>
      </c>
      <c r="O8" s="33" t="s">
        <v>70</v>
      </c>
      <c r="P8" s="8">
        <v>588900</v>
      </c>
    </row>
    <row r="9" spans="1:19">
      <c r="C9" s="2" t="s">
        <v>71</v>
      </c>
      <c r="D9" s="7"/>
      <c r="E9" s="12" t="s">
        <v>52</v>
      </c>
      <c r="F9" s="12" t="s">
        <v>52</v>
      </c>
      <c r="I9" s="42" t="s">
        <v>72</v>
      </c>
      <c r="J9" s="43">
        <v>25.3</v>
      </c>
      <c r="K9" s="43">
        <v>0.57999999999999996</v>
      </c>
      <c r="L9" s="43">
        <v>0.28999999999999998</v>
      </c>
      <c r="M9" s="43">
        <v>8</v>
      </c>
      <c r="O9" s="33" t="s">
        <v>73</v>
      </c>
      <c r="P9">
        <v>52.07</v>
      </c>
    </row>
    <row r="10" spans="1:19">
      <c r="C10" s="37" t="s">
        <v>74</v>
      </c>
      <c r="D10" s="3"/>
      <c r="E10" s="12" t="s">
        <v>50</v>
      </c>
      <c r="F10" s="12" t="s">
        <v>50</v>
      </c>
      <c r="I10" s="42" t="s">
        <v>75</v>
      </c>
      <c r="J10" s="43">
        <v>26.1</v>
      </c>
      <c r="K10" s="43">
        <v>0.98</v>
      </c>
      <c r="L10" s="43">
        <v>1.0900000000000001</v>
      </c>
      <c r="M10" s="43">
        <v>11.2</v>
      </c>
      <c r="O10" s="33" t="s">
        <v>76</v>
      </c>
      <c r="P10">
        <v>42</v>
      </c>
    </row>
    <row r="11" spans="1:19">
      <c r="C11" s="3" t="s">
        <v>77</v>
      </c>
      <c r="D11" s="3"/>
      <c r="E11" s="12" t="s">
        <v>50</v>
      </c>
      <c r="F11" s="12" t="s">
        <v>50</v>
      </c>
      <c r="I11" s="42" t="s">
        <v>78</v>
      </c>
      <c r="J11" s="43">
        <v>25.5</v>
      </c>
      <c r="K11" s="43">
        <v>0.72</v>
      </c>
      <c r="L11" s="43">
        <v>0.49</v>
      </c>
      <c r="M11" s="43">
        <v>8.3000000000000007</v>
      </c>
      <c r="O11" s="33" t="s">
        <v>79</v>
      </c>
      <c r="P11" s="8">
        <v>39800</v>
      </c>
    </row>
    <row r="12" spans="1:19">
      <c r="C12" s="1"/>
      <c r="D12" s="1"/>
      <c r="E12" s="1"/>
      <c r="F12" s="1"/>
      <c r="I12" s="42" t="s">
        <v>80</v>
      </c>
      <c r="J12" s="43">
        <v>24</v>
      </c>
      <c r="K12" s="43">
        <v>0.89</v>
      </c>
      <c r="L12" s="43">
        <v>0</v>
      </c>
      <c r="M12" s="43">
        <v>7.2</v>
      </c>
      <c r="O12" s="33" t="s">
        <v>81</v>
      </c>
      <c r="P12" s="8">
        <v>49700</v>
      </c>
    </row>
    <row r="13" spans="1:19">
      <c r="C13" s="35" t="s">
        <v>82</v>
      </c>
      <c r="D13" s="3"/>
      <c r="E13" s="12" t="s">
        <v>83</v>
      </c>
      <c r="F13" s="1"/>
      <c r="I13" s="42" t="s">
        <v>84</v>
      </c>
      <c r="J13" s="43">
        <v>26.2</v>
      </c>
      <c r="K13" s="43">
        <v>0.93</v>
      </c>
      <c r="L13" s="43">
        <v>1.19</v>
      </c>
      <c r="M13" s="43">
        <v>10.7</v>
      </c>
      <c r="O13" s="33" t="s">
        <v>85</v>
      </c>
      <c r="P13" s="8">
        <v>0</v>
      </c>
    </row>
    <row r="14" spans="1:19">
      <c r="C14" s="1" t="s">
        <v>86</v>
      </c>
      <c r="D14" s="1"/>
      <c r="E14" s="1">
        <f>VLOOKUP(E13,I8:M105,2,FALSE)</f>
        <v>24.38</v>
      </c>
      <c r="F14" s="1"/>
      <c r="I14" s="42" t="s">
        <v>87</v>
      </c>
      <c r="J14" s="43">
        <v>24.3</v>
      </c>
      <c r="K14" s="43">
        <v>0.8</v>
      </c>
      <c r="L14" s="43">
        <v>0</v>
      </c>
      <c r="M14" s="43">
        <v>4.9000000000000004</v>
      </c>
      <c r="O14" s="33" t="s">
        <v>88</v>
      </c>
      <c r="P14" s="8">
        <v>50500</v>
      </c>
    </row>
    <row r="15" spans="1:19">
      <c r="C15" s="1" t="s">
        <v>89</v>
      </c>
      <c r="D15" s="1"/>
      <c r="E15" s="1">
        <f>VLOOKUP(E13,I8:M105,3,FALSE)</f>
        <v>0.6</v>
      </c>
      <c r="F15" s="1"/>
      <c r="I15" s="42" t="s">
        <v>90</v>
      </c>
      <c r="J15" s="43">
        <v>26.3</v>
      </c>
      <c r="K15" s="43">
        <v>1.08</v>
      </c>
      <c r="L15" s="43">
        <v>1.29</v>
      </c>
      <c r="M15" s="43">
        <v>17.100000000000001</v>
      </c>
      <c r="O15" s="33" t="s">
        <v>91</v>
      </c>
      <c r="P15" s="8">
        <v>27</v>
      </c>
    </row>
    <row r="16" spans="1:19">
      <c r="C16" s="1" t="s">
        <v>92</v>
      </c>
      <c r="D16" s="1"/>
      <c r="E16" s="1">
        <f>VLOOKUP(E13,I7:M105,5,FALSE)</f>
        <v>6.7</v>
      </c>
      <c r="F16" s="1"/>
      <c r="I16" s="42" t="s">
        <v>93</v>
      </c>
      <c r="J16" s="43">
        <v>24.8</v>
      </c>
      <c r="K16" s="43">
        <v>0.61</v>
      </c>
      <c r="L16" s="43">
        <v>0</v>
      </c>
      <c r="M16" s="43">
        <v>8.1</v>
      </c>
      <c r="O16" s="33" t="s">
        <v>94</v>
      </c>
      <c r="P16" s="8">
        <v>42</v>
      </c>
    </row>
    <row r="17" spans="3:16">
      <c r="C17" s="1"/>
      <c r="D17" s="1"/>
      <c r="E17" s="1"/>
      <c r="F17" s="1"/>
      <c r="I17" s="42" t="s">
        <v>95</v>
      </c>
      <c r="J17" s="43">
        <v>25.7</v>
      </c>
      <c r="K17" s="43">
        <v>0.76</v>
      </c>
      <c r="L17" s="43">
        <v>0.69</v>
      </c>
      <c r="M17" s="43">
        <v>8.8000000000000007</v>
      </c>
      <c r="O17" s="33" t="s">
        <v>96</v>
      </c>
      <c r="P17" s="8">
        <v>61000</v>
      </c>
    </row>
    <row r="18" spans="3:16">
      <c r="C18" s="3" t="s">
        <v>97</v>
      </c>
      <c r="D18" s="3"/>
      <c r="E18" s="13"/>
      <c r="F18" s="1"/>
      <c r="I18" s="42" t="s">
        <v>98</v>
      </c>
      <c r="J18" s="43">
        <v>25.8</v>
      </c>
      <c r="K18" s="43">
        <v>0.81</v>
      </c>
      <c r="L18" s="43">
        <v>0.79</v>
      </c>
      <c r="M18" s="43">
        <v>9.9</v>
      </c>
      <c r="O18" s="33" t="s">
        <v>99</v>
      </c>
      <c r="P18" s="8">
        <v>7000</v>
      </c>
    </row>
    <row r="19" spans="3:16">
      <c r="C19" s="3" t="s">
        <v>100</v>
      </c>
      <c r="D19" s="3"/>
      <c r="E19" s="14"/>
      <c r="F19" s="1"/>
      <c r="I19" s="42" t="s">
        <v>101</v>
      </c>
      <c r="J19" s="43">
        <v>26.1</v>
      </c>
      <c r="K19" s="43">
        <v>1.05</v>
      </c>
      <c r="L19" s="43">
        <v>1.0900000000000001</v>
      </c>
      <c r="M19" s="43">
        <v>8.5</v>
      </c>
      <c r="O19" s="33" t="s">
        <v>102</v>
      </c>
      <c r="P19">
        <v>10.65</v>
      </c>
    </row>
    <row r="20" spans="3:16">
      <c r="C20" s="3" t="s">
        <v>103</v>
      </c>
      <c r="D20" s="3"/>
      <c r="E20" s="12" t="s">
        <v>52</v>
      </c>
      <c r="F20" s="1"/>
      <c r="I20" s="42" t="s">
        <v>104</v>
      </c>
      <c r="J20" s="43">
        <v>25.77</v>
      </c>
      <c r="K20" s="43">
        <v>1.1399999999999999</v>
      </c>
      <c r="L20" s="43">
        <v>0.76</v>
      </c>
      <c r="M20" s="43">
        <v>12.5</v>
      </c>
      <c r="O20" s="33" t="s">
        <v>105</v>
      </c>
      <c r="P20" s="8">
        <v>45100</v>
      </c>
    </row>
    <row r="21" spans="3:16">
      <c r="C21" s="3" t="s">
        <v>106</v>
      </c>
      <c r="D21" s="3"/>
      <c r="E21" s="14"/>
      <c r="F21" s="1"/>
      <c r="I21" s="42" t="s">
        <v>107</v>
      </c>
      <c r="J21" s="43">
        <v>25.7</v>
      </c>
      <c r="K21" s="43">
        <v>0.96</v>
      </c>
      <c r="L21" s="43">
        <v>0.69</v>
      </c>
      <c r="M21" s="43">
        <v>10.6</v>
      </c>
      <c r="O21" s="41" t="s">
        <v>108</v>
      </c>
      <c r="P21">
        <v>0.51</v>
      </c>
    </row>
    <row r="22" spans="3:16">
      <c r="C22" s="3" t="s">
        <v>109</v>
      </c>
      <c r="D22" s="3"/>
      <c r="E22" s="13"/>
      <c r="F22" s="1"/>
      <c r="I22" s="42" t="s">
        <v>110</v>
      </c>
      <c r="J22" s="43">
        <v>25.8</v>
      </c>
      <c r="K22" s="43">
        <v>1.08</v>
      </c>
      <c r="L22" s="43">
        <v>0.79</v>
      </c>
      <c r="M22" s="43">
        <v>8</v>
      </c>
      <c r="O22" s="41" t="s">
        <v>111</v>
      </c>
      <c r="P22">
        <v>1.4</v>
      </c>
    </row>
    <row r="23" spans="3:16">
      <c r="C23" s="3" t="s">
        <v>112</v>
      </c>
      <c r="D23" s="3"/>
      <c r="E23" s="14" t="s">
        <v>69</v>
      </c>
      <c r="F23" s="1"/>
      <c r="I23" s="42" t="s">
        <v>113</v>
      </c>
      <c r="J23" s="43">
        <v>25.3</v>
      </c>
      <c r="K23" s="43">
        <v>0.62</v>
      </c>
      <c r="L23" s="43">
        <v>0.28999999999999998</v>
      </c>
      <c r="M23" s="43">
        <v>8.3000000000000007</v>
      </c>
      <c r="O23" s="41" t="s">
        <v>114</v>
      </c>
      <c r="P23" s="8">
        <v>9200000</v>
      </c>
    </row>
    <row r="24" spans="3:16">
      <c r="C24" s="3" t="s">
        <v>92</v>
      </c>
      <c r="D24" s="3"/>
      <c r="E24" s="18">
        <f>VLOOKUP(E23,I7:M105,5,FALSE)</f>
        <v>9.1</v>
      </c>
      <c r="F24" s="1"/>
      <c r="I24" s="42" t="s">
        <v>115</v>
      </c>
      <c r="J24" s="43">
        <v>25.5</v>
      </c>
      <c r="K24" s="43">
        <v>0.88</v>
      </c>
      <c r="L24" s="43">
        <v>0.49</v>
      </c>
      <c r="M24" s="43">
        <v>13</v>
      </c>
      <c r="O24" s="41" t="s">
        <v>116</v>
      </c>
      <c r="P24">
        <v>0.1</v>
      </c>
    </row>
    <row r="25" spans="3:16">
      <c r="C25" s="3" t="s">
        <v>117</v>
      </c>
      <c r="D25" s="3"/>
      <c r="E25" s="14"/>
      <c r="F25" s="1"/>
      <c r="I25" s="42" t="s">
        <v>118</v>
      </c>
      <c r="J25" s="43">
        <v>24.57</v>
      </c>
      <c r="K25" s="43">
        <v>0.5</v>
      </c>
      <c r="L25" s="43">
        <v>0</v>
      </c>
      <c r="M25" s="43">
        <v>3.1</v>
      </c>
      <c r="O25" s="41" t="s">
        <v>119</v>
      </c>
      <c r="P25">
        <v>0.21</v>
      </c>
    </row>
    <row r="26" spans="3:16">
      <c r="C26" s="3" t="s">
        <v>120</v>
      </c>
      <c r="D26" s="3"/>
      <c r="E26" s="12" t="s">
        <v>52</v>
      </c>
      <c r="F26" s="1"/>
      <c r="I26" s="42" t="s">
        <v>121</v>
      </c>
      <c r="J26" s="43">
        <v>26.2</v>
      </c>
      <c r="K26" s="43">
        <v>1.03</v>
      </c>
      <c r="L26" s="43">
        <v>1.19</v>
      </c>
      <c r="M26" s="43">
        <v>13.4</v>
      </c>
      <c r="O26" s="41" t="s">
        <v>122</v>
      </c>
      <c r="P26" s="8">
        <v>1200</v>
      </c>
    </row>
    <row r="27" spans="3:16" ht="25.5">
      <c r="C27" s="35" t="s">
        <v>123</v>
      </c>
      <c r="D27" s="3"/>
      <c r="E27" s="36">
        <f>E32*0.12</f>
        <v>63360</v>
      </c>
      <c r="F27" s="36"/>
      <c r="I27" s="42" t="s">
        <v>124</v>
      </c>
      <c r="J27" s="43">
        <v>25.8</v>
      </c>
      <c r="K27" s="43">
        <v>0.96</v>
      </c>
      <c r="L27" s="43">
        <v>0.79</v>
      </c>
      <c r="M27" s="43">
        <v>12</v>
      </c>
      <c r="O27" s="33" t="s">
        <v>125</v>
      </c>
      <c r="P27">
        <v>8</v>
      </c>
    </row>
    <row r="28" spans="3:16">
      <c r="I28" s="42" t="s">
        <v>126</v>
      </c>
      <c r="J28" s="43">
        <v>24.88</v>
      </c>
      <c r="K28" s="43">
        <v>0.65</v>
      </c>
      <c r="L28" s="43">
        <v>0</v>
      </c>
      <c r="M28" s="43">
        <v>7</v>
      </c>
      <c r="O28" s="33" t="s">
        <v>127</v>
      </c>
      <c r="P28" s="8">
        <v>457500</v>
      </c>
    </row>
    <row r="29" spans="3:16" ht="12.95">
      <c r="C29" s="90" t="s">
        <v>128</v>
      </c>
      <c r="D29" s="91"/>
      <c r="E29" s="91"/>
      <c r="F29" s="92"/>
      <c r="I29" s="42" t="s">
        <v>129</v>
      </c>
      <c r="J29" s="43">
        <v>24.34</v>
      </c>
      <c r="K29" s="43">
        <v>0.4</v>
      </c>
      <c r="L29" s="43">
        <v>0</v>
      </c>
      <c r="M29" s="43">
        <v>5.0999999999999996</v>
      </c>
      <c r="O29" s="33" t="s">
        <v>130</v>
      </c>
      <c r="P29">
        <v>0</v>
      </c>
    </row>
    <row r="30" spans="3:16" ht="12.95">
      <c r="C30" s="39"/>
      <c r="D30" s="49"/>
      <c r="E30" s="48" t="s">
        <v>131</v>
      </c>
      <c r="F30" s="48" t="str">
        <f>IF(E8=S1,"Ægtefælle","ugift")</f>
        <v>ugift</v>
      </c>
      <c r="I30" s="42" t="s">
        <v>132</v>
      </c>
      <c r="J30" s="43">
        <v>23.6</v>
      </c>
      <c r="K30" s="43">
        <v>0.75</v>
      </c>
      <c r="L30" s="43">
        <v>0</v>
      </c>
      <c r="M30" s="43">
        <v>5.9</v>
      </c>
      <c r="O30" s="33" t="s">
        <v>133</v>
      </c>
      <c r="P30" s="8">
        <v>152600</v>
      </c>
    </row>
    <row r="31" spans="3:16" ht="12.95">
      <c r="C31" s="81" t="s">
        <v>134</v>
      </c>
      <c r="D31" s="91"/>
      <c r="E31" s="91"/>
      <c r="F31" s="92"/>
      <c r="I31" s="42" t="s">
        <v>135</v>
      </c>
      <c r="J31" s="43">
        <v>24.6</v>
      </c>
      <c r="K31" s="43">
        <v>0.8</v>
      </c>
      <c r="L31" s="43">
        <v>0</v>
      </c>
      <c r="M31" s="43">
        <v>6.5</v>
      </c>
      <c r="O31" s="41" t="s">
        <v>136</v>
      </c>
      <c r="P31" s="34">
        <v>216100</v>
      </c>
    </row>
    <row r="32" spans="3:16">
      <c r="C32" s="3" t="s">
        <v>137</v>
      </c>
      <c r="D32" s="3"/>
      <c r="E32" s="14">
        <f>12*44000</f>
        <v>528000</v>
      </c>
      <c r="F32" s="14"/>
      <c r="I32" s="42" t="s">
        <v>138</v>
      </c>
      <c r="J32" s="43">
        <v>24.52</v>
      </c>
      <c r="K32" s="43">
        <v>0.73</v>
      </c>
      <c r="L32" s="43">
        <v>0</v>
      </c>
      <c r="M32" s="43">
        <v>5.5</v>
      </c>
      <c r="O32" s="33" t="s">
        <v>139</v>
      </c>
      <c r="P32" s="32">
        <v>4.5</v>
      </c>
    </row>
    <row r="33" spans="3:16">
      <c r="C33" s="29" t="s">
        <v>140</v>
      </c>
      <c r="D33" s="3"/>
      <c r="E33" s="8">
        <f>E32*P4/100</f>
        <v>42240</v>
      </c>
      <c r="F33" s="9">
        <f>F32*P4/100</f>
        <v>0</v>
      </c>
      <c r="I33" s="42" t="s">
        <v>141</v>
      </c>
      <c r="J33" s="43">
        <v>25.4</v>
      </c>
      <c r="K33" s="43">
        <v>0.85</v>
      </c>
      <c r="L33" s="43">
        <v>0.39</v>
      </c>
      <c r="M33" s="43">
        <v>11.1</v>
      </c>
      <c r="O33" s="41" t="s">
        <v>142</v>
      </c>
      <c r="P33" s="34">
        <v>2800</v>
      </c>
    </row>
    <row r="34" spans="3:16">
      <c r="C34" s="35" t="s">
        <v>143</v>
      </c>
      <c r="D34" s="3"/>
      <c r="E34" s="46"/>
      <c r="F34" s="9"/>
      <c r="I34" s="42" t="s">
        <v>144</v>
      </c>
      <c r="J34" s="43">
        <v>25.8</v>
      </c>
      <c r="K34" s="43">
        <v>1.1599999999999999</v>
      </c>
      <c r="L34" s="43">
        <v>0.79</v>
      </c>
      <c r="M34" s="43">
        <v>15.9</v>
      </c>
      <c r="O34" s="41" t="s">
        <v>145</v>
      </c>
      <c r="P34" s="8">
        <v>80600</v>
      </c>
    </row>
    <row r="35" spans="3:16">
      <c r="C35" s="29" t="s">
        <v>140</v>
      </c>
      <c r="D35" s="3"/>
      <c r="E35" s="9">
        <f>MAX(0,E34*P4/100)</f>
        <v>0</v>
      </c>
      <c r="F35" s="9"/>
      <c r="I35" s="42" t="s">
        <v>146</v>
      </c>
      <c r="J35" s="43">
        <v>26.3</v>
      </c>
      <c r="K35" s="43">
        <v>0.95</v>
      </c>
      <c r="L35" s="43">
        <v>1.29</v>
      </c>
      <c r="M35" s="43">
        <v>12.7</v>
      </c>
    </row>
    <row r="36" spans="3:16" ht="24.95">
      <c r="C36" s="3" t="s">
        <v>147</v>
      </c>
      <c r="D36" s="3"/>
      <c r="E36" s="14"/>
      <c r="F36" s="14"/>
      <c r="I36" s="42" t="s">
        <v>148</v>
      </c>
      <c r="J36" s="43">
        <v>25.7</v>
      </c>
      <c r="K36" s="43">
        <v>0.85</v>
      </c>
      <c r="L36" s="43">
        <v>0.69</v>
      </c>
      <c r="M36" s="43">
        <v>10.9</v>
      </c>
      <c r="O36" s="30"/>
      <c r="P36" s="30"/>
    </row>
    <row r="37" spans="3:16" ht="24.95">
      <c r="C37" s="3" t="s">
        <v>149</v>
      </c>
      <c r="D37" s="3"/>
      <c r="E37" s="14"/>
      <c r="F37" s="14"/>
      <c r="I37" s="42" t="s">
        <v>150</v>
      </c>
      <c r="J37" s="43">
        <v>25.52</v>
      </c>
      <c r="K37" s="43">
        <v>0.98</v>
      </c>
      <c r="L37" s="43">
        <v>0.51</v>
      </c>
      <c r="M37" s="43">
        <v>7.9</v>
      </c>
      <c r="O37" s="17"/>
      <c r="P37" s="17"/>
    </row>
    <row r="38" spans="3:16" ht="25.5">
      <c r="C38" s="3" t="s">
        <v>151</v>
      </c>
      <c r="D38" s="3"/>
      <c r="E38" s="14"/>
      <c r="F38" s="14"/>
      <c r="I38" s="42" t="s">
        <v>152</v>
      </c>
      <c r="J38" s="43">
        <v>25.52</v>
      </c>
      <c r="K38" s="43">
        <v>0.63</v>
      </c>
      <c r="L38" s="43">
        <v>0.51</v>
      </c>
      <c r="M38" s="43">
        <v>9.5</v>
      </c>
    </row>
    <row r="39" spans="3:16">
      <c r="I39" s="42" t="s">
        <v>153</v>
      </c>
      <c r="J39" s="43">
        <v>23.7</v>
      </c>
      <c r="K39" s="43">
        <v>0.75</v>
      </c>
      <c r="L39" s="43">
        <v>0</v>
      </c>
      <c r="M39" s="43">
        <v>5.4</v>
      </c>
    </row>
    <row r="40" spans="3:16">
      <c r="C40" s="6" t="s">
        <v>154</v>
      </c>
      <c r="D40" s="6"/>
      <c r="E40" s="9">
        <f>E32-E33+E34-E35+E36+E37-E38</f>
        <v>485760</v>
      </c>
      <c r="F40" s="9">
        <f>F32-F33+F36+F37-F38</f>
        <v>0</v>
      </c>
      <c r="I40" s="42" t="s">
        <v>155</v>
      </c>
      <c r="J40" s="43">
        <v>25.4</v>
      </c>
      <c r="K40" s="43">
        <v>0.99</v>
      </c>
      <c r="L40" s="43">
        <v>0.39</v>
      </c>
      <c r="M40" s="43">
        <v>9.9</v>
      </c>
    </row>
    <row r="41" spans="3:16" ht="12.95">
      <c r="C41" s="81" t="s">
        <v>156</v>
      </c>
      <c r="D41" s="82"/>
      <c r="E41" s="82"/>
      <c r="F41" s="83"/>
      <c r="I41" s="42" t="s">
        <v>157</v>
      </c>
      <c r="J41" s="43">
        <v>25.6</v>
      </c>
      <c r="K41" s="43">
        <v>0.69</v>
      </c>
      <c r="L41" s="43">
        <v>0.59</v>
      </c>
      <c r="M41" s="43">
        <v>6.6</v>
      </c>
    </row>
    <row r="42" spans="3:16">
      <c r="C42" s="3" t="s">
        <v>158</v>
      </c>
      <c r="D42" s="3"/>
      <c r="E42" s="14"/>
      <c r="F42" s="14"/>
      <c r="I42" s="42" t="s">
        <v>159</v>
      </c>
      <c r="J42" s="43">
        <v>26.21</v>
      </c>
      <c r="K42" s="43">
        <v>1.19</v>
      </c>
      <c r="L42" s="43">
        <v>1.2</v>
      </c>
      <c r="M42" s="43">
        <v>16.5</v>
      </c>
    </row>
    <row r="43" spans="3:16">
      <c r="C43" s="3" t="s">
        <v>160</v>
      </c>
      <c r="D43" s="3"/>
      <c r="E43" s="14"/>
      <c r="F43" s="14"/>
      <c r="I43" s="42" t="s">
        <v>161</v>
      </c>
      <c r="J43" s="43">
        <v>25.3</v>
      </c>
      <c r="K43" s="43">
        <v>0.96</v>
      </c>
      <c r="L43" s="43">
        <v>0.28999999999999998</v>
      </c>
      <c r="M43" s="43">
        <v>8.1</v>
      </c>
    </row>
    <row r="44" spans="3:16">
      <c r="C44" s="3" t="s">
        <v>162</v>
      </c>
      <c r="D44" s="3"/>
      <c r="E44" s="14">
        <f>(Andelsboliglån!G10/2)+(Billån!G7/2)</f>
        <v>33228.294375191304</v>
      </c>
      <c r="F44" s="14"/>
      <c r="I44" s="42" t="s">
        <v>163</v>
      </c>
      <c r="J44" s="43">
        <v>25.5</v>
      </c>
      <c r="K44" s="43">
        <v>1.08</v>
      </c>
      <c r="L44" s="43">
        <v>0.49</v>
      </c>
      <c r="M44" s="43">
        <v>11.5</v>
      </c>
    </row>
    <row r="45" spans="3:16">
      <c r="C45" s="3" t="s">
        <v>164</v>
      </c>
      <c r="D45" s="3"/>
      <c r="E45" s="9">
        <f>E42+E43-E44</f>
        <v>-33228.294375191304</v>
      </c>
      <c r="F45" s="9">
        <f>F42+F43-F44</f>
        <v>0</v>
      </c>
      <c r="I45" s="42" t="s">
        <v>165</v>
      </c>
      <c r="J45" s="43">
        <v>25.69</v>
      </c>
      <c r="K45" s="43">
        <v>0.79</v>
      </c>
      <c r="L45" s="43">
        <v>0.68</v>
      </c>
      <c r="M45" s="43">
        <v>8.6999999999999993</v>
      </c>
    </row>
    <row r="46" spans="3:16">
      <c r="C46" s="35" t="s">
        <v>166</v>
      </c>
      <c r="D46" s="3"/>
      <c r="E46" s="46"/>
      <c r="F46" s="9"/>
      <c r="I46" s="42" t="s">
        <v>167</v>
      </c>
      <c r="J46" s="43">
        <v>25.4</v>
      </c>
      <c r="K46" s="43">
        <v>0.72</v>
      </c>
      <c r="L46" s="43">
        <v>0.39</v>
      </c>
      <c r="M46" s="43">
        <v>6.5</v>
      </c>
    </row>
    <row r="47" spans="3:16">
      <c r="C47" s="6" t="s">
        <v>168</v>
      </c>
      <c r="D47" s="6"/>
      <c r="E47" s="9">
        <f>E45+E46</f>
        <v>-33228.294375191304</v>
      </c>
      <c r="F47" s="9">
        <f>F45</f>
        <v>0</v>
      </c>
      <c r="I47" s="42" t="s">
        <v>169</v>
      </c>
      <c r="J47" s="43">
        <v>24.6</v>
      </c>
      <c r="K47" s="43">
        <v>0.8</v>
      </c>
      <c r="L47" s="43">
        <v>0</v>
      </c>
      <c r="M47" s="43">
        <v>6.3</v>
      </c>
    </row>
    <row r="48" spans="3:16" ht="12.95">
      <c r="C48" s="81" t="s">
        <v>170</v>
      </c>
      <c r="D48" s="82"/>
      <c r="E48" s="82"/>
      <c r="F48" s="83"/>
      <c r="I48" s="42" t="s">
        <v>171</v>
      </c>
      <c r="J48" s="43">
        <v>23.7</v>
      </c>
      <c r="K48" s="43">
        <v>0.62</v>
      </c>
      <c r="L48" s="43">
        <v>0</v>
      </c>
      <c r="M48" s="43">
        <v>8.5</v>
      </c>
    </row>
    <row r="49" spans="3:13">
      <c r="C49" s="3" t="s">
        <v>172</v>
      </c>
      <c r="D49" s="3"/>
      <c r="E49" s="14"/>
      <c r="F49" s="14" t="s">
        <v>30</v>
      </c>
      <c r="I49" s="42" t="s">
        <v>173</v>
      </c>
      <c r="J49" s="43">
        <v>25.1</v>
      </c>
      <c r="K49" s="43">
        <v>0.97</v>
      </c>
      <c r="L49" s="43">
        <v>0.09</v>
      </c>
      <c r="M49" s="43">
        <v>9.1</v>
      </c>
    </row>
    <row r="50" spans="3:13">
      <c r="C50" s="3" t="s">
        <v>174</v>
      </c>
      <c r="D50" s="3"/>
      <c r="E50" s="14">
        <v>12600</v>
      </c>
      <c r="F50" s="14"/>
      <c r="I50" s="42" t="s">
        <v>175</v>
      </c>
      <c r="J50" s="43">
        <v>25</v>
      </c>
      <c r="K50" s="43">
        <v>0.9</v>
      </c>
      <c r="L50" s="43">
        <v>0</v>
      </c>
      <c r="M50" s="43">
        <v>6.5</v>
      </c>
    </row>
    <row r="51" spans="3:13">
      <c r="C51" s="3" t="s">
        <v>176</v>
      </c>
      <c r="D51" s="9">
        <f>P18</f>
        <v>7000</v>
      </c>
      <c r="E51" s="14"/>
      <c r="F51" s="14"/>
      <c r="I51" s="42" t="s">
        <v>177</v>
      </c>
      <c r="J51" s="43">
        <v>25.7</v>
      </c>
      <c r="K51" s="43">
        <v>1.2</v>
      </c>
      <c r="L51" s="43">
        <v>0.69</v>
      </c>
      <c r="M51" s="43">
        <v>13.2</v>
      </c>
    </row>
    <row r="52" spans="3:13" ht="24.95">
      <c r="C52" s="3" t="s">
        <v>178</v>
      </c>
      <c r="D52" s="1"/>
      <c r="E52" s="14"/>
      <c r="F52" s="14"/>
      <c r="I52" s="42" t="s">
        <v>179</v>
      </c>
      <c r="J52" s="43">
        <v>24.2</v>
      </c>
      <c r="K52" s="43">
        <v>1.01</v>
      </c>
      <c r="L52" s="43">
        <v>0</v>
      </c>
      <c r="M52" s="43">
        <v>16.600000000000001</v>
      </c>
    </row>
    <row r="53" spans="3:13">
      <c r="C53" s="3" t="s">
        <v>180</v>
      </c>
      <c r="D53" s="1"/>
      <c r="E53" s="14"/>
      <c r="F53" s="14"/>
      <c r="I53" s="42" t="s">
        <v>181</v>
      </c>
      <c r="J53" s="43">
        <v>26.1</v>
      </c>
      <c r="K53" s="43">
        <v>0.98</v>
      </c>
      <c r="L53" s="43">
        <v>1.0900000000000001</v>
      </c>
      <c r="M53" s="43">
        <v>12.4</v>
      </c>
    </row>
    <row r="54" spans="3:13">
      <c r="C54" s="3" t="s">
        <v>182</v>
      </c>
      <c r="D54" s="1"/>
      <c r="E54" s="9">
        <f>MIN(MAX(0,(E32+MAX(0,E34+E27)))*P19/100,P20)</f>
        <v>45100</v>
      </c>
      <c r="F54" s="9">
        <f>MIN(MAX(0,F32+F27)*P19/100,P20)</f>
        <v>0</v>
      </c>
      <c r="I54" s="42" t="s">
        <v>183</v>
      </c>
      <c r="J54" s="43">
        <v>25.5</v>
      </c>
      <c r="K54" s="43">
        <v>0.92</v>
      </c>
      <c r="L54" s="43">
        <v>0.49</v>
      </c>
      <c r="M54" s="43">
        <v>11.1</v>
      </c>
    </row>
    <row r="55" spans="3:13">
      <c r="C55" s="3" t="s">
        <v>184</v>
      </c>
      <c r="D55" s="1"/>
      <c r="E55" s="9">
        <f>MIN(MAX(0,MAX(0,(E32+MAX(0,E34+E27)))-P31)*P32/100,P33)</f>
        <v>2800</v>
      </c>
      <c r="F55" s="9">
        <f>MIN(MAX(0,MAX(0,F32+F27)-P31)*P32/100,P33)</f>
        <v>0</v>
      </c>
      <c r="I55" s="42" t="s">
        <v>185</v>
      </c>
      <c r="J55" s="43">
        <v>23.6</v>
      </c>
      <c r="K55" s="43">
        <v>0.8</v>
      </c>
      <c r="L55" s="43">
        <v>0</v>
      </c>
      <c r="M55" s="43">
        <v>5.0999999999999996</v>
      </c>
    </row>
    <row r="56" spans="3:13">
      <c r="C56" s="35" t="s">
        <v>186</v>
      </c>
      <c r="D56" s="1"/>
      <c r="E56" s="9">
        <f>IF(E10="ja",MIN(P34,E27+E38)*0.12,MIN(P34,E27+E38)*0.32)</f>
        <v>7603.2</v>
      </c>
      <c r="F56" s="9">
        <f>IF(F10="ja",MIN(P34,F27+F38)*0.12,MIN(P34,F27+F38)*0.32)</f>
        <v>0</v>
      </c>
      <c r="I56" s="42" t="s">
        <v>187</v>
      </c>
      <c r="J56" s="43">
        <v>25.26</v>
      </c>
      <c r="K56" s="43">
        <v>0.87</v>
      </c>
      <c r="L56" s="43">
        <v>0.25</v>
      </c>
      <c r="M56" s="43">
        <v>5.3</v>
      </c>
    </row>
    <row r="57" spans="3:13">
      <c r="C57" s="6" t="s">
        <v>188</v>
      </c>
      <c r="D57" s="1"/>
      <c r="E57" s="9">
        <f>SUM(E49:E56)</f>
        <v>68103.199999999997</v>
      </c>
      <c r="F57" s="9">
        <f>SUM(F49:F56)</f>
        <v>0</v>
      </c>
      <c r="I57" s="42" t="s">
        <v>189</v>
      </c>
      <c r="J57" s="43">
        <v>26.3</v>
      </c>
      <c r="K57" s="43">
        <v>1.1399999999999999</v>
      </c>
      <c r="L57" s="43">
        <v>1.29</v>
      </c>
      <c r="M57" s="43">
        <v>12.2</v>
      </c>
    </row>
    <row r="58" spans="3:13" ht="12.95">
      <c r="C58" s="81" t="s">
        <v>190</v>
      </c>
      <c r="D58" s="83"/>
      <c r="E58" s="52">
        <f>E40+E47-E57</f>
        <v>384428.50562480866</v>
      </c>
      <c r="F58" s="52">
        <f>F40+F47-F57</f>
        <v>0</v>
      </c>
      <c r="I58" s="42" t="s">
        <v>191</v>
      </c>
      <c r="J58" s="43">
        <v>25.31</v>
      </c>
      <c r="K58" s="43">
        <v>1.05</v>
      </c>
      <c r="L58" s="43">
        <v>0.3</v>
      </c>
      <c r="M58" s="43">
        <v>9.6</v>
      </c>
    </row>
    <row r="59" spans="3:13">
      <c r="I59" s="42" t="s">
        <v>192</v>
      </c>
      <c r="J59" s="43">
        <v>25.46</v>
      </c>
      <c r="K59" s="43">
        <v>1.27</v>
      </c>
      <c r="L59" s="43">
        <v>0.45</v>
      </c>
      <c r="M59" s="43">
        <v>15.4</v>
      </c>
    </row>
    <row r="60" spans="3:13" ht="12.95">
      <c r="C60" s="81" t="s">
        <v>193</v>
      </c>
      <c r="D60" s="82"/>
      <c r="E60" s="82"/>
      <c r="F60" s="83"/>
      <c r="I60" s="42" t="s">
        <v>194</v>
      </c>
      <c r="J60" s="43">
        <v>26.3</v>
      </c>
      <c r="K60" s="43">
        <v>1.23</v>
      </c>
      <c r="L60" s="43">
        <v>1.29</v>
      </c>
      <c r="M60" s="43">
        <v>17.399999999999999</v>
      </c>
    </row>
    <row r="61" spans="3:13" ht="24.95">
      <c r="C61" s="3" t="s">
        <v>195</v>
      </c>
      <c r="D61" s="1"/>
      <c r="E61" s="14" t="s">
        <v>30</v>
      </c>
      <c r="F61" s="14" t="s">
        <v>30</v>
      </c>
      <c r="I61" s="42" t="s">
        <v>83</v>
      </c>
      <c r="J61" s="43">
        <v>24.38</v>
      </c>
      <c r="K61" s="43">
        <v>0.6</v>
      </c>
      <c r="L61" s="43">
        <v>0</v>
      </c>
      <c r="M61" s="43">
        <v>6.7</v>
      </c>
    </row>
    <row r="62" spans="3:13" ht="24.95">
      <c r="C62" s="3" t="s">
        <v>196</v>
      </c>
      <c r="D62" s="1"/>
      <c r="E62" s="14" t="s">
        <v>30</v>
      </c>
      <c r="F62" s="14"/>
      <c r="I62" s="42" t="s">
        <v>197</v>
      </c>
      <c r="J62" s="43">
        <v>26.3</v>
      </c>
      <c r="K62" s="43">
        <v>1.3</v>
      </c>
      <c r="L62" s="43">
        <v>1.29</v>
      </c>
      <c r="M62" s="43">
        <v>12.7</v>
      </c>
    </row>
    <row r="63" spans="3:13">
      <c r="C63" s="6" t="s">
        <v>198</v>
      </c>
      <c r="D63" s="1"/>
      <c r="E63" s="9">
        <f>SUM(E61:E62)</f>
        <v>0</v>
      </c>
      <c r="F63" s="9">
        <f>SUM(F61:F62)</f>
        <v>0</v>
      </c>
      <c r="I63" s="42" t="s">
        <v>199</v>
      </c>
      <c r="J63" s="43">
        <v>25.9</v>
      </c>
      <c r="K63" s="43">
        <v>1.1499999999999999</v>
      </c>
      <c r="L63" s="43">
        <v>0.89</v>
      </c>
      <c r="M63" s="43">
        <v>15.7</v>
      </c>
    </row>
    <row r="64" spans="3:13">
      <c r="C64" s="22"/>
      <c r="E64" s="8"/>
      <c r="F64" s="8"/>
      <c r="I64" s="42" t="s">
        <v>200</v>
      </c>
      <c r="J64" s="43">
        <v>25.8</v>
      </c>
      <c r="K64" s="43">
        <v>0.9</v>
      </c>
      <c r="L64" s="43">
        <v>0.79</v>
      </c>
      <c r="M64" s="43">
        <v>6.8</v>
      </c>
    </row>
    <row r="65" spans="1:13" ht="12.95">
      <c r="C65" s="90" t="s">
        <v>201</v>
      </c>
      <c r="D65" s="93"/>
      <c r="E65" s="93"/>
      <c r="F65" s="94"/>
      <c r="I65" s="42" t="s">
        <v>202</v>
      </c>
      <c r="J65" s="43">
        <v>25.8</v>
      </c>
      <c r="K65" s="43">
        <v>1.2</v>
      </c>
      <c r="L65" s="43">
        <v>0.79</v>
      </c>
      <c r="M65" s="43">
        <v>15.3</v>
      </c>
    </row>
    <row r="66" spans="1:13" ht="12.95">
      <c r="C66" s="48"/>
      <c r="D66" s="15"/>
      <c r="E66" s="48" t="s">
        <v>131</v>
      </c>
      <c r="F66" s="48" t="str">
        <f>IF(E8=S1,"Ægtefælle","ugift")</f>
        <v>ugift</v>
      </c>
      <c r="I66" s="42" t="s">
        <v>203</v>
      </c>
      <c r="J66" s="43">
        <v>26</v>
      </c>
      <c r="K66" s="43">
        <v>1</v>
      </c>
      <c r="L66" s="43">
        <v>0.99</v>
      </c>
      <c r="M66" s="43">
        <v>16.8</v>
      </c>
    </row>
    <row r="67" spans="1:13" ht="12.95">
      <c r="C67" s="81" t="s">
        <v>204</v>
      </c>
      <c r="D67" s="82"/>
      <c r="E67" s="82"/>
      <c r="F67" s="83"/>
      <c r="I67" s="42" t="s">
        <v>205</v>
      </c>
      <c r="J67" s="43">
        <v>26</v>
      </c>
      <c r="K67" s="43">
        <v>1.04</v>
      </c>
      <c r="L67" s="43">
        <v>0.99</v>
      </c>
      <c r="M67" s="43">
        <v>15.1</v>
      </c>
    </row>
    <row r="68" spans="1:13">
      <c r="C68" s="3" t="s">
        <v>206</v>
      </c>
      <c r="D68" s="1"/>
      <c r="E68" s="9">
        <f>E58</f>
        <v>384428.50562480866</v>
      </c>
      <c r="F68" s="9" t="str">
        <f>IF(Gift,F58,"ugift")</f>
        <v>ugift</v>
      </c>
      <c r="I68" s="42" t="s">
        <v>207</v>
      </c>
      <c r="J68" s="43">
        <v>26.3</v>
      </c>
      <c r="K68" s="43">
        <v>1</v>
      </c>
      <c r="L68" s="43">
        <v>1.29</v>
      </c>
      <c r="M68" s="43">
        <v>12.8</v>
      </c>
    </row>
    <row r="69" spans="1:13">
      <c r="C69" s="3" t="s">
        <v>208</v>
      </c>
      <c r="D69" s="1"/>
      <c r="E69" s="9">
        <f>IF(E9=S1,(-1)*P11,(-1)*P12)</f>
        <v>-49700</v>
      </c>
      <c r="F69" s="9" t="str">
        <f>IF(Gift,IF(F9=S1,(-1)*P11,(-1)*P12),"ugift")</f>
        <v>ugift</v>
      </c>
      <c r="I69" s="42" t="s">
        <v>209</v>
      </c>
      <c r="J69" s="43">
        <v>25</v>
      </c>
      <c r="K69" s="43">
        <v>0.98</v>
      </c>
      <c r="L69" s="43">
        <v>0</v>
      </c>
      <c r="M69" s="43">
        <v>9.8000000000000007</v>
      </c>
    </row>
    <row r="70" spans="1:13">
      <c r="C70" s="6" t="s">
        <v>210</v>
      </c>
      <c r="D70" s="1"/>
      <c r="E70" s="9">
        <f>SUM(E68:E69)</f>
        <v>334728.50562480866</v>
      </c>
      <c r="F70" s="9" t="str">
        <f>IF(Gift,SUM(F68:F69),"ugift")</f>
        <v>ugift</v>
      </c>
      <c r="I70" s="42" t="s">
        <v>211</v>
      </c>
      <c r="J70" s="43">
        <v>25.1</v>
      </c>
      <c r="K70" s="43">
        <v>0.95</v>
      </c>
      <c r="L70" s="43">
        <v>0.09</v>
      </c>
      <c r="M70" s="43">
        <v>14.4</v>
      </c>
    </row>
    <row r="71" spans="1:13">
      <c r="A71" s="18">
        <f>IF(E11=S1,E14+E15,E14)+P6</f>
        <v>24.98</v>
      </c>
      <c r="B71" s="18">
        <f>IF(F11=S1,E14+E15,E14)+P6</f>
        <v>24.98</v>
      </c>
      <c r="C71" s="1" t="s">
        <v>212</v>
      </c>
      <c r="D71" s="1"/>
      <c r="E71" s="9">
        <f>E70*A71/100</f>
        <v>83615.180705077204</v>
      </c>
      <c r="F71" s="9" t="str">
        <f>IF(Gift,F70*B71/100,"ugift")</f>
        <v>ugift</v>
      </c>
      <c r="I71" s="42" t="s">
        <v>213</v>
      </c>
      <c r="J71" s="43">
        <v>25.5</v>
      </c>
      <c r="K71" s="43">
        <v>0.68</v>
      </c>
      <c r="L71" s="43">
        <v>0.49</v>
      </c>
      <c r="M71" s="43">
        <v>5.7</v>
      </c>
    </row>
    <row r="72" spans="1:13">
      <c r="C72" s="1" t="s">
        <v>214</v>
      </c>
      <c r="D72" s="1"/>
      <c r="E72" s="9">
        <f>IF(Gift,E71+F71,E71)</f>
        <v>83615.180705077204</v>
      </c>
      <c r="F72" s="8"/>
      <c r="I72" s="42" t="s">
        <v>215</v>
      </c>
      <c r="J72" s="43">
        <v>26.3</v>
      </c>
      <c r="K72" s="43">
        <v>0.98</v>
      </c>
      <c r="L72" s="43">
        <v>1.29</v>
      </c>
      <c r="M72" s="43">
        <v>12.3</v>
      </c>
    </row>
    <row r="73" spans="1:13" ht="12.95">
      <c r="C73" s="81" t="s">
        <v>216</v>
      </c>
      <c r="D73" s="82"/>
      <c r="E73" s="82"/>
      <c r="F73" s="83"/>
      <c r="I73" s="42" t="s">
        <v>217</v>
      </c>
      <c r="J73" s="43">
        <v>25.8</v>
      </c>
      <c r="K73" s="43">
        <v>0.89</v>
      </c>
      <c r="L73" s="43">
        <v>0.79</v>
      </c>
      <c r="M73" s="43">
        <v>13.9</v>
      </c>
    </row>
    <row r="74" spans="1:13">
      <c r="C74" s="3" t="s">
        <v>134</v>
      </c>
      <c r="D74" s="1"/>
      <c r="E74" s="9">
        <f>E40</f>
        <v>485760</v>
      </c>
      <c r="F74" s="9" t="str">
        <f>IF(Gift,F40,"ugift")</f>
        <v>ugift</v>
      </c>
      <c r="I74" s="42" t="s">
        <v>218</v>
      </c>
      <c r="J74" s="43">
        <v>25.83</v>
      </c>
      <c r="K74" s="43">
        <v>1.2</v>
      </c>
      <c r="L74" s="43">
        <v>0.82</v>
      </c>
      <c r="M74" s="43">
        <v>8.9</v>
      </c>
    </row>
    <row r="75" spans="1:13">
      <c r="C75" s="1" t="s">
        <v>219</v>
      </c>
      <c r="D75" s="1"/>
      <c r="E75" s="9">
        <f>IF(Gift,IF(E47&gt;=0,IF(F47&gt;=0,E47,MAX(0,E47+F47)),0),MAX(E47,0))</f>
        <v>0</v>
      </c>
      <c r="F75" s="9" t="str">
        <f>IF(Gift,IF(E47&gt;=0,IF(F47&gt;=0,F47,0),IF(F47&gt;=0,MAX(0,E47+F47),0)),"ugift")</f>
        <v>ugift</v>
      </c>
      <c r="I75" s="42" t="s">
        <v>220</v>
      </c>
      <c r="J75" s="43">
        <v>25</v>
      </c>
      <c r="K75" s="43">
        <v>1.05</v>
      </c>
      <c r="L75" s="43">
        <v>0</v>
      </c>
      <c r="M75" s="43">
        <v>16.399999999999999</v>
      </c>
    </row>
    <row r="76" spans="1:13">
      <c r="C76" s="3" t="s">
        <v>208</v>
      </c>
      <c r="D76" s="1"/>
      <c r="E76" s="9">
        <f>E69</f>
        <v>-49700</v>
      </c>
      <c r="F76" s="9" t="str">
        <f>F69</f>
        <v>ugift</v>
      </c>
      <c r="I76" s="42" t="s">
        <v>221</v>
      </c>
      <c r="J76" s="43">
        <v>26.1</v>
      </c>
      <c r="K76" s="43">
        <v>0.95</v>
      </c>
      <c r="L76" s="43">
        <v>1.0900000000000001</v>
      </c>
      <c r="M76" s="43">
        <v>7</v>
      </c>
    </row>
    <row r="77" spans="1:13">
      <c r="C77" s="6" t="s">
        <v>210</v>
      </c>
      <c r="D77" s="1"/>
      <c r="E77" s="9">
        <f>SUM(E74:E76)</f>
        <v>436060</v>
      </c>
      <c r="F77" s="9" t="str">
        <f>IF(Gift,SUM(F74:F76),"ugift")</f>
        <v>ugift</v>
      </c>
      <c r="I77" s="42" t="s">
        <v>222</v>
      </c>
      <c r="J77" s="43">
        <v>25.2</v>
      </c>
      <c r="K77" s="43">
        <v>0.84</v>
      </c>
      <c r="L77" s="43">
        <v>0.19</v>
      </c>
      <c r="M77" s="43">
        <v>7.4</v>
      </c>
    </row>
    <row r="78" spans="1:13">
      <c r="B78" s="18">
        <f>P5</f>
        <v>12.06</v>
      </c>
      <c r="C78" s="1" t="s">
        <v>212</v>
      </c>
      <c r="D78" s="1"/>
      <c r="E78" s="9">
        <f>E77*B78/100</f>
        <v>52588.836000000003</v>
      </c>
      <c r="F78" s="9" t="str">
        <f>IF(Gift,F77*B78/100,"ugift")</f>
        <v>ugift</v>
      </c>
      <c r="I78" s="42" t="s">
        <v>223</v>
      </c>
      <c r="J78" s="43">
        <v>23.36</v>
      </c>
      <c r="K78" s="43">
        <v>0.56999999999999995</v>
      </c>
      <c r="L78" s="43">
        <v>0</v>
      </c>
      <c r="M78" s="43">
        <v>9.6</v>
      </c>
    </row>
    <row r="79" spans="1:13">
      <c r="C79" s="1" t="s">
        <v>214</v>
      </c>
      <c r="D79" s="1"/>
      <c r="E79" s="9">
        <f>IF(Gift,E78+F78,E78)</f>
        <v>52588.836000000003</v>
      </c>
      <c r="I79" s="42" t="s">
        <v>224</v>
      </c>
      <c r="J79" s="43">
        <v>25.7</v>
      </c>
      <c r="K79" s="43">
        <v>0.72</v>
      </c>
      <c r="L79" s="43">
        <v>0.69</v>
      </c>
      <c r="M79" s="43">
        <v>7.8</v>
      </c>
    </row>
    <row r="80" spans="1:13" ht="12.95">
      <c r="C80" s="90" t="s">
        <v>225</v>
      </c>
      <c r="D80" s="93"/>
      <c r="E80" s="93"/>
      <c r="F80" s="94"/>
      <c r="I80" s="42" t="s">
        <v>226</v>
      </c>
      <c r="J80" s="43">
        <v>25.9</v>
      </c>
      <c r="K80" s="43">
        <v>1.22</v>
      </c>
      <c r="L80" s="43">
        <v>0.89</v>
      </c>
      <c r="M80" s="43">
        <v>10.5</v>
      </c>
    </row>
    <row r="81" spans="2:13">
      <c r="C81" s="3" t="s">
        <v>134</v>
      </c>
      <c r="D81" s="1"/>
      <c r="E81" s="9">
        <f>E40</f>
        <v>485760</v>
      </c>
      <c r="F81" s="9" t="str">
        <f>IF(Gift,F40,"ugift")</f>
        <v>ugift</v>
      </c>
      <c r="I81" s="42" t="s">
        <v>227</v>
      </c>
      <c r="J81" s="43">
        <v>25.5</v>
      </c>
      <c r="K81" s="43">
        <v>0.95</v>
      </c>
      <c r="L81" s="43">
        <v>0.49</v>
      </c>
      <c r="M81" s="43">
        <v>11</v>
      </c>
    </row>
    <row r="82" spans="2:13">
      <c r="C82" s="3" t="s">
        <v>228</v>
      </c>
      <c r="D82" s="1"/>
      <c r="E82" s="9">
        <f>-P8</f>
        <v>-588900</v>
      </c>
      <c r="F82" s="9" t="str">
        <f>IF(Gift,-P8,"ugift")</f>
        <v>ugift</v>
      </c>
      <c r="I82" s="42" t="s">
        <v>229</v>
      </c>
      <c r="J82" s="43">
        <v>26</v>
      </c>
      <c r="K82" s="43">
        <v>0.86</v>
      </c>
      <c r="L82" s="43">
        <v>0.99</v>
      </c>
      <c r="M82" s="43">
        <v>8.6</v>
      </c>
    </row>
    <row r="83" spans="2:13">
      <c r="C83" s="6" t="s">
        <v>210</v>
      </c>
      <c r="D83" s="1"/>
      <c r="E83" s="9">
        <f>SUM(E81:E82)</f>
        <v>-103140</v>
      </c>
      <c r="F83" s="9" t="str">
        <f>IF(Gift,SUM(F81:F82),"ugift")</f>
        <v>ugift</v>
      </c>
      <c r="I83" s="42" t="s">
        <v>230</v>
      </c>
      <c r="J83" s="43">
        <v>25.5</v>
      </c>
      <c r="K83" s="43">
        <v>1.0900000000000001</v>
      </c>
      <c r="L83" s="43">
        <v>0.49</v>
      </c>
      <c r="M83" s="43">
        <v>11.6</v>
      </c>
    </row>
    <row r="84" spans="2:13">
      <c r="B84" s="18">
        <f>IF((E14+P6+P5+P7)&gt;P9,P7-(E14+P6+P5+P7-P9),P7)</f>
        <v>15</v>
      </c>
      <c r="C84" s="1" t="s">
        <v>212</v>
      </c>
      <c r="D84" s="1"/>
      <c r="E84" s="9">
        <f>E83*B84/100</f>
        <v>-15471</v>
      </c>
      <c r="F84" s="9" t="str">
        <f>IF(Gift,F83*B84/100,"ugift")</f>
        <v>ugift</v>
      </c>
      <c r="I84" s="42" t="s">
        <v>231</v>
      </c>
      <c r="J84" s="43">
        <v>26.1</v>
      </c>
      <c r="K84" s="43">
        <v>0.96</v>
      </c>
      <c r="L84" s="43">
        <v>1.0900000000000001</v>
      </c>
      <c r="M84" s="43">
        <v>11.1</v>
      </c>
    </row>
    <row r="85" spans="2:13" ht="12.95">
      <c r="C85" s="10" t="s">
        <v>232</v>
      </c>
      <c r="D85" s="1"/>
      <c r="E85" s="9">
        <f>IF(Gift,MAX(0,E84)+MAX(0,F84),MAX(0,E84))</f>
        <v>0</v>
      </c>
      <c r="I85" s="42" t="s">
        <v>233</v>
      </c>
      <c r="J85" s="43">
        <v>24.99</v>
      </c>
      <c r="K85" s="43">
        <v>0.89</v>
      </c>
      <c r="L85" s="43">
        <v>0</v>
      </c>
      <c r="M85" s="43">
        <v>7.9</v>
      </c>
    </row>
    <row r="86" spans="2:13">
      <c r="C86" s="3" t="s">
        <v>234</v>
      </c>
      <c r="D86" s="9">
        <f>IF(Gift,P14*2,P14)</f>
        <v>50500</v>
      </c>
      <c r="E86" s="9">
        <f>IF(Gift,IF(E83&gt;=F83,MAX(0,E75+F75-D86),""),MAX(0,E75-D86))</f>
        <v>0</v>
      </c>
      <c r="F86" s="9" t="str">
        <f>IF(Gift,IF(E83&lt;F83,MAX(0,E75+F75-D86),""),"ugift")</f>
        <v>ugift</v>
      </c>
      <c r="I86" s="42" t="s">
        <v>235</v>
      </c>
      <c r="J86" s="43">
        <v>26.3</v>
      </c>
      <c r="K86" s="43">
        <v>0.95</v>
      </c>
      <c r="L86" s="43">
        <v>1.29</v>
      </c>
      <c r="M86" s="43">
        <v>9.8000000000000007</v>
      </c>
    </row>
    <row r="87" spans="2:13">
      <c r="C87" s="3" t="s">
        <v>228</v>
      </c>
      <c r="D87" s="1"/>
      <c r="E87" s="9">
        <f>IF(Gift,IF(E83&gt;=F83,(-1)*IF(E40&gt;=P8,0,P8-(E40)),""),(-1)*IF(E40&gt;=P8,0,P8-(E40)))</f>
        <v>-103140</v>
      </c>
      <c r="F87" s="9" t="str">
        <f>IF(Gift,IF(E83&lt;F83,(-1)*IF(F40&gt;=P8,0,P8-(F40)),""),"ugift")</f>
        <v>ugift</v>
      </c>
      <c r="I87" s="42" t="s">
        <v>236</v>
      </c>
      <c r="J87" s="43">
        <v>26</v>
      </c>
      <c r="K87" s="43">
        <v>1.1000000000000001</v>
      </c>
      <c r="L87" s="43">
        <v>0.99</v>
      </c>
      <c r="M87" s="43">
        <v>8.3000000000000007</v>
      </c>
    </row>
    <row r="88" spans="2:13">
      <c r="C88" s="6" t="s">
        <v>210</v>
      </c>
      <c r="D88" s="1"/>
      <c r="E88" s="9">
        <f>IF(Gift,IF(E83&gt;=F83,E86+E87,""),E86+E87)</f>
        <v>-103140</v>
      </c>
      <c r="F88" s="9" t="str">
        <f>IF(Gift,IF(E83&lt;F83,F86+F87,""),"ugift")</f>
        <v>ugift</v>
      </c>
      <c r="I88" s="42" t="s">
        <v>237</v>
      </c>
      <c r="J88" s="43">
        <v>25.3</v>
      </c>
      <c r="K88" s="43">
        <v>1.2</v>
      </c>
      <c r="L88" s="43">
        <v>0.28999999999999998</v>
      </c>
      <c r="M88" s="43">
        <v>15.5</v>
      </c>
    </row>
    <row r="89" spans="2:13">
      <c r="B89" s="18">
        <f>IF((E14+P6+P5+P7)&gt;P10,P7-(E14+P6+P5+P7-P10),P7)</f>
        <v>5.5600000000000023</v>
      </c>
      <c r="C89" s="3" t="s">
        <v>212</v>
      </c>
      <c r="D89" s="1"/>
      <c r="E89" s="9">
        <f>IF(Gift,IF(E83&gt;=F83,E88*B89/100,""),E88*B89/100)</f>
        <v>-5734.5840000000026</v>
      </c>
      <c r="F89" s="9" t="str">
        <f>IF(Gift,IF(E83&lt;F83,F88*B89/100,""),"ugift")</f>
        <v>ugift</v>
      </c>
      <c r="I89" s="42" t="s">
        <v>238</v>
      </c>
      <c r="J89" s="43">
        <v>26.3</v>
      </c>
      <c r="K89" s="43">
        <v>1.02</v>
      </c>
      <c r="L89" s="43">
        <v>1.29</v>
      </c>
      <c r="M89" s="43">
        <v>8.8000000000000007</v>
      </c>
    </row>
    <row r="90" spans="2:13" ht="12.95">
      <c r="C90" s="10" t="s">
        <v>239</v>
      </c>
      <c r="D90" s="1"/>
      <c r="E90" s="9">
        <f>IF(Gift,IF(E83&gt;=F83,MAX(0,E89),MAX(0,F89)),MAX(0,E89))</f>
        <v>0</v>
      </c>
      <c r="I90" s="42" t="s">
        <v>240</v>
      </c>
      <c r="J90" s="43">
        <v>25.9</v>
      </c>
      <c r="K90" s="43">
        <v>0.94</v>
      </c>
      <c r="L90" s="43">
        <v>0.89</v>
      </c>
      <c r="M90" s="43">
        <v>14.2</v>
      </c>
    </row>
    <row r="91" spans="2:13">
      <c r="C91" s="1" t="s">
        <v>214</v>
      </c>
      <c r="D91" s="1"/>
      <c r="E91" s="9">
        <f>E85+E90</f>
        <v>0</v>
      </c>
      <c r="I91" s="42" t="s">
        <v>241</v>
      </c>
      <c r="J91" s="43">
        <v>25.7</v>
      </c>
      <c r="K91" s="43">
        <v>0.91</v>
      </c>
      <c r="L91" s="43">
        <v>0.69</v>
      </c>
      <c r="M91" s="43">
        <v>13.5</v>
      </c>
    </row>
    <row r="92" spans="2:13">
      <c r="E92" s="8"/>
      <c r="I92" s="42" t="s">
        <v>242</v>
      </c>
      <c r="J92" s="43">
        <v>25.5</v>
      </c>
      <c r="K92" s="43">
        <v>1.27</v>
      </c>
      <c r="L92" s="43">
        <v>0.49</v>
      </c>
      <c r="M92" s="43">
        <v>11.2</v>
      </c>
    </row>
    <row r="93" spans="2:13" ht="12.95">
      <c r="C93" s="90" t="s">
        <v>243</v>
      </c>
      <c r="D93" s="91"/>
      <c r="E93" s="91"/>
      <c r="F93" s="92"/>
      <c r="I93" s="42" t="s">
        <v>244</v>
      </c>
      <c r="J93" s="43">
        <v>24.1</v>
      </c>
      <c r="K93" s="43">
        <v>0.61</v>
      </c>
      <c r="L93" s="43">
        <v>0</v>
      </c>
      <c r="M93" s="43">
        <v>6</v>
      </c>
    </row>
    <row r="94" spans="2:13" ht="12.95">
      <c r="C94" s="39" t="s">
        <v>245</v>
      </c>
      <c r="D94" s="48"/>
      <c r="E94" s="9">
        <f>E37</f>
        <v>0</v>
      </c>
      <c r="F94" s="9" t="str">
        <f>IF(Gift,F37,"ugift")</f>
        <v>ugift</v>
      </c>
      <c r="I94" s="42" t="s">
        <v>246</v>
      </c>
      <c r="J94" s="43">
        <v>25.3</v>
      </c>
      <c r="K94" s="43">
        <v>1.1599999999999999</v>
      </c>
      <c r="L94" s="43">
        <v>0.28999999999999998</v>
      </c>
      <c r="M94" s="43">
        <v>10.8</v>
      </c>
    </row>
    <row r="95" spans="2:13" ht="12.95">
      <c r="C95" s="39" t="s">
        <v>247</v>
      </c>
      <c r="D95" s="48"/>
      <c r="E95" s="9">
        <f>P28</f>
        <v>457500</v>
      </c>
      <c r="F95" s="9" t="str">
        <f>IF(Gift,P28,"ugift")</f>
        <v>ugift</v>
      </c>
      <c r="I95" s="42" t="s">
        <v>248</v>
      </c>
      <c r="J95" s="43">
        <v>25.6</v>
      </c>
      <c r="K95" s="43">
        <v>0.8</v>
      </c>
      <c r="L95" s="43">
        <v>0.59</v>
      </c>
      <c r="M95" s="43">
        <v>8.6</v>
      </c>
    </row>
    <row r="96" spans="2:13" ht="12.95">
      <c r="C96" s="39" t="s">
        <v>249</v>
      </c>
      <c r="D96" s="48"/>
      <c r="E96" s="9">
        <f>IF(Gift,MAX(MIN(MAX(0,(-1)*(F94-F95)),P29-MAX(0,F40)),0),0)</f>
        <v>0</v>
      </c>
      <c r="F96" s="9" t="str">
        <f>IF(Gift,MAX(MIN(MAX(0,(-1)*(E94-E95)),P29-MAX(0,E40)),0),"ugift")</f>
        <v>ugift</v>
      </c>
      <c r="I96" s="42" t="s">
        <v>250</v>
      </c>
      <c r="J96" s="43">
        <v>25.1</v>
      </c>
      <c r="K96" s="43">
        <v>0.95</v>
      </c>
      <c r="L96" s="43">
        <v>0.09</v>
      </c>
      <c r="M96" s="43">
        <v>17.7</v>
      </c>
    </row>
    <row r="97" spans="2:13">
      <c r="C97" s="53" t="s">
        <v>210</v>
      </c>
      <c r="D97" s="1"/>
      <c r="E97" s="9">
        <f>E94-(E95+E96)</f>
        <v>-457500</v>
      </c>
      <c r="F97" s="9" t="str">
        <f>IF(Gift,F94-(F95+F96),"ugift")</f>
        <v>ugift</v>
      </c>
      <c r="I97" s="42" t="s">
        <v>251</v>
      </c>
      <c r="J97" s="43">
        <v>25.33</v>
      </c>
      <c r="K97" s="43">
        <v>1.06</v>
      </c>
      <c r="L97" s="43">
        <v>0.32</v>
      </c>
      <c r="M97" s="43">
        <v>9</v>
      </c>
    </row>
    <row r="98" spans="2:13">
      <c r="B98" s="45">
        <f>P29</f>
        <v>0</v>
      </c>
      <c r="C98" s="1" t="s">
        <v>212</v>
      </c>
      <c r="D98" s="1"/>
      <c r="E98" s="9">
        <f>E97*B98/100</f>
        <v>0</v>
      </c>
      <c r="F98" s="9" t="str">
        <f>IF(Gift,F97*B98/100,"ugift")</f>
        <v>ugift</v>
      </c>
      <c r="I98" s="42" t="s">
        <v>252</v>
      </c>
      <c r="J98" s="43">
        <v>23.4</v>
      </c>
      <c r="K98" s="43">
        <v>0.89</v>
      </c>
      <c r="L98" s="43">
        <v>0</v>
      </c>
      <c r="M98" s="43">
        <v>10.5</v>
      </c>
    </row>
    <row r="99" spans="2:13">
      <c r="C99" s="1" t="s">
        <v>253</v>
      </c>
      <c r="D99" s="1"/>
      <c r="E99" s="9">
        <f>IF(E98&gt;0,E98,0)</f>
        <v>0</v>
      </c>
      <c r="F99" s="9" t="str">
        <f>IF(Gift,IF(F98&gt;0,F98,0),"ugift")</f>
        <v>ugift</v>
      </c>
      <c r="I99" s="42" t="s">
        <v>254</v>
      </c>
      <c r="J99" s="43">
        <v>26.3</v>
      </c>
      <c r="K99" s="43">
        <v>1.18</v>
      </c>
      <c r="L99" s="43">
        <v>1.29</v>
      </c>
      <c r="M99" s="43">
        <v>9.3000000000000007</v>
      </c>
    </row>
    <row r="100" spans="2:13">
      <c r="C100" s="39" t="s">
        <v>214</v>
      </c>
      <c r="D100" s="1"/>
      <c r="E100" s="9">
        <f>IF(Gift,E99+F99,E99)</f>
        <v>0</v>
      </c>
      <c r="I100" s="42" t="s">
        <v>255</v>
      </c>
      <c r="J100" s="43">
        <v>25.5</v>
      </c>
      <c r="K100" s="43">
        <v>0.93</v>
      </c>
      <c r="L100" s="43">
        <v>0.49</v>
      </c>
      <c r="M100" s="43">
        <v>11.5</v>
      </c>
    </row>
    <row r="101" spans="2:13">
      <c r="E101" s="8"/>
      <c r="I101" s="42" t="s">
        <v>256</v>
      </c>
      <c r="J101" s="43">
        <v>26.3</v>
      </c>
      <c r="K101" s="43">
        <v>1.02</v>
      </c>
      <c r="L101" s="43">
        <v>1.29</v>
      </c>
      <c r="M101" s="43">
        <v>13.5</v>
      </c>
    </row>
    <row r="102" spans="2:13" ht="12.95">
      <c r="B102" s="8"/>
      <c r="C102" s="81" t="s">
        <v>257</v>
      </c>
      <c r="D102" s="82"/>
      <c r="E102" s="82"/>
      <c r="F102" s="83"/>
      <c r="I102" s="42" t="s">
        <v>258</v>
      </c>
      <c r="J102" s="43">
        <v>26.1</v>
      </c>
      <c r="K102" s="43">
        <v>1.07</v>
      </c>
      <c r="L102" s="43">
        <v>1.0900000000000001</v>
      </c>
      <c r="M102" s="43">
        <v>11.1</v>
      </c>
    </row>
    <row r="103" spans="2:13">
      <c r="B103" s="8"/>
      <c r="C103" s="3" t="s">
        <v>193</v>
      </c>
      <c r="D103" s="1"/>
      <c r="E103" s="9">
        <f>E63</f>
        <v>0</v>
      </c>
      <c r="F103" s="9" t="str">
        <f>IF(Gift,F63,"ugift")</f>
        <v>ugift</v>
      </c>
      <c r="I103" s="42" t="s">
        <v>259</v>
      </c>
      <c r="J103" s="43">
        <v>25.6</v>
      </c>
      <c r="K103" s="43">
        <v>0.95</v>
      </c>
      <c r="L103" s="43">
        <v>0.59</v>
      </c>
      <c r="M103" s="43">
        <v>7.8</v>
      </c>
    </row>
    <row r="104" spans="2:13">
      <c r="B104" s="31">
        <f>IF(E104&lt;0,-1,1)</f>
        <v>1</v>
      </c>
      <c r="C104" s="1" t="s">
        <v>210</v>
      </c>
      <c r="D104" s="1"/>
      <c r="E104" s="9">
        <f>IF(Gift,E103+F103,E103)</f>
        <v>0</v>
      </c>
      <c r="I104" s="42" t="s">
        <v>260</v>
      </c>
      <c r="J104" s="43">
        <v>25.6</v>
      </c>
      <c r="K104" s="43">
        <v>0.98</v>
      </c>
      <c r="L104" s="43">
        <v>0.59</v>
      </c>
      <c r="M104" s="43">
        <v>7.4</v>
      </c>
    </row>
    <row r="105" spans="2:13">
      <c r="B105" s="9">
        <f>P15</f>
        <v>27</v>
      </c>
      <c r="C105" s="1" t="s">
        <v>261</v>
      </c>
      <c r="D105" s="9">
        <f>IF(Gift,P17*2,P17)</f>
        <v>61000</v>
      </c>
      <c r="E105" s="9">
        <f>IF(B104*E104&lt;=D105,E104*B105/100,B104*D105*B105/100)</f>
        <v>0</v>
      </c>
      <c r="I105" s="42" t="s">
        <v>262</v>
      </c>
      <c r="J105" s="43">
        <v>24.52</v>
      </c>
      <c r="K105" s="43">
        <v>0.74</v>
      </c>
      <c r="L105" s="43">
        <v>0</v>
      </c>
      <c r="M105" s="43">
        <v>6</v>
      </c>
    </row>
    <row r="106" spans="2:13">
      <c r="B106" s="9">
        <f>P16</f>
        <v>42</v>
      </c>
      <c r="C106" s="1" t="s">
        <v>263</v>
      </c>
      <c r="D106" s="9">
        <f>IF(Gift,P17*2,P17)</f>
        <v>61000</v>
      </c>
      <c r="E106" s="9">
        <f>IF(B104*E104&gt;D106,B104*(B104*E104-D106)*B106/100,0)</f>
        <v>0</v>
      </c>
    </row>
    <row r="107" spans="2:13">
      <c r="C107" s="1" t="s">
        <v>214</v>
      </c>
      <c r="D107" s="1"/>
      <c r="E107" s="9">
        <f>SUM(E105:E106)</f>
        <v>0</v>
      </c>
      <c r="I107" s="95" t="s">
        <v>264</v>
      </c>
      <c r="J107" s="95"/>
      <c r="K107" s="95"/>
      <c r="L107" s="95"/>
      <c r="M107" s="95"/>
    </row>
    <row r="108" spans="2:13">
      <c r="F108" s="8"/>
    </row>
    <row r="109" spans="2:13" ht="12.95">
      <c r="C109" s="81" t="s">
        <v>265</v>
      </c>
      <c r="D109" s="82"/>
      <c r="E109" s="82"/>
      <c r="F109" s="83"/>
    </row>
    <row r="110" spans="2:13">
      <c r="C110" s="3" t="s">
        <v>266</v>
      </c>
      <c r="D110" s="1"/>
      <c r="E110" s="9">
        <f>E32</f>
        <v>528000</v>
      </c>
      <c r="F110" s="9" t="str">
        <f>IF(Gift,F32,"ugift")</f>
        <v>ugift</v>
      </c>
    </row>
    <row r="111" spans="2:13" ht="24.95">
      <c r="C111" s="3" t="s">
        <v>267</v>
      </c>
      <c r="D111" s="1"/>
      <c r="E111" s="9">
        <f>MAX(0,E34)</f>
        <v>0</v>
      </c>
      <c r="F111" s="9"/>
    </row>
    <row r="112" spans="2:13">
      <c r="C112" s="6" t="s">
        <v>210</v>
      </c>
      <c r="D112" s="1"/>
      <c r="E112" s="9">
        <f>SUM(E110:E111)</f>
        <v>528000</v>
      </c>
      <c r="F112" s="9" t="str">
        <f>IF(Gift,SUM(F110),"ugift")</f>
        <v>ugift</v>
      </c>
    </row>
    <row r="113" spans="2:6">
      <c r="B113" s="1">
        <f>P4</f>
        <v>8</v>
      </c>
      <c r="C113" s="1" t="s">
        <v>212</v>
      </c>
      <c r="D113" s="1"/>
      <c r="E113" s="9">
        <f>E112*B113/100</f>
        <v>42240</v>
      </c>
      <c r="F113" s="9" t="str">
        <f>IF(Gift,F112*B113/100,"ugift")</f>
        <v>ugift</v>
      </c>
    </row>
    <row r="114" spans="2:6">
      <c r="C114" s="1" t="s">
        <v>214</v>
      </c>
      <c r="D114" s="1"/>
      <c r="E114" s="9">
        <f>IF(Gift,E113+F113,E113)</f>
        <v>42240</v>
      </c>
    </row>
    <row r="115" spans="2:6">
      <c r="E115" s="8"/>
    </row>
    <row r="116" spans="2:6" ht="12.95">
      <c r="C116" s="49" t="s">
        <v>268</v>
      </c>
      <c r="D116" s="15"/>
      <c r="E116" s="28"/>
      <c r="F116" s="16"/>
    </row>
    <row r="117" spans="2:6">
      <c r="C117" s="1" t="s">
        <v>269</v>
      </c>
      <c r="D117" s="1"/>
      <c r="E117" s="9">
        <f>E47</f>
        <v>-33228.294375191304</v>
      </c>
      <c r="F117" s="9" t="str">
        <f>IF(Gift,F47,"ugift")</f>
        <v>ugift</v>
      </c>
    </row>
    <row r="118" spans="2:6">
      <c r="C118" s="54" t="s">
        <v>210</v>
      </c>
      <c r="D118" s="24"/>
      <c r="E118" s="25">
        <f>IF(Gift,MIN(0,MAX(E117+F117,-100000)),MIN(0,MAX(E117,-50000)))</f>
        <v>-33228.294375191304</v>
      </c>
    </row>
    <row r="119" spans="2:6">
      <c r="B119" s="44">
        <f>P27</f>
        <v>8</v>
      </c>
      <c r="C119" s="1" t="s">
        <v>212</v>
      </c>
      <c r="D119" s="1"/>
      <c r="E119" s="9">
        <f>E118*B119/100</f>
        <v>-2658.2635500153042</v>
      </c>
    </row>
    <row r="120" spans="2:6">
      <c r="C120" s="26" t="s">
        <v>214</v>
      </c>
      <c r="D120" s="26"/>
      <c r="E120" s="27">
        <f>E119</f>
        <v>-2658.2635500153042</v>
      </c>
    </row>
    <row r="122" spans="2:6" ht="12.95">
      <c r="C122" s="81" t="s">
        <v>270</v>
      </c>
      <c r="D122" s="83"/>
      <c r="E122" s="55">
        <f>MAX(0,MAX(0,E72+E79+E91+E100+E106+E120)+E105)+E114</f>
        <v>175785.75315506189</v>
      </c>
    </row>
    <row r="123" spans="2:6" ht="12.95">
      <c r="C123" s="20"/>
      <c r="E123" s="56"/>
    </row>
    <row r="124" spans="2:6" ht="12.95">
      <c r="C124" s="90" t="s">
        <v>271</v>
      </c>
      <c r="D124" s="93"/>
      <c r="E124" s="94"/>
    </row>
    <row r="125" spans="2:6" ht="12.95">
      <c r="C125" s="57"/>
    </row>
    <row r="126" spans="2:6" ht="12.95">
      <c r="C126" s="81" t="s">
        <v>272</v>
      </c>
      <c r="D126" s="82"/>
      <c r="E126" s="83"/>
    </row>
    <row r="127" spans="2:6">
      <c r="C127" s="6" t="s">
        <v>273</v>
      </c>
      <c r="D127" s="1"/>
      <c r="E127" s="9">
        <f>E18+E19</f>
        <v>0</v>
      </c>
    </row>
    <row r="128" spans="2:6">
      <c r="B128" s="18">
        <f>P21</f>
        <v>0.51</v>
      </c>
      <c r="C128" s="39" t="s">
        <v>274</v>
      </c>
      <c r="D128" s="9">
        <f>P23</f>
        <v>9200000</v>
      </c>
      <c r="E128" s="9">
        <f>IF(E127*0.8&lt;=D128,E127*0.8*B128/100,D128*B128/100)</f>
        <v>0</v>
      </c>
    </row>
    <row r="129" spans="2:5">
      <c r="B129" s="18">
        <f>P22</f>
        <v>1.4</v>
      </c>
      <c r="C129" s="39" t="s">
        <v>275</v>
      </c>
      <c r="D129" s="9">
        <f>P23</f>
        <v>9200000</v>
      </c>
      <c r="E129" s="9">
        <f>IF(E127*0.8&gt;D129,(E127*0.8-D129)*B129/100,0)</f>
        <v>0</v>
      </c>
    </row>
    <row r="130" spans="2:5">
      <c r="C130" s="1" t="s">
        <v>57</v>
      </c>
      <c r="D130" s="9"/>
      <c r="E130" s="9" t="str">
        <f>IF(E20=S1,IF(E18&gt;0,(-1)*(E127*0.8*P24/100+MIN(E127*0.8*P25/100,P26)),IF(E19&gt;0,(-1)*(E127*0.8*P24/100),"")),"")</f>
        <v/>
      </c>
    </row>
    <row r="131" spans="2:5">
      <c r="C131" s="3" t="s">
        <v>276</v>
      </c>
      <c r="D131" s="1"/>
      <c r="E131" s="9">
        <f>SUM(E128:E130)</f>
        <v>0</v>
      </c>
    </row>
    <row r="132" spans="2:5">
      <c r="C132" s="6" t="s">
        <v>277</v>
      </c>
      <c r="D132" s="1"/>
      <c r="E132" s="9">
        <f>E22</f>
        <v>0</v>
      </c>
    </row>
    <row r="133" spans="2:5">
      <c r="B133" s="18">
        <f>P21</f>
        <v>0.51</v>
      </c>
      <c r="C133" s="1" t="s">
        <v>278</v>
      </c>
      <c r="D133" s="9">
        <f>P23</f>
        <v>9200000</v>
      </c>
      <c r="E133" s="9">
        <f>IF(E132*0.8&lt;=D133,E132*0.8*B133/100,D133*B133/100)</f>
        <v>0</v>
      </c>
    </row>
    <row r="134" spans="2:5">
      <c r="B134" s="18">
        <f>P22</f>
        <v>1.4</v>
      </c>
      <c r="C134" s="1" t="s">
        <v>279</v>
      </c>
      <c r="D134" s="9">
        <f>P23</f>
        <v>9200000</v>
      </c>
      <c r="E134" s="9">
        <f>IF(E132*0.8&gt;D134,(E132*0.8-D134)*B134/100,0)</f>
        <v>0</v>
      </c>
    </row>
    <row r="135" spans="2:5">
      <c r="C135" s="1" t="s">
        <v>57</v>
      </c>
      <c r="D135" s="9"/>
      <c r="E135" s="9" t="str">
        <f>IF(E26=S1,(-1)*(E132*0.8*P24/100+MIN(E132*0.8*P25/100,P26)),"")</f>
        <v/>
      </c>
    </row>
    <row r="136" spans="2:5">
      <c r="C136" s="3" t="s">
        <v>280</v>
      </c>
      <c r="D136" s="1"/>
      <c r="E136" s="9">
        <f>SUM(E133:E135)</f>
        <v>0</v>
      </c>
    </row>
    <row r="137" spans="2:5">
      <c r="C137" s="3" t="s">
        <v>214</v>
      </c>
      <c r="D137" s="1"/>
      <c r="E137" s="9">
        <f>E131+E136</f>
        <v>0</v>
      </c>
    </row>
    <row r="138" spans="2:5">
      <c r="C138" s="7"/>
      <c r="E138" s="8"/>
    </row>
    <row r="139" spans="2:5" ht="12.95">
      <c r="C139" s="47" t="s">
        <v>281</v>
      </c>
      <c r="D139" s="15"/>
      <c r="E139" s="19"/>
    </row>
    <row r="140" spans="2:5">
      <c r="C140" s="58" t="s">
        <v>282</v>
      </c>
      <c r="D140" s="1"/>
      <c r="E140" s="9">
        <f>E21</f>
        <v>0</v>
      </c>
    </row>
    <row r="141" spans="2:5">
      <c r="B141" s="18">
        <f>E16</f>
        <v>6.7</v>
      </c>
      <c r="C141" s="3" t="s">
        <v>283</v>
      </c>
      <c r="D141" s="9">
        <f>E140*0.8</f>
        <v>0</v>
      </c>
      <c r="E141" s="9">
        <f>B141*D141/1000</f>
        <v>0</v>
      </c>
    </row>
    <row r="142" spans="2:5">
      <c r="C142" s="58" t="s">
        <v>117</v>
      </c>
      <c r="D142" s="1"/>
      <c r="E142" s="9">
        <f>E25</f>
        <v>0</v>
      </c>
    </row>
    <row r="143" spans="2:5">
      <c r="B143" s="18">
        <f>E24</f>
        <v>9.1</v>
      </c>
      <c r="C143" s="3" t="s">
        <v>283</v>
      </c>
      <c r="D143" s="9">
        <f>E142*0.8</f>
        <v>0</v>
      </c>
      <c r="E143" s="9">
        <f>B143*D143/1000</f>
        <v>0</v>
      </c>
    </row>
    <row r="144" spans="2:5">
      <c r="B144" s="21"/>
      <c r="C144" s="3" t="s">
        <v>214</v>
      </c>
      <c r="D144" s="9"/>
      <c r="E144" s="9">
        <f>E141+E143</f>
        <v>0</v>
      </c>
    </row>
    <row r="145" spans="3:5">
      <c r="C145" s="7"/>
      <c r="E145" s="8"/>
    </row>
    <row r="146" spans="3:5" ht="12.95">
      <c r="C146" s="81" t="s">
        <v>284</v>
      </c>
      <c r="D146" s="83"/>
      <c r="E146" s="55">
        <f>E137+E144</f>
        <v>0</v>
      </c>
    </row>
    <row r="148" spans="3:5" ht="12.95">
      <c r="C148" s="90" t="s">
        <v>285</v>
      </c>
      <c r="D148" s="93"/>
      <c r="E148" s="94"/>
    </row>
    <row r="149" spans="3:5">
      <c r="C149" s="1" t="s">
        <v>286</v>
      </c>
      <c r="D149" s="1"/>
      <c r="E149" s="9">
        <f>E122</f>
        <v>175785.75315506189</v>
      </c>
    </row>
    <row r="150" spans="3:5">
      <c r="C150" s="1" t="s">
        <v>287</v>
      </c>
      <c r="D150" s="1"/>
      <c r="E150" s="9">
        <f>E146</f>
        <v>0</v>
      </c>
    </row>
    <row r="151" spans="3:5" ht="12.95">
      <c r="C151" s="90" t="s">
        <v>214</v>
      </c>
      <c r="D151" s="94"/>
      <c r="E151" s="55">
        <f>SUM(E149:E150)</f>
        <v>175785.75315506189</v>
      </c>
    </row>
  </sheetData>
  <mergeCells count="24">
    <mergeCell ref="I107:M107"/>
    <mergeCell ref="C122:D122"/>
    <mergeCell ref="C109:F109"/>
    <mergeCell ref="C102:F102"/>
    <mergeCell ref="C80:F80"/>
    <mergeCell ref="C93:F93"/>
    <mergeCell ref="C151:D151"/>
    <mergeCell ref="C126:E126"/>
    <mergeCell ref="C146:D146"/>
    <mergeCell ref="C124:E124"/>
    <mergeCell ref="C148:E148"/>
    <mergeCell ref="O1:P1"/>
    <mergeCell ref="C41:F41"/>
    <mergeCell ref="C65:F65"/>
    <mergeCell ref="C60:F60"/>
    <mergeCell ref="C58:D58"/>
    <mergeCell ref="C48:F48"/>
    <mergeCell ref="C2:F2"/>
    <mergeCell ref="C29:F29"/>
    <mergeCell ref="C67:F67"/>
    <mergeCell ref="C73:F73"/>
    <mergeCell ref="C3:F4"/>
    <mergeCell ref="C31:F31"/>
    <mergeCell ref="I1:M1"/>
  </mergeCells>
  <dataValidations count="3">
    <dataValidation type="list" allowBlank="1" showInputMessage="1" showErrorMessage="1" sqref="E20 F9:F11 E8:E11 E26" xr:uid="{00000000-0002-0000-0000-000002000000}">
      <formula1>$S$1:$S$2</formula1>
    </dataValidation>
    <dataValidation type="list" allowBlank="1" showInputMessage="1" showErrorMessage="1" sqref="E13" xr:uid="{00000000-0002-0000-0000-000000000000}">
      <formula1>$I$8:$I$105</formula1>
    </dataValidation>
    <dataValidation type="list" allowBlank="1" showInputMessage="1" showErrorMessage="1" sqref="E23" xr:uid="{00000000-0002-0000-0000-000001000000}">
      <formula1>$I$7:$I$105</formula1>
    </dataValidation>
  </dataValidations>
  <pageMargins left="0.78740157480314965" right="0.78740157480314965" top="0.78740157480314965" bottom="0.59055118110236227" header="0.51181102362204722" footer="0.51181102362204722"/>
  <pageSetup paperSize="9" orientation="portrait" r:id="rId1"/>
  <headerFooter alignWithMargins="0"/>
  <rowBreaks count="4" manualBreakCount="4">
    <brk id="26" max="5" man="1"/>
    <brk id="59" max="5" man="1"/>
    <brk id="119" max="5" man="1"/>
    <brk id="143" max="5" man="1"/>
  </rowBreaks>
  <ignoredErrors>
    <ignoredError sqref="E142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89A2-1D5C-4002-B4B9-400666A63E10}">
  <dimension ref="A1:S151"/>
  <sheetViews>
    <sheetView tabSelected="1" topLeftCell="A36" workbookViewId="0">
      <selection activeCell="E51" sqref="E51"/>
    </sheetView>
  </sheetViews>
  <sheetFormatPr defaultRowHeight="12.6"/>
  <cols>
    <col min="1" max="2" width="6" bestFit="1" customWidth="1"/>
    <col min="3" max="3" width="43.7109375" customWidth="1"/>
    <col min="5" max="5" width="11.28515625" customWidth="1"/>
    <col min="6" max="6" width="10.28515625" customWidth="1"/>
    <col min="7" max="7" width="9.140625" hidden="1" customWidth="1"/>
    <col min="9" max="9" width="24.140625" bestFit="1" customWidth="1"/>
    <col min="10" max="10" width="6.42578125" bestFit="1" customWidth="1"/>
    <col min="11" max="11" width="5.28515625" customWidth="1"/>
    <col min="12" max="12" width="7.7109375" customWidth="1"/>
    <col min="13" max="13" width="10.42578125" bestFit="1" customWidth="1"/>
    <col min="15" max="15" width="53.7109375" customWidth="1"/>
    <col min="16" max="16" width="9.140625" bestFit="1" customWidth="1"/>
    <col min="18" max="19" width="0" hidden="1" customWidth="1"/>
  </cols>
  <sheetData>
    <row r="1" spans="1:19" ht="12.95">
      <c r="A1" s="4"/>
      <c r="C1" s="11">
        <v>45291</v>
      </c>
      <c r="I1" s="86" t="s">
        <v>48</v>
      </c>
      <c r="J1" s="87"/>
      <c r="K1" s="87"/>
      <c r="L1" s="87"/>
      <c r="M1" s="87"/>
      <c r="O1" s="86" t="s">
        <v>49</v>
      </c>
      <c r="P1" s="86"/>
      <c r="R1" t="b">
        <v>1</v>
      </c>
      <c r="S1" t="s">
        <v>50</v>
      </c>
    </row>
    <row r="2" spans="1:19" ht="20.100000000000001">
      <c r="C2" s="85" t="s">
        <v>51</v>
      </c>
      <c r="D2" s="85"/>
      <c r="E2" s="88"/>
      <c r="F2" s="88"/>
      <c r="R2" t="b">
        <v>0</v>
      </c>
      <c r="S2" t="s">
        <v>52</v>
      </c>
    </row>
    <row r="3" spans="1:19" ht="12.95">
      <c r="C3" s="84" t="s">
        <v>53</v>
      </c>
      <c r="D3" s="84"/>
      <c r="E3" s="84"/>
      <c r="F3" s="84"/>
      <c r="I3" s="38">
        <v>2024</v>
      </c>
      <c r="O3" s="38">
        <v>2024</v>
      </c>
    </row>
    <row r="4" spans="1:19">
      <c r="C4" s="89"/>
      <c r="D4" s="89"/>
      <c r="E4" s="89"/>
      <c r="F4" s="89"/>
      <c r="I4" t="s">
        <v>54</v>
      </c>
      <c r="J4" s="4" t="s">
        <v>55</v>
      </c>
      <c r="K4" s="4" t="s">
        <v>56</v>
      </c>
      <c r="L4" t="s">
        <v>57</v>
      </c>
      <c r="M4" t="s">
        <v>58</v>
      </c>
      <c r="O4" s="33" t="s">
        <v>59</v>
      </c>
      <c r="P4">
        <v>8</v>
      </c>
    </row>
    <row r="5" spans="1:19" ht="14.45">
      <c r="J5" s="4" t="s">
        <v>60</v>
      </c>
      <c r="K5" s="4" t="s">
        <v>60</v>
      </c>
      <c r="L5" t="s">
        <v>60</v>
      </c>
      <c r="M5" t="s">
        <v>61</v>
      </c>
      <c r="O5" s="33" t="s">
        <v>62</v>
      </c>
      <c r="P5">
        <v>12.06</v>
      </c>
      <c r="Q5" s="23"/>
    </row>
    <row r="6" spans="1:19" ht="12.95">
      <c r="C6" s="49" t="s">
        <v>63</v>
      </c>
      <c r="D6" s="50"/>
      <c r="E6" s="15"/>
      <c r="F6" s="16"/>
      <c r="J6" s="4"/>
      <c r="K6" s="4"/>
      <c r="O6" s="33" t="s">
        <v>64</v>
      </c>
      <c r="P6">
        <v>0</v>
      </c>
    </row>
    <row r="7" spans="1:19" ht="12.95">
      <c r="C7" s="1"/>
      <c r="D7" s="5"/>
      <c r="E7" s="48" t="s">
        <v>288</v>
      </c>
      <c r="F7" s="48"/>
      <c r="I7" s="40" t="s">
        <v>66</v>
      </c>
      <c r="J7" s="21"/>
      <c r="K7" s="21"/>
      <c r="L7" s="21"/>
      <c r="M7" s="21">
        <v>0</v>
      </c>
      <c r="O7" s="33" t="s">
        <v>67</v>
      </c>
      <c r="P7">
        <v>15</v>
      </c>
    </row>
    <row r="8" spans="1:19">
      <c r="C8" s="3" t="s">
        <v>68</v>
      </c>
      <c r="D8" s="3"/>
      <c r="E8" s="51" t="s">
        <v>52</v>
      </c>
      <c r="F8" s="1"/>
      <c r="G8" t="b">
        <f>IF(E8=S1,TRUE,FALSE)</f>
        <v>0</v>
      </c>
      <c r="I8" s="42" t="s">
        <v>69</v>
      </c>
      <c r="J8" s="43">
        <v>25.6</v>
      </c>
      <c r="K8" s="43">
        <v>0.8</v>
      </c>
      <c r="L8" s="43">
        <v>0.59</v>
      </c>
      <c r="M8" s="43">
        <v>9.1</v>
      </c>
      <c r="O8" s="33" t="s">
        <v>70</v>
      </c>
      <c r="P8" s="8">
        <v>588900</v>
      </c>
    </row>
    <row r="9" spans="1:19">
      <c r="C9" s="2" t="s">
        <v>71</v>
      </c>
      <c r="D9" s="7"/>
      <c r="E9" s="12" t="s">
        <v>52</v>
      </c>
      <c r="F9" s="12" t="s">
        <v>52</v>
      </c>
      <c r="I9" s="42" t="s">
        <v>72</v>
      </c>
      <c r="J9" s="43">
        <v>25.3</v>
      </c>
      <c r="K9" s="43">
        <v>0.57999999999999996</v>
      </c>
      <c r="L9" s="43">
        <v>0.28999999999999998</v>
      </c>
      <c r="M9" s="43">
        <v>8</v>
      </c>
      <c r="O9" s="33" t="s">
        <v>73</v>
      </c>
      <c r="P9">
        <v>52.07</v>
      </c>
    </row>
    <row r="10" spans="1:19">
      <c r="C10" s="37" t="s">
        <v>74</v>
      </c>
      <c r="D10" s="3"/>
      <c r="E10" s="12" t="s">
        <v>50</v>
      </c>
      <c r="F10" s="12" t="s">
        <v>50</v>
      </c>
      <c r="I10" s="42" t="s">
        <v>75</v>
      </c>
      <c r="J10" s="43">
        <v>26.1</v>
      </c>
      <c r="K10" s="43">
        <v>0.98</v>
      </c>
      <c r="L10" s="43">
        <v>1.0900000000000001</v>
      </c>
      <c r="M10" s="43">
        <v>11.2</v>
      </c>
      <c r="O10" s="33" t="s">
        <v>76</v>
      </c>
      <c r="P10">
        <v>42</v>
      </c>
    </row>
    <row r="11" spans="1:19">
      <c r="C11" s="3" t="s">
        <v>77</v>
      </c>
      <c r="D11" s="3"/>
      <c r="E11" s="12" t="s">
        <v>50</v>
      </c>
      <c r="F11" s="12" t="s">
        <v>50</v>
      </c>
      <c r="I11" s="42" t="s">
        <v>78</v>
      </c>
      <c r="J11" s="43">
        <v>25.5</v>
      </c>
      <c r="K11" s="43">
        <v>0.72</v>
      </c>
      <c r="L11" s="43">
        <v>0.49</v>
      </c>
      <c r="M11" s="43">
        <v>8.3000000000000007</v>
      </c>
      <c r="O11" s="33" t="s">
        <v>79</v>
      </c>
      <c r="P11" s="8">
        <v>39800</v>
      </c>
    </row>
    <row r="12" spans="1:19">
      <c r="C12" s="1"/>
      <c r="D12" s="1"/>
      <c r="E12" s="1"/>
      <c r="F12" s="1"/>
      <c r="I12" s="42" t="s">
        <v>80</v>
      </c>
      <c r="J12" s="43">
        <v>24</v>
      </c>
      <c r="K12" s="43">
        <v>0.89</v>
      </c>
      <c r="L12" s="43">
        <v>0</v>
      </c>
      <c r="M12" s="43">
        <v>7.2</v>
      </c>
      <c r="O12" s="33" t="s">
        <v>81</v>
      </c>
      <c r="P12" s="8">
        <v>49700</v>
      </c>
    </row>
    <row r="13" spans="1:19">
      <c r="C13" s="35" t="s">
        <v>82</v>
      </c>
      <c r="D13" s="3"/>
      <c r="E13" s="12" t="s">
        <v>83</v>
      </c>
      <c r="F13" s="1"/>
      <c r="I13" s="42" t="s">
        <v>84</v>
      </c>
      <c r="J13" s="43">
        <v>26.2</v>
      </c>
      <c r="K13" s="43">
        <v>0.93</v>
      </c>
      <c r="L13" s="43">
        <v>1.19</v>
      </c>
      <c r="M13" s="43">
        <v>10.7</v>
      </c>
      <c r="O13" s="33" t="s">
        <v>85</v>
      </c>
      <c r="P13" s="8">
        <v>0</v>
      </c>
    </row>
    <row r="14" spans="1:19">
      <c r="C14" s="1" t="s">
        <v>86</v>
      </c>
      <c r="D14" s="1"/>
      <c r="E14" s="1">
        <f>VLOOKUP(E13,I8:M105,2,FALSE)</f>
        <v>24.38</v>
      </c>
      <c r="F14" s="1"/>
      <c r="I14" s="42" t="s">
        <v>87</v>
      </c>
      <c r="J14" s="43">
        <v>24.3</v>
      </c>
      <c r="K14" s="43">
        <v>0.8</v>
      </c>
      <c r="L14" s="43">
        <v>0</v>
      </c>
      <c r="M14" s="43">
        <v>4.9000000000000004</v>
      </c>
      <c r="O14" s="33" t="s">
        <v>88</v>
      </c>
      <c r="P14" s="8">
        <v>50500</v>
      </c>
    </row>
    <row r="15" spans="1:19">
      <c r="C15" s="1" t="s">
        <v>89</v>
      </c>
      <c r="D15" s="1"/>
      <c r="E15" s="1">
        <f>VLOOKUP(E13,I8:M105,3,FALSE)</f>
        <v>0.6</v>
      </c>
      <c r="F15" s="1"/>
      <c r="I15" s="42" t="s">
        <v>90</v>
      </c>
      <c r="J15" s="43">
        <v>26.3</v>
      </c>
      <c r="K15" s="43">
        <v>1.08</v>
      </c>
      <c r="L15" s="43">
        <v>1.29</v>
      </c>
      <c r="M15" s="43">
        <v>17.100000000000001</v>
      </c>
      <c r="O15" s="33" t="s">
        <v>91</v>
      </c>
      <c r="P15" s="8">
        <v>27</v>
      </c>
    </row>
    <row r="16" spans="1:19">
      <c r="C16" s="1" t="s">
        <v>92</v>
      </c>
      <c r="D16" s="1"/>
      <c r="E16" s="1">
        <f>VLOOKUP(E13,I7:M105,5,FALSE)</f>
        <v>6.7</v>
      </c>
      <c r="F16" s="1"/>
      <c r="I16" s="42" t="s">
        <v>93</v>
      </c>
      <c r="J16" s="43">
        <v>24.8</v>
      </c>
      <c r="K16" s="43">
        <v>0.61</v>
      </c>
      <c r="L16" s="43">
        <v>0</v>
      </c>
      <c r="M16" s="43">
        <v>8.1</v>
      </c>
      <c r="O16" s="33" t="s">
        <v>94</v>
      </c>
      <c r="P16" s="8">
        <v>42</v>
      </c>
    </row>
    <row r="17" spans="3:16">
      <c r="C17" s="1"/>
      <c r="D17" s="1"/>
      <c r="E17" s="1"/>
      <c r="F17" s="1"/>
      <c r="I17" s="42" t="s">
        <v>95</v>
      </c>
      <c r="J17" s="43">
        <v>25.7</v>
      </c>
      <c r="K17" s="43">
        <v>0.76</v>
      </c>
      <c r="L17" s="43">
        <v>0.69</v>
      </c>
      <c r="M17" s="43">
        <v>8.8000000000000007</v>
      </c>
      <c r="O17" s="33" t="s">
        <v>96</v>
      </c>
      <c r="P17" s="8">
        <v>61000</v>
      </c>
    </row>
    <row r="18" spans="3:16">
      <c r="C18" s="3" t="s">
        <v>97</v>
      </c>
      <c r="D18" s="3"/>
      <c r="E18" s="13"/>
      <c r="F18" s="1"/>
      <c r="I18" s="42" t="s">
        <v>98</v>
      </c>
      <c r="J18" s="43">
        <v>25.8</v>
      </c>
      <c r="K18" s="43">
        <v>0.81</v>
      </c>
      <c r="L18" s="43">
        <v>0.79</v>
      </c>
      <c r="M18" s="43">
        <v>9.9</v>
      </c>
      <c r="O18" s="33" t="s">
        <v>99</v>
      </c>
      <c r="P18" s="8">
        <v>7000</v>
      </c>
    </row>
    <row r="19" spans="3:16">
      <c r="C19" s="3" t="s">
        <v>100</v>
      </c>
      <c r="D19" s="3"/>
      <c r="E19" s="14"/>
      <c r="F19" s="1"/>
      <c r="I19" s="42" t="s">
        <v>101</v>
      </c>
      <c r="J19" s="43">
        <v>26.1</v>
      </c>
      <c r="K19" s="43">
        <v>1.05</v>
      </c>
      <c r="L19" s="43">
        <v>1.0900000000000001</v>
      </c>
      <c r="M19" s="43">
        <v>8.5</v>
      </c>
      <c r="O19" s="33" t="s">
        <v>102</v>
      </c>
      <c r="P19">
        <v>10.65</v>
      </c>
    </row>
    <row r="20" spans="3:16">
      <c r="C20" s="3" t="s">
        <v>103</v>
      </c>
      <c r="D20" s="3"/>
      <c r="E20" s="12" t="s">
        <v>52</v>
      </c>
      <c r="F20" s="1"/>
      <c r="I20" s="42" t="s">
        <v>104</v>
      </c>
      <c r="J20" s="43">
        <v>25.77</v>
      </c>
      <c r="K20" s="43">
        <v>1.1399999999999999</v>
      </c>
      <c r="L20" s="43">
        <v>0.76</v>
      </c>
      <c r="M20" s="43">
        <v>12.5</v>
      </c>
      <c r="O20" s="33" t="s">
        <v>105</v>
      </c>
      <c r="P20" s="8">
        <v>45100</v>
      </c>
    </row>
    <row r="21" spans="3:16">
      <c r="C21" s="3" t="s">
        <v>106</v>
      </c>
      <c r="D21" s="3"/>
      <c r="E21" s="14"/>
      <c r="F21" s="1"/>
      <c r="I21" s="42" t="s">
        <v>107</v>
      </c>
      <c r="J21" s="43">
        <v>25.7</v>
      </c>
      <c r="K21" s="43">
        <v>0.96</v>
      </c>
      <c r="L21" s="43">
        <v>0.69</v>
      </c>
      <c r="M21" s="43">
        <v>10.6</v>
      </c>
      <c r="O21" s="41" t="s">
        <v>108</v>
      </c>
      <c r="P21">
        <v>0.51</v>
      </c>
    </row>
    <row r="22" spans="3:16">
      <c r="C22" s="3" t="s">
        <v>109</v>
      </c>
      <c r="D22" s="3"/>
      <c r="E22" s="13"/>
      <c r="F22" s="1"/>
      <c r="I22" s="42" t="s">
        <v>110</v>
      </c>
      <c r="J22" s="43">
        <v>25.8</v>
      </c>
      <c r="K22" s="43">
        <v>1.08</v>
      </c>
      <c r="L22" s="43">
        <v>0.79</v>
      </c>
      <c r="M22" s="43">
        <v>8</v>
      </c>
      <c r="O22" s="41" t="s">
        <v>111</v>
      </c>
      <c r="P22">
        <v>1.4</v>
      </c>
    </row>
    <row r="23" spans="3:16">
      <c r="C23" s="3" t="s">
        <v>112</v>
      </c>
      <c r="D23" s="3"/>
      <c r="E23" s="14" t="s">
        <v>69</v>
      </c>
      <c r="F23" s="1"/>
      <c r="I23" s="42" t="s">
        <v>113</v>
      </c>
      <c r="J23" s="43">
        <v>25.3</v>
      </c>
      <c r="K23" s="43">
        <v>0.62</v>
      </c>
      <c r="L23" s="43">
        <v>0.28999999999999998</v>
      </c>
      <c r="M23" s="43">
        <v>8.3000000000000007</v>
      </c>
      <c r="O23" s="41" t="s">
        <v>114</v>
      </c>
      <c r="P23" s="8">
        <v>9200000</v>
      </c>
    </row>
    <row r="24" spans="3:16">
      <c r="C24" s="3" t="s">
        <v>92</v>
      </c>
      <c r="D24" s="3"/>
      <c r="E24" s="18">
        <f>VLOOKUP(E23,I7:M105,5,FALSE)</f>
        <v>9.1</v>
      </c>
      <c r="F24" s="1"/>
      <c r="I24" s="42" t="s">
        <v>115</v>
      </c>
      <c r="J24" s="43">
        <v>25.5</v>
      </c>
      <c r="K24" s="43">
        <v>0.88</v>
      </c>
      <c r="L24" s="43">
        <v>0.49</v>
      </c>
      <c r="M24" s="43">
        <v>13</v>
      </c>
      <c r="O24" s="41" t="s">
        <v>116</v>
      </c>
      <c r="P24">
        <v>0.1</v>
      </c>
    </row>
    <row r="25" spans="3:16">
      <c r="C25" s="3" t="s">
        <v>117</v>
      </c>
      <c r="D25" s="3"/>
      <c r="E25" s="14"/>
      <c r="F25" s="1"/>
      <c r="I25" s="42" t="s">
        <v>118</v>
      </c>
      <c r="J25" s="43">
        <v>24.57</v>
      </c>
      <c r="K25" s="43">
        <v>0.5</v>
      </c>
      <c r="L25" s="43">
        <v>0</v>
      </c>
      <c r="M25" s="43">
        <v>3.1</v>
      </c>
      <c r="O25" s="41" t="s">
        <v>119</v>
      </c>
      <c r="P25">
        <v>0.21</v>
      </c>
    </row>
    <row r="26" spans="3:16">
      <c r="C26" s="3" t="s">
        <v>120</v>
      </c>
      <c r="D26" s="3"/>
      <c r="E26" s="12" t="s">
        <v>52</v>
      </c>
      <c r="F26" s="1"/>
      <c r="I26" s="42" t="s">
        <v>121</v>
      </c>
      <c r="J26" s="43">
        <v>26.2</v>
      </c>
      <c r="K26" s="43">
        <v>1.03</v>
      </c>
      <c r="L26" s="43">
        <v>1.19</v>
      </c>
      <c r="M26" s="43">
        <v>13.4</v>
      </c>
      <c r="O26" s="41" t="s">
        <v>122</v>
      </c>
      <c r="P26" s="8">
        <v>1200</v>
      </c>
    </row>
    <row r="27" spans="3:16" ht="25.5">
      <c r="C27" s="35" t="s">
        <v>123</v>
      </c>
      <c r="D27" s="3"/>
      <c r="E27" s="36">
        <f>E32*0.15</f>
        <v>88200</v>
      </c>
      <c r="F27" s="36"/>
      <c r="I27" s="42" t="s">
        <v>124</v>
      </c>
      <c r="J27" s="43">
        <v>25.8</v>
      </c>
      <c r="K27" s="43">
        <v>0.96</v>
      </c>
      <c r="L27" s="43">
        <v>0.79</v>
      </c>
      <c r="M27" s="43">
        <v>12</v>
      </c>
      <c r="O27" s="33" t="s">
        <v>125</v>
      </c>
      <c r="P27">
        <v>8</v>
      </c>
    </row>
    <row r="28" spans="3:16">
      <c r="I28" s="42" t="s">
        <v>126</v>
      </c>
      <c r="J28" s="43">
        <v>24.88</v>
      </c>
      <c r="K28" s="43">
        <v>0.65</v>
      </c>
      <c r="L28" s="43">
        <v>0</v>
      </c>
      <c r="M28" s="43">
        <v>7</v>
      </c>
      <c r="O28" s="33" t="s">
        <v>127</v>
      </c>
      <c r="P28" s="8">
        <v>457500</v>
      </c>
    </row>
    <row r="29" spans="3:16" ht="12.95">
      <c r="C29" s="90" t="s">
        <v>128</v>
      </c>
      <c r="D29" s="91"/>
      <c r="E29" s="91"/>
      <c r="F29" s="92"/>
      <c r="I29" s="42" t="s">
        <v>129</v>
      </c>
      <c r="J29" s="43">
        <v>24.34</v>
      </c>
      <c r="K29" s="43">
        <v>0.4</v>
      </c>
      <c r="L29" s="43">
        <v>0</v>
      </c>
      <c r="M29" s="43">
        <v>5.0999999999999996</v>
      </c>
      <c r="O29" s="33" t="s">
        <v>130</v>
      </c>
      <c r="P29">
        <v>0</v>
      </c>
    </row>
    <row r="30" spans="3:16" ht="12.95">
      <c r="C30" s="39"/>
      <c r="D30" s="49"/>
      <c r="E30" s="48" t="s">
        <v>131</v>
      </c>
      <c r="F30" s="48" t="str">
        <f>IF(E8=S1,"Ægtefælle","ugift")</f>
        <v>ugift</v>
      </c>
      <c r="I30" s="42" t="s">
        <v>132</v>
      </c>
      <c r="J30" s="43">
        <v>23.6</v>
      </c>
      <c r="K30" s="43">
        <v>0.75</v>
      </c>
      <c r="L30" s="43">
        <v>0</v>
      </c>
      <c r="M30" s="43">
        <v>5.9</v>
      </c>
      <c r="O30" s="33" t="s">
        <v>133</v>
      </c>
      <c r="P30" s="8">
        <v>152600</v>
      </c>
    </row>
    <row r="31" spans="3:16" ht="12.95">
      <c r="C31" s="81" t="s">
        <v>134</v>
      </c>
      <c r="D31" s="91"/>
      <c r="E31" s="91"/>
      <c r="F31" s="92"/>
      <c r="I31" s="42" t="s">
        <v>135</v>
      </c>
      <c r="J31" s="43">
        <v>24.6</v>
      </c>
      <c r="K31" s="43">
        <v>0.8</v>
      </c>
      <c r="L31" s="43">
        <v>0</v>
      </c>
      <c r="M31" s="43">
        <v>6.5</v>
      </c>
      <c r="O31" s="41" t="s">
        <v>136</v>
      </c>
      <c r="P31" s="34">
        <v>216100</v>
      </c>
    </row>
    <row r="32" spans="3:16">
      <c r="C32" s="3" t="s">
        <v>137</v>
      </c>
      <c r="D32" s="3"/>
      <c r="E32" s="14">
        <f>12*49000</f>
        <v>588000</v>
      </c>
      <c r="F32" s="14"/>
      <c r="I32" s="42" t="s">
        <v>138</v>
      </c>
      <c r="J32" s="43">
        <v>24.52</v>
      </c>
      <c r="K32" s="43">
        <v>0.73</v>
      </c>
      <c r="L32" s="43">
        <v>0</v>
      </c>
      <c r="M32" s="43">
        <v>5.5</v>
      </c>
      <c r="O32" s="33" t="s">
        <v>139</v>
      </c>
      <c r="P32" s="32">
        <v>4.5</v>
      </c>
    </row>
    <row r="33" spans="3:16">
      <c r="C33" s="29" t="s">
        <v>140</v>
      </c>
      <c r="D33" s="3"/>
      <c r="E33" s="8">
        <f>E32*P4/100</f>
        <v>47040</v>
      </c>
      <c r="F33" s="9">
        <f>F32*P4/100</f>
        <v>0</v>
      </c>
      <c r="I33" s="42" t="s">
        <v>141</v>
      </c>
      <c r="J33" s="43">
        <v>25.4</v>
      </c>
      <c r="K33" s="43">
        <v>0.85</v>
      </c>
      <c r="L33" s="43">
        <v>0.39</v>
      </c>
      <c r="M33" s="43">
        <v>11.1</v>
      </c>
      <c r="O33" s="41" t="s">
        <v>142</v>
      </c>
      <c r="P33" s="34">
        <v>2800</v>
      </c>
    </row>
    <row r="34" spans="3:16">
      <c r="C34" s="35" t="s">
        <v>143</v>
      </c>
      <c r="D34" s="3"/>
      <c r="E34" s="46"/>
      <c r="F34" s="9"/>
      <c r="I34" s="42" t="s">
        <v>144</v>
      </c>
      <c r="J34" s="43">
        <v>25.8</v>
      </c>
      <c r="K34" s="43">
        <v>1.1599999999999999</v>
      </c>
      <c r="L34" s="43">
        <v>0.79</v>
      </c>
      <c r="M34" s="43">
        <v>15.9</v>
      </c>
      <c r="O34" s="41" t="s">
        <v>145</v>
      </c>
      <c r="P34" s="8">
        <v>80600</v>
      </c>
    </row>
    <row r="35" spans="3:16">
      <c r="C35" s="29" t="s">
        <v>140</v>
      </c>
      <c r="D35" s="3"/>
      <c r="E35" s="9">
        <f>MAX(0,E34*P4/100)</f>
        <v>0</v>
      </c>
      <c r="F35" s="9"/>
      <c r="I35" s="42" t="s">
        <v>146</v>
      </c>
      <c r="J35" s="43">
        <v>26.3</v>
      </c>
      <c r="K35" s="43">
        <v>0.95</v>
      </c>
      <c r="L35" s="43">
        <v>1.29</v>
      </c>
      <c r="M35" s="43">
        <v>12.7</v>
      </c>
    </row>
    <row r="36" spans="3:16" ht="24.95">
      <c r="C36" s="3" t="s">
        <v>147</v>
      </c>
      <c r="D36" s="3"/>
      <c r="E36" s="14"/>
      <c r="F36" s="14"/>
      <c r="I36" s="42" t="s">
        <v>148</v>
      </c>
      <c r="J36" s="43">
        <v>25.7</v>
      </c>
      <c r="K36" s="43">
        <v>0.85</v>
      </c>
      <c r="L36" s="43">
        <v>0.69</v>
      </c>
      <c r="M36" s="43">
        <v>10.9</v>
      </c>
      <c r="O36" s="30"/>
      <c r="P36" s="30"/>
    </row>
    <row r="37" spans="3:16" ht="24.95">
      <c r="C37" s="3" t="s">
        <v>149</v>
      </c>
      <c r="D37" s="3"/>
      <c r="E37" s="14"/>
      <c r="F37" s="14"/>
      <c r="I37" s="42" t="s">
        <v>150</v>
      </c>
      <c r="J37" s="43">
        <v>25.52</v>
      </c>
      <c r="K37" s="43">
        <v>0.98</v>
      </c>
      <c r="L37" s="43">
        <v>0.51</v>
      </c>
      <c r="M37" s="43">
        <v>7.9</v>
      </c>
      <c r="O37" s="17"/>
      <c r="P37" s="17"/>
    </row>
    <row r="38" spans="3:16" ht="25.5">
      <c r="C38" s="3" t="s">
        <v>151</v>
      </c>
      <c r="D38" s="3"/>
      <c r="E38" s="14"/>
      <c r="F38" s="14"/>
      <c r="I38" s="42" t="s">
        <v>152</v>
      </c>
      <c r="J38" s="43">
        <v>25.52</v>
      </c>
      <c r="K38" s="43">
        <v>0.63</v>
      </c>
      <c r="L38" s="43">
        <v>0.51</v>
      </c>
      <c r="M38" s="43">
        <v>9.5</v>
      </c>
    </row>
    <row r="39" spans="3:16">
      <c r="I39" s="42" t="s">
        <v>153</v>
      </c>
      <c r="J39" s="43">
        <v>23.7</v>
      </c>
      <c r="K39" s="43">
        <v>0.75</v>
      </c>
      <c r="L39" s="43">
        <v>0</v>
      </c>
      <c r="M39" s="43">
        <v>5.4</v>
      </c>
    </row>
    <row r="40" spans="3:16">
      <c r="C40" s="6" t="s">
        <v>154</v>
      </c>
      <c r="D40" s="6"/>
      <c r="E40" s="9">
        <f>E32-E33+E34-E35+E36+E37-E38</f>
        <v>540960</v>
      </c>
      <c r="F40" s="9">
        <f>F32-F33+F36+F37-F38</f>
        <v>0</v>
      </c>
      <c r="I40" s="42" t="s">
        <v>155</v>
      </c>
      <c r="J40" s="43">
        <v>25.4</v>
      </c>
      <c r="K40" s="43">
        <v>0.99</v>
      </c>
      <c r="L40" s="43">
        <v>0.39</v>
      </c>
      <c r="M40" s="43">
        <v>9.9</v>
      </c>
    </row>
    <row r="41" spans="3:16" ht="12.95">
      <c r="C41" s="81" t="s">
        <v>156</v>
      </c>
      <c r="D41" s="82"/>
      <c r="E41" s="82"/>
      <c r="F41" s="83"/>
      <c r="I41" s="42" t="s">
        <v>157</v>
      </c>
      <c r="J41" s="43">
        <v>25.6</v>
      </c>
      <c r="K41" s="43">
        <v>0.69</v>
      </c>
      <c r="L41" s="43">
        <v>0.59</v>
      </c>
      <c r="M41" s="43">
        <v>6.6</v>
      </c>
    </row>
    <row r="42" spans="3:16">
      <c r="C42" s="3" t="s">
        <v>158</v>
      </c>
      <c r="D42" s="3"/>
      <c r="E42" s="14"/>
      <c r="F42" s="14"/>
      <c r="I42" s="42" t="s">
        <v>159</v>
      </c>
      <c r="J42" s="43">
        <v>26.21</v>
      </c>
      <c r="K42" s="43">
        <v>1.19</v>
      </c>
      <c r="L42" s="43">
        <v>1.2</v>
      </c>
      <c r="M42" s="43">
        <v>16.5</v>
      </c>
    </row>
    <row r="43" spans="3:16">
      <c r="C43" s="3" t="s">
        <v>160</v>
      </c>
      <c r="D43" s="3"/>
      <c r="E43" s="14"/>
      <c r="F43" s="14"/>
      <c r="I43" s="42" t="s">
        <v>161</v>
      </c>
      <c r="J43" s="43">
        <v>25.3</v>
      </c>
      <c r="K43" s="43">
        <v>0.96</v>
      </c>
      <c r="L43" s="43">
        <v>0.28999999999999998</v>
      </c>
      <c r="M43" s="43">
        <v>8.1</v>
      </c>
    </row>
    <row r="44" spans="3:16">
      <c r="C44" s="3" t="s">
        <v>162</v>
      </c>
      <c r="D44" s="3"/>
      <c r="E44" s="14">
        <f>(Andelsboliglån!G10/2)+(Billån!G7/2)</f>
        <v>33228.294375191304</v>
      </c>
      <c r="F44" s="14"/>
      <c r="I44" s="42" t="s">
        <v>163</v>
      </c>
      <c r="J44" s="43">
        <v>25.5</v>
      </c>
      <c r="K44" s="43">
        <v>1.08</v>
      </c>
      <c r="L44" s="43">
        <v>0.49</v>
      </c>
      <c r="M44" s="43">
        <v>11.5</v>
      </c>
    </row>
    <row r="45" spans="3:16">
      <c r="C45" s="3" t="s">
        <v>164</v>
      </c>
      <c r="D45" s="3"/>
      <c r="E45" s="9">
        <f>E42+E43-E44</f>
        <v>-33228.294375191304</v>
      </c>
      <c r="F45" s="9">
        <f>F42+F43-F44</f>
        <v>0</v>
      </c>
      <c r="I45" s="42" t="s">
        <v>165</v>
      </c>
      <c r="J45" s="43">
        <v>25.69</v>
      </c>
      <c r="K45" s="43">
        <v>0.79</v>
      </c>
      <c r="L45" s="43">
        <v>0.68</v>
      </c>
      <c r="M45" s="43">
        <v>8.6999999999999993</v>
      </c>
    </row>
    <row r="46" spans="3:16">
      <c r="C46" s="35" t="s">
        <v>166</v>
      </c>
      <c r="D46" s="3"/>
      <c r="E46" s="46"/>
      <c r="F46" s="9"/>
      <c r="I46" s="42" t="s">
        <v>167</v>
      </c>
      <c r="J46" s="43">
        <v>25.4</v>
      </c>
      <c r="K46" s="43">
        <v>0.72</v>
      </c>
      <c r="L46" s="43">
        <v>0.39</v>
      </c>
      <c r="M46" s="43">
        <v>6.5</v>
      </c>
    </row>
    <row r="47" spans="3:16">
      <c r="C47" s="6" t="s">
        <v>168</v>
      </c>
      <c r="D47" s="6"/>
      <c r="E47" s="9">
        <f>E45+E46</f>
        <v>-33228.294375191304</v>
      </c>
      <c r="F47" s="9">
        <f>F45</f>
        <v>0</v>
      </c>
      <c r="I47" s="42" t="s">
        <v>169</v>
      </c>
      <c r="J47" s="43">
        <v>24.6</v>
      </c>
      <c r="K47" s="43">
        <v>0.8</v>
      </c>
      <c r="L47" s="43">
        <v>0</v>
      </c>
      <c r="M47" s="43">
        <v>6.3</v>
      </c>
    </row>
    <row r="48" spans="3:16" ht="12.95">
      <c r="C48" s="81" t="s">
        <v>170</v>
      </c>
      <c r="D48" s="82"/>
      <c r="E48" s="82"/>
      <c r="F48" s="83"/>
      <c r="I48" s="42" t="s">
        <v>171</v>
      </c>
      <c r="J48" s="43">
        <v>23.7</v>
      </c>
      <c r="K48" s="43">
        <v>0.62</v>
      </c>
      <c r="L48" s="43">
        <v>0</v>
      </c>
      <c r="M48" s="43">
        <v>8.5</v>
      </c>
    </row>
    <row r="49" spans="3:13">
      <c r="C49" s="3" t="s">
        <v>172</v>
      </c>
      <c r="D49" s="3"/>
      <c r="E49" s="14"/>
      <c r="F49" s="14" t="s">
        <v>30</v>
      </c>
      <c r="I49" s="42" t="s">
        <v>173</v>
      </c>
      <c r="J49" s="43">
        <v>25.1</v>
      </c>
      <c r="K49" s="43">
        <v>0.97</v>
      </c>
      <c r="L49" s="43">
        <v>0.09</v>
      </c>
      <c r="M49" s="43">
        <v>9.1</v>
      </c>
    </row>
    <row r="50" spans="3:13">
      <c r="C50" s="3" t="s">
        <v>174</v>
      </c>
      <c r="D50" s="3"/>
      <c r="E50" s="14">
        <v>12600</v>
      </c>
      <c r="F50" s="14"/>
      <c r="I50" s="42" t="s">
        <v>175</v>
      </c>
      <c r="J50" s="43">
        <v>25</v>
      </c>
      <c r="K50" s="43">
        <v>0.9</v>
      </c>
      <c r="L50" s="43">
        <v>0</v>
      </c>
      <c r="M50" s="43">
        <v>6.5</v>
      </c>
    </row>
    <row r="51" spans="3:13">
      <c r="C51" s="3" t="s">
        <v>176</v>
      </c>
      <c r="D51" s="9">
        <f>P18</f>
        <v>7000</v>
      </c>
      <c r="E51" s="14"/>
      <c r="F51" s="14"/>
      <c r="I51" s="42" t="s">
        <v>177</v>
      </c>
      <c r="J51" s="43">
        <v>25.7</v>
      </c>
      <c r="K51" s="43">
        <v>1.2</v>
      </c>
      <c r="L51" s="43">
        <v>0.69</v>
      </c>
      <c r="M51" s="43">
        <v>13.2</v>
      </c>
    </row>
    <row r="52" spans="3:13" ht="24.95">
      <c r="C52" s="3" t="s">
        <v>178</v>
      </c>
      <c r="D52" s="1"/>
      <c r="E52" s="14"/>
      <c r="F52" s="14"/>
      <c r="I52" s="42" t="s">
        <v>179</v>
      </c>
      <c r="J52" s="43">
        <v>24.2</v>
      </c>
      <c r="K52" s="43">
        <v>1.01</v>
      </c>
      <c r="L52" s="43">
        <v>0</v>
      </c>
      <c r="M52" s="43">
        <v>16.600000000000001</v>
      </c>
    </row>
    <row r="53" spans="3:13">
      <c r="C53" s="3" t="s">
        <v>180</v>
      </c>
      <c r="D53" s="1"/>
      <c r="E53" s="14"/>
      <c r="F53" s="14"/>
      <c r="I53" s="42" t="s">
        <v>181</v>
      </c>
      <c r="J53" s="43">
        <v>26.1</v>
      </c>
      <c r="K53" s="43">
        <v>0.98</v>
      </c>
      <c r="L53" s="43">
        <v>1.0900000000000001</v>
      </c>
      <c r="M53" s="43">
        <v>12.4</v>
      </c>
    </row>
    <row r="54" spans="3:13">
      <c r="C54" s="3" t="s">
        <v>182</v>
      </c>
      <c r="D54" s="1"/>
      <c r="E54" s="9">
        <f>MIN(MAX(0,(E32+MAX(0,E34+E27)))*P19/100,P20)</f>
        <v>45100</v>
      </c>
      <c r="F54" s="9">
        <f>MIN(MAX(0,F32+F27)*P19/100,P20)</f>
        <v>0</v>
      </c>
      <c r="I54" s="42" t="s">
        <v>183</v>
      </c>
      <c r="J54" s="43">
        <v>25.5</v>
      </c>
      <c r="K54" s="43">
        <v>0.92</v>
      </c>
      <c r="L54" s="43">
        <v>0.49</v>
      </c>
      <c r="M54" s="43">
        <v>11.1</v>
      </c>
    </row>
    <row r="55" spans="3:13">
      <c r="C55" s="3" t="s">
        <v>184</v>
      </c>
      <c r="D55" s="1"/>
      <c r="E55" s="9">
        <f>MIN(MAX(0,MAX(0,(E32+MAX(0,E34+E27)))-P31)*P32/100,P33)</f>
        <v>2800</v>
      </c>
      <c r="F55" s="9">
        <f>MIN(MAX(0,MAX(0,F32+F27)-P31)*P32/100,P33)</f>
        <v>0</v>
      </c>
      <c r="I55" s="42" t="s">
        <v>185</v>
      </c>
      <c r="J55" s="43">
        <v>23.6</v>
      </c>
      <c r="K55" s="43">
        <v>0.8</v>
      </c>
      <c r="L55" s="43">
        <v>0</v>
      </c>
      <c r="M55" s="43">
        <v>5.0999999999999996</v>
      </c>
    </row>
    <row r="56" spans="3:13">
      <c r="C56" s="35" t="s">
        <v>186</v>
      </c>
      <c r="D56" s="1"/>
      <c r="E56" s="9">
        <f>IF(E10="ja",MIN(P34,E27+E38)*0.12,MIN(P34,E27+E38)*0.32)</f>
        <v>9672</v>
      </c>
      <c r="F56" s="9">
        <f>IF(F10="ja",MIN(P34,F27+F38)*0.12,MIN(P34,F27+F38)*0.32)</f>
        <v>0</v>
      </c>
      <c r="I56" s="42" t="s">
        <v>187</v>
      </c>
      <c r="J56" s="43">
        <v>25.26</v>
      </c>
      <c r="K56" s="43">
        <v>0.87</v>
      </c>
      <c r="L56" s="43">
        <v>0.25</v>
      </c>
      <c r="M56" s="43">
        <v>5.3</v>
      </c>
    </row>
    <row r="57" spans="3:13">
      <c r="C57" s="6" t="s">
        <v>188</v>
      </c>
      <c r="D57" s="1"/>
      <c r="E57" s="9">
        <f>SUM(E49:E56)</f>
        <v>70172</v>
      </c>
      <c r="F57" s="9">
        <f>SUM(F49:F56)</f>
        <v>0</v>
      </c>
      <c r="I57" s="42" t="s">
        <v>189</v>
      </c>
      <c r="J57" s="43">
        <v>26.3</v>
      </c>
      <c r="K57" s="43">
        <v>1.1399999999999999</v>
      </c>
      <c r="L57" s="43">
        <v>1.29</v>
      </c>
      <c r="M57" s="43">
        <v>12.2</v>
      </c>
    </row>
    <row r="58" spans="3:13" ht="12.95">
      <c r="C58" s="81" t="s">
        <v>190</v>
      </c>
      <c r="D58" s="83"/>
      <c r="E58" s="52">
        <f>E40+E47-E57</f>
        <v>437559.70562480867</v>
      </c>
      <c r="F58" s="52">
        <f>F40+F47-F57</f>
        <v>0</v>
      </c>
      <c r="I58" s="42" t="s">
        <v>191</v>
      </c>
      <c r="J58" s="43">
        <v>25.31</v>
      </c>
      <c r="K58" s="43">
        <v>1.05</v>
      </c>
      <c r="L58" s="43">
        <v>0.3</v>
      </c>
      <c r="M58" s="43">
        <v>9.6</v>
      </c>
    </row>
    <row r="59" spans="3:13">
      <c r="I59" s="42" t="s">
        <v>192</v>
      </c>
      <c r="J59" s="43">
        <v>25.46</v>
      </c>
      <c r="K59" s="43">
        <v>1.27</v>
      </c>
      <c r="L59" s="43">
        <v>0.45</v>
      </c>
      <c r="M59" s="43">
        <v>15.4</v>
      </c>
    </row>
    <row r="60" spans="3:13" ht="12.95">
      <c r="C60" s="81" t="s">
        <v>193</v>
      </c>
      <c r="D60" s="82"/>
      <c r="E60" s="82"/>
      <c r="F60" s="83"/>
      <c r="I60" s="42" t="s">
        <v>194</v>
      </c>
      <c r="J60" s="43">
        <v>26.3</v>
      </c>
      <c r="K60" s="43">
        <v>1.23</v>
      </c>
      <c r="L60" s="43">
        <v>1.29</v>
      </c>
      <c r="M60" s="43">
        <v>17.399999999999999</v>
      </c>
    </row>
    <row r="61" spans="3:13" ht="24.95">
      <c r="C61" s="3" t="s">
        <v>195</v>
      </c>
      <c r="D61" s="1"/>
      <c r="E61" s="14" t="s">
        <v>30</v>
      </c>
      <c r="F61" s="14" t="s">
        <v>30</v>
      </c>
      <c r="I61" s="42" t="s">
        <v>83</v>
      </c>
      <c r="J61" s="43">
        <v>24.38</v>
      </c>
      <c r="K61" s="43">
        <v>0.6</v>
      </c>
      <c r="L61" s="43">
        <v>0</v>
      </c>
      <c r="M61" s="43">
        <v>6.7</v>
      </c>
    </row>
    <row r="62" spans="3:13" ht="24.95">
      <c r="C62" s="3" t="s">
        <v>196</v>
      </c>
      <c r="D62" s="1"/>
      <c r="E62" s="14" t="s">
        <v>30</v>
      </c>
      <c r="F62" s="14"/>
      <c r="I62" s="42" t="s">
        <v>197</v>
      </c>
      <c r="J62" s="43">
        <v>26.3</v>
      </c>
      <c r="K62" s="43">
        <v>1.3</v>
      </c>
      <c r="L62" s="43">
        <v>1.29</v>
      </c>
      <c r="M62" s="43">
        <v>12.7</v>
      </c>
    </row>
    <row r="63" spans="3:13">
      <c r="C63" s="6" t="s">
        <v>198</v>
      </c>
      <c r="D63" s="1"/>
      <c r="E63" s="9">
        <f>SUM(E61:E62)</f>
        <v>0</v>
      </c>
      <c r="F63" s="9">
        <f>SUM(F61:F62)</f>
        <v>0</v>
      </c>
      <c r="I63" s="42" t="s">
        <v>199</v>
      </c>
      <c r="J63" s="43">
        <v>25.9</v>
      </c>
      <c r="K63" s="43">
        <v>1.1499999999999999</v>
      </c>
      <c r="L63" s="43">
        <v>0.89</v>
      </c>
      <c r="M63" s="43">
        <v>15.7</v>
      </c>
    </row>
    <row r="64" spans="3:13">
      <c r="C64" s="22"/>
      <c r="E64" s="8"/>
      <c r="F64" s="8"/>
      <c r="I64" s="42" t="s">
        <v>200</v>
      </c>
      <c r="J64" s="43">
        <v>25.8</v>
      </c>
      <c r="K64" s="43">
        <v>0.9</v>
      </c>
      <c r="L64" s="43">
        <v>0.79</v>
      </c>
      <c r="M64" s="43">
        <v>6.8</v>
      </c>
    </row>
    <row r="65" spans="1:13" ht="12.95">
      <c r="C65" s="90" t="s">
        <v>201</v>
      </c>
      <c r="D65" s="93"/>
      <c r="E65" s="93"/>
      <c r="F65" s="94"/>
      <c r="I65" s="42" t="s">
        <v>202</v>
      </c>
      <c r="J65" s="43">
        <v>25.8</v>
      </c>
      <c r="K65" s="43">
        <v>1.2</v>
      </c>
      <c r="L65" s="43">
        <v>0.79</v>
      </c>
      <c r="M65" s="43">
        <v>15.3</v>
      </c>
    </row>
    <row r="66" spans="1:13" ht="12.95">
      <c r="C66" s="48"/>
      <c r="D66" s="15"/>
      <c r="E66" s="48" t="s">
        <v>131</v>
      </c>
      <c r="F66" s="48" t="str">
        <f>IF(E8=S1,"Ægtefælle","ugift")</f>
        <v>ugift</v>
      </c>
      <c r="I66" s="42" t="s">
        <v>203</v>
      </c>
      <c r="J66" s="43">
        <v>26</v>
      </c>
      <c r="K66" s="43">
        <v>1</v>
      </c>
      <c r="L66" s="43">
        <v>0.99</v>
      </c>
      <c r="M66" s="43">
        <v>16.8</v>
      </c>
    </row>
    <row r="67" spans="1:13" ht="12.95">
      <c r="C67" s="81" t="s">
        <v>204</v>
      </c>
      <c r="D67" s="82"/>
      <c r="E67" s="82"/>
      <c r="F67" s="83"/>
      <c r="I67" s="42" t="s">
        <v>205</v>
      </c>
      <c r="J67" s="43">
        <v>26</v>
      </c>
      <c r="K67" s="43">
        <v>1.04</v>
      </c>
      <c r="L67" s="43">
        <v>0.99</v>
      </c>
      <c r="M67" s="43">
        <v>15.1</v>
      </c>
    </row>
    <row r="68" spans="1:13">
      <c r="C68" s="3" t="s">
        <v>206</v>
      </c>
      <c r="D68" s="1"/>
      <c r="E68" s="9">
        <f>E58</f>
        <v>437559.70562480867</v>
      </c>
      <c r="F68" s="9" t="str">
        <f>IF(Gift,F58,"ugift")</f>
        <v>ugift</v>
      </c>
      <c r="I68" s="42" t="s">
        <v>207</v>
      </c>
      <c r="J68" s="43">
        <v>26.3</v>
      </c>
      <c r="K68" s="43">
        <v>1</v>
      </c>
      <c r="L68" s="43">
        <v>1.29</v>
      </c>
      <c r="M68" s="43">
        <v>12.8</v>
      </c>
    </row>
    <row r="69" spans="1:13">
      <c r="C69" s="3" t="s">
        <v>208</v>
      </c>
      <c r="D69" s="1"/>
      <c r="E69" s="9">
        <f>IF(E9=S1,(-1)*P11,(-1)*P12)</f>
        <v>-49700</v>
      </c>
      <c r="F69" s="9" t="str">
        <f>IF(Gift,IF(F9=S1,(-1)*P11,(-1)*P12),"ugift")</f>
        <v>ugift</v>
      </c>
      <c r="I69" s="42" t="s">
        <v>209</v>
      </c>
      <c r="J69" s="43">
        <v>25</v>
      </c>
      <c r="K69" s="43">
        <v>0.98</v>
      </c>
      <c r="L69" s="43">
        <v>0</v>
      </c>
      <c r="M69" s="43">
        <v>9.8000000000000007</v>
      </c>
    </row>
    <row r="70" spans="1:13">
      <c r="C70" s="6" t="s">
        <v>210</v>
      </c>
      <c r="D70" s="1"/>
      <c r="E70" s="9">
        <f>SUM(E68:E69)</f>
        <v>387859.70562480867</v>
      </c>
      <c r="F70" s="9" t="str">
        <f>IF(Gift,SUM(F68:F69),"ugift")</f>
        <v>ugift</v>
      </c>
      <c r="I70" s="42" t="s">
        <v>211</v>
      </c>
      <c r="J70" s="43">
        <v>25.1</v>
      </c>
      <c r="K70" s="43">
        <v>0.95</v>
      </c>
      <c r="L70" s="43">
        <v>0.09</v>
      </c>
      <c r="M70" s="43">
        <v>14.4</v>
      </c>
    </row>
    <row r="71" spans="1:13">
      <c r="A71" s="18">
        <f>IF(E11=S1,E14+E15,E14)+P6</f>
        <v>24.98</v>
      </c>
      <c r="B71" s="18">
        <f>IF(F11=S1,E14+E15,E14)+P6</f>
        <v>24.98</v>
      </c>
      <c r="C71" s="1" t="s">
        <v>212</v>
      </c>
      <c r="D71" s="1"/>
      <c r="E71" s="9">
        <f>E70*A71/100</f>
        <v>96887.354465077209</v>
      </c>
      <c r="F71" s="9" t="str">
        <f>IF(Gift,F70*B71/100,"ugift")</f>
        <v>ugift</v>
      </c>
      <c r="I71" s="42" t="s">
        <v>213</v>
      </c>
      <c r="J71" s="43">
        <v>25.5</v>
      </c>
      <c r="K71" s="43">
        <v>0.68</v>
      </c>
      <c r="L71" s="43">
        <v>0.49</v>
      </c>
      <c r="M71" s="43">
        <v>5.7</v>
      </c>
    </row>
    <row r="72" spans="1:13">
      <c r="C72" s="1" t="s">
        <v>214</v>
      </c>
      <c r="D72" s="1"/>
      <c r="E72" s="9">
        <f>IF(Gift,E71+F71,E71)</f>
        <v>96887.354465077209</v>
      </c>
      <c r="F72" s="8"/>
      <c r="I72" s="42" t="s">
        <v>215</v>
      </c>
      <c r="J72" s="43">
        <v>26.3</v>
      </c>
      <c r="K72" s="43">
        <v>0.98</v>
      </c>
      <c r="L72" s="43">
        <v>1.29</v>
      </c>
      <c r="M72" s="43">
        <v>12.3</v>
      </c>
    </row>
    <row r="73" spans="1:13" ht="12.95">
      <c r="C73" s="81" t="s">
        <v>216</v>
      </c>
      <c r="D73" s="82"/>
      <c r="E73" s="82"/>
      <c r="F73" s="83"/>
      <c r="I73" s="42" t="s">
        <v>217</v>
      </c>
      <c r="J73" s="43">
        <v>25.8</v>
      </c>
      <c r="K73" s="43">
        <v>0.89</v>
      </c>
      <c r="L73" s="43">
        <v>0.79</v>
      </c>
      <c r="M73" s="43">
        <v>13.9</v>
      </c>
    </row>
    <row r="74" spans="1:13">
      <c r="C74" s="3" t="s">
        <v>134</v>
      </c>
      <c r="D74" s="1"/>
      <c r="E74" s="9">
        <f>E40</f>
        <v>540960</v>
      </c>
      <c r="F74" s="9" t="str">
        <f>IF(Gift,F40,"ugift")</f>
        <v>ugift</v>
      </c>
      <c r="I74" s="42" t="s">
        <v>218</v>
      </c>
      <c r="J74" s="43">
        <v>25.83</v>
      </c>
      <c r="K74" s="43">
        <v>1.2</v>
      </c>
      <c r="L74" s="43">
        <v>0.82</v>
      </c>
      <c r="M74" s="43">
        <v>8.9</v>
      </c>
    </row>
    <row r="75" spans="1:13">
      <c r="C75" s="1" t="s">
        <v>219</v>
      </c>
      <c r="D75" s="1"/>
      <c r="E75" s="9">
        <f>IF(Gift,IF(E47&gt;=0,IF(F47&gt;=0,E47,MAX(0,E47+F47)),0),MAX(E47,0))</f>
        <v>0</v>
      </c>
      <c r="F75" s="9" t="str">
        <f>IF(Gift,IF(E47&gt;=0,IF(F47&gt;=0,F47,0),IF(F47&gt;=0,MAX(0,E47+F47),0)),"ugift")</f>
        <v>ugift</v>
      </c>
      <c r="I75" s="42" t="s">
        <v>220</v>
      </c>
      <c r="J75" s="43">
        <v>25</v>
      </c>
      <c r="K75" s="43">
        <v>1.05</v>
      </c>
      <c r="L75" s="43">
        <v>0</v>
      </c>
      <c r="M75" s="43">
        <v>16.399999999999999</v>
      </c>
    </row>
    <row r="76" spans="1:13">
      <c r="C76" s="3" t="s">
        <v>208</v>
      </c>
      <c r="D76" s="1"/>
      <c r="E76" s="9">
        <f>E69</f>
        <v>-49700</v>
      </c>
      <c r="F76" s="9" t="str">
        <f>F69</f>
        <v>ugift</v>
      </c>
      <c r="I76" s="42" t="s">
        <v>221</v>
      </c>
      <c r="J76" s="43">
        <v>26.1</v>
      </c>
      <c r="K76" s="43">
        <v>0.95</v>
      </c>
      <c r="L76" s="43">
        <v>1.0900000000000001</v>
      </c>
      <c r="M76" s="43">
        <v>7</v>
      </c>
    </row>
    <row r="77" spans="1:13">
      <c r="C77" s="6" t="s">
        <v>210</v>
      </c>
      <c r="D77" s="1"/>
      <c r="E77" s="9">
        <f>SUM(E74:E76)</f>
        <v>491260</v>
      </c>
      <c r="F77" s="9" t="str">
        <f>IF(Gift,SUM(F74:F76),"ugift")</f>
        <v>ugift</v>
      </c>
      <c r="I77" s="42" t="s">
        <v>222</v>
      </c>
      <c r="J77" s="43">
        <v>25.2</v>
      </c>
      <c r="K77" s="43">
        <v>0.84</v>
      </c>
      <c r="L77" s="43">
        <v>0.19</v>
      </c>
      <c r="M77" s="43">
        <v>7.4</v>
      </c>
    </row>
    <row r="78" spans="1:13">
      <c r="B78" s="18">
        <f>P5</f>
        <v>12.06</v>
      </c>
      <c r="C78" s="1" t="s">
        <v>212</v>
      </c>
      <c r="D78" s="1"/>
      <c r="E78" s="9">
        <f>E77*B78/100</f>
        <v>59245.956000000006</v>
      </c>
      <c r="F78" s="9" t="str">
        <f>IF(Gift,F77*B78/100,"ugift")</f>
        <v>ugift</v>
      </c>
      <c r="I78" s="42" t="s">
        <v>223</v>
      </c>
      <c r="J78" s="43">
        <v>23.36</v>
      </c>
      <c r="K78" s="43">
        <v>0.56999999999999995</v>
      </c>
      <c r="L78" s="43">
        <v>0</v>
      </c>
      <c r="M78" s="43">
        <v>9.6</v>
      </c>
    </row>
    <row r="79" spans="1:13">
      <c r="C79" s="1" t="s">
        <v>214</v>
      </c>
      <c r="D79" s="1"/>
      <c r="E79" s="9">
        <f>IF(Gift,E78+F78,E78)</f>
        <v>59245.956000000006</v>
      </c>
      <c r="I79" s="42" t="s">
        <v>224</v>
      </c>
      <c r="J79" s="43">
        <v>25.7</v>
      </c>
      <c r="K79" s="43">
        <v>0.72</v>
      </c>
      <c r="L79" s="43">
        <v>0.69</v>
      </c>
      <c r="M79" s="43">
        <v>7.8</v>
      </c>
    </row>
    <row r="80" spans="1:13" ht="12.95">
      <c r="C80" s="90" t="s">
        <v>225</v>
      </c>
      <c r="D80" s="93"/>
      <c r="E80" s="93"/>
      <c r="F80" s="94"/>
      <c r="I80" s="42" t="s">
        <v>226</v>
      </c>
      <c r="J80" s="43">
        <v>25.9</v>
      </c>
      <c r="K80" s="43">
        <v>1.22</v>
      </c>
      <c r="L80" s="43">
        <v>0.89</v>
      </c>
      <c r="M80" s="43">
        <v>10.5</v>
      </c>
    </row>
    <row r="81" spans="2:13">
      <c r="C81" s="3" t="s">
        <v>134</v>
      </c>
      <c r="D81" s="1"/>
      <c r="E81" s="9">
        <f>E40</f>
        <v>540960</v>
      </c>
      <c r="F81" s="9" t="str">
        <f>IF(Gift,F40,"ugift")</f>
        <v>ugift</v>
      </c>
      <c r="I81" s="42" t="s">
        <v>227</v>
      </c>
      <c r="J81" s="43">
        <v>25.5</v>
      </c>
      <c r="K81" s="43">
        <v>0.95</v>
      </c>
      <c r="L81" s="43">
        <v>0.49</v>
      </c>
      <c r="M81" s="43">
        <v>11</v>
      </c>
    </row>
    <row r="82" spans="2:13">
      <c r="C82" s="3" t="s">
        <v>228</v>
      </c>
      <c r="D82" s="1"/>
      <c r="E82" s="9">
        <f>-P8</f>
        <v>-588900</v>
      </c>
      <c r="F82" s="9" t="str">
        <f>IF(Gift,-P8,"ugift")</f>
        <v>ugift</v>
      </c>
      <c r="I82" s="42" t="s">
        <v>229</v>
      </c>
      <c r="J82" s="43">
        <v>26</v>
      </c>
      <c r="K82" s="43">
        <v>0.86</v>
      </c>
      <c r="L82" s="43">
        <v>0.99</v>
      </c>
      <c r="M82" s="43">
        <v>8.6</v>
      </c>
    </row>
    <row r="83" spans="2:13">
      <c r="C83" s="6" t="s">
        <v>210</v>
      </c>
      <c r="D83" s="1"/>
      <c r="E83" s="9">
        <f>SUM(E81:E82)</f>
        <v>-47940</v>
      </c>
      <c r="F83" s="9" t="str">
        <f>IF(Gift,SUM(F81:F82),"ugift")</f>
        <v>ugift</v>
      </c>
      <c r="I83" s="42" t="s">
        <v>230</v>
      </c>
      <c r="J83" s="43">
        <v>25.5</v>
      </c>
      <c r="K83" s="43">
        <v>1.0900000000000001</v>
      </c>
      <c r="L83" s="43">
        <v>0.49</v>
      </c>
      <c r="M83" s="43">
        <v>11.6</v>
      </c>
    </row>
    <row r="84" spans="2:13">
      <c r="B84" s="18">
        <f>IF((E14+P6+P5+P7)&gt;P9,P7-(E14+P6+P5+P7-P9),P7)</f>
        <v>15</v>
      </c>
      <c r="C84" s="1" t="s">
        <v>212</v>
      </c>
      <c r="D84" s="1"/>
      <c r="E84" s="9">
        <f>E83*B84/100</f>
        <v>-7191</v>
      </c>
      <c r="F84" s="9" t="str">
        <f>IF(Gift,F83*B84/100,"ugift")</f>
        <v>ugift</v>
      </c>
      <c r="I84" s="42" t="s">
        <v>231</v>
      </c>
      <c r="J84" s="43">
        <v>26.1</v>
      </c>
      <c r="K84" s="43">
        <v>0.96</v>
      </c>
      <c r="L84" s="43">
        <v>1.0900000000000001</v>
      </c>
      <c r="M84" s="43">
        <v>11.1</v>
      </c>
    </row>
    <row r="85" spans="2:13" ht="12.95">
      <c r="C85" s="10" t="s">
        <v>232</v>
      </c>
      <c r="D85" s="1"/>
      <c r="E85" s="9">
        <f>IF(Gift,MAX(0,E84)+MAX(0,F84),MAX(0,E84))</f>
        <v>0</v>
      </c>
      <c r="I85" s="42" t="s">
        <v>233</v>
      </c>
      <c r="J85" s="43">
        <v>24.99</v>
      </c>
      <c r="K85" s="43">
        <v>0.89</v>
      </c>
      <c r="L85" s="43">
        <v>0</v>
      </c>
      <c r="M85" s="43">
        <v>7.9</v>
      </c>
    </row>
    <row r="86" spans="2:13">
      <c r="C86" s="3" t="s">
        <v>234</v>
      </c>
      <c r="D86" s="9">
        <f>IF(Gift,P14*2,P14)</f>
        <v>50500</v>
      </c>
      <c r="E86" s="9">
        <f>IF(Gift,IF(E83&gt;=F83,MAX(0,E75+F75-D86),""),MAX(0,E75-D86))</f>
        <v>0</v>
      </c>
      <c r="F86" s="9" t="str">
        <f>IF(Gift,IF(E83&lt;F83,MAX(0,E75+F75-D86),""),"ugift")</f>
        <v>ugift</v>
      </c>
      <c r="I86" s="42" t="s">
        <v>235</v>
      </c>
      <c r="J86" s="43">
        <v>26.3</v>
      </c>
      <c r="K86" s="43">
        <v>0.95</v>
      </c>
      <c r="L86" s="43">
        <v>1.29</v>
      </c>
      <c r="M86" s="43">
        <v>9.8000000000000007</v>
      </c>
    </row>
    <row r="87" spans="2:13">
      <c r="C87" s="3" t="s">
        <v>228</v>
      </c>
      <c r="D87" s="1"/>
      <c r="E87" s="9">
        <f>IF(Gift,IF(E83&gt;=F83,(-1)*IF(E40&gt;=P8,0,P8-(E40)),""),(-1)*IF(E40&gt;=P8,0,P8-(E40)))</f>
        <v>-47940</v>
      </c>
      <c r="F87" s="9" t="str">
        <f>IF(Gift,IF(E83&lt;F83,(-1)*IF(F40&gt;=P8,0,P8-(F40)),""),"ugift")</f>
        <v>ugift</v>
      </c>
      <c r="I87" s="42" t="s">
        <v>236</v>
      </c>
      <c r="J87" s="43">
        <v>26</v>
      </c>
      <c r="K87" s="43">
        <v>1.1000000000000001</v>
      </c>
      <c r="L87" s="43">
        <v>0.99</v>
      </c>
      <c r="M87" s="43">
        <v>8.3000000000000007</v>
      </c>
    </row>
    <row r="88" spans="2:13">
      <c r="C88" s="6" t="s">
        <v>210</v>
      </c>
      <c r="D88" s="1"/>
      <c r="E88" s="9">
        <f>IF(Gift,IF(E83&gt;=F83,E86+E87,""),E86+E87)</f>
        <v>-47940</v>
      </c>
      <c r="F88" s="9" t="str">
        <f>IF(Gift,IF(E83&lt;F83,F86+F87,""),"ugift")</f>
        <v>ugift</v>
      </c>
      <c r="I88" s="42" t="s">
        <v>237</v>
      </c>
      <c r="J88" s="43">
        <v>25.3</v>
      </c>
      <c r="K88" s="43">
        <v>1.2</v>
      </c>
      <c r="L88" s="43">
        <v>0.28999999999999998</v>
      </c>
      <c r="M88" s="43">
        <v>15.5</v>
      </c>
    </row>
    <row r="89" spans="2:13">
      <c r="B89" s="18">
        <f>IF((E14+P6+P5+P7)&gt;P10,P7-(E14+P6+P5+P7-P10),P7)</f>
        <v>5.5600000000000023</v>
      </c>
      <c r="C89" s="3" t="s">
        <v>212</v>
      </c>
      <c r="D89" s="1"/>
      <c r="E89" s="9">
        <f>IF(Gift,IF(E83&gt;=F83,E88*B89/100,""),E88*B89/100)</f>
        <v>-2665.4640000000009</v>
      </c>
      <c r="F89" s="9" t="str">
        <f>IF(Gift,IF(E83&lt;F83,F88*B89/100,""),"ugift")</f>
        <v>ugift</v>
      </c>
      <c r="I89" s="42" t="s">
        <v>238</v>
      </c>
      <c r="J89" s="43">
        <v>26.3</v>
      </c>
      <c r="K89" s="43">
        <v>1.02</v>
      </c>
      <c r="L89" s="43">
        <v>1.29</v>
      </c>
      <c r="M89" s="43">
        <v>8.8000000000000007</v>
      </c>
    </row>
    <row r="90" spans="2:13" ht="12.95">
      <c r="C90" s="10" t="s">
        <v>239</v>
      </c>
      <c r="D90" s="1"/>
      <c r="E90" s="9">
        <f>IF(Gift,IF(E83&gt;=F83,MAX(0,E89),MAX(0,F89)),MAX(0,E89))</f>
        <v>0</v>
      </c>
      <c r="I90" s="42" t="s">
        <v>240</v>
      </c>
      <c r="J90" s="43">
        <v>25.9</v>
      </c>
      <c r="K90" s="43">
        <v>0.94</v>
      </c>
      <c r="L90" s="43">
        <v>0.89</v>
      </c>
      <c r="M90" s="43">
        <v>14.2</v>
      </c>
    </row>
    <row r="91" spans="2:13">
      <c r="C91" s="1" t="s">
        <v>214</v>
      </c>
      <c r="D91" s="1"/>
      <c r="E91" s="9">
        <f>E85+E90</f>
        <v>0</v>
      </c>
      <c r="I91" s="42" t="s">
        <v>241</v>
      </c>
      <c r="J91" s="43">
        <v>25.7</v>
      </c>
      <c r="K91" s="43">
        <v>0.91</v>
      </c>
      <c r="L91" s="43">
        <v>0.69</v>
      </c>
      <c r="M91" s="43">
        <v>13.5</v>
      </c>
    </row>
    <row r="92" spans="2:13">
      <c r="E92" s="8"/>
      <c r="I92" s="42" t="s">
        <v>242</v>
      </c>
      <c r="J92" s="43">
        <v>25.5</v>
      </c>
      <c r="K92" s="43">
        <v>1.27</v>
      </c>
      <c r="L92" s="43">
        <v>0.49</v>
      </c>
      <c r="M92" s="43">
        <v>11.2</v>
      </c>
    </row>
    <row r="93" spans="2:13" ht="12.95">
      <c r="C93" s="90" t="s">
        <v>243</v>
      </c>
      <c r="D93" s="91"/>
      <c r="E93" s="91"/>
      <c r="F93" s="92"/>
      <c r="I93" s="42" t="s">
        <v>244</v>
      </c>
      <c r="J93" s="43">
        <v>24.1</v>
      </c>
      <c r="K93" s="43">
        <v>0.61</v>
      </c>
      <c r="L93" s="43">
        <v>0</v>
      </c>
      <c r="M93" s="43">
        <v>6</v>
      </c>
    </row>
    <row r="94" spans="2:13" ht="12.95">
      <c r="C94" s="39" t="s">
        <v>245</v>
      </c>
      <c r="D94" s="48"/>
      <c r="E94" s="9">
        <f>E37</f>
        <v>0</v>
      </c>
      <c r="F94" s="9" t="str">
        <f>IF(Gift,F37,"ugift")</f>
        <v>ugift</v>
      </c>
      <c r="I94" s="42" t="s">
        <v>246</v>
      </c>
      <c r="J94" s="43">
        <v>25.3</v>
      </c>
      <c r="K94" s="43">
        <v>1.1599999999999999</v>
      </c>
      <c r="L94" s="43">
        <v>0.28999999999999998</v>
      </c>
      <c r="M94" s="43">
        <v>10.8</v>
      </c>
    </row>
    <row r="95" spans="2:13" ht="12.95">
      <c r="C95" s="39" t="s">
        <v>247</v>
      </c>
      <c r="D95" s="48"/>
      <c r="E95" s="9">
        <f>P28</f>
        <v>457500</v>
      </c>
      <c r="F95" s="9" t="str">
        <f>IF(Gift,P28,"ugift")</f>
        <v>ugift</v>
      </c>
      <c r="I95" s="42" t="s">
        <v>248</v>
      </c>
      <c r="J95" s="43">
        <v>25.6</v>
      </c>
      <c r="K95" s="43">
        <v>0.8</v>
      </c>
      <c r="L95" s="43">
        <v>0.59</v>
      </c>
      <c r="M95" s="43">
        <v>8.6</v>
      </c>
    </row>
    <row r="96" spans="2:13" ht="12.95">
      <c r="C96" s="39" t="s">
        <v>249</v>
      </c>
      <c r="D96" s="48"/>
      <c r="E96" s="9">
        <f>IF(Gift,MAX(MIN(MAX(0,(-1)*(F94-F95)),P29-MAX(0,F40)),0),0)</f>
        <v>0</v>
      </c>
      <c r="F96" s="9" t="str">
        <f>IF(Gift,MAX(MIN(MAX(0,(-1)*(E94-E95)),P29-MAX(0,E40)),0),"ugift")</f>
        <v>ugift</v>
      </c>
      <c r="I96" s="42" t="s">
        <v>250</v>
      </c>
      <c r="J96" s="43">
        <v>25.1</v>
      </c>
      <c r="K96" s="43">
        <v>0.95</v>
      </c>
      <c r="L96" s="43">
        <v>0.09</v>
      </c>
      <c r="M96" s="43">
        <v>17.7</v>
      </c>
    </row>
    <row r="97" spans="2:13">
      <c r="C97" s="53" t="s">
        <v>210</v>
      </c>
      <c r="D97" s="1"/>
      <c r="E97" s="9">
        <f>E94-(E95+E96)</f>
        <v>-457500</v>
      </c>
      <c r="F97" s="9" t="str">
        <f>IF(Gift,F94-(F95+F96),"ugift")</f>
        <v>ugift</v>
      </c>
      <c r="I97" s="42" t="s">
        <v>251</v>
      </c>
      <c r="J97" s="43">
        <v>25.33</v>
      </c>
      <c r="K97" s="43">
        <v>1.06</v>
      </c>
      <c r="L97" s="43">
        <v>0.32</v>
      </c>
      <c r="M97" s="43">
        <v>9</v>
      </c>
    </row>
    <row r="98" spans="2:13">
      <c r="B98" s="45">
        <f>P29</f>
        <v>0</v>
      </c>
      <c r="C98" s="1" t="s">
        <v>212</v>
      </c>
      <c r="D98" s="1"/>
      <c r="E98" s="9">
        <f>E97*B98/100</f>
        <v>0</v>
      </c>
      <c r="F98" s="9" t="str">
        <f>IF(Gift,F97*B98/100,"ugift")</f>
        <v>ugift</v>
      </c>
      <c r="I98" s="42" t="s">
        <v>252</v>
      </c>
      <c r="J98" s="43">
        <v>23.4</v>
      </c>
      <c r="K98" s="43">
        <v>0.89</v>
      </c>
      <c r="L98" s="43">
        <v>0</v>
      </c>
      <c r="M98" s="43">
        <v>10.5</v>
      </c>
    </row>
    <row r="99" spans="2:13">
      <c r="C99" s="1" t="s">
        <v>253</v>
      </c>
      <c r="D99" s="1"/>
      <c r="E99" s="9">
        <f>IF(E98&gt;0,E98,0)</f>
        <v>0</v>
      </c>
      <c r="F99" s="9" t="str">
        <f>IF(Gift,IF(F98&gt;0,F98,0),"ugift")</f>
        <v>ugift</v>
      </c>
      <c r="I99" s="42" t="s">
        <v>254</v>
      </c>
      <c r="J99" s="43">
        <v>26.3</v>
      </c>
      <c r="K99" s="43">
        <v>1.18</v>
      </c>
      <c r="L99" s="43">
        <v>1.29</v>
      </c>
      <c r="M99" s="43">
        <v>9.3000000000000007</v>
      </c>
    </row>
    <row r="100" spans="2:13">
      <c r="C100" s="39" t="s">
        <v>214</v>
      </c>
      <c r="D100" s="1"/>
      <c r="E100" s="9">
        <f>IF(Gift,E99+F99,E99)</f>
        <v>0</v>
      </c>
      <c r="I100" s="42" t="s">
        <v>255</v>
      </c>
      <c r="J100" s="43">
        <v>25.5</v>
      </c>
      <c r="K100" s="43">
        <v>0.93</v>
      </c>
      <c r="L100" s="43">
        <v>0.49</v>
      </c>
      <c r="M100" s="43">
        <v>11.5</v>
      </c>
    </row>
    <row r="101" spans="2:13">
      <c r="E101" s="8"/>
      <c r="I101" s="42" t="s">
        <v>256</v>
      </c>
      <c r="J101" s="43">
        <v>26.3</v>
      </c>
      <c r="K101" s="43">
        <v>1.02</v>
      </c>
      <c r="L101" s="43">
        <v>1.29</v>
      </c>
      <c r="M101" s="43">
        <v>13.5</v>
      </c>
    </row>
    <row r="102" spans="2:13" ht="12.95">
      <c r="B102" s="8"/>
      <c r="C102" s="81" t="s">
        <v>257</v>
      </c>
      <c r="D102" s="82"/>
      <c r="E102" s="82"/>
      <c r="F102" s="83"/>
      <c r="I102" s="42" t="s">
        <v>258</v>
      </c>
      <c r="J102" s="43">
        <v>26.1</v>
      </c>
      <c r="K102" s="43">
        <v>1.07</v>
      </c>
      <c r="L102" s="43">
        <v>1.0900000000000001</v>
      </c>
      <c r="M102" s="43">
        <v>11.1</v>
      </c>
    </row>
    <row r="103" spans="2:13">
      <c r="B103" s="8"/>
      <c r="C103" s="3" t="s">
        <v>193</v>
      </c>
      <c r="D103" s="1"/>
      <c r="E103" s="9">
        <f>E63</f>
        <v>0</v>
      </c>
      <c r="F103" s="9" t="str">
        <f>IF(Gift,F63,"ugift")</f>
        <v>ugift</v>
      </c>
      <c r="I103" s="42" t="s">
        <v>259</v>
      </c>
      <c r="J103" s="43">
        <v>25.6</v>
      </c>
      <c r="K103" s="43">
        <v>0.95</v>
      </c>
      <c r="L103" s="43">
        <v>0.59</v>
      </c>
      <c r="M103" s="43">
        <v>7.8</v>
      </c>
    </row>
    <row r="104" spans="2:13">
      <c r="B104" s="31">
        <f>IF(E104&lt;0,-1,1)</f>
        <v>1</v>
      </c>
      <c r="C104" s="1" t="s">
        <v>210</v>
      </c>
      <c r="D104" s="1"/>
      <c r="E104" s="9">
        <f>IF(Gift,E103+F103,E103)</f>
        <v>0</v>
      </c>
      <c r="I104" s="42" t="s">
        <v>260</v>
      </c>
      <c r="J104" s="43">
        <v>25.6</v>
      </c>
      <c r="K104" s="43">
        <v>0.98</v>
      </c>
      <c r="L104" s="43">
        <v>0.59</v>
      </c>
      <c r="M104" s="43">
        <v>7.4</v>
      </c>
    </row>
    <row r="105" spans="2:13">
      <c r="B105" s="9">
        <f>P15</f>
        <v>27</v>
      </c>
      <c r="C105" s="1" t="s">
        <v>261</v>
      </c>
      <c r="D105" s="9">
        <f>IF(Gift,P17*2,P17)</f>
        <v>61000</v>
      </c>
      <c r="E105" s="9">
        <f>IF(B104*E104&lt;=D105,E104*B105/100,B104*D105*B105/100)</f>
        <v>0</v>
      </c>
      <c r="I105" s="42" t="s">
        <v>262</v>
      </c>
      <c r="J105" s="43">
        <v>24.52</v>
      </c>
      <c r="K105" s="43">
        <v>0.74</v>
      </c>
      <c r="L105" s="43">
        <v>0</v>
      </c>
      <c r="M105" s="43">
        <v>6</v>
      </c>
    </row>
    <row r="106" spans="2:13">
      <c r="B106" s="9">
        <f>P16</f>
        <v>42</v>
      </c>
      <c r="C106" s="1" t="s">
        <v>263</v>
      </c>
      <c r="D106" s="9">
        <f>IF(Gift,P17*2,P17)</f>
        <v>61000</v>
      </c>
      <c r="E106" s="9">
        <f>IF(B104*E104&gt;D106,B104*(B104*E104-D106)*B106/100,0)</f>
        <v>0</v>
      </c>
    </row>
    <row r="107" spans="2:13">
      <c r="C107" s="1" t="s">
        <v>214</v>
      </c>
      <c r="D107" s="1"/>
      <c r="E107" s="9">
        <f>SUM(E105:E106)</f>
        <v>0</v>
      </c>
      <c r="I107" s="95" t="s">
        <v>264</v>
      </c>
      <c r="J107" s="95"/>
      <c r="K107" s="95"/>
      <c r="L107" s="95"/>
      <c r="M107" s="95"/>
    </row>
    <row r="108" spans="2:13">
      <c r="F108" s="8"/>
    </row>
    <row r="109" spans="2:13" ht="12.95">
      <c r="C109" s="81" t="s">
        <v>265</v>
      </c>
      <c r="D109" s="82"/>
      <c r="E109" s="82"/>
      <c r="F109" s="83"/>
    </row>
    <row r="110" spans="2:13">
      <c r="C110" s="3" t="s">
        <v>266</v>
      </c>
      <c r="D110" s="1"/>
      <c r="E110" s="9">
        <f>E32</f>
        <v>588000</v>
      </c>
      <c r="F110" s="9" t="str">
        <f>IF(Gift,F32,"ugift")</f>
        <v>ugift</v>
      </c>
    </row>
    <row r="111" spans="2:13" ht="24.95">
      <c r="C111" s="3" t="s">
        <v>267</v>
      </c>
      <c r="D111" s="1"/>
      <c r="E111" s="9">
        <f>MAX(0,E34)</f>
        <v>0</v>
      </c>
      <c r="F111" s="9"/>
    </row>
    <row r="112" spans="2:13">
      <c r="C112" s="6" t="s">
        <v>210</v>
      </c>
      <c r="D112" s="1"/>
      <c r="E112" s="9">
        <f>SUM(E110:E111)</f>
        <v>588000</v>
      </c>
      <c r="F112" s="9" t="str">
        <f>IF(Gift,SUM(F110),"ugift")</f>
        <v>ugift</v>
      </c>
    </row>
    <row r="113" spans="2:6">
      <c r="B113" s="1">
        <f>P4</f>
        <v>8</v>
      </c>
      <c r="C113" s="1" t="s">
        <v>212</v>
      </c>
      <c r="D113" s="1"/>
      <c r="E113" s="9">
        <f>E112*B113/100</f>
        <v>47040</v>
      </c>
      <c r="F113" s="9" t="str">
        <f>IF(Gift,F112*B113/100,"ugift")</f>
        <v>ugift</v>
      </c>
    </row>
    <row r="114" spans="2:6">
      <c r="C114" s="1" t="s">
        <v>214</v>
      </c>
      <c r="D114" s="1"/>
      <c r="E114" s="9">
        <f>IF(Gift,E113+F113,E113)</f>
        <v>47040</v>
      </c>
    </row>
    <row r="115" spans="2:6">
      <c r="E115" s="8"/>
    </row>
    <row r="116" spans="2:6" ht="12.95">
      <c r="C116" s="49" t="s">
        <v>268</v>
      </c>
      <c r="D116" s="15"/>
      <c r="E116" s="28"/>
      <c r="F116" s="16"/>
    </row>
    <row r="117" spans="2:6">
      <c r="C117" s="1" t="s">
        <v>269</v>
      </c>
      <c r="D117" s="1"/>
      <c r="E117" s="9">
        <f>E47</f>
        <v>-33228.294375191304</v>
      </c>
      <c r="F117" s="9" t="str">
        <f>IF(Gift,F47,"ugift")</f>
        <v>ugift</v>
      </c>
    </row>
    <row r="118" spans="2:6">
      <c r="C118" s="54" t="s">
        <v>210</v>
      </c>
      <c r="D118" s="24"/>
      <c r="E118" s="25">
        <f>IF(Gift,MIN(0,MAX(E117+F117,-100000)),MIN(0,MAX(E117,-50000)))</f>
        <v>-33228.294375191304</v>
      </c>
    </row>
    <row r="119" spans="2:6">
      <c r="B119" s="44">
        <f>P27</f>
        <v>8</v>
      </c>
      <c r="C119" s="1" t="s">
        <v>212</v>
      </c>
      <c r="D119" s="1"/>
      <c r="E119" s="9">
        <f>E118*B119/100</f>
        <v>-2658.2635500153042</v>
      </c>
    </row>
    <row r="120" spans="2:6">
      <c r="C120" s="26" t="s">
        <v>214</v>
      </c>
      <c r="D120" s="26"/>
      <c r="E120" s="27">
        <f>E119</f>
        <v>-2658.2635500153042</v>
      </c>
    </row>
    <row r="122" spans="2:6" ht="12.95">
      <c r="C122" s="81" t="s">
        <v>270</v>
      </c>
      <c r="D122" s="83"/>
      <c r="E122" s="55">
        <f>MAX(0,MAX(0,E72+E79+E91+E100+E106+E120)+E105)+E114</f>
        <v>200515.04691506192</v>
      </c>
    </row>
    <row r="123" spans="2:6" ht="12.95">
      <c r="C123" s="20"/>
      <c r="E123" s="56"/>
    </row>
    <row r="124" spans="2:6" ht="12.95">
      <c r="C124" s="90" t="s">
        <v>271</v>
      </c>
      <c r="D124" s="93"/>
      <c r="E124" s="94"/>
    </row>
    <row r="125" spans="2:6" ht="12.95">
      <c r="C125" s="57"/>
    </row>
    <row r="126" spans="2:6" ht="12.95">
      <c r="C126" s="81" t="s">
        <v>272</v>
      </c>
      <c r="D126" s="82"/>
      <c r="E126" s="83"/>
    </row>
    <row r="127" spans="2:6">
      <c r="C127" s="6" t="s">
        <v>273</v>
      </c>
      <c r="D127" s="1"/>
      <c r="E127" s="9">
        <f>E18+E19</f>
        <v>0</v>
      </c>
    </row>
    <row r="128" spans="2:6">
      <c r="B128" s="18">
        <f>P21</f>
        <v>0.51</v>
      </c>
      <c r="C128" s="39" t="s">
        <v>274</v>
      </c>
      <c r="D128" s="9">
        <f>P23</f>
        <v>9200000</v>
      </c>
      <c r="E128" s="9">
        <f>IF(E127*0.8&lt;=D128,E127*0.8*B128/100,D128*B128/100)</f>
        <v>0</v>
      </c>
    </row>
    <row r="129" spans="2:5">
      <c r="B129" s="18">
        <f>P22</f>
        <v>1.4</v>
      </c>
      <c r="C129" s="39" t="s">
        <v>275</v>
      </c>
      <c r="D129" s="9">
        <f>P23</f>
        <v>9200000</v>
      </c>
      <c r="E129" s="9">
        <f>IF(E127*0.8&gt;D129,(E127*0.8-D129)*B129/100,0)</f>
        <v>0</v>
      </c>
    </row>
    <row r="130" spans="2:5">
      <c r="C130" s="1" t="s">
        <v>57</v>
      </c>
      <c r="D130" s="9"/>
      <c r="E130" s="9" t="str">
        <f>IF(E20=S1,IF(E18&gt;0,(-1)*(E127*0.8*P24/100+MIN(E127*0.8*P25/100,P26)),IF(E19&gt;0,(-1)*(E127*0.8*P24/100),"")),"")</f>
        <v/>
      </c>
    </row>
    <row r="131" spans="2:5">
      <c r="C131" s="3" t="s">
        <v>276</v>
      </c>
      <c r="D131" s="1"/>
      <c r="E131" s="9">
        <f>SUM(E128:E130)</f>
        <v>0</v>
      </c>
    </row>
    <row r="132" spans="2:5">
      <c r="C132" s="6" t="s">
        <v>277</v>
      </c>
      <c r="D132" s="1"/>
      <c r="E132" s="9">
        <f>E22</f>
        <v>0</v>
      </c>
    </row>
    <row r="133" spans="2:5">
      <c r="B133" s="18">
        <f>P21</f>
        <v>0.51</v>
      </c>
      <c r="C133" s="1" t="s">
        <v>278</v>
      </c>
      <c r="D133" s="9">
        <f>P23</f>
        <v>9200000</v>
      </c>
      <c r="E133" s="9">
        <f>IF(E132*0.8&lt;=D133,E132*0.8*B133/100,D133*B133/100)</f>
        <v>0</v>
      </c>
    </row>
    <row r="134" spans="2:5">
      <c r="B134" s="18">
        <f>P22</f>
        <v>1.4</v>
      </c>
      <c r="C134" s="1" t="s">
        <v>279</v>
      </c>
      <c r="D134" s="9">
        <f>P23</f>
        <v>9200000</v>
      </c>
      <c r="E134" s="9">
        <f>IF(E132*0.8&gt;D134,(E132*0.8-D134)*B134/100,0)</f>
        <v>0</v>
      </c>
    </row>
    <row r="135" spans="2:5">
      <c r="C135" s="1" t="s">
        <v>57</v>
      </c>
      <c r="D135" s="9"/>
      <c r="E135" s="9" t="str">
        <f>IF(E26=S1,(-1)*(E132*0.8*P24/100+MIN(E132*0.8*P25/100,P26)),"")</f>
        <v/>
      </c>
    </row>
    <row r="136" spans="2:5">
      <c r="C136" s="3" t="s">
        <v>280</v>
      </c>
      <c r="D136" s="1"/>
      <c r="E136" s="9">
        <f>SUM(E133:E135)</f>
        <v>0</v>
      </c>
    </row>
    <row r="137" spans="2:5">
      <c r="C137" s="3" t="s">
        <v>214</v>
      </c>
      <c r="D137" s="1"/>
      <c r="E137" s="9">
        <f>E131+E136</f>
        <v>0</v>
      </c>
    </row>
    <row r="138" spans="2:5">
      <c r="C138" s="7"/>
      <c r="E138" s="8"/>
    </row>
    <row r="139" spans="2:5" ht="12.95">
      <c r="C139" s="47" t="s">
        <v>281</v>
      </c>
      <c r="D139" s="15"/>
      <c r="E139" s="19"/>
    </row>
    <row r="140" spans="2:5">
      <c r="C140" s="58" t="s">
        <v>282</v>
      </c>
      <c r="D140" s="1"/>
      <c r="E140" s="9">
        <f>E21</f>
        <v>0</v>
      </c>
    </row>
    <row r="141" spans="2:5">
      <c r="B141" s="18">
        <f>E16</f>
        <v>6.7</v>
      </c>
      <c r="C141" s="3" t="s">
        <v>283</v>
      </c>
      <c r="D141" s="9">
        <f>E140*0.8</f>
        <v>0</v>
      </c>
      <c r="E141" s="9">
        <f>B141*D141/1000</f>
        <v>0</v>
      </c>
    </row>
    <row r="142" spans="2:5">
      <c r="C142" s="58" t="s">
        <v>117</v>
      </c>
      <c r="D142" s="1"/>
      <c r="E142" s="9">
        <f>E25</f>
        <v>0</v>
      </c>
    </row>
    <row r="143" spans="2:5">
      <c r="B143" s="18">
        <f>E24</f>
        <v>9.1</v>
      </c>
      <c r="C143" s="3" t="s">
        <v>283</v>
      </c>
      <c r="D143" s="9">
        <f>E142*0.8</f>
        <v>0</v>
      </c>
      <c r="E143" s="9">
        <f>B143*D143/1000</f>
        <v>0</v>
      </c>
    </row>
    <row r="144" spans="2:5">
      <c r="B144" s="21"/>
      <c r="C144" s="3" t="s">
        <v>214</v>
      </c>
      <c r="D144" s="9"/>
      <c r="E144" s="9">
        <f>E141+E143</f>
        <v>0</v>
      </c>
    </row>
    <row r="145" spans="3:5">
      <c r="C145" s="7"/>
      <c r="E145" s="8"/>
    </row>
    <row r="146" spans="3:5" ht="12.95">
      <c r="C146" s="81" t="s">
        <v>284</v>
      </c>
      <c r="D146" s="83"/>
      <c r="E146" s="55">
        <f>E137+E144</f>
        <v>0</v>
      </c>
    </row>
    <row r="148" spans="3:5" ht="12.95">
      <c r="C148" s="90" t="s">
        <v>285</v>
      </c>
      <c r="D148" s="93"/>
      <c r="E148" s="94"/>
    </row>
    <row r="149" spans="3:5">
      <c r="C149" s="1" t="s">
        <v>286</v>
      </c>
      <c r="D149" s="1"/>
      <c r="E149" s="9">
        <f>E122</f>
        <v>200515.04691506192</v>
      </c>
    </row>
    <row r="150" spans="3:5">
      <c r="C150" s="1" t="s">
        <v>287</v>
      </c>
      <c r="D150" s="1"/>
      <c r="E150" s="9">
        <f>E146</f>
        <v>0</v>
      </c>
    </row>
    <row r="151" spans="3:5" ht="12.95">
      <c r="C151" s="90" t="s">
        <v>214</v>
      </c>
      <c r="D151" s="94"/>
      <c r="E151" s="55">
        <f>SUM(E149:E150)</f>
        <v>200515.04691506192</v>
      </c>
    </row>
  </sheetData>
  <mergeCells count="24">
    <mergeCell ref="C31:F31"/>
    <mergeCell ref="I1:M1"/>
    <mergeCell ref="O1:P1"/>
    <mergeCell ref="C2:F2"/>
    <mergeCell ref="C3:F4"/>
    <mergeCell ref="C29:F29"/>
    <mergeCell ref="I107:M107"/>
    <mergeCell ref="C109:F109"/>
    <mergeCell ref="C41:F41"/>
    <mergeCell ref="C48:F48"/>
    <mergeCell ref="C58:D58"/>
    <mergeCell ref="C60:F60"/>
    <mergeCell ref="C65:F65"/>
    <mergeCell ref="C67:F67"/>
    <mergeCell ref="C151:D151"/>
    <mergeCell ref="C73:F73"/>
    <mergeCell ref="C80:F80"/>
    <mergeCell ref="C93:F93"/>
    <mergeCell ref="C102:F102"/>
    <mergeCell ref="C122:D122"/>
    <mergeCell ref="C124:E124"/>
    <mergeCell ref="C126:E126"/>
    <mergeCell ref="C146:D146"/>
    <mergeCell ref="C148:E148"/>
  </mergeCells>
  <dataValidations count="3">
    <dataValidation type="list" allowBlank="1" showInputMessage="1" showErrorMessage="1" sqref="E23" xr:uid="{AA6D0C4A-2454-4214-92E8-75C3DC2DC979}">
      <formula1>$I$7:$I$105</formula1>
    </dataValidation>
    <dataValidation type="list" allowBlank="1" showInputMessage="1" showErrorMessage="1" sqref="E13" xr:uid="{29B08F6A-FC1E-4F74-BFAA-4140B01E9D1C}">
      <formula1>$I$8:$I$105</formula1>
    </dataValidation>
    <dataValidation type="list" allowBlank="1" showInputMessage="1" showErrorMessage="1" sqref="E20 F9:F11 E8:E11 E26" xr:uid="{61712FAE-689C-4781-A94A-A381F1D98C68}">
      <formula1>$S$1:$S$2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4571-13B4-4A19-9C0A-858F27AA0A08}">
  <dimension ref="A1"/>
  <sheetViews>
    <sheetView workbookViewId="0"/>
  </sheetViews>
  <sheetFormatPr defaultRowHeight="12.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E424-33CA-4F09-95D2-A11737C15391}">
  <dimension ref="A1"/>
  <sheetViews>
    <sheetView workbookViewId="0"/>
  </sheetViews>
  <sheetFormatPr defaultRowHeight="12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7703E81A8C4F4F84C4D3E91E8B5630" ma:contentTypeVersion="21" ma:contentTypeDescription="Opret et nyt dokument." ma:contentTypeScope="" ma:versionID="22e3cc1085d3f9c5ec46ff8bd131d1df">
  <xsd:schema xmlns:xsd="http://www.w3.org/2001/XMLSchema" xmlns:xs="http://www.w3.org/2001/XMLSchema" xmlns:p="http://schemas.microsoft.com/office/2006/metadata/properties" xmlns:ns2="16ac6e9a-87b1-4d42-8e4b-874341318658" xmlns:ns3="94403252-ad3d-48b3-8d14-394b12702aee" targetNamespace="http://schemas.microsoft.com/office/2006/metadata/properties" ma:root="true" ma:fieldsID="7ff6e3e447f3d38c64208f7f3dc30404" ns2:_="" ns3:_="">
    <xsd:import namespace="16ac6e9a-87b1-4d42-8e4b-874341318658"/>
    <xsd:import namespace="94403252-ad3d-48b3-8d14-394b12702a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6e9a-87b1-4d42-8e4b-874341318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03252-ad3d-48b3-8d14-394b12702aee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d25629c-bc10-454f-b0c3-96032a508a10}" ma:internalName="TaxCatchAll" ma:showField="CatchAllData" ma:web="94403252-ad3d-48b3-8d14-394b12702a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c6e9a-87b1-4d42-8e4b-874341318658">
      <Terms xmlns="http://schemas.microsoft.com/office/infopath/2007/PartnerControls"/>
    </lcf76f155ced4ddcb4097134ff3c332f>
    <TaxCatchAll xmlns="94403252-ad3d-48b3-8d14-394b12702aee" xsi:nil="true"/>
  </documentManagement>
</p:properties>
</file>

<file path=customXml/itemProps1.xml><?xml version="1.0" encoding="utf-8"?>
<ds:datastoreItem xmlns:ds="http://schemas.openxmlformats.org/officeDocument/2006/customXml" ds:itemID="{E64A8396-2F97-4F2A-84DA-D22533C9BE4C}"/>
</file>

<file path=customXml/itemProps2.xml><?xml version="1.0" encoding="utf-8"?>
<ds:datastoreItem xmlns:ds="http://schemas.openxmlformats.org/officeDocument/2006/customXml" ds:itemID="{6E01904C-BF82-4828-90B7-E0BE1F0B76C4}"/>
</file>

<file path=customXml/itemProps3.xml><?xml version="1.0" encoding="utf-8"?>
<ds:datastoreItem xmlns:ds="http://schemas.openxmlformats.org/officeDocument/2006/customXml" ds:itemID="{4D8D1D68-1129-40A4-A370-2B15FADED9BC}"/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Spies Information ApS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TAX.DK skat &amp; afgift - Skatteberegning 2019</dc:title>
  <dc:subject/>
  <dc:creator>Hans Christian Spies</dc:creator>
  <cp:keywords/>
  <dc:description/>
  <cp:lastModifiedBy>Søren Møller Jensen (SMJ - Lektor - Cphbusiness)</cp:lastModifiedBy>
  <cp:revision/>
  <dcterms:created xsi:type="dcterms:W3CDTF">2010-09-19T07:25:55Z</dcterms:created>
  <dcterms:modified xsi:type="dcterms:W3CDTF">2024-08-15T13:13:58Z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0x010100E57703E81A8C4F4F84C4D3E91E8B5630</vt:lpwstr>
  </property>
  <property fmtid="{D5CDD505-2E9C-101B-9397-08002B2CF9AE}" pid="3" name="MediaServiceImageTags">
    <vt:lpwstr/>
  </property>
</Properties>
</file>