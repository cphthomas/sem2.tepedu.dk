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fif.sharepoint.com/sites/CPH-ARKADERNE/Delte dokumenter/Uddannelserne/Finansiel/FIN/2024 forår/Planlægning/Eksamen/Cases til 2024/Nr. 3 - Investering evt. forældrekøb/Beregninger/"/>
    </mc:Choice>
  </mc:AlternateContent>
  <xr:revisionPtr revIDLastSave="269" documentId="8_{1EC90341-11BC-4E46-A929-BCB941DEDF56}" xr6:coauthVersionLast="47" xr6:coauthVersionMax="47" xr10:uidLastSave="{B6D3BB08-34FF-4F35-B65C-B768224A9641}"/>
  <bookViews>
    <workbookView xWindow="-120" yWindow="-120" windowWidth="29040" windowHeight="15840" xr2:uid="{00000000-000D-0000-FFFF-FFFF00000000}"/>
  </bookViews>
  <sheets>
    <sheet name="Budget" sheetId="2" r:id="rId1"/>
    <sheet name="Skatteberegning" sheetId="1" r:id="rId2"/>
    <sheet name="Realkredit" sheetId="4" r:id="rId3"/>
    <sheet name="Billån" sheetId="3" r:id="rId4"/>
  </sheets>
  <definedNames>
    <definedName name="Gift">Skatteberegning!$G$8</definedName>
    <definedName name="Skatteordning">#REF!</definedName>
    <definedName name="TABLE" localSheetId="1">Skatteberegning!$C$2:$C$2</definedName>
    <definedName name="TABLE_10" localSheetId="1">Skatteberegning!$C$35:$C$35</definedName>
    <definedName name="TABLE_11" localSheetId="1">Skatteberegning!$C$36:$C$36</definedName>
    <definedName name="TABLE_12" localSheetId="1">Skatteberegning!#REF!</definedName>
    <definedName name="TABLE_13" localSheetId="1">Skatteberegning!$C$38:$C$38</definedName>
    <definedName name="TABLE_14" localSheetId="1">Skatteberegning!$C$40:$C$40</definedName>
    <definedName name="TABLE_15" localSheetId="1">Skatteberegning!#REF!</definedName>
    <definedName name="TABLE_16" localSheetId="1">Skatteberegning!$C$41:$C$41</definedName>
    <definedName name="TABLE_17" localSheetId="1">Skatteberegning!$C$42:$C$42</definedName>
    <definedName name="TABLE_18" localSheetId="1">Skatteberegning!$C$43:$C$43</definedName>
    <definedName name="TABLE_19" localSheetId="1">Skatteberegning!$C$44:$C$44</definedName>
    <definedName name="TABLE_2" localSheetId="1">Skatteberegning!$C$8:$C$8</definedName>
    <definedName name="TABLE_20" localSheetId="1">Skatteberegning!$C$47:$C$47</definedName>
    <definedName name="TABLE_21" localSheetId="1">Skatteberegning!$C$48:$C$48</definedName>
    <definedName name="TABLE_22" localSheetId="1">Skatteberegning!$C$49:$C$49</definedName>
    <definedName name="TABLE_23" localSheetId="1">Skatteberegning!$C$50:$C$50</definedName>
    <definedName name="TABLE_24" localSheetId="1">Skatteberegning!$C$51:$C$51</definedName>
    <definedName name="TABLE_25" localSheetId="1">Skatteberegning!$C$52:$C$52</definedName>
    <definedName name="TABLE_26" localSheetId="1">Skatteberegning!$C$53:$C$53</definedName>
    <definedName name="TABLE_27" localSheetId="1">Skatteberegning!$C$54:$C$54</definedName>
    <definedName name="TABLE_28" localSheetId="1">Skatteberegning!$C$57:$C$57</definedName>
    <definedName name="TABLE_29" localSheetId="1">Skatteberegning!$C$58:$C$58</definedName>
    <definedName name="TABLE_3" localSheetId="1">Skatteberegning!$C$9:$C$9</definedName>
    <definedName name="TABLE_30" localSheetId="1">Skatteberegning!$C$60:$C$60</definedName>
    <definedName name="TABLE_31" localSheetId="1">Skatteberegning!$C$61:$C$61</definedName>
    <definedName name="TABLE_32" localSheetId="1">Skatteberegning!$C$62:$C$62</definedName>
    <definedName name="TABLE_33" localSheetId="1">Skatteberegning!$C$63:$C$63</definedName>
    <definedName name="TABLE_34" localSheetId="1">Skatteberegning!$C$67:$C$67</definedName>
    <definedName name="TABLE_35" localSheetId="1">Skatteberegning!$C$68:$C$68</definedName>
    <definedName name="TABLE_36" localSheetId="1">Skatteberegning!$C$69:$C$69</definedName>
    <definedName name="TABLE_37" localSheetId="1">Skatteberegning!$C$70:$C$70</definedName>
    <definedName name="TABLE_38" localSheetId="1">Skatteberegning!$C$73:$C$73</definedName>
    <definedName name="TABLE_39" localSheetId="1">Skatteberegning!$C$74:$C$74</definedName>
    <definedName name="TABLE_4" localSheetId="1">Skatteberegning!$C$11:$C$11</definedName>
    <definedName name="TABLE_40" localSheetId="1">Skatteberegning!$C$76:$C$76</definedName>
    <definedName name="TABLE_41" localSheetId="1">Skatteberegning!$C$77:$C$77</definedName>
    <definedName name="TABLE_42" localSheetId="1">Skatteberegning!$C$81:$C$81</definedName>
    <definedName name="TABLE_43" localSheetId="1">Skatteberegning!#REF!</definedName>
    <definedName name="TABLE_44" localSheetId="1">Skatteberegning!#REF!</definedName>
    <definedName name="TABLE_45" localSheetId="1">Skatteberegning!$C$82:$C$82</definedName>
    <definedName name="TABLE_46" localSheetId="1">Skatteberegning!$C$83:$C$83</definedName>
    <definedName name="TABLE_47" localSheetId="1">Skatteberegning!$C$85:$C$85</definedName>
    <definedName name="TABLE_48" localSheetId="1">Skatteberegning!$C$86:$C$86</definedName>
    <definedName name="TABLE_49" localSheetId="1">Skatteberegning!$C$87:$C$87</definedName>
    <definedName name="TABLE_5" localSheetId="1">Skatteberegning!$C$13:$C$13</definedName>
    <definedName name="TABLE_50" localSheetId="1">Skatteberegning!$C$88:$C$88</definedName>
    <definedName name="TABLE_51" localSheetId="1">Skatteberegning!$C$89:$C$89</definedName>
    <definedName name="TABLE_52" localSheetId="1">Skatteberegning!$C$90:$C$90</definedName>
    <definedName name="TABLE_53" localSheetId="1">Skatteberegning!#REF!</definedName>
    <definedName name="TABLE_54" localSheetId="1">Skatteberegning!#REF!</definedName>
    <definedName name="TABLE_55" localSheetId="1">Skatteberegning!#REF!</definedName>
    <definedName name="TABLE_56" localSheetId="1">Skatteberegning!$C$102:$C$102</definedName>
    <definedName name="TABLE_57" localSheetId="1">Skatteberegning!$C$103:$C$103</definedName>
    <definedName name="TABLE_58" localSheetId="1">Skatteberegning!$C$109:$C$109</definedName>
    <definedName name="TABLE_59" localSheetId="1">Skatteberegning!$C$110:$C$110</definedName>
    <definedName name="TABLE_6" localSheetId="1">Skatteberegning!$C$18:$C$18</definedName>
    <definedName name="TABLE_60" localSheetId="1">Skatteberegning!$C$112:$C$112</definedName>
    <definedName name="TABLE_61" localSheetId="1">Skatteberegning!$C$122:$C$122</definedName>
    <definedName name="TABLE_62" localSheetId="1">Skatteberegning!$C$20:$C$20</definedName>
    <definedName name="TABLE_63" localSheetId="1">Skatteberegning!$C$26:$C$26</definedName>
    <definedName name="TABLE_7" localSheetId="1">Skatteberegning!$C$22:$C$22</definedName>
    <definedName name="TABLE_8" localSheetId="1">Skatteberegning!$C$31:$C$31</definedName>
    <definedName name="TABLE_9" localSheetId="1">Skatteberegning!$C$32:$C$32</definedName>
    <definedName name="_xlnm.Print_Area" localSheetId="1">Skatteberegning!$A$1:$F$147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32" i="1"/>
  <c r="B2" i="2"/>
  <c r="F44" i="1"/>
  <c r="E44" i="1"/>
  <c r="E32" i="1"/>
  <c r="F50" i="1"/>
  <c r="B14" i="2"/>
  <c r="B4" i="2"/>
  <c r="F18" i="4"/>
  <c r="B32" i="4"/>
  <c r="A32" i="4"/>
  <c r="A33" i="4" s="1"/>
  <c r="B28" i="4"/>
  <c r="D19" i="4"/>
  <c r="F13" i="4"/>
  <c r="F14" i="4" s="1"/>
  <c r="F12" i="4"/>
  <c r="F11" i="4"/>
  <c r="B31" i="4" s="1"/>
  <c r="F5" i="4"/>
  <c r="H30" i="4" s="1"/>
  <c r="F15" i="4" l="1"/>
  <c r="F16" i="4"/>
  <c r="L30" i="4"/>
  <c r="C31" i="4"/>
  <c r="F31" i="4" s="1"/>
  <c r="B33" i="4"/>
  <c r="A34" i="4"/>
  <c r="D31" i="4" l="1"/>
  <c r="I31" i="4" s="1"/>
  <c r="B34" i="4"/>
  <c r="A35" i="4"/>
  <c r="J31" i="4"/>
  <c r="E31" i="4" l="1"/>
  <c r="M31" i="4" s="1"/>
  <c r="C32" i="4" s="1"/>
  <c r="D32" i="4" s="1"/>
  <c r="E32" i="4" s="1"/>
  <c r="M32" i="4" s="1"/>
  <c r="C33" i="4" s="1"/>
  <c r="B35" i="4"/>
  <c r="A36" i="4"/>
  <c r="F32" i="4" l="1"/>
  <c r="I32" i="4"/>
  <c r="K32" i="4" s="1"/>
  <c r="J32" i="4"/>
  <c r="G31" i="4"/>
  <c r="H31" i="4" s="1"/>
  <c r="K31" i="4"/>
  <c r="L31" i="4" s="1"/>
  <c r="B36" i="4"/>
  <c r="A37" i="4"/>
  <c r="G32" i="4"/>
  <c r="D33" i="4"/>
  <c r="F33" i="4"/>
  <c r="J33" i="4"/>
  <c r="I33" i="4"/>
  <c r="L32" i="4" l="1"/>
  <c r="H32" i="4"/>
  <c r="E33" i="4"/>
  <c r="M33" i="4" s="1"/>
  <c r="C34" i="4" s="1"/>
  <c r="A38" i="4"/>
  <c r="B37" i="4"/>
  <c r="D34" i="4" l="1"/>
  <c r="K33" i="4"/>
  <c r="L33" i="4" s="1"/>
  <c r="J34" i="4"/>
  <c r="F34" i="4"/>
  <c r="G33" i="4"/>
  <c r="H33" i="4" s="1"/>
  <c r="I34" i="4"/>
  <c r="B38" i="4"/>
  <c r="A39" i="4"/>
  <c r="E34" i="4" l="1"/>
  <c r="M34" i="4" s="1"/>
  <c r="C35" i="4" s="1"/>
  <c r="A40" i="4"/>
  <c r="B39" i="4"/>
  <c r="F35" i="4" l="1"/>
  <c r="D35" i="4"/>
  <c r="J35" i="4"/>
  <c r="I35" i="4"/>
  <c r="G34" i="4"/>
  <c r="H34" i="4" s="1"/>
  <c r="K34" i="4"/>
  <c r="L34" i="4" s="1"/>
  <c r="A41" i="4"/>
  <c r="B40" i="4"/>
  <c r="E35" i="4" l="1"/>
  <c r="M35" i="4" s="1"/>
  <c r="C36" i="4" s="1"/>
  <c r="B41" i="4"/>
  <c r="A42" i="4"/>
  <c r="K35" i="4" l="1"/>
  <c r="L35" i="4" s="1"/>
  <c r="F36" i="4"/>
  <c r="J36" i="4"/>
  <c r="D36" i="4"/>
  <c r="I36" i="4"/>
  <c r="G35" i="4"/>
  <c r="H35" i="4" s="1"/>
  <c r="A43" i="4"/>
  <c r="B42" i="4"/>
  <c r="E36" i="4" l="1"/>
  <c r="B43" i="4"/>
  <c r="A44" i="4"/>
  <c r="K36" i="4" l="1"/>
  <c r="L36" i="4" s="1"/>
  <c r="M36" i="4"/>
  <c r="C37" i="4" s="1"/>
  <c r="G36" i="4"/>
  <c r="H36" i="4" s="1"/>
  <c r="B44" i="4"/>
  <c r="A45" i="4"/>
  <c r="D37" i="4" l="1"/>
  <c r="I37" i="4"/>
  <c r="F37" i="4"/>
  <c r="J37" i="4"/>
  <c r="B45" i="4"/>
  <c r="A46" i="4"/>
  <c r="E37" i="4" l="1"/>
  <c r="M37" i="4" s="1"/>
  <c r="C38" i="4" s="1"/>
  <c r="B46" i="4"/>
  <c r="A47" i="4"/>
  <c r="J38" i="4" l="1"/>
  <c r="F38" i="4"/>
  <c r="I38" i="4"/>
  <c r="D38" i="4"/>
  <c r="G37" i="4"/>
  <c r="H37" i="4" s="1"/>
  <c r="K37" i="4"/>
  <c r="L37" i="4" s="1"/>
  <c r="A48" i="4"/>
  <c r="B47" i="4"/>
  <c r="E38" i="4" l="1"/>
  <c r="M38" i="4" s="1"/>
  <c r="C39" i="4" s="1"/>
  <c r="A49" i="4"/>
  <c r="B48" i="4"/>
  <c r="D39" i="4" l="1"/>
  <c r="F39" i="4"/>
  <c r="J39" i="4"/>
  <c r="I39" i="4"/>
  <c r="G38" i="4"/>
  <c r="H38" i="4" s="1"/>
  <c r="K38" i="4"/>
  <c r="L38" i="4" s="1"/>
  <c r="A50" i="4"/>
  <c r="B49" i="4"/>
  <c r="E39" i="4" l="1"/>
  <c r="M39" i="4" s="1"/>
  <c r="C40" i="4" s="1"/>
  <c r="A51" i="4"/>
  <c r="B50" i="4"/>
  <c r="G39" i="4" l="1"/>
  <c r="H39" i="4" s="1"/>
  <c r="D40" i="4"/>
  <c r="I40" i="4"/>
  <c r="F40" i="4"/>
  <c r="J40" i="4"/>
  <c r="K39" i="4"/>
  <c r="L39" i="4" s="1"/>
  <c r="B51" i="4"/>
  <c r="A52" i="4"/>
  <c r="E40" i="4" l="1"/>
  <c r="M40" i="4" s="1"/>
  <c r="C41" i="4" s="1"/>
  <c r="A53" i="4"/>
  <c r="B52" i="4"/>
  <c r="J41" i="4" l="1"/>
  <c r="I41" i="4"/>
  <c r="F41" i="4"/>
  <c r="D41" i="4"/>
  <c r="G40" i="4"/>
  <c r="H40" i="4" s="1"/>
  <c r="K40" i="4"/>
  <c r="L40" i="4" s="1"/>
  <c r="A54" i="4"/>
  <c r="B53" i="4"/>
  <c r="E41" i="4" l="1"/>
  <c r="M41" i="4" s="1"/>
  <c r="C42" i="4" s="1"/>
  <c r="B54" i="4"/>
  <c r="A55" i="4"/>
  <c r="K41" i="4" l="1"/>
  <c r="L41" i="4" s="1"/>
  <c r="I42" i="4"/>
  <c r="D42" i="4"/>
  <c r="F42" i="4"/>
  <c r="J42" i="4"/>
  <c r="G41" i="4"/>
  <c r="H41" i="4" s="1"/>
  <c r="A56" i="4"/>
  <c r="B55" i="4"/>
  <c r="E42" i="4" l="1"/>
  <c r="M42" i="4" s="1"/>
  <c r="C43" i="4" s="1"/>
  <c r="B56" i="4"/>
  <c r="A57" i="4"/>
  <c r="K42" i="4" l="1"/>
  <c r="L42" i="4" s="1"/>
  <c r="G42" i="4"/>
  <c r="H42" i="4" s="1"/>
  <c r="F43" i="4"/>
  <c r="I43" i="4"/>
  <c r="D43" i="4"/>
  <c r="J43" i="4"/>
  <c r="A58" i="4"/>
  <c r="B57" i="4"/>
  <c r="E43" i="4" l="1"/>
  <c r="M43" i="4" s="1"/>
  <c r="C44" i="4" s="1"/>
  <c r="A59" i="4"/>
  <c r="B58" i="4"/>
  <c r="K43" i="4" l="1"/>
  <c r="L43" i="4" s="1"/>
  <c r="G43" i="4"/>
  <c r="H43" i="4" s="1"/>
  <c r="I44" i="4"/>
  <c r="D44" i="4"/>
  <c r="J44" i="4"/>
  <c r="F44" i="4"/>
  <c r="B59" i="4"/>
  <c r="A60" i="4"/>
  <c r="E44" i="4" l="1"/>
  <c r="M44" i="4" s="1"/>
  <c r="C45" i="4" s="1"/>
  <c r="B60" i="4"/>
  <c r="A61" i="4"/>
  <c r="I45" i="4" l="1"/>
  <c r="D45" i="4"/>
  <c r="J45" i="4"/>
  <c r="F45" i="4"/>
  <c r="G44" i="4"/>
  <c r="H44" i="4" s="1"/>
  <c r="K44" i="4"/>
  <c r="L44" i="4" s="1"/>
  <c r="A62" i="4"/>
  <c r="B61" i="4"/>
  <c r="E45" i="4" l="1"/>
  <c r="M45" i="4" s="1"/>
  <c r="C46" i="4" s="1"/>
  <c r="A63" i="4"/>
  <c r="B62" i="4"/>
  <c r="K45" i="4" l="1"/>
  <c r="L45" i="4" s="1"/>
  <c r="J46" i="4"/>
  <c r="F46" i="4"/>
  <c r="D46" i="4"/>
  <c r="I46" i="4"/>
  <c r="G45" i="4"/>
  <c r="H45" i="4" s="1"/>
  <c r="A64" i="4"/>
  <c r="B63" i="4"/>
  <c r="E46" i="4" l="1"/>
  <c r="M46" i="4" s="1"/>
  <c r="C47" i="4" s="1"/>
  <c r="A65" i="4"/>
  <c r="B64" i="4"/>
  <c r="K46" i="4" l="1"/>
  <c r="L46" i="4" s="1"/>
  <c r="F47" i="4"/>
  <c r="D47" i="4"/>
  <c r="J47" i="4"/>
  <c r="I47" i="4"/>
  <c r="G46" i="4"/>
  <c r="H46" i="4" s="1"/>
  <c r="A66" i="4"/>
  <c r="B65" i="4"/>
  <c r="E47" i="4" l="1"/>
  <c r="M47" i="4" s="1"/>
  <c r="C48" i="4" s="1"/>
  <c r="A67" i="4"/>
  <c r="B66" i="4"/>
  <c r="K47" i="4" l="1"/>
  <c r="L47" i="4" s="1"/>
  <c r="G47" i="4"/>
  <c r="H47" i="4" s="1"/>
  <c r="I48" i="4"/>
  <c r="D48" i="4"/>
  <c r="J48" i="4"/>
  <c r="F48" i="4"/>
  <c r="B67" i="4"/>
  <c r="A68" i="4"/>
  <c r="E48" i="4" l="1"/>
  <c r="M48" i="4" s="1"/>
  <c r="C49" i="4" s="1"/>
  <c r="A69" i="4"/>
  <c r="B68" i="4"/>
  <c r="K48" i="4" l="1"/>
  <c r="L48" i="4" s="1"/>
  <c r="J49" i="4"/>
  <c r="I49" i="4"/>
  <c r="D49" i="4"/>
  <c r="F49" i="4"/>
  <c r="G48" i="4"/>
  <c r="H48" i="4" s="1"/>
  <c r="A70" i="4"/>
  <c r="B69" i="4"/>
  <c r="E49" i="4" l="1"/>
  <c r="M49" i="4" s="1"/>
  <c r="C50" i="4" s="1"/>
  <c r="B70" i="4"/>
  <c r="A71" i="4"/>
  <c r="K49" i="4" l="1"/>
  <c r="L49" i="4" s="1"/>
  <c r="J50" i="4"/>
  <c r="D50" i="4"/>
  <c r="I50" i="4"/>
  <c r="F50" i="4"/>
  <c r="G49" i="4"/>
  <c r="H49" i="4" s="1"/>
  <c r="A72" i="4"/>
  <c r="B71" i="4"/>
  <c r="E50" i="4" l="1"/>
  <c r="M50" i="4" s="1"/>
  <c r="C51" i="4" s="1"/>
  <c r="B72" i="4"/>
  <c r="A73" i="4"/>
  <c r="G50" i="4" l="1"/>
  <c r="H50" i="4" s="1"/>
  <c r="B8" i="2" s="1"/>
  <c r="J51" i="4"/>
  <c r="D51" i="4"/>
  <c r="F51" i="4"/>
  <c r="I51" i="4"/>
  <c r="K50" i="4"/>
  <c r="L50" i="4" s="1"/>
  <c r="A74" i="4"/>
  <c r="B73" i="4"/>
  <c r="E51" i="4" l="1"/>
  <c r="M51" i="4" s="1"/>
  <c r="C52" i="4" s="1"/>
  <c r="A75" i="4"/>
  <c r="B74" i="4"/>
  <c r="I52" i="4" l="1"/>
  <c r="F52" i="4"/>
  <c r="J52" i="4"/>
  <c r="D52" i="4"/>
  <c r="G51" i="4"/>
  <c r="H51" i="4" s="1"/>
  <c r="K51" i="4"/>
  <c r="L51" i="4" s="1"/>
  <c r="B75" i="4"/>
  <c r="A76" i="4"/>
  <c r="E52" i="4" l="1"/>
  <c r="M52" i="4" s="1"/>
  <c r="C53" i="4" s="1"/>
  <c r="A77" i="4"/>
  <c r="B76" i="4"/>
  <c r="K52" i="4" l="1"/>
  <c r="L52" i="4" s="1"/>
  <c r="D53" i="4"/>
  <c r="I53" i="4"/>
  <c r="F53" i="4"/>
  <c r="J53" i="4"/>
  <c r="G52" i="4"/>
  <c r="H52" i="4" s="1"/>
  <c r="A78" i="4"/>
  <c r="B77" i="4"/>
  <c r="E53" i="4" l="1"/>
  <c r="M53" i="4" s="1"/>
  <c r="C54" i="4" s="1"/>
  <c r="B78" i="4"/>
  <c r="A79" i="4"/>
  <c r="G53" i="4" l="1"/>
  <c r="H53" i="4" s="1"/>
  <c r="F54" i="4"/>
  <c r="D54" i="4"/>
  <c r="J54" i="4"/>
  <c r="I54" i="4"/>
  <c r="K53" i="4"/>
  <c r="L53" i="4" s="1"/>
  <c r="A80" i="4"/>
  <c r="B79" i="4"/>
  <c r="E54" i="4" l="1"/>
  <c r="M54" i="4" s="1"/>
  <c r="C55" i="4" s="1"/>
  <c r="B80" i="4"/>
  <c r="A81" i="4"/>
  <c r="D55" i="4" l="1"/>
  <c r="I55" i="4"/>
  <c r="J55" i="4"/>
  <c r="F55" i="4"/>
  <c r="G54" i="4"/>
  <c r="H54" i="4" s="1"/>
  <c r="K54" i="4"/>
  <c r="L54" i="4" s="1"/>
  <c r="A82" i="4"/>
  <c r="B81" i="4"/>
  <c r="E55" i="4" l="1"/>
  <c r="M55" i="4" s="1"/>
  <c r="C56" i="4" s="1"/>
  <c r="A83" i="4"/>
  <c r="B82" i="4"/>
  <c r="J56" i="4" l="1"/>
  <c r="F56" i="4"/>
  <c r="I56" i="4"/>
  <c r="D56" i="4"/>
  <c r="G55" i="4"/>
  <c r="H55" i="4" s="1"/>
  <c r="K55" i="4"/>
  <c r="L55" i="4" s="1"/>
  <c r="B83" i="4"/>
  <c r="A84" i="4"/>
  <c r="E56" i="4" l="1"/>
  <c r="M56" i="4" s="1"/>
  <c r="C57" i="4" s="1"/>
  <c r="A85" i="4"/>
  <c r="B84" i="4"/>
  <c r="I57" i="4" l="1"/>
  <c r="J57" i="4"/>
  <c r="D57" i="4"/>
  <c r="F57" i="4"/>
  <c r="G56" i="4"/>
  <c r="H56" i="4" s="1"/>
  <c r="K56" i="4"/>
  <c r="L56" i="4" s="1"/>
  <c r="A86" i="4"/>
  <c r="B85" i="4"/>
  <c r="E57" i="4" l="1"/>
  <c r="M57" i="4" s="1"/>
  <c r="C58" i="4" s="1"/>
  <c r="B86" i="4"/>
  <c r="A87" i="4"/>
  <c r="K57" i="4" l="1"/>
  <c r="L57" i="4" s="1"/>
  <c r="I58" i="4"/>
  <c r="J58" i="4"/>
  <c r="D58" i="4"/>
  <c r="F58" i="4"/>
  <c r="G57" i="4"/>
  <c r="H57" i="4" s="1"/>
  <c r="A88" i="4"/>
  <c r="B87" i="4"/>
  <c r="E58" i="4" l="1"/>
  <c r="M58" i="4" s="1"/>
  <c r="C59" i="4" s="1"/>
  <c r="B88" i="4"/>
  <c r="A89" i="4"/>
  <c r="F59" i="4" l="1"/>
  <c r="D59" i="4"/>
  <c r="J59" i="4"/>
  <c r="I59" i="4"/>
  <c r="K58" i="4"/>
  <c r="L58" i="4" s="1"/>
  <c r="G58" i="4"/>
  <c r="H58" i="4" s="1"/>
  <c r="A90" i="4"/>
  <c r="B89" i="4"/>
  <c r="E59" i="4" l="1"/>
  <c r="M59" i="4" s="1"/>
  <c r="C60" i="4" s="1"/>
  <c r="A91" i="4"/>
  <c r="B90" i="4"/>
  <c r="D60" i="4" l="1"/>
  <c r="J60" i="4"/>
  <c r="I60" i="4"/>
  <c r="F60" i="4"/>
  <c r="G59" i="4"/>
  <c r="H59" i="4" s="1"/>
  <c r="K59" i="4"/>
  <c r="L59" i="4" s="1"/>
  <c r="B91" i="4"/>
  <c r="A92" i="4"/>
  <c r="E60" i="4" l="1"/>
  <c r="M60" i="4" s="1"/>
  <c r="C61" i="4" s="1"/>
  <c r="A93" i="4"/>
  <c r="B92" i="4"/>
  <c r="D61" i="4" l="1"/>
  <c r="F61" i="4"/>
  <c r="I61" i="4"/>
  <c r="J61" i="4"/>
  <c r="G60" i="4"/>
  <c r="H60" i="4" s="1"/>
  <c r="K60" i="4"/>
  <c r="L60" i="4" s="1"/>
  <c r="A94" i="4"/>
  <c r="B93" i="4"/>
  <c r="E61" i="4" l="1"/>
  <c r="M61" i="4" s="1"/>
  <c r="C62" i="4" s="1"/>
  <c r="A95" i="4"/>
  <c r="B94" i="4"/>
  <c r="G61" i="4" l="1"/>
  <c r="H61" i="4" s="1"/>
  <c r="J62" i="4"/>
  <c r="I62" i="4"/>
  <c r="D62" i="4"/>
  <c r="F62" i="4"/>
  <c r="K61" i="4"/>
  <c r="L61" i="4" s="1"/>
  <c r="A96" i="4"/>
  <c r="B95" i="4"/>
  <c r="E62" i="4" l="1"/>
  <c r="M62" i="4" s="1"/>
  <c r="C63" i="4" s="1"/>
  <c r="A97" i="4"/>
  <c r="B96" i="4"/>
  <c r="K62" i="4" l="1"/>
  <c r="L62" i="4" s="1"/>
  <c r="D63" i="4"/>
  <c r="I63" i="4"/>
  <c r="J63" i="4"/>
  <c r="F63" i="4"/>
  <c r="G62" i="4"/>
  <c r="H62" i="4" s="1"/>
  <c r="B97" i="4"/>
  <c r="A98" i="4"/>
  <c r="E63" i="4" l="1"/>
  <c r="M63" i="4" s="1"/>
  <c r="C64" i="4" s="1"/>
  <c r="A99" i="4"/>
  <c r="B98" i="4"/>
  <c r="G63" i="4" l="1"/>
  <c r="H63" i="4" s="1"/>
  <c r="I64" i="4"/>
  <c r="J64" i="4"/>
  <c r="D64" i="4"/>
  <c r="F64" i="4"/>
  <c r="K63" i="4"/>
  <c r="L63" i="4" s="1"/>
  <c r="B99" i="4"/>
  <c r="A100" i="4"/>
  <c r="E64" i="4" l="1"/>
  <c r="M64" i="4" s="1"/>
  <c r="C65" i="4" s="1"/>
  <c r="B100" i="4"/>
  <c r="A101" i="4"/>
  <c r="K64" i="4" l="1"/>
  <c r="L64" i="4" s="1"/>
  <c r="J65" i="4"/>
  <c r="F65" i="4"/>
  <c r="I65" i="4"/>
  <c r="D65" i="4"/>
  <c r="G64" i="4"/>
  <c r="H64" i="4" s="1"/>
  <c r="A102" i="4"/>
  <c r="B101" i="4"/>
  <c r="E65" i="4" l="1"/>
  <c r="M65" i="4" s="1"/>
  <c r="C66" i="4" s="1"/>
  <c r="B102" i="4"/>
  <c r="A103" i="4"/>
  <c r="G65" i="4" l="1"/>
  <c r="H65" i="4" s="1"/>
  <c r="J66" i="4"/>
  <c r="I66" i="4"/>
  <c r="D66" i="4"/>
  <c r="F66" i="4"/>
  <c r="K65" i="4"/>
  <c r="L65" i="4" s="1"/>
  <c r="A104" i="4"/>
  <c r="B103" i="4"/>
  <c r="E66" i="4" l="1"/>
  <c r="M66" i="4" s="1"/>
  <c r="C67" i="4" s="1"/>
  <c r="A105" i="4"/>
  <c r="B104" i="4"/>
  <c r="K66" i="4" l="1"/>
  <c r="L66" i="4" s="1"/>
  <c r="G66" i="4"/>
  <c r="H66" i="4" s="1"/>
  <c r="J67" i="4"/>
  <c r="F67" i="4"/>
  <c r="I67" i="4"/>
  <c r="D67" i="4"/>
  <c r="B105" i="4"/>
  <c r="A106" i="4"/>
  <c r="E67" i="4" l="1"/>
  <c r="M67" i="4" s="1"/>
  <c r="C68" i="4" s="1"/>
  <c r="A107" i="4"/>
  <c r="B106" i="4"/>
  <c r="F68" i="4" l="1"/>
  <c r="D68" i="4"/>
  <c r="J68" i="4"/>
  <c r="I68" i="4"/>
  <c r="G67" i="4"/>
  <c r="H67" i="4" s="1"/>
  <c r="K67" i="4"/>
  <c r="L67" i="4" s="1"/>
  <c r="B107" i="4"/>
  <c r="A108" i="4"/>
  <c r="E68" i="4" l="1"/>
  <c r="M68" i="4" s="1"/>
  <c r="C69" i="4" s="1"/>
  <c r="B108" i="4"/>
  <c r="A109" i="4"/>
  <c r="J69" i="4" l="1"/>
  <c r="D69" i="4"/>
  <c r="F69" i="4"/>
  <c r="I69" i="4"/>
  <c r="G68" i="4"/>
  <c r="H68" i="4" s="1"/>
  <c r="K68" i="4"/>
  <c r="L68" i="4" s="1"/>
  <c r="A110" i="4"/>
  <c r="B109" i="4"/>
  <c r="E69" i="4" l="1"/>
  <c r="M69" i="4" s="1"/>
  <c r="C70" i="4" s="1"/>
  <c r="B110" i="4"/>
  <c r="A111" i="4"/>
  <c r="K69" i="4" l="1"/>
  <c r="L69" i="4" s="1"/>
  <c r="G69" i="4"/>
  <c r="H69" i="4" s="1"/>
  <c r="D70" i="4"/>
  <c r="J70" i="4"/>
  <c r="I70" i="4"/>
  <c r="F70" i="4"/>
  <c r="A112" i="4"/>
  <c r="B111" i="4"/>
  <c r="E70" i="4" l="1"/>
  <c r="M70" i="4" s="1"/>
  <c r="C71" i="4" s="1"/>
  <c r="A113" i="4"/>
  <c r="B112" i="4"/>
  <c r="K70" i="4" l="1"/>
  <c r="L70" i="4" s="1"/>
  <c r="F71" i="4"/>
  <c r="I71" i="4"/>
  <c r="J71" i="4"/>
  <c r="D71" i="4"/>
  <c r="G70" i="4"/>
  <c r="H70" i="4" s="1"/>
  <c r="B113" i="4"/>
  <c r="A114" i="4"/>
  <c r="E71" i="4" l="1"/>
  <c r="G71" i="4" s="1"/>
  <c r="H71" i="4" s="1"/>
  <c r="A115" i="4"/>
  <c r="B114" i="4"/>
  <c r="K71" i="4" l="1"/>
  <c r="L71" i="4" s="1"/>
  <c r="M71" i="4"/>
  <c r="C72" i="4" s="1"/>
  <c r="B115" i="4"/>
  <c r="A116" i="4"/>
  <c r="J72" i="4" l="1"/>
  <c r="D72" i="4"/>
  <c r="F72" i="4"/>
  <c r="I72" i="4"/>
  <c r="B116" i="4"/>
  <c r="A117" i="4"/>
  <c r="E72" i="4" l="1"/>
  <c r="G72" i="4" s="1"/>
  <c r="H72" i="4" s="1"/>
  <c r="A118" i="4"/>
  <c r="B117" i="4"/>
  <c r="K72" i="4" l="1"/>
  <c r="L72" i="4" s="1"/>
  <c r="M72" i="4"/>
  <c r="C73" i="4" s="1"/>
  <c r="B118" i="4"/>
  <c r="A119" i="4"/>
  <c r="J73" i="4" l="1"/>
  <c r="F73" i="4"/>
  <c r="D73" i="4"/>
  <c r="I73" i="4"/>
  <c r="A120" i="4"/>
  <c r="B119" i="4"/>
  <c r="E73" i="4" l="1"/>
  <c r="G73" i="4" s="1"/>
  <c r="H73" i="4" s="1"/>
  <c r="A121" i="4"/>
  <c r="B120" i="4"/>
  <c r="K73" i="4" l="1"/>
  <c r="L73" i="4" s="1"/>
  <c r="M73" i="4"/>
  <c r="C74" i="4" s="1"/>
  <c r="B121" i="4"/>
  <c r="A122" i="4"/>
  <c r="I74" i="4" l="1"/>
  <c r="J74" i="4"/>
  <c r="F74" i="4"/>
  <c r="D74" i="4"/>
  <c r="E74" i="4" s="1"/>
  <c r="A123" i="4"/>
  <c r="B122" i="4"/>
  <c r="G74" i="4" l="1"/>
  <c r="H74" i="4" s="1"/>
  <c r="K74" i="4"/>
  <c r="L74" i="4" s="1"/>
  <c r="M74" i="4"/>
  <c r="C75" i="4" s="1"/>
  <c r="B123" i="4"/>
  <c r="A124" i="4"/>
  <c r="F75" i="4" l="1"/>
  <c r="J75" i="4"/>
  <c r="I75" i="4"/>
  <c r="D75" i="4"/>
  <c r="B124" i="4"/>
  <c r="A125" i="4"/>
  <c r="E75" i="4" l="1"/>
  <c r="G75" i="4" s="1"/>
  <c r="H75" i="4" s="1"/>
  <c r="A126" i="4"/>
  <c r="B125" i="4"/>
  <c r="K75" i="4" l="1"/>
  <c r="L75" i="4" s="1"/>
  <c r="M75" i="4"/>
  <c r="C76" i="4" s="1"/>
  <c r="B126" i="4"/>
  <c r="A127" i="4"/>
  <c r="J76" i="4" l="1"/>
  <c r="F76" i="4"/>
  <c r="I76" i="4"/>
  <c r="D76" i="4"/>
  <c r="E76" i="4" s="1"/>
  <c r="A128" i="4"/>
  <c r="B127" i="4"/>
  <c r="G76" i="4" l="1"/>
  <c r="H76" i="4" s="1"/>
  <c r="K76" i="4"/>
  <c r="L76" i="4" s="1"/>
  <c r="M76" i="4"/>
  <c r="C77" i="4" s="1"/>
  <c r="A129" i="4"/>
  <c r="B128" i="4"/>
  <c r="D77" i="4" l="1"/>
  <c r="E77" i="4" s="1"/>
  <c r="M77" i="4" s="1"/>
  <c r="C78" i="4" s="1"/>
  <c r="F77" i="4"/>
  <c r="I77" i="4"/>
  <c r="J77" i="4"/>
  <c r="B129" i="4"/>
  <c r="A130" i="4"/>
  <c r="I78" i="4" l="1"/>
  <c r="J78" i="4"/>
  <c r="F78" i="4"/>
  <c r="D78" i="4"/>
  <c r="G77" i="4"/>
  <c r="H77" i="4" s="1"/>
  <c r="K77" i="4"/>
  <c r="L77" i="4" s="1"/>
  <c r="A131" i="4"/>
  <c r="B130" i="4"/>
  <c r="E78" i="4" l="1"/>
  <c r="B131" i="4"/>
  <c r="A132" i="4"/>
  <c r="K78" i="4" l="1"/>
  <c r="L78" i="4" s="1"/>
  <c r="M78" i="4"/>
  <c r="C79" i="4" s="1"/>
  <c r="G78" i="4"/>
  <c r="H78" i="4" s="1"/>
  <c r="B132" i="4"/>
  <c r="A133" i="4"/>
  <c r="J79" i="4" l="1"/>
  <c r="D79" i="4"/>
  <c r="I79" i="4"/>
  <c r="F79" i="4"/>
  <c r="A134" i="4"/>
  <c r="B133" i="4"/>
  <c r="E79" i="4" l="1"/>
  <c r="G79" i="4" s="1"/>
  <c r="H79" i="4" s="1"/>
  <c r="B134" i="4"/>
  <c r="A135" i="4"/>
  <c r="K79" i="4" l="1"/>
  <c r="L79" i="4" s="1"/>
  <c r="M79" i="4"/>
  <c r="C80" i="4" s="1"/>
  <c r="A136" i="4"/>
  <c r="B135" i="4"/>
  <c r="I80" i="4" l="1"/>
  <c r="J80" i="4"/>
  <c r="D80" i="4"/>
  <c r="F80" i="4"/>
  <c r="A137" i="4"/>
  <c r="B136" i="4"/>
  <c r="E80" i="4" l="1"/>
  <c r="B137" i="4"/>
  <c r="A138" i="4"/>
  <c r="K80" i="4" l="1"/>
  <c r="L80" i="4" s="1"/>
  <c r="M80" i="4"/>
  <c r="C81" i="4" s="1"/>
  <c r="G80" i="4"/>
  <c r="H80" i="4" s="1"/>
  <c r="A139" i="4"/>
  <c r="B138" i="4"/>
  <c r="F81" i="4" l="1"/>
  <c r="I81" i="4"/>
  <c r="D81" i="4"/>
  <c r="J81" i="4"/>
  <c r="B139" i="4"/>
  <c r="A140" i="4"/>
  <c r="E81" i="4" l="1"/>
  <c r="G81" i="4" s="1"/>
  <c r="H81" i="4" s="1"/>
  <c r="B140" i="4"/>
  <c r="A141" i="4"/>
  <c r="K81" i="4" l="1"/>
  <c r="L81" i="4" s="1"/>
  <c r="M81" i="4"/>
  <c r="C82" i="4" s="1"/>
  <c r="A142" i="4"/>
  <c r="B141" i="4"/>
  <c r="J82" i="4" l="1"/>
  <c r="D82" i="4"/>
  <c r="I82" i="4"/>
  <c r="F82" i="4"/>
  <c r="B142" i="4"/>
  <c r="A143" i="4"/>
  <c r="E82" i="4" l="1"/>
  <c r="G82" i="4" s="1"/>
  <c r="H82" i="4" s="1"/>
  <c r="A144" i="4"/>
  <c r="B143" i="4"/>
  <c r="K82" i="4" l="1"/>
  <c r="L82" i="4" s="1"/>
  <c r="M82" i="4"/>
  <c r="C83" i="4" s="1"/>
  <c r="A145" i="4"/>
  <c r="B144" i="4"/>
  <c r="I83" i="4" l="1"/>
  <c r="J83" i="4"/>
  <c r="D83" i="4"/>
  <c r="E83" i="4" s="1"/>
  <c r="F83" i="4"/>
  <c r="B145" i="4"/>
  <c r="A146" i="4"/>
  <c r="G83" i="4" l="1"/>
  <c r="H83" i="4" s="1"/>
  <c r="K83" i="4"/>
  <c r="L83" i="4" s="1"/>
  <c r="M83" i="4"/>
  <c r="C84" i="4" s="1"/>
  <c r="A147" i="4"/>
  <c r="B146" i="4"/>
  <c r="J84" i="4" l="1"/>
  <c r="I84" i="4"/>
  <c r="F84" i="4"/>
  <c r="D84" i="4"/>
  <c r="E84" i="4" s="1"/>
  <c r="B147" i="4"/>
  <c r="A148" i="4"/>
  <c r="G84" i="4" l="1"/>
  <c r="H84" i="4" s="1"/>
  <c r="K84" i="4"/>
  <c r="L84" i="4" s="1"/>
  <c r="M84" i="4"/>
  <c r="C85" i="4" s="1"/>
  <c r="A149" i="4"/>
  <c r="B148" i="4"/>
  <c r="D85" i="4" l="1"/>
  <c r="J85" i="4"/>
  <c r="F85" i="4"/>
  <c r="I85" i="4"/>
  <c r="A150" i="4"/>
  <c r="B149" i="4"/>
  <c r="E85" i="4" l="1"/>
  <c r="B150" i="4"/>
  <c r="A151" i="4"/>
  <c r="K85" i="4" l="1"/>
  <c r="L85" i="4" s="1"/>
  <c r="M85" i="4"/>
  <c r="C86" i="4" s="1"/>
  <c r="G85" i="4"/>
  <c r="H85" i="4" s="1"/>
  <c r="B151" i="4"/>
  <c r="A152" i="4"/>
  <c r="J86" i="4" l="1"/>
  <c r="D86" i="4"/>
  <c r="F86" i="4"/>
  <c r="I86" i="4"/>
  <c r="A153" i="4"/>
  <c r="B152" i="4"/>
  <c r="E86" i="4" l="1"/>
  <c r="G86" i="4" s="1"/>
  <c r="H86" i="4" s="1"/>
  <c r="H152" i="4"/>
  <c r="G152" i="4"/>
  <c r="F152" i="4"/>
  <c r="D152" i="4"/>
  <c r="M152" i="4"/>
  <c r="C153" i="4" s="1"/>
  <c r="L152" i="4"/>
  <c r="K152" i="4"/>
  <c r="E152" i="4"/>
  <c r="J152" i="4"/>
  <c r="I152" i="4"/>
  <c r="B153" i="4"/>
  <c r="A154" i="4"/>
  <c r="K86" i="4" l="1"/>
  <c r="L86" i="4" s="1"/>
  <c r="M86" i="4"/>
  <c r="C87" i="4" s="1"/>
  <c r="A155" i="4"/>
  <c r="B154" i="4"/>
  <c r="K153" i="4"/>
  <c r="J153" i="4"/>
  <c r="I153" i="4"/>
  <c r="E153" i="4"/>
  <c r="D153" i="4"/>
  <c r="M153" i="4"/>
  <c r="C154" i="4" s="1"/>
  <c r="L153" i="4"/>
  <c r="F153" i="4"/>
  <c r="H153" i="4"/>
  <c r="G153" i="4"/>
  <c r="I87" i="4" l="1"/>
  <c r="F87" i="4"/>
  <c r="J87" i="4"/>
  <c r="D87" i="4"/>
  <c r="E87" i="4" s="1"/>
  <c r="M87" i="4" s="1"/>
  <c r="C88" i="4" s="1"/>
  <c r="F154" i="4"/>
  <c r="M154" i="4"/>
  <c r="C155" i="4" s="1"/>
  <c r="E154" i="4"/>
  <c r="L154" i="4"/>
  <c r="D154" i="4"/>
  <c r="K154" i="4"/>
  <c r="J154" i="4"/>
  <c r="I154" i="4"/>
  <c r="H154" i="4"/>
  <c r="G154" i="4"/>
  <c r="A156" i="4"/>
  <c r="B155" i="4"/>
  <c r="G87" i="4" l="1"/>
  <c r="H87" i="4" s="1"/>
  <c r="K87" i="4"/>
  <c r="L87" i="4" s="1"/>
  <c r="J88" i="4"/>
  <c r="D88" i="4"/>
  <c r="I88" i="4"/>
  <c r="F88" i="4"/>
  <c r="B156" i="4"/>
  <c r="A157" i="4"/>
  <c r="I155" i="4"/>
  <c r="H155" i="4"/>
  <c r="G155" i="4"/>
  <c r="D155" i="4"/>
  <c r="M155" i="4"/>
  <c r="C156" i="4" s="1"/>
  <c r="L155" i="4"/>
  <c r="K155" i="4"/>
  <c r="E155" i="4"/>
  <c r="J155" i="4"/>
  <c r="F155" i="4"/>
  <c r="E88" i="4" l="1"/>
  <c r="G88" i="4" s="1"/>
  <c r="H88" i="4" s="1"/>
  <c r="A158" i="4"/>
  <c r="B157" i="4"/>
  <c r="L156" i="4"/>
  <c r="D156" i="4"/>
  <c r="K156" i="4"/>
  <c r="J156" i="4"/>
  <c r="E156" i="4"/>
  <c r="M156" i="4"/>
  <c r="C157" i="4" s="1"/>
  <c r="I156" i="4"/>
  <c r="H156" i="4"/>
  <c r="G156" i="4"/>
  <c r="F156" i="4"/>
  <c r="K88" i="4" l="1"/>
  <c r="L88" i="4" s="1"/>
  <c r="M88" i="4"/>
  <c r="C89" i="4" s="1"/>
  <c r="G157" i="4"/>
  <c r="F157" i="4"/>
  <c r="M157" i="4"/>
  <c r="C158" i="4" s="1"/>
  <c r="E157" i="4"/>
  <c r="L157" i="4"/>
  <c r="K157" i="4"/>
  <c r="J157" i="4"/>
  <c r="H157" i="4"/>
  <c r="D157" i="4"/>
  <c r="I157" i="4"/>
  <c r="B158" i="4"/>
  <c r="A159" i="4"/>
  <c r="I89" i="4" l="1"/>
  <c r="J89" i="4"/>
  <c r="F89" i="4"/>
  <c r="D89" i="4"/>
  <c r="J158" i="4"/>
  <c r="I158" i="4"/>
  <c r="H158" i="4"/>
  <c r="D158" i="4"/>
  <c r="M158" i="4"/>
  <c r="C159" i="4" s="1"/>
  <c r="L158" i="4"/>
  <c r="K158" i="4"/>
  <c r="E158" i="4"/>
  <c r="F158" i="4"/>
  <c r="G158" i="4"/>
  <c r="B159" i="4"/>
  <c r="A160" i="4"/>
  <c r="E89" i="4" l="1"/>
  <c r="G89" i="4" s="1"/>
  <c r="H89" i="4" s="1"/>
  <c r="A161" i="4"/>
  <c r="B160" i="4"/>
  <c r="M159" i="4"/>
  <c r="C160" i="4" s="1"/>
  <c r="E159" i="4"/>
  <c r="L159" i="4"/>
  <c r="D159" i="4"/>
  <c r="K159" i="4"/>
  <c r="J159" i="4"/>
  <c r="I159" i="4"/>
  <c r="H159" i="4"/>
  <c r="G159" i="4"/>
  <c r="F159" i="4"/>
  <c r="K89" i="4" l="1"/>
  <c r="L89" i="4" s="1"/>
  <c r="M89" i="4"/>
  <c r="C90" i="4" s="1"/>
  <c r="H160" i="4"/>
  <c r="G160" i="4"/>
  <c r="F160" i="4"/>
  <c r="M160" i="4"/>
  <c r="C161" i="4" s="1"/>
  <c r="L160" i="4"/>
  <c r="K160" i="4"/>
  <c r="J160" i="4"/>
  <c r="D160" i="4"/>
  <c r="I160" i="4"/>
  <c r="E160" i="4"/>
  <c r="B161" i="4"/>
  <c r="A162" i="4"/>
  <c r="F90" i="4" l="1"/>
  <c r="I90" i="4"/>
  <c r="J90" i="4"/>
  <c r="D90" i="4"/>
  <c r="K161" i="4"/>
  <c r="J161" i="4"/>
  <c r="I161" i="4"/>
  <c r="D161" i="4"/>
  <c r="M161" i="4"/>
  <c r="C162" i="4" s="1"/>
  <c r="L161" i="4"/>
  <c r="H161" i="4"/>
  <c r="E161" i="4"/>
  <c r="G161" i="4"/>
  <c r="F161" i="4"/>
  <c r="A163" i="4"/>
  <c r="B162" i="4"/>
  <c r="E90" i="4" l="1"/>
  <c r="G90" i="4" s="1"/>
  <c r="H90" i="4" s="1"/>
  <c r="F162" i="4"/>
  <c r="M162" i="4"/>
  <c r="C163" i="4" s="1"/>
  <c r="E162" i="4"/>
  <c r="L162" i="4"/>
  <c r="D162" i="4"/>
  <c r="K162" i="4"/>
  <c r="J162" i="4"/>
  <c r="I162" i="4"/>
  <c r="H162" i="4"/>
  <c r="G162" i="4"/>
  <c r="A164" i="4"/>
  <c r="B163" i="4"/>
  <c r="K90" i="4" l="1"/>
  <c r="L90" i="4" s="1"/>
  <c r="M90" i="4"/>
  <c r="C91" i="4" s="1"/>
  <c r="B164" i="4"/>
  <c r="A165" i="4"/>
  <c r="I163" i="4"/>
  <c r="H163" i="4"/>
  <c r="G163" i="4"/>
  <c r="M163" i="4"/>
  <c r="C164" i="4" s="1"/>
  <c r="L163" i="4"/>
  <c r="K163" i="4"/>
  <c r="J163" i="4"/>
  <c r="D163" i="4"/>
  <c r="F163" i="4"/>
  <c r="E163" i="4"/>
  <c r="F91" i="4" l="1"/>
  <c r="I91" i="4"/>
  <c r="J91" i="4"/>
  <c r="D91" i="4"/>
  <c r="A166" i="4"/>
  <c r="B165" i="4"/>
  <c r="L164" i="4"/>
  <c r="D164" i="4"/>
  <c r="K164" i="4"/>
  <c r="J164" i="4"/>
  <c r="M164" i="4"/>
  <c r="C165" i="4" s="1"/>
  <c r="I164" i="4"/>
  <c r="H164" i="4"/>
  <c r="G164" i="4"/>
  <c r="F164" i="4"/>
  <c r="E164" i="4"/>
  <c r="E91" i="4" l="1"/>
  <c r="G91" i="4" s="1"/>
  <c r="H91" i="4" s="1"/>
  <c r="B166" i="4"/>
  <c r="A167" i="4"/>
  <c r="G165" i="4"/>
  <c r="F165" i="4"/>
  <c r="M165" i="4"/>
  <c r="C166" i="4" s="1"/>
  <c r="E165" i="4"/>
  <c r="L165" i="4"/>
  <c r="K165" i="4"/>
  <c r="J165" i="4"/>
  <c r="I165" i="4"/>
  <c r="D165" i="4"/>
  <c r="H165" i="4"/>
  <c r="K91" i="4" l="1"/>
  <c r="L91" i="4" s="1"/>
  <c r="M91" i="4"/>
  <c r="C92" i="4" s="1"/>
  <c r="A168" i="4"/>
  <c r="B167" i="4"/>
  <c r="J166" i="4"/>
  <c r="I166" i="4"/>
  <c r="H166" i="4"/>
  <c r="M166" i="4"/>
  <c r="C167" i="4" s="1"/>
  <c r="L166" i="4"/>
  <c r="K166" i="4"/>
  <c r="G166" i="4"/>
  <c r="D166" i="4"/>
  <c r="E166" i="4"/>
  <c r="F166" i="4"/>
  <c r="D92" i="4" l="1"/>
  <c r="E92" i="4" s="1"/>
  <c r="M92" i="4" s="1"/>
  <c r="C93" i="4" s="1"/>
  <c r="F92" i="4"/>
  <c r="I92" i="4"/>
  <c r="J92" i="4"/>
  <c r="A169" i="4"/>
  <c r="B168" i="4"/>
  <c r="M167" i="4"/>
  <c r="C168" i="4" s="1"/>
  <c r="E167" i="4"/>
  <c r="L167" i="4"/>
  <c r="D167" i="4"/>
  <c r="K167" i="4"/>
  <c r="J167" i="4"/>
  <c r="I167" i="4"/>
  <c r="H167" i="4"/>
  <c r="G167" i="4"/>
  <c r="F167" i="4"/>
  <c r="J93" i="4" l="1"/>
  <c r="I93" i="4"/>
  <c r="F93" i="4"/>
  <c r="D93" i="4"/>
  <c r="E93" i="4" s="1"/>
  <c r="M93" i="4" s="1"/>
  <c r="C94" i="4" s="1"/>
  <c r="G92" i="4"/>
  <c r="H92" i="4" s="1"/>
  <c r="K92" i="4"/>
  <c r="L92" i="4" s="1"/>
  <c r="H168" i="4"/>
  <c r="G168" i="4"/>
  <c r="F168" i="4"/>
  <c r="M168" i="4"/>
  <c r="C169" i="4" s="1"/>
  <c r="L168" i="4"/>
  <c r="K168" i="4"/>
  <c r="J168" i="4"/>
  <c r="I168" i="4"/>
  <c r="E168" i="4"/>
  <c r="D168" i="4"/>
  <c r="B169" i="4"/>
  <c r="A170" i="4"/>
  <c r="F94" i="4" l="1"/>
  <c r="I94" i="4"/>
  <c r="D94" i="4"/>
  <c r="E94" i="4" s="1"/>
  <c r="M94" i="4" s="1"/>
  <c r="C95" i="4" s="1"/>
  <c r="J94" i="4"/>
  <c r="G93" i="4"/>
  <c r="H93" i="4" s="1"/>
  <c r="K93" i="4"/>
  <c r="L93" i="4" s="1"/>
  <c r="A171" i="4"/>
  <c r="B170" i="4"/>
  <c r="K169" i="4"/>
  <c r="J169" i="4"/>
  <c r="I169" i="4"/>
  <c r="M169" i="4"/>
  <c r="C170" i="4" s="1"/>
  <c r="L169" i="4"/>
  <c r="H169" i="4"/>
  <c r="G169" i="4"/>
  <c r="D169" i="4"/>
  <c r="F169" i="4"/>
  <c r="E169" i="4"/>
  <c r="F95" i="4" l="1"/>
  <c r="I95" i="4"/>
  <c r="J95" i="4"/>
  <c r="D95" i="4"/>
  <c r="E95" i="4" s="1"/>
  <c r="M95" i="4" s="1"/>
  <c r="C96" i="4" s="1"/>
  <c r="G94" i="4"/>
  <c r="H94" i="4" s="1"/>
  <c r="K94" i="4"/>
  <c r="L94" i="4" s="1"/>
  <c r="F170" i="4"/>
  <c r="M170" i="4"/>
  <c r="C171" i="4" s="1"/>
  <c r="E170" i="4"/>
  <c r="L170" i="4"/>
  <c r="D170" i="4"/>
  <c r="K170" i="4"/>
  <c r="J170" i="4"/>
  <c r="I170" i="4"/>
  <c r="H170" i="4"/>
  <c r="G170" i="4"/>
  <c r="B171" i="4"/>
  <c r="A172" i="4"/>
  <c r="J96" i="4" l="1"/>
  <c r="D96" i="4"/>
  <c r="F96" i="4"/>
  <c r="I96" i="4"/>
  <c r="G95" i="4"/>
  <c r="H95" i="4" s="1"/>
  <c r="K95" i="4"/>
  <c r="L95" i="4" s="1"/>
  <c r="B172" i="4"/>
  <c r="A173" i="4"/>
  <c r="I171" i="4"/>
  <c r="H171" i="4"/>
  <c r="G171" i="4"/>
  <c r="M171" i="4"/>
  <c r="C172" i="4" s="1"/>
  <c r="L171" i="4"/>
  <c r="K171" i="4"/>
  <c r="J171" i="4"/>
  <c r="F171" i="4"/>
  <c r="D171" i="4"/>
  <c r="E171" i="4"/>
  <c r="E96" i="4" l="1"/>
  <c r="G96" i="4" s="1"/>
  <c r="H96" i="4" s="1"/>
  <c r="A174" i="4"/>
  <c r="B173" i="4"/>
  <c r="L172" i="4"/>
  <c r="D172" i="4"/>
  <c r="K172" i="4"/>
  <c r="J172" i="4"/>
  <c r="M172" i="4"/>
  <c r="C173" i="4" s="1"/>
  <c r="I172" i="4"/>
  <c r="H172" i="4"/>
  <c r="G172" i="4"/>
  <c r="F172" i="4"/>
  <c r="E172" i="4"/>
  <c r="K96" i="4" l="1"/>
  <c r="L96" i="4" s="1"/>
  <c r="M96" i="4"/>
  <c r="C97" i="4" s="1"/>
  <c r="B174" i="4"/>
  <c r="A175" i="4"/>
  <c r="G173" i="4"/>
  <c r="F173" i="4"/>
  <c r="M173" i="4"/>
  <c r="C174" i="4" s="1"/>
  <c r="E173" i="4"/>
  <c r="L173" i="4"/>
  <c r="K173" i="4"/>
  <c r="J173" i="4"/>
  <c r="I173" i="4"/>
  <c r="H173" i="4"/>
  <c r="D173" i="4"/>
  <c r="D97" i="4" l="1"/>
  <c r="J97" i="4"/>
  <c r="I97" i="4"/>
  <c r="F97" i="4"/>
  <c r="A176" i="4"/>
  <c r="B175" i="4"/>
  <c r="J174" i="4"/>
  <c r="I174" i="4"/>
  <c r="H174" i="4"/>
  <c r="M174" i="4"/>
  <c r="C175" i="4" s="1"/>
  <c r="L174" i="4"/>
  <c r="K174" i="4"/>
  <c r="G174" i="4"/>
  <c r="F174" i="4"/>
  <c r="D174" i="4"/>
  <c r="E174" i="4"/>
  <c r="E97" i="4" l="1"/>
  <c r="G97" i="4" s="1"/>
  <c r="H97" i="4" s="1"/>
  <c r="M175" i="4"/>
  <c r="C176" i="4" s="1"/>
  <c r="E175" i="4"/>
  <c r="L175" i="4"/>
  <c r="D175" i="4"/>
  <c r="K175" i="4"/>
  <c r="J175" i="4"/>
  <c r="I175" i="4"/>
  <c r="H175" i="4"/>
  <c r="G175" i="4"/>
  <c r="F175" i="4"/>
  <c r="A177" i="4"/>
  <c r="B176" i="4"/>
  <c r="K97" i="4" l="1"/>
  <c r="L97" i="4" s="1"/>
  <c r="M97" i="4"/>
  <c r="C98" i="4" s="1"/>
  <c r="B177" i="4"/>
  <c r="A178" i="4"/>
  <c r="H176" i="4"/>
  <c r="G176" i="4"/>
  <c r="F176" i="4"/>
  <c r="L176" i="4"/>
  <c r="K176" i="4"/>
  <c r="J176" i="4"/>
  <c r="I176" i="4"/>
  <c r="E176" i="4"/>
  <c r="D176" i="4"/>
  <c r="M176" i="4"/>
  <c r="C177" i="4" s="1"/>
  <c r="I98" i="4" l="1"/>
  <c r="F98" i="4"/>
  <c r="J98" i="4"/>
  <c r="D98" i="4"/>
  <c r="A179" i="4"/>
  <c r="B178" i="4"/>
  <c r="K177" i="4"/>
  <c r="J177" i="4"/>
  <c r="I177" i="4"/>
  <c r="M177" i="4"/>
  <c r="C178" i="4" s="1"/>
  <c r="L177" i="4"/>
  <c r="H177" i="4"/>
  <c r="G177" i="4"/>
  <c r="F177" i="4"/>
  <c r="E177" i="4"/>
  <c r="D177" i="4"/>
  <c r="E98" i="4" l="1"/>
  <c r="G98" i="4" s="1"/>
  <c r="H98" i="4" s="1"/>
  <c r="B179" i="4"/>
  <c r="A180" i="4"/>
  <c r="F178" i="4"/>
  <c r="M178" i="4"/>
  <c r="C179" i="4" s="1"/>
  <c r="E178" i="4"/>
  <c r="L178" i="4"/>
  <c r="D178" i="4"/>
  <c r="K178" i="4"/>
  <c r="J178" i="4"/>
  <c r="I178" i="4"/>
  <c r="H178" i="4"/>
  <c r="G178" i="4"/>
  <c r="K98" i="4" l="1"/>
  <c r="L98" i="4" s="1"/>
  <c r="M98" i="4"/>
  <c r="C99" i="4" s="1"/>
  <c r="B180" i="4"/>
  <c r="A181" i="4"/>
  <c r="I179" i="4"/>
  <c r="H179" i="4"/>
  <c r="G179" i="4"/>
  <c r="L179" i="4"/>
  <c r="K179" i="4"/>
  <c r="J179" i="4"/>
  <c r="F179" i="4"/>
  <c r="E179" i="4"/>
  <c r="D179" i="4"/>
  <c r="M179" i="4"/>
  <c r="C180" i="4" s="1"/>
  <c r="J99" i="4" l="1"/>
  <c r="F99" i="4"/>
  <c r="I99" i="4"/>
  <c r="D99" i="4"/>
  <c r="E99" i="4" s="1"/>
  <c r="L180" i="4"/>
  <c r="D180" i="4"/>
  <c r="K180" i="4"/>
  <c r="J180" i="4"/>
  <c r="M180" i="4"/>
  <c r="C181" i="4" s="1"/>
  <c r="I180" i="4"/>
  <c r="H180" i="4"/>
  <c r="G180" i="4"/>
  <c r="F180" i="4"/>
  <c r="E180" i="4"/>
  <c r="A182" i="4"/>
  <c r="B181" i="4"/>
  <c r="G99" i="4" l="1"/>
  <c r="H99" i="4" s="1"/>
  <c r="K99" i="4"/>
  <c r="L99" i="4" s="1"/>
  <c r="M99" i="4"/>
  <c r="C100" i="4" s="1"/>
  <c r="B182" i="4"/>
  <c r="A183" i="4"/>
  <c r="G181" i="4"/>
  <c r="F181" i="4"/>
  <c r="M181" i="4"/>
  <c r="C182" i="4" s="1"/>
  <c r="E181" i="4"/>
  <c r="K181" i="4"/>
  <c r="J181" i="4"/>
  <c r="I181" i="4"/>
  <c r="H181" i="4"/>
  <c r="D181" i="4"/>
  <c r="L181" i="4"/>
  <c r="J100" i="4" l="1"/>
  <c r="I100" i="4"/>
  <c r="F100" i="4"/>
  <c r="D100" i="4"/>
  <c r="A184" i="4"/>
  <c r="B183" i="4"/>
  <c r="J182" i="4"/>
  <c r="I182" i="4"/>
  <c r="H182" i="4"/>
  <c r="L182" i="4"/>
  <c r="K182" i="4"/>
  <c r="G182" i="4"/>
  <c r="F182" i="4"/>
  <c r="E182" i="4"/>
  <c r="M182" i="4"/>
  <c r="C183" i="4" s="1"/>
  <c r="D182" i="4"/>
  <c r="E100" i="4" l="1"/>
  <c r="M183" i="4"/>
  <c r="C184" i="4" s="1"/>
  <c r="E183" i="4"/>
  <c r="L183" i="4"/>
  <c r="D183" i="4"/>
  <c r="K183" i="4"/>
  <c r="J183" i="4"/>
  <c r="I183" i="4"/>
  <c r="H183" i="4"/>
  <c r="G183" i="4"/>
  <c r="F183" i="4"/>
  <c r="A185" i="4"/>
  <c r="B184" i="4"/>
  <c r="K100" i="4" l="1"/>
  <c r="L100" i="4" s="1"/>
  <c r="M100" i="4"/>
  <c r="C101" i="4" s="1"/>
  <c r="G100" i="4"/>
  <c r="H100" i="4" s="1"/>
  <c r="H184" i="4"/>
  <c r="G184" i="4"/>
  <c r="F184" i="4"/>
  <c r="K184" i="4"/>
  <c r="J184" i="4"/>
  <c r="I184" i="4"/>
  <c r="E184" i="4"/>
  <c r="D184" i="4"/>
  <c r="L184" i="4"/>
  <c r="M184" i="4"/>
  <c r="C185" i="4" s="1"/>
  <c r="B185" i="4"/>
  <c r="A186" i="4"/>
  <c r="I101" i="4" l="1"/>
  <c r="F101" i="4"/>
  <c r="J101" i="4"/>
  <c r="D101" i="4"/>
  <c r="A187" i="4"/>
  <c r="B186" i="4"/>
  <c r="K185" i="4"/>
  <c r="J185" i="4"/>
  <c r="I185" i="4"/>
  <c r="L185" i="4"/>
  <c r="H185" i="4"/>
  <c r="G185" i="4"/>
  <c r="F185" i="4"/>
  <c r="E185" i="4"/>
  <c r="M185" i="4"/>
  <c r="C186" i="4" s="1"/>
  <c r="D185" i="4"/>
  <c r="E101" i="4" l="1"/>
  <c r="F186" i="4"/>
  <c r="M186" i="4"/>
  <c r="C187" i="4" s="1"/>
  <c r="E186" i="4"/>
  <c r="L186" i="4"/>
  <c r="D186" i="4"/>
  <c r="J186" i="4"/>
  <c r="I186" i="4"/>
  <c r="H186" i="4"/>
  <c r="G186" i="4"/>
  <c r="K186" i="4"/>
  <c r="A188" i="4"/>
  <c r="B187" i="4"/>
  <c r="K101" i="4" l="1"/>
  <c r="L101" i="4" s="1"/>
  <c r="M101" i="4"/>
  <c r="C102" i="4" s="1"/>
  <c r="G101" i="4"/>
  <c r="H101" i="4" s="1"/>
  <c r="I187" i="4"/>
  <c r="H187" i="4"/>
  <c r="G187" i="4"/>
  <c r="K187" i="4"/>
  <c r="J187" i="4"/>
  <c r="F187" i="4"/>
  <c r="E187" i="4"/>
  <c r="D187" i="4"/>
  <c r="M187" i="4"/>
  <c r="C188" i="4" s="1"/>
  <c r="L187" i="4"/>
  <c r="B188" i="4"/>
  <c r="A189" i="4"/>
  <c r="I102" i="4" l="1"/>
  <c r="F102" i="4"/>
  <c r="D102" i="4"/>
  <c r="J102" i="4"/>
  <c r="L188" i="4"/>
  <c r="D188" i="4"/>
  <c r="K188" i="4"/>
  <c r="J188" i="4"/>
  <c r="I188" i="4"/>
  <c r="H188" i="4"/>
  <c r="G188" i="4"/>
  <c r="F188" i="4"/>
  <c r="E188" i="4"/>
  <c r="M188" i="4"/>
  <c r="C189" i="4" s="1"/>
  <c r="A190" i="4"/>
  <c r="B189" i="4"/>
  <c r="E102" i="4" l="1"/>
  <c r="G102" i="4"/>
  <c r="H102" i="4" s="1"/>
  <c r="G189" i="4"/>
  <c r="F189" i="4"/>
  <c r="M189" i="4"/>
  <c r="C190" i="4" s="1"/>
  <c r="E189" i="4"/>
  <c r="J189" i="4"/>
  <c r="I189" i="4"/>
  <c r="H189" i="4"/>
  <c r="D189" i="4"/>
  <c r="K189" i="4"/>
  <c r="L189" i="4"/>
  <c r="B190" i="4"/>
  <c r="A191" i="4"/>
  <c r="K102" i="4" l="1"/>
  <c r="L102" i="4" s="1"/>
  <c r="M102" i="4"/>
  <c r="C103" i="4" s="1"/>
  <c r="B191" i="4"/>
  <c r="A192" i="4"/>
  <c r="J190" i="4"/>
  <c r="I190" i="4"/>
  <c r="H190" i="4"/>
  <c r="K190" i="4"/>
  <c r="G190" i="4"/>
  <c r="F190" i="4"/>
  <c r="E190" i="4"/>
  <c r="D190" i="4"/>
  <c r="M190" i="4"/>
  <c r="C191" i="4" s="1"/>
  <c r="L190" i="4"/>
  <c r="F103" i="4" l="1"/>
  <c r="J103" i="4"/>
  <c r="D103" i="4"/>
  <c r="I103" i="4"/>
  <c r="M191" i="4"/>
  <c r="C192" i="4" s="1"/>
  <c r="E191" i="4"/>
  <c r="L191" i="4"/>
  <c r="D191" i="4"/>
  <c r="K191" i="4"/>
  <c r="I191" i="4"/>
  <c r="H191" i="4"/>
  <c r="G191" i="4"/>
  <c r="F191" i="4"/>
  <c r="J191" i="4"/>
  <c r="A193" i="4"/>
  <c r="B192" i="4"/>
  <c r="E103" i="4" l="1"/>
  <c r="B193" i="4"/>
  <c r="A194" i="4"/>
  <c r="H192" i="4"/>
  <c r="G192" i="4"/>
  <c r="F192" i="4"/>
  <c r="J192" i="4"/>
  <c r="I192" i="4"/>
  <c r="E192" i="4"/>
  <c r="D192" i="4"/>
  <c r="K192" i="4"/>
  <c r="M192" i="4"/>
  <c r="C193" i="4" s="1"/>
  <c r="L192" i="4"/>
  <c r="K103" i="4" l="1"/>
  <c r="L103" i="4" s="1"/>
  <c r="M103" i="4"/>
  <c r="C104" i="4" s="1"/>
  <c r="G103" i="4"/>
  <c r="H103" i="4" s="1"/>
  <c r="A195" i="4"/>
  <c r="B194" i="4"/>
  <c r="K193" i="4"/>
  <c r="J193" i="4"/>
  <c r="I193" i="4"/>
  <c r="H193" i="4"/>
  <c r="G193" i="4"/>
  <c r="F193" i="4"/>
  <c r="E193" i="4"/>
  <c r="D193" i="4"/>
  <c r="M193" i="4"/>
  <c r="C194" i="4" s="1"/>
  <c r="L193" i="4"/>
  <c r="J104" i="4" l="1"/>
  <c r="D104" i="4"/>
  <c r="F104" i="4"/>
  <c r="I104" i="4"/>
  <c r="A196" i="4"/>
  <c r="B195" i="4"/>
  <c r="F194" i="4"/>
  <c r="M194" i="4"/>
  <c r="C195" i="4" s="1"/>
  <c r="E194" i="4"/>
  <c r="L194" i="4"/>
  <c r="D194" i="4"/>
  <c r="I194" i="4"/>
  <c r="H194" i="4"/>
  <c r="G194" i="4"/>
  <c r="J194" i="4"/>
  <c r="K194" i="4"/>
  <c r="E104" i="4" l="1"/>
  <c r="G104" i="4" s="1"/>
  <c r="H104" i="4" s="1"/>
  <c r="I195" i="4"/>
  <c r="H195" i="4"/>
  <c r="G195" i="4"/>
  <c r="J195" i="4"/>
  <c r="F195" i="4"/>
  <c r="E195" i="4"/>
  <c r="D195" i="4"/>
  <c r="M195" i="4"/>
  <c r="C196" i="4" s="1"/>
  <c r="L195" i="4"/>
  <c r="K195" i="4"/>
  <c r="B196" i="4"/>
  <c r="A197" i="4"/>
  <c r="K104" i="4" l="1"/>
  <c r="L104" i="4" s="1"/>
  <c r="M104" i="4"/>
  <c r="C105" i="4" s="1"/>
  <c r="L196" i="4"/>
  <c r="D196" i="4"/>
  <c r="K196" i="4"/>
  <c r="J196" i="4"/>
  <c r="H196" i="4"/>
  <c r="G196" i="4"/>
  <c r="F196" i="4"/>
  <c r="E196" i="4"/>
  <c r="M196" i="4"/>
  <c r="C197" i="4" s="1"/>
  <c r="I196" i="4"/>
  <c r="A198" i="4"/>
  <c r="B197" i="4"/>
  <c r="F105" i="4" l="1"/>
  <c r="D105" i="4"/>
  <c r="E105" i="4" s="1"/>
  <c r="M105" i="4" s="1"/>
  <c r="C106" i="4" s="1"/>
  <c r="J105" i="4"/>
  <c r="I105" i="4"/>
  <c r="B198" i="4"/>
  <c r="A199" i="4"/>
  <c r="G197" i="4"/>
  <c r="F197" i="4"/>
  <c r="M197" i="4"/>
  <c r="C198" i="4" s="1"/>
  <c r="E197" i="4"/>
  <c r="I197" i="4"/>
  <c r="H197" i="4"/>
  <c r="D197" i="4"/>
  <c r="K197" i="4"/>
  <c r="J197" i="4"/>
  <c r="L197" i="4"/>
  <c r="I106" i="4" l="1"/>
  <c r="D106" i="4"/>
  <c r="E106" i="4" s="1"/>
  <c r="M106" i="4" s="1"/>
  <c r="C107" i="4" s="1"/>
  <c r="J106" i="4"/>
  <c r="F106" i="4"/>
  <c r="G105" i="4"/>
  <c r="H105" i="4" s="1"/>
  <c r="K105" i="4"/>
  <c r="L105" i="4" s="1"/>
  <c r="B199" i="4"/>
  <c r="A200" i="4"/>
  <c r="J198" i="4"/>
  <c r="I198" i="4"/>
  <c r="H198" i="4"/>
  <c r="G198" i="4"/>
  <c r="F198" i="4"/>
  <c r="E198" i="4"/>
  <c r="D198" i="4"/>
  <c r="M198" i="4"/>
  <c r="C199" i="4" s="1"/>
  <c r="L198" i="4"/>
  <c r="K198" i="4"/>
  <c r="G106" i="4" l="1"/>
  <c r="H106" i="4" s="1"/>
  <c r="K106" i="4"/>
  <c r="L106" i="4" s="1"/>
  <c r="F107" i="4"/>
  <c r="J107" i="4"/>
  <c r="D107" i="4"/>
  <c r="I107" i="4"/>
  <c r="M199" i="4"/>
  <c r="C200" i="4" s="1"/>
  <c r="E199" i="4"/>
  <c r="L199" i="4"/>
  <c r="D199" i="4"/>
  <c r="K199" i="4"/>
  <c r="H199" i="4"/>
  <c r="G199" i="4"/>
  <c r="F199" i="4"/>
  <c r="I199" i="4"/>
  <c r="J199" i="4"/>
  <c r="A201" i="4"/>
  <c r="B200" i="4"/>
  <c r="E107" i="4" l="1"/>
  <c r="G107" i="4" s="1"/>
  <c r="H107" i="4" s="1"/>
  <c r="B201" i="4"/>
  <c r="A202" i="4"/>
  <c r="H200" i="4"/>
  <c r="G200" i="4"/>
  <c r="F200" i="4"/>
  <c r="I200" i="4"/>
  <c r="E200" i="4"/>
  <c r="D200" i="4"/>
  <c r="M200" i="4"/>
  <c r="C201" i="4" s="1"/>
  <c r="J200" i="4"/>
  <c r="L200" i="4"/>
  <c r="K200" i="4"/>
  <c r="K107" i="4" l="1"/>
  <c r="L107" i="4" s="1"/>
  <c r="M107" i="4"/>
  <c r="C108" i="4" s="1"/>
  <c r="A203" i="4"/>
  <c r="B202" i="4"/>
  <c r="K201" i="4"/>
  <c r="J201" i="4"/>
  <c r="I201" i="4"/>
  <c r="G201" i="4"/>
  <c r="F201" i="4"/>
  <c r="E201" i="4"/>
  <c r="D201" i="4"/>
  <c r="M201" i="4"/>
  <c r="C202" i="4" s="1"/>
  <c r="L201" i="4"/>
  <c r="H201" i="4"/>
  <c r="D108" i="4" l="1"/>
  <c r="E108" i="4" s="1"/>
  <c r="M108" i="4" s="1"/>
  <c r="C109" i="4" s="1"/>
  <c r="J108" i="4"/>
  <c r="F108" i="4"/>
  <c r="I108" i="4"/>
  <c r="F202" i="4"/>
  <c r="M202" i="4"/>
  <c r="C203" i="4" s="1"/>
  <c r="E202" i="4"/>
  <c r="L202" i="4"/>
  <c r="D202" i="4"/>
  <c r="H202" i="4"/>
  <c r="G202" i="4"/>
  <c r="K202" i="4"/>
  <c r="J202" i="4"/>
  <c r="I202" i="4"/>
  <c r="A204" i="4"/>
  <c r="B203" i="4"/>
  <c r="I109" i="4" l="1"/>
  <c r="J109" i="4"/>
  <c r="D109" i="4"/>
  <c r="E109" i="4" s="1"/>
  <c r="M109" i="4" s="1"/>
  <c r="C110" i="4" s="1"/>
  <c r="F109" i="4"/>
  <c r="G108" i="4"/>
  <c r="H108" i="4" s="1"/>
  <c r="K108" i="4"/>
  <c r="L108" i="4" s="1"/>
  <c r="B204" i="4"/>
  <c r="A205" i="4"/>
  <c r="I203" i="4"/>
  <c r="H203" i="4"/>
  <c r="G203" i="4"/>
  <c r="F203" i="4"/>
  <c r="E203" i="4"/>
  <c r="D203" i="4"/>
  <c r="M203" i="4"/>
  <c r="C204" i="4" s="1"/>
  <c r="L203" i="4"/>
  <c r="K203" i="4"/>
  <c r="J203" i="4"/>
  <c r="J110" i="4" l="1"/>
  <c r="D110" i="4"/>
  <c r="E110" i="4" s="1"/>
  <c r="F110" i="4"/>
  <c r="I110" i="4"/>
  <c r="M110" i="4"/>
  <c r="C111" i="4" s="1"/>
  <c r="G109" i="4"/>
  <c r="H109" i="4" s="1"/>
  <c r="K109" i="4"/>
  <c r="L109" i="4" s="1"/>
  <c r="A206" i="4"/>
  <c r="B205" i="4"/>
  <c r="L204" i="4"/>
  <c r="D204" i="4"/>
  <c r="K204" i="4"/>
  <c r="J204" i="4"/>
  <c r="G204" i="4"/>
  <c r="F204" i="4"/>
  <c r="E204" i="4"/>
  <c r="I204" i="4"/>
  <c r="M204" i="4"/>
  <c r="C205" i="4" s="1"/>
  <c r="H204" i="4"/>
  <c r="J111" i="4" l="1"/>
  <c r="I111" i="4"/>
  <c r="D111" i="4"/>
  <c r="E111" i="4" s="1"/>
  <c r="M111" i="4" s="1"/>
  <c r="C112" i="4" s="1"/>
  <c r="F111" i="4"/>
  <c r="G110" i="4"/>
  <c r="H110" i="4" s="1"/>
  <c r="K110" i="4"/>
  <c r="L110" i="4" s="1"/>
  <c r="B206" i="4"/>
  <c r="A207" i="4"/>
  <c r="G205" i="4"/>
  <c r="F205" i="4"/>
  <c r="M205" i="4"/>
  <c r="C206" i="4" s="1"/>
  <c r="E205" i="4"/>
  <c r="H205" i="4"/>
  <c r="D205" i="4"/>
  <c r="L205" i="4"/>
  <c r="I205" i="4"/>
  <c r="J205" i="4"/>
  <c r="K205" i="4"/>
  <c r="G111" i="4" l="1"/>
  <c r="H111" i="4" s="1"/>
  <c r="K111" i="4"/>
  <c r="L111" i="4" s="1"/>
  <c r="D112" i="4"/>
  <c r="I112" i="4"/>
  <c r="F112" i="4"/>
  <c r="J112" i="4"/>
  <c r="A208" i="4"/>
  <c r="B207" i="4"/>
  <c r="L206" i="4"/>
  <c r="D206" i="4"/>
  <c r="K206" i="4"/>
  <c r="J206" i="4"/>
  <c r="I206" i="4"/>
  <c r="H206" i="4"/>
  <c r="M206" i="4"/>
  <c r="C207" i="4" s="1"/>
  <c r="G206" i="4"/>
  <c r="F206" i="4"/>
  <c r="E206" i="4"/>
  <c r="E112" i="4" l="1"/>
  <c r="G112" i="4" s="1"/>
  <c r="H112" i="4" s="1"/>
  <c r="G207" i="4"/>
  <c r="F207" i="4"/>
  <c r="M207" i="4"/>
  <c r="C208" i="4" s="1"/>
  <c r="E207" i="4"/>
  <c r="L207" i="4"/>
  <c r="D207" i="4"/>
  <c r="K207" i="4"/>
  <c r="J207" i="4"/>
  <c r="I207" i="4"/>
  <c r="H207" i="4"/>
  <c r="B208" i="4"/>
  <c r="A209" i="4"/>
  <c r="K112" i="4" l="1"/>
  <c r="L112" i="4" s="1"/>
  <c r="M112" i="4"/>
  <c r="C113" i="4" s="1"/>
  <c r="J208" i="4"/>
  <c r="I208" i="4"/>
  <c r="H208" i="4"/>
  <c r="G208" i="4"/>
  <c r="F208" i="4"/>
  <c r="E208" i="4"/>
  <c r="D208" i="4"/>
  <c r="K208" i="4"/>
  <c r="M208" i="4"/>
  <c r="C209" i="4" s="1"/>
  <c r="L208" i="4"/>
  <c r="B209" i="4"/>
  <c r="A210" i="4"/>
  <c r="F113" i="4" l="1"/>
  <c r="I113" i="4"/>
  <c r="J113" i="4"/>
  <c r="D113" i="4"/>
  <c r="E113" i="4" s="1"/>
  <c r="M209" i="4"/>
  <c r="C210" i="4" s="1"/>
  <c r="E209" i="4"/>
  <c r="L209" i="4"/>
  <c r="D209" i="4"/>
  <c r="K209" i="4"/>
  <c r="J209" i="4"/>
  <c r="I209" i="4"/>
  <c r="H209" i="4"/>
  <c r="G209" i="4"/>
  <c r="F209" i="4"/>
  <c r="A211" i="4"/>
  <c r="B210" i="4"/>
  <c r="G113" i="4" l="1"/>
  <c r="H113" i="4" s="1"/>
  <c r="K113" i="4"/>
  <c r="L113" i="4" s="1"/>
  <c r="M113" i="4"/>
  <c r="C114" i="4" s="1"/>
  <c r="B211" i="4"/>
  <c r="A212" i="4"/>
  <c r="H210" i="4"/>
  <c r="G210" i="4"/>
  <c r="F210" i="4"/>
  <c r="M210" i="4"/>
  <c r="C211" i="4" s="1"/>
  <c r="E210" i="4"/>
  <c r="L210" i="4"/>
  <c r="D210" i="4"/>
  <c r="K210" i="4"/>
  <c r="J210" i="4"/>
  <c r="I210" i="4"/>
  <c r="F114" i="4" l="1"/>
  <c r="I114" i="4"/>
  <c r="J114" i="4"/>
  <c r="D114" i="4"/>
  <c r="A213" i="4"/>
  <c r="B212" i="4"/>
  <c r="K211" i="4"/>
  <c r="J211" i="4"/>
  <c r="I211" i="4"/>
  <c r="H211" i="4"/>
  <c r="G211" i="4"/>
  <c r="L211" i="4"/>
  <c r="F211" i="4"/>
  <c r="E211" i="4"/>
  <c r="D211" i="4"/>
  <c r="M211" i="4"/>
  <c r="C212" i="4" s="1"/>
  <c r="E114" i="4" l="1"/>
  <c r="G114" i="4" s="1"/>
  <c r="H114" i="4" s="1"/>
  <c r="F212" i="4"/>
  <c r="M212" i="4"/>
  <c r="C213" i="4" s="1"/>
  <c r="E212" i="4"/>
  <c r="L212" i="4"/>
  <c r="D212" i="4"/>
  <c r="K212" i="4"/>
  <c r="J212" i="4"/>
  <c r="I212" i="4"/>
  <c r="H212" i="4"/>
  <c r="G212" i="4"/>
  <c r="A214" i="4"/>
  <c r="B213" i="4"/>
  <c r="K114" i="4" l="1"/>
  <c r="L114" i="4" s="1"/>
  <c r="M114" i="4"/>
  <c r="C115" i="4" s="1"/>
  <c r="I213" i="4"/>
  <c r="H213" i="4"/>
  <c r="G213" i="4"/>
  <c r="F213" i="4"/>
  <c r="M213" i="4"/>
  <c r="C214" i="4" s="1"/>
  <c r="E213" i="4"/>
  <c r="D213" i="4"/>
  <c r="J213" i="4"/>
  <c r="K213" i="4"/>
  <c r="L213" i="4"/>
  <c r="B214" i="4"/>
  <c r="A215" i="4"/>
  <c r="J115" i="4" l="1"/>
  <c r="D115" i="4"/>
  <c r="E115" i="4" s="1"/>
  <c r="I115" i="4"/>
  <c r="F115" i="4"/>
  <c r="M115" i="4"/>
  <c r="C116" i="4" s="1"/>
  <c r="A216" i="4"/>
  <c r="B215" i="4"/>
  <c r="L214" i="4"/>
  <c r="D214" i="4"/>
  <c r="K214" i="4"/>
  <c r="J214" i="4"/>
  <c r="I214" i="4"/>
  <c r="H214" i="4"/>
  <c r="M214" i="4"/>
  <c r="C215" i="4" s="1"/>
  <c r="G214" i="4"/>
  <c r="F214" i="4"/>
  <c r="E214" i="4"/>
  <c r="F116" i="4" l="1"/>
  <c r="D116" i="4"/>
  <c r="I116" i="4"/>
  <c r="J116" i="4"/>
  <c r="G115" i="4"/>
  <c r="H115" i="4" s="1"/>
  <c r="K115" i="4"/>
  <c r="L115" i="4" s="1"/>
  <c r="G215" i="4"/>
  <c r="F215" i="4"/>
  <c r="M215" i="4"/>
  <c r="C216" i="4" s="1"/>
  <c r="E215" i="4"/>
  <c r="L215" i="4"/>
  <c r="D215" i="4"/>
  <c r="K215" i="4"/>
  <c r="J215" i="4"/>
  <c r="I215" i="4"/>
  <c r="H215" i="4"/>
  <c r="B216" i="4"/>
  <c r="A217" i="4"/>
  <c r="E116" i="4" l="1"/>
  <c r="G116" i="4" s="1"/>
  <c r="H116" i="4" s="1"/>
  <c r="B217" i="4"/>
  <c r="A218" i="4"/>
  <c r="J216" i="4"/>
  <c r="I216" i="4"/>
  <c r="H216" i="4"/>
  <c r="G216" i="4"/>
  <c r="F216" i="4"/>
  <c r="K216" i="4"/>
  <c r="E216" i="4"/>
  <c r="D216" i="4"/>
  <c r="M216" i="4"/>
  <c r="C217" i="4" s="1"/>
  <c r="L216" i="4"/>
  <c r="K116" i="4" l="1"/>
  <c r="L116" i="4" s="1"/>
  <c r="M116" i="4"/>
  <c r="C117" i="4" s="1"/>
  <c r="A219" i="4"/>
  <c r="B218" i="4"/>
  <c r="M217" i="4"/>
  <c r="C218" i="4" s="1"/>
  <c r="E217" i="4"/>
  <c r="L217" i="4"/>
  <c r="D217" i="4"/>
  <c r="K217" i="4"/>
  <c r="J217" i="4"/>
  <c r="I217" i="4"/>
  <c r="H217" i="4"/>
  <c r="G217" i="4"/>
  <c r="F217" i="4"/>
  <c r="I117" i="4" l="1"/>
  <c r="F117" i="4"/>
  <c r="D117" i="4"/>
  <c r="J117" i="4"/>
  <c r="H218" i="4"/>
  <c r="G218" i="4"/>
  <c r="F218" i="4"/>
  <c r="M218" i="4"/>
  <c r="C219" i="4" s="1"/>
  <c r="E218" i="4"/>
  <c r="L218" i="4"/>
  <c r="D218" i="4"/>
  <c r="J218" i="4"/>
  <c r="I218" i="4"/>
  <c r="K218" i="4"/>
  <c r="A220" i="4"/>
  <c r="B219" i="4"/>
  <c r="E117" i="4" l="1"/>
  <c r="G219" i="4"/>
  <c r="F219" i="4"/>
  <c r="M219" i="4"/>
  <c r="C220" i="4" s="1"/>
  <c r="L219" i="4"/>
  <c r="K219" i="4"/>
  <c r="J219" i="4"/>
  <c r="I219" i="4"/>
  <c r="H219" i="4"/>
  <c r="E219" i="4"/>
  <c r="D219" i="4"/>
  <c r="B220" i="4"/>
  <c r="A221" i="4"/>
  <c r="K117" i="4" l="1"/>
  <c r="L117" i="4" s="1"/>
  <c r="M117" i="4"/>
  <c r="C118" i="4" s="1"/>
  <c r="G117" i="4"/>
  <c r="H117" i="4" s="1"/>
  <c r="A222" i="4"/>
  <c r="B221" i="4"/>
  <c r="J220" i="4"/>
  <c r="I220" i="4"/>
  <c r="M220" i="4"/>
  <c r="C221" i="4" s="1"/>
  <c r="L220" i="4"/>
  <c r="K220" i="4"/>
  <c r="H220" i="4"/>
  <c r="G220" i="4"/>
  <c r="F220" i="4"/>
  <c r="D220" i="4"/>
  <c r="E220" i="4"/>
  <c r="J118" i="4" l="1"/>
  <c r="I118" i="4"/>
  <c r="D118" i="4"/>
  <c r="F118" i="4"/>
  <c r="M221" i="4"/>
  <c r="C222" i="4" s="1"/>
  <c r="E221" i="4"/>
  <c r="L221" i="4"/>
  <c r="D221" i="4"/>
  <c r="H221" i="4"/>
  <c r="K221" i="4"/>
  <c r="J221" i="4"/>
  <c r="I221" i="4"/>
  <c r="G221" i="4"/>
  <c r="F221" i="4"/>
  <c r="B222" i="4"/>
  <c r="A223" i="4"/>
  <c r="E118" i="4" l="1"/>
  <c r="G118" i="4"/>
  <c r="H118" i="4" s="1"/>
  <c r="B223" i="4"/>
  <c r="A224" i="4"/>
  <c r="H222" i="4"/>
  <c r="G222" i="4"/>
  <c r="K222" i="4"/>
  <c r="L222" i="4"/>
  <c r="J222" i="4"/>
  <c r="I222" i="4"/>
  <c r="F222" i="4"/>
  <c r="E222" i="4"/>
  <c r="M222" i="4"/>
  <c r="C223" i="4" s="1"/>
  <c r="D222" i="4"/>
  <c r="K118" i="4" l="1"/>
  <c r="L118" i="4" s="1"/>
  <c r="M118" i="4"/>
  <c r="C119" i="4" s="1"/>
  <c r="A225" i="4"/>
  <c r="B224" i="4"/>
  <c r="K223" i="4"/>
  <c r="J223" i="4"/>
  <c r="F223" i="4"/>
  <c r="L223" i="4"/>
  <c r="I223" i="4"/>
  <c r="H223" i="4"/>
  <c r="G223" i="4"/>
  <c r="E223" i="4"/>
  <c r="D223" i="4"/>
  <c r="M223" i="4"/>
  <c r="C224" i="4" s="1"/>
  <c r="J119" i="4" l="1"/>
  <c r="D119" i="4"/>
  <c r="E119" i="4" s="1"/>
  <c r="I119" i="4"/>
  <c r="F119" i="4"/>
  <c r="M119" i="4"/>
  <c r="C120" i="4" s="1"/>
  <c r="F224" i="4"/>
  <c r="M224" i="4"/>
  <c r="C225" i="4" s="1"/>
  <c r="E224" i="4"/>
  <c r="I224" i="4"/>
  <c r="K224" i="4"/>
  <c r="J224" i="4"/>
  <c r="H224" i="4"/>
  <c r="G224" i="4"/>
  <c r="D224" i="4"/>
  <c r="L224" i="4"/>
  <c r="B225" i="4"/>
  <c r="A226" i="4"/>
  <c r="G119" i="4" l="1"/>
  <c r="H119" i="4" s="1"/>
  <c r="K119" i="4"/>
  <c r="L119" i="4" s="1"/>
  <c r="D120" i="4"/>
  <c r="F120" i="4"/>
  <c r="I120" i="4"/>
  <c r="J120" i="4"/>
  <c r="A227" i="4"/>
  <c r="B226" i="4"/>
  <c r="I225" i="4"/>
  <c r="H225" i="4"/>
  <c r="L225" i="4"/>
  <c r="D225" i="4"/>
  <c r="K225" i="4"/>
  <c r="J225" i="4"/>
  <c r="G225" i="4"/>
  <c r="F225" i="4"/>
  <c r="E225" i="4"/>
  <c r="M225" i="4"/>
  <c r="C226" i="4" s="1"/>
  <c r="E120" i="4" l="1"/>
  <c r="G120" i="4" s="1"/>
  <c r="H120" i="4" s="1"/>
  <c r="L226" i="4"/>
  <c r="D226" i="4"/>
  <c r="K226" i="4"/>
  <c r="G226" i="4"/>
  <c r="J226" i="4"/>
  <c r="I226" i="4"/>
  <c r="H226" i="4"/>
  <c r="F226" i="4"/>
  <c r="E226" i="4"/>
  <c r="M226" i="4"/>
  <c r="C227" i="4" s="1"/>
  <c r="A228" i="4"/>
  <c r="B227" i="4"/>
  <c r="K120" i="4" l="1"/>
  <c r="L120" i="4" s="1"/>
  <c r="M120" i="4"/>
  <c r="C121" i="4" s="1"/>
  <c r="B228" i="4"/>
  <c r="A229" i="4"/>
  <c r="G227" i="4"/>
  <c r="F227" i="4"/>
  <c r="J227" i="4"/>
  <c r="K227" i="4"/>
  <c r="I227" i="4"/>
  <c r="H227" i="4"/>
  <c r="E227" i="4"/>
  <c r="D227" i="4"/>
  <c r="M227" i="4"/>
  <c r="C228" i="4" s="1"/>
  <c r="L227" i="4"/>
  <c r="I121" i="4" l="1"/>
  <c r="J121" i="4"/>
  <c r="D121" i="4"/>
  <c r="F121" i="4"/>
  <c r="A230" i="4"/>
  <c r="B229" i="4"/>
  <c r="J228" i="4"/>
  <c r="I228" i="4"/>
  <c r="M228" i="4"/>
  <c r="C229" i="4" s="1"/>
  <c r="E228" i="4"/>
  <c r="K228" i="4"/>
  <c r="H228" i="4"/>
  <c r="G228" i="4"/>
  <c r="F228" i="4"/>
  <c r="D228" i="4"/>
  <c r="L228" i="4"/>
  <c r="E121" i="4" l="1"/>
  <c r="G121" i="4" s="1"/>
  <c r="H121" i="4" s="1"/>
  <c r="M229" i="4"/>
  <c r="C230" i="4" s="1"/>
  <c r="E229" i="4"/>
  <c r="L229" i="4"/>
  <c r="D229" i="4"/>
  <c r="H229" i="4"/>
  <c r="J229" i="4"/>
  <c r="I229" i="4"/>
  <c r="G229" i="4"/>
  <c r="F229" i="4"/>
  <c r="K229" i="4"/>
  <c r="B230" i="4"/>
  <c r="A231" i="4"/>
  <c r="K121" i="4" l="1"/>
  <c r="L121" i="4" s="1"/>
  <c r="M121" i="4"/>
  <c r="C122" i="4" s="1"/>
  <c r="B231" i="4"/>
  <c r="A232" i="4"/>
  <c r="H230" i="4"/>
  <c r="G230" i="4"/>
  <c r="K230" i="4"/>
  <c r="J230" i="4"/>
  <c r="I230" i="4"/>
  <c r="F230" i="4"/>
  <c r="E230" i="4"/>
  <c r="D230" i="4"/>
  <c r="L230" i="4"/>
  <c r="M230" i="4"/>
  <c r="C231" i="4" s="1"/>
  <c r="J122" i="4" l="1"/>
  <c r="F122" i="4"/>
  <c r="D122" i="4"/>
  <c r="I122" i="4"/>
  <c r="A233" i="4"/>
  <c r="B232" i="4"/>
  <c r="K231" i="4"/>
  <c r="J231" i="4"/>
  <c r="F231" i="4"/>
  <c r="I231" i="4"/>
  <c r="H231" i="4"/>
  <c r="G231" i="4"/>
  <c r="E231" i="4"/>
  <c r="D231" i="4"/>
  <c r="M231" i="4"/>
  <c r="C232" i="4" s="1"/>
  <c r="L231" i="4"/>
  <c r="E122" i="4" l="1"/>
  <c r="G122" i="4" s="1"/>
  <c r="H122" i="4" s="1"/>
  <c r="B233" i="4"/>
  <c r="A234" i="4"/>
  <c r="F232" i="4"/>
  <c r="M232" i="4"/>
  <c r="C233" i="4" s="1"/>
  <c r="E232" i="4"/>
  <c r="I232" i="4"/>
  <c r="J232" i="4"/>
  <c r="H232" i="4"/>
  <c r="G232" i="4"/>
  <c r="D232" i="4"/>
  <c r="L232" i="4"/>
  <c r="K232" i="4"/>
  <c r="K122" i="4" l="1"/>
  <c r="L122" i="4" s="1"/>
  <c r="M122" i="4"/>
  <c r="C123" i="4" s="1"/>
  <c r="B234" i="4"/>
  <c r="A235" i="4"/>
  <c r="I233" i="4"/>
  <c r="H233" i="4"/>
  <c r="L233" i="4"/>
  <c r="D233" i="4"/>
  <c r="J233" i="4"/>
  <c r="G233" i="4"/>
  <c r="F233" i="4"/>
  <c r="E233" i="4"/>
  <c r="M233" i="4"/>
  <c r="C234" i="4" s="1"/>
  <c r="K233" i="4"/>
  <c r="I123" i="4" l="1"/>
  <c r="J123" i="4"/>
  <c r="D123" i="4"/>
  <c r="F123" i="4"/>
  <c r="A236" i="4"/>
  <c r="B235" i="4"/>
  <c r="L234" i="4"/>
  <c r="D234" i="4"/>
  <c r="K234" i="4"/>
  <c r="G234" i="4"/>
  <c r="I234" i="4"/>
  <c r="H234" i="4"/>
  <c r="F234" i="4"/>
  <c r="E234" i="4"/>
  <c r="M234" i="4"/>
  <c r="C235" i="4" s="1"/>
  <c r="J234" i="4"/>
  <c r="E123" i="4" l="1"/>
  <c r="G123" i="4" s="1"/>
  <c r="H123" i="4" s="1"/>
  <c r="G235" i="4"/>
  <c r="F235" i="4"/>
  <c r="J235" i="4"/>
  <c r="I235" i="4"/>
  <c r="H235" i="4"/>
  <c r="E235" i="4"/>
  <c r="D235" i="4"/>
  <c r="L235" i="4"/>
  <c r="K235" i="4"/>
  <c r="M235" i="4"/>
  <c r="C236" i="4" s="1"/>
  <c r="B236" i="4"/>
  <c r="A237" i="4"/>
  <c r="K123" i="4" l="1"/>
  <c r="L123" i="4" s="1"/>
  <c r="M123" i="4"/>
  <c r="C124" i="4" s="1"/>
  <c r="J236" i="4"/>
  <c r="I236" i="4"/>
  <c r="M236" i="4"/>
  <c r="C237" i="4" s="1"/>
  <c r="E236" i="4"/>
  <c r="H236" i="4"/>
  <c r="G236" i="4"/>
  <c r="F236" i="4"/>
  <c r="D236" i="4"/>
  <c r="K236" i="4"/>
  <c r="L236" i="4"/>
  <c r="B237" i="4"/>
  <c r="A238" i="4"/>
  <c r="J124" i="4" l="1"/>
  <c r="D124" i="4"/>
  <c r="E124" i="4" s="1"/>
  <c r="F124" i="4"/>
  <c r="I124" i="4"/>
  <c r="M124" i="4"/>
  <c r="C125" i="4" s="1"/>
  <c r="A239" i="4"/>
  <c r="B238" i="4"/>
  <c r="M237" i="4"/>
  <c r="C238" i="4" s="1"/>
  <c r="E237" i="4"/>
  <c r="L237" i="4"/>
  <c r="D237" i="4"/>
  <c r="H237" i="4"/>
  <c r="I237" i="4"/>
  <c r="G237" i="4"/>
  <c r="F237" i="4"/>
  <c r="K237" i="4"/>
  <c r="J237" i="4"/>
  <c r="J125" i="4" l="1"/>
  <c r="I125" i="4"/>
  <c r="F125" i="4"/>
  <c r="D125" i="4"/>
  <c r="E125" i="4" s="1"/>
  <c r="M125" i="4" s="1"/>
  <c r="C126" i="4" s="1"/>
  <c r="D126" i="4" s="1"/>
  <c r="G124" i="4"/>
  <c r="H124" i="4" s="1"/>
  <c r="K124" i="4"/>
  <c r="L124" i="4" s="1"/>
  <c r="H238" i="4"/>
  <c r="G238" i="4"/>
  <c r="K238" i="4"/>
  <c r="I238" i="4"/>
  <c r="F238" i="4"/>
  <c r="E238" i="4"/>
  <c r="D238" i="4"/>
  <c r="J238" i="4"/>
  <c r="M238" i="4"/>
  <c r="C239" i="4" s="1"/>
  <c r="L238" i="4"/>
  <c r="B239" i="4"/>
  <c r="A240" i="4"/>
  <c r="J126" i="4" l="1"/>
  <c r="G125" i="4"/>
  <c r="H125" i="4" s="1"/>
  <c r="K125" i="4"/>
  <c r="L125" i="4" s="1"/>
  <c r="I126" i="4"/>
  <c r="F126" i="4"/>
  <c r="K239" i="4"/>
  <c r="J239" i="4"/>
  <c r="F239" i="4"/>
  <c r="H239" i="4"/>
  <c r="G239" i="4"/>
  <c r="E239" i="4"/>
  <c r="D239" i="4"/>
  <c r="M239" i="4"/>
  <c r="C240" i="4" s="1"/>
  <c r="L239" i="4"/>
  <c r="I239" i="4"/>
  <c r="E126" i="4"/>
  <c r="A241" i="4"/>
  <c r="B240" i="4"/>
  <c r="K126" i="4" l="1"/>
  <c r="L126" i="4" s="1"/>
  <c r="M126" i="4"/>
  <c r="C127" i="4" s="1"/>
  <c r="F240" i="4"/>
  <c r="M240" i="4"/>
  <c r="C241" i="4" s="1"/>
  <c r="E240" i="4"/>
  <c r="I240" i="4"/>
  <c r="H240" i="4"/>
  <c r="G240" i="4"/>
  <c r="D240" i="4"/>
  <c r="L240" i="4"/>
  <c r="K240" i="4"/>
  <c r="J240" i="4"/>
  <c r="A242" i="4"/>
  <c r="B241" i="4"/>
  <c r="G126" i="4"/>
  <c r="H126" i="4" s="1"/>
  <c r="B242" i="4" l="1"/>
  <c r="A243" i="4"/>
  <c r="I241" i="4"/>
  <c r="H241" i="4"/>
  <c r="L241" i="4"/>
  <c r="D241" i="4"/>
  <c r="G241" i="4"/>
  <c r="F241" i="4"/>
  <c r="E241" i="4"/>
  <c r="M241" i="4"/>
  <c r="C242" i="4" s="1"/>
  <c r="K241" i="4"/>
  <c r="J241" i="4"/>
  <c r="F127" i="4"/>
  <c r="D127" i="4"/>
  <c r="J127" i="4"/>
  <c r="I127" i="4"/>
  <c r="E127" i="4" l="1"/>
  <c r="A244" i="4"/>
  <c r="B243" i="4"/>
  <c r="L242" i="4"/>
  <c r="D242" i="4"/>
  <c r="K242" i="4"/>
  <c r="G242" i="4"/>
  <c r="H242" i="4"/>
  <c r="F242" i="4"/>
  <c r="E242" i="4"/>
  <c r="M242" i="4"/>
  <c r="C243" i="4" s="1"/>
  <c r="J242" i="4"/>
  <c r="I242" i="4"/>
  <c r="B244" i="4" l="1"/>
  <c r="A245" i="4"/>
  <c r="K127" i="4"/>
  <c r="L127" i="4" s="1"/>
  <c r="M127" i="4"/>
  <c r="C128" i="4" s="1"/>
  <c r="G127" i="4"/>
  <c r="H127" i="4" s="1"/>
  <c r="G243" i="4"/>
  <c r="F243" i="4"/>
  <c r="J243" i="4"/>
  <c r="H243" i="4"/>
  <c r="E243" i="4"/>
  <c r="D243" i="4"/>
  <c r="M243" i="4"/>
  <c r="C244" i="4" s="1"/>
  <c r="K243" i="4"/>
  <c r="I243" i="4"/>
  <c r="L243" i="4"/>
  <c r="D128" i="4" l="1"/>
  <c r="I128" i="4"/>
  <c r="F128" i="4"/>
  <c r="J128" i="4"/>
  <c r="A246" i="4"/>
  <c r="B245" i="4"/>
  <c r="J244" i="4"/>
  <c r="I244" i="4"/>
  <c r="M244" i="4"/>
  <c r="C245" i="4" s="1"/>
  <c r="E244" i="4"/>
  <c r="G244" i="4"/>
  <c r="F244" i="4"/>
  <c r="D244" i="4"/>
  <c r="L244" i="4"/>
  <c r="K244" i="4"/>
  <c r="H244" i="4"/>
  <c r="B246" i="4" l="1"/>
  <c r="A247" i="4"/>
  <c r="F245" i="4"/>
  <c r="E245" i="4"/>
  <c r="M245" i="4"/>
  <c r="C246" i="4" s="1"/>
  <c r="D245" i="4"/>
  <c r="I245" i="4"/>
  <c r="H245" i="4"/>
  <c r="G245" i="4"/>
  <c r="L245" i="4"/>
  <c r="K245" i="4"/>
  <c r="J245" i="4"/>
  <c r="E128" i="4"/>
  <c r="K128" i="4" l="1"/>
  <c r="L128" i="4" s="1"/>
  <c r="M128" i="4"/>
  <c r="C129" i="4" s="1"/>
  <c r="G128" i="4"/>
  <c r="H128" i="4" s="1"/>
  <c r="A248" i="4"/>
  <c r="B247" i="4"/>
  <c r="I246" i="4"/>
  <c r="K246" i="4"/>
  <c r="J246" i="4"/>
  <c r="E246" i="4"/>
  <c r="H246" i="4"/>
  <c r="G246" i="4"/>
  <c r="F246" i="4"/>
  <c r="D246" i="4"/>
  <c r="L246" i="4"/>
  <c r="M246" i="4"/>
  <c r="C247" i="4" s="1"/>
  <c r="L247" i="4" l="1"/>
  <c r="D247" i="4"/>
  <c r="G247" i="4"/>
  <c r="F247" i="4"/>
  <c r="J247" i="4"/>
  <c r="K247" i="4"/>
  <c r="I247" i="4"/>
  <c r="H247" i="4"/>
  <c r="E247" i="4"/>
  <c r="M247" i="4"/>
  <c r="C248" i="4" s="1"/>
  <c r="B248" i="4"/>
  <c r="A249" i="4"/>
  <c r="F129" i="4"/>
  <c r="D129" i="4"/>
  <c r="J129" i="4"/>
  <c r="I129" i="4"/>
  <c r="E129" i="4" l="1"/>
  <c r="G248" i="4"/>
  <c r="L248" i="4"/>
  <c r="K248" i="4"/>
  <c r="F248" i="4"/>
  <c r="M248" i="4"/>
  <c r="C249" i="4" s="1"/>
  <c r="J248" i="4"/>
  <c r="I248" i="4"/>
  <c r="H248" i="4"/>
  <c r="E248" i="4"/>
  <c r="D248" i="4"/>
  <c r="B249" i="4"/>
  <c r="A250" i="4"/>
  <c r="B250" i="4" l="1"/>
  <c r="A251" i="4"/>
  <c r="K129" i="4"/>
  <c r="L129" i="4" s="1"/>
  <c r="M129" i="4"/>
  <c r="C130" i="4" s="1"/>
  <c r="J249" i="4"/>
  <c r="H249" i="4"/>
  <c r="G249" i="4"/>
  <c r="L249" i="4"/>
  <c r="M249" i="4"/>
  <c r="C250" i="4" s="1"/>
  <c r="K249" i="4"/>
  <c r="I249" i="4"/>
  <c r="F249" i="4"/>
  <c r="E249" i="4"/>
  <c r="D249" i="4"/>
  <c r="G129" i="4"/>
  <c r="H129" i="4" s="1"/>
  <c r="D130" i="4" l="1"/>
  <c r="J130" i="4"/>
  <c r="I130" i="4"/>
  <c r="F130" i="4"/>
  <c r="A252" i="4"/>
  <c r="B251" i="4"/>
  <c r="M250" i="4"/>
  <c r="C251" i="4" s="1"/>
  <c r="E250" i="4"/>
  <c r="J250" i="4"/>
  <c r="F250" i="4"/>
  <c r="D250" i="4"/>
  <c r="I250" i="4"/>
  <c r="L250" i="4"/>
  <c r="K250" i="4"/>
  <c r="H250" i="4"/>
  <c r="G250" i="4"/>
  <c r="A253" i="4" l="1"/>
  <c r="B252" i="4"/>
  <c r="H251" i="4"/>
  <c r="M251" i="4"/>
  <c r="C252" i="4" s="1"/>
  <c r="E251" i="4"/>
  <c r="L251" i="4"/>
  <c r="G251" i="4"/>
  <c r="F251" i="4"/>
  <c r="D251" i="4"/>
  <c r="K251" i="4"/>
  <c r="J251" i="4"/>
  <c r="I251" i="4"/>
  <c r="E130" i="4"/>
  <c r="G130" i="4" s="1"/>
  <c r="H130" i="4" s="1"/>
  <c r="K130" i="4" l="1"/>
  <c r="L130" i="4" s="1"/>
  <c r="M130" i="4"/>
  <c r="C131" i="4" s="1"/>
  <c r="L252" i="4"/>
  <c r="D252" i="4"/>
  <c r="K252" i="4"/>
  <c r="E252" i="4"/>
  <c r="M252" i="4"/>
  <c r="C253" i="4" s="1"/>
  <c r="J252" i="4"/>
  <c r="G252" i="4"/>
  <c r="I252" i="4"/>
  <c r="H252" i="4"/>
  <c r="F252" i="4"/>
  <c r="A254" i="4"/>
  <c r="B253" i="4"/>
  <c r="G253" i="4" l="1"/>
  <c r="F253" i="4"/>
  <c r="L253" i="4"/>
  <c r="K253" i="4"/>
  <c r="J253" i="4"/>
  <c r="I253" i="4"/>
  <c r="D253" i="4"/>
  <c r="M253" i="4"/>
  <c r="C254" i="4" s="1"/>
  <c r="H253" i="4"/>
  <c r="E253" i="4"/>
  <c r="B254" i="4"/>
  <c r="A255" i="4"/>
  <c r="J131" i="4"/>
  <c r="D131" i="4"/>
  <c r="F131" i="4"/>
  <c r="I131" i="4"/>
  <c r="B255" i="4" l="1"/>
  <c r="A256" i="4"/>
  <c r="E131" i="4"/>
  <c r="G131" i="4" s="1"/>
  <c r="H131" i="4" s="1"/>
  <c r="J254" i="4"/>
  <c r="I254" i="4"/>
  <c r="K254" i="4"/>
  <c r="H254" i="4"/>
  <c r="G254" i="4"/>
  <c r="F254" i="4"/>
  <c r="M254" i="4"/>
  <c r="C255" i="4" s="1"/>
  <c r="L254" i="4"/>
  <c r="E254" i="4"/>
  <c r="D254" i="4"/>
  <c r="K131" i="4" l="1"/>
  <c r="L131" i="4" s="1"/>
  <c r="M131" i="4"/>
  <c r="C132" i="4" s="1"/>
  <c r="A257" i="4"/>
  <c r="B256" i="4"/>
  <c r="M255" i="4"/>
  <c r="C256" i="4" s="1"/>
  <c r="E255" i="4"/>
  <c r="L255" i="4"/>
  <c r="D255" i="4"/>
  <c r="H255" i="4"/>
  <c r="G255" i="4"/>
  <c r="F255" i="4"/>
  <c r="I255" i="4"/>
  <c r="J255" i="4"/>
  <c r="K255" i="4"/>
  <c r="B257" i="4" l="1"/>
  <c r="A258" i="4"/>
  <c r="F132" i="4"/>
  <c r="I132" i="4"/>
  <c r="D132" i="4"/>
  <c r="J132" i="4"/>
  <c r="H256" i="4"/>
  <c r="G256" i="4"/>
  <c r="E256" i="4"/>
  <c r="D256" i="4"/>
  <c r="M256" i="4"/>
  <c r="C257" i="4" s="1"/>
  <c r="L256" i="4"/>
  <c r="I256" i="4"/>
  <c r="F256" i="4"/>
  <c r="K256" i="4"/>
  <c r="J256" i="4"/>
  <c r="E132" i="4" l="1"/>
  <c r="A259" i="4"/>
  <c r="B258" i="4"/>
  <c r="K257" i="4"/>
  <c r="J257" i="4"/>
  <c r="D257" i="4"/>
  <c r="M257" i="4"/>
  <c r="C258" i="4" s="1"/>
  <c r="L257" i="4"/>
  <c r="I257" i="4"/>
  <c r="E257" i="4"/>
  <c r="H257" i="4"/>
  <c r="G257" i="4"/>
  <c r="F257" i="4"/>
  <c r="A260" i="4" l="1"/>
  <c r="B259" i="4"/>
  <c r="K132" i="4"/>
  <c r="L132" i="4" s="1"/>
  <c r="M132" i="4"/>
  <c r="C133" i="4" s="1"/>
  <c r="G132" i="4"/>
  <c r="H132" i="4" s="1"/>
  <c r="F258" i="4"/>
  <c r="M258" i="4"/>
  <c r="C259" i="4" s="1"/>
  <c r="E258" i="4"/>
  <c r="K258" i="4"/>
  <c r="J258" i="4"/>
  <c r="I258" i="4"/>
  <c r="H258" i="4"/>
  <c r="L258" i="4"/>
  <c r="D258" i="4"/>
  <c r="G258" i="4"/>
  <c r="J133" i="4" l="1"/>
  <c r="D133" i="4"/>
  <c r="I133" i="4"/>
  <c r="F133" i="4"/>
  <c r="I259" i="4"/>
  <c r="H259" i="4"/>
  <c r="J259" i="4"/>
  <c r="G259" i="4"/>
  <c r="F259" i="4"/>
  <c r="E259" i="4"/>
  <c r="D259" i="4"/>
  <c r="M259" i="4"/>
  <c r="C260" i="4" s="1"/>
  <c r="L259" i="4"/>
  <c r="K259" i="4"/>
  <c r="A261" i="4"/>
  <c r="B260" i="4"/>
  <c r="A262" i="4" l="1"/>
  <c r="B261" i="4"/>
  <c r="E133" i="4"/>
  <c r="G133" i="4" s="1"/>
  <c r="H133" i="4" s="1"/>
  <c r="L260" i="4"/>
  <c r="D260" i="4"/>
  <c r="K260" i="4"/>
  <c r="G260" i="4"/>
  <c r="F260" i="4"/>
  <c r="E260" i="4"/>
  <c r="M260" i="4"/>
  <c r="C261" i="4" s="1"/>
  <c r="J260" i="4"/>
  <c r="I260" i="4"/>
  <c r="H260" i="4"/>
  <c r="K133" i="4" l="1"/>
  <c r="L133" i="4" s="1"/>
  <c r="M133" i="4"/>
  <c r="C134" i="4" s="1"/>
  <c r="G261" i="4"/>
  <c r="F261" i="4"/>
  <c r="D261" i="4"/>
  <c r="M261" i="4"/>
  <c r="C262" i="4" s="1"/>
  <c r="L261" i="4"/>
  <c r="K261" i="4"/>
  <c r="J261" i="4"/>
  <c r="H261" i="4"/>
  <c r="E261" i="4"/>
  <c r="I261" i="4"/>
  <c r="B262" i="4"/>
  <c r="A263" i="4"/>
  <c r="B263" i="4" l="1"/>
  <c r="A264" i="4"/>
  <c r="I134" i="4"/>
  <c r="F134" i="4"/>
  <c r="J134" i="4"/>
  <c r="D134" i="4"/>
  <c r="J262" i="4"/>
  <c r="I262" i="4"/>
  <c r="M262" i="4"/>
  <c r="C263" i="4" s="1"/>
  <c r="L262" i="4"/>
  <c r="K262" i="4"/>
  <c r="H262" i="4"/>
  <c r="G262" i="4"/>
  <c r="E262" i="4"/>
  <c r="D262" i="4"/>
  <c r="F262" i="4"/>
  <c r="E134" i="4" l="1"/>
  <c r="A265" i="4"/>
  <c r="B264" i="4"/>
  <c r="M263" i="4"/>
  <c r="C264" i="4" s="1"/>
  <c r="E263" i="4"/>
  <c r="L263" i="4"/>
  <c r="D263" i="4"/>
  <c r="J263" i="4"/>
  <c r="I263" i="4"/>
  <c r="H263" i="4"/>
  <c r="G263" i="4"/>
  <c r="F263" i="4"/>
  <c r="K263" i="4"/>
  <c r="H264" i="4" l="1"/>
  <c r="G264" i="4"/>
  <c r="I264" i="4"/>
  <c r="F264" i="4"/>
  <c r="E264" i="4"/>
  <c r="D264" i="4"/>
  <c r="M264" i="4"/>
  <c r="C265" i="4" s="1"/>
  <c r="J264" i="4"/>
  <c r="L264" i="4"/>
  <c r="K264" i="4"/>
  <c r="B265" i="4"/>
  <c r="A266" i="4"/>
  <c r="K134" i="4"/>
  <c r="L134" i="4" s="1"/>
  <c r="M134" i="4"/>
  <c r="C135" i="4" s="1"/>
  <c r="G134" i="4"/>
  <c r="H134" i="4" s="1"/>
  <c r="D135" i="4" l="1"/>
  <c r="J135" i="4"/>
  <c r="F135" i="4"/>
  <c r="I135" i="4"/>
  <c r="A267" i="4"/>
  <c r="B266" i="4"/>
  <c r="K265" i="4"/>
  <c r="J265" i="4"/>
  <c r="F265" i="4"/>
  <c r="E265" i="4"/>
  <c r="D265" i="4"/>
  <c r="M265" i="4"/>
  <c r="C266" i="4" s="1"/>
  <c r="L265" i="4"/>
  <c r="G265" i="4"/>
  <c r="I265" i="4"/>
  <c r="H265" i="4"/>
  <c r="F266" i="4" l="1"/>
  <c r="M266" i="4"/>
  <c r="C267" i="4" s="1"/>
  <c r="E266" i="4"/>
  <c r="L266" i="4"/>
  <c r="K266" i="4"/>
  <c r="J266" i="4"/>
  <c r="I266" i="4"/>
  <c r="H266" i="4"/>
  <c r="G266" i="4"/>
  <c r="D266" i="4"/>
  <c r="B267" i="4"/>
  <c r="A268" i="4"/>
  <c r="E135" i="4"/>
  <c r="K135" i="4" l="1"/>
  <c r="L135" i="4" s="1"/>
  <c r="M135" i="4"/>
  <c r="C136" i="4" s="1"/>
  <c r="G135" i="4"/>
  <c r="H135" i="4" s="1"/>
  <c r="I267" i="4"/>
  <c r="H267" i="4"/>
  <c r="L267" i="4"/>
  <c r="K267" i="4"/>
  <c r="J267" i="4"/>
  <c r="G267" i="4"/>
  <c r="F267" i="4"/>
  <c r="E267" i="4"/>
  <c r="M267" i="4"/>
  <c r="C268" i="4" s="1"/>
  <c r="D267" i="4"/>
  <c r="B268" i="4"/>
  <c r="A269" i="4"/>
  <c r="L268" i="4" l="1"/>
  <c r="D268" i="4"/>
  <c r="K268" i="4"/>
  <c r="I268" i="4"/>
  <c r="H268" i="4"/>
  <c r="G268" i="4"/>
  <c r="F268" i="4"/>
  <c r="E268" i="4"/>
  <c r="M268" i="4"/>
  <c r="C269" i="4" s="1"/>
  <c r="J268" i="4"/>
  <c r="I136" i="4"/>
  <c r="F136" i="4"/>
  <c r="D136" i="4"/>
  <c r="J136" i="4"/>
  <c r="A270" i="4"/>
  <c r="B269" i="4"/>
  <c r="E136" i="4" l="1"/>
  <c r="G136" i="4" s="1"/>
  <c r="H136" i="4" s="1"/>
  <c r="B270" i="4"/>
  <c r="A271" i="4"/>
  <c r="G269" i="4"/>
  <c r="F269" i="4"/>
  <c r="H269" i="4"/>
  <c r="E269" i="4"/>
  <c r="D269" i="4"/>
  <c r="M269" i="4"/>
  <c r="C270" i="4" s="1"/>
  <c r="L269" i="4"/>
  <c r="J269" i="4"/>
  <c r="K269" i="4"/>
  <c r="I269" i="4"/>
  <c r="J270" i="4" l="1"/>
  <c r="I270" i="4"/>
  <c r="E270" i="4"/>
  <c r="D270" i="4"/>
  <c r="M270" i="4"/>
  <c r="C271" i="4" s="1"/>
  <c r="L270" i="4"/>
  <c r="K270" i="4"/>
  <c r="H270" i="4"/>
  <c r="G270" i="4"/>
  <c r="F270" i="4"/>
  <c r="A272" i="4"/>
  <c r="B271" i="4"/>
  <c r="K136" i="4"/>
  <c r="L136" i="4" s="1"/>
  <c r="M136" i="4"/>
  <c r="C137" i="4" s="1"/>
  <c r="J137" i="4" l="1"/>
  <c r="F137" i="4"/>
  <c r="D137" i="4"/>
  <c r="I137" i="4"/>
  <c r="M271" i="4"/>
  <c r="C272" i="4" s="1"/>
  <c r="E271" i="4"/>
  <c r="L271" i="4"/>
  <c r="D271" i="4"/>
  <c r="K271" i="4"/>
  <c r="J271" i="4"/>
  <c r="I271" i="4"/>
  <c r="H271" i="4"/>
  <c r="G271" i="4"/>
  <c r="F271" i="4"/>
  <c r="A273" i="4"/>
  <c r="B272" i="4"/>
  <c r="E137" i="4" l="1"/>
  <c r="G137" i="4" s="1"/>
  <c r="H137" i="4" s="1"/>
  <c r="B273" i="4"/>
  <c r="A274" i="4"/>
  <c r="H272" i="4"/>
  <c r="G272" i="4"/>
  <c r="K272" i="4"/>
  <c r="J272" i="4"/>
  <c r="I272" i="4"/>
  <c r="F272" i="4"/>
  <c r="E272" i="4"/>
  <c r="M272" i="4"/>
  <c r="C273" i="4" s="1"/>
  <c r="L272" i="4"/>
  <c r="D272" i="4"/>
  <c r="A275" i="4" l="1"/>
  <c r="B274" i="4"/>
  <c r="K273" i="4"/>
  <c r="J273" i="4"/>
  <c r="H273" i="4"/>
  <c r="G273" i="4"/>
  <c r="F273" i="4"/>
  <c r="E273" i="4"/>
  <c r="D273" i="4"/>
  <c r="M273" i="4"/>
  <c r="C274" i="4" s="1"/>
  <c r="L273" i="4"/>
  <c r="I273" i="4"/>
  <c r="K137" i="4"/>
  <c r="L137" i="4" s="1"/>
  <c r="M137" i="4"/>
  <c r="C138" i="4" s="1"/>
  <c r="I138" i="4" l="1"/>
  <c r="J138" i="4"/>
  <c r="D138" i="4"/>
  <c r="F138" i="4"/>
  <c r="F274" i="4"/>
  <c r="M274" i="4"/>
  <c r="C275" i="4" s="1"/>
  <c r="E274" i="4"/>
  <c r="G274" i="4"/>
  <c r="D274" i="4"/>
  <c r="L274" i="4"/>
  <c r="K274" i="4"/>
  <c r="J274" i="4"/>
  <c r="I274" i="4"/>
  <c r="H274" i="4"/>
  <c r="A276" i="4"/>
  <c r="B275" i="4"/>
  <c r="E138" i="4" l="1"/>
  <c r="G138" i="4" s="1"/>
  <c r="H138" i="4" s="1"/>
  <c r="A277" i="4"/>
  <c r="B276" i="4"/>
  <c r="I275" i="4"/>
  <c r="H275" i="4"/>
  <c r="D275" i="4"/>
  <c r="M275" i="4"/>
  <c r="C276" i="4" s="1"/>
  <c r="L275" i="4"/>
  <c r="K275" i="4"/>
  <c r="J275" i="4"/>
  <c r="F275" i="4"/>
  <c r="E275" i="4"/>
  <c r="G275" i="4"/>
  <c r="L276" i="4" l="1"/>
  <c r="D276" i="4"/>
  <c r="K276" i="4"/>
  <c r="M276" i="4"/>
  <c r="C277" i="4" s="1"/>
  <c r="J276" i="4"/>
  <c r="I276" i="4"/>
  <c r="H276" i="4"/>
  <c r="G276" i="4"/>
  <c r="E276" i="4"/>
  <c r="F276" i="4"/>
  <c r="A278" i="4"/>
  <c r="B277" i="4"/>
  <c r="K138" i="4"/>
  <c r="L138" i="4" s="1"/>
  <c r="M138" i="4"/>
  <c r="C139" i="4" s="1"/>
  <c r="G277" i="4" l="1"/>
  <c r="F277" i="4"/>
  <c r="J277" i="4"/>
  <c r="I277" i="4"/>
  <c r="H277" i="4"/>
  <c r="E277" i="4"/>
  <c r="D277" i="4"/>
  <c r="K277" i="4"/>
  <c r="M277" i="4"/>
  <c r="C278" i="4" s="1"/>
  <c r="L277" i="4"/>
  <c r="J139" i="4"/>
  <c r="I139" i="4"/>
  <c r="F139" i="4"/>
  <c r="D139" i="4"/>
  <c r="B278" i="4"/>
  <c r="A279" i="4"/>
  <c r="J278" i="4" l="1"/>
  <c r="I278" i="4"/>
  <c r="G278" i="4"/>
  <c r="F278" i="4"/>
  <c r="E278" i="4"/>
  <c r="D278" i="4"/>
  <c r="M278" i="4"/>
  <c r="C279" i="4" s="1"/>
  <c r="H278" i="4"/>
  <c r="L278" i="4"/>
  <c r="K278" i="4"/>
  <c r="E139" i="4"/>
  <c r="A280" i="4"/>
  <c r="B279" i="4"/>
  <c r="M279" i="4" l="1"/>
  <c r="C280" i="4" s="1"/>
  <c r="E279" i="4"/>
  <c r="L279" i="4"/>
  <c r="D279" i="4"/>
  <c r="F279" i="4"/>
  <c r="K279" i="4"/>
  <c r="J279" i="4"/>
  <c r="I279" i="4"/>
  <c r="H279" i="4"/>
  <c r="G279" i="4"/>
  <c r="K139" i="4"/>
  <c r="L139" i="4" s="1"/>
  <c r="M139" i="4"/>
  <c r="C140" i="4" s="1"/>
  <c r="B280" i="4"/>
  <c r="A281" i="4"/>
  <c r="G139" i="4"/>
  <c r="H139" i="4" s="1"/>
  <c r="B281" i="4" l="1"/>
  <c r="A282" i="4"/>
  <c r="H280" i="4"/>
  <c r="G280" i="4"/>
  <c r="M280" i="4"/>
  <c r="C281" i="4" s="1"/>
  <c r="L280" i="4"/>
  <c r="K280" i="4"/>
  <c r="J280" i="4"/>
  <c r="I280" i="4"/>
  <c r="F280" i="4"/>
  <c r="D280" i="4"/>
  <c r="E280" i="4"/>
  <c r="F140" i="4"/>
  <c r="D140" i="4"/>
  <c r="I140" i="4"/>
  <c r="J140" i="4"/>
  <c r="A283" i="4" l="1"/>
  <c r="B282" i="4"/>
  <c r="E140" i="4"/>
  <c r="K281" i="4"/>
  <c r="J281" i="4"/>
  <c r="L281" i="4"/>
  <c r="I281" i="4"/>
  <c r="H281" i="4"/>
  <c r="G281" i="4"/>
  <c r="F281" i="4"/>
  <c r="M281" i="4"/>
  <c r="C282" i="4" s="1"/>
  <c r="E281" i="4"/>
  <c r="D281" i="4"/>
  <c r="K140" i="4" l="1"/>
  <c r="L140" i="4" s="1"/>
  <c r="M140" i="4"/>
  <c r="C141" i="4" s="1"/>
  <c r="F282" i="4"/>
  <c r="M282" i="4"/>
  <c r="C283" i="4" s="1"/>
  <c r="E282" i="4"/>
  <c r="I282" i="4"/>
  <c r="H282" i="4"/>
  <c r="G282" i="4"/>
  <c r="D282" i="4"/>
  <c r="K282" i="4"/>
  <c r="J282" i="4"/>
  <c r="L282" i="4"/>
  <c r="A284" i="4"/>
  <c r="B283" i="4"/>
  <c r="G140" i="4"/>
  <c r="H140" i="4" s="1"/>
  <c r="I283" i="4" l="1"/>
  <c r="H283" i="4"/>
  <c r="F283" i="4"/>
  <c r="E283" i="4"/>
  <c r="D283" i="4"/>
  <c r="M283" i="4"/>
  <c r="C284" i="4" s="1"/>
  <c r="L283" i="4"/>
  <c r="K283" i="4"/>
  <c r="J283" i="4"/>
  <c r="G283" i="4"/>
  <c r="J141" i="4"/>
  <c r="F141" i="4"/>
  <c r="I141" i="4"/>
  <c r="D141" i="4"/>
  <c r="A285" i="4"/>
  <c r="B284" i="4"/>
  <c r="A286" i="4" l="1"/>
  <c r="B285" i="4"/>
  <c r="E141" i="4"/>
  <c r="G141" i="4" s="1"/>
  <c r="H141" i="4" s="1"/>
  <c r="L284" i="4"/>
  <c r="D284" i="4"/>
  <c r="K284" i="4"/>
  <c r="E284" i="4"/>
  <c r="M284" i="4"/>
  <c r="C285" i="4" s="1"/>
  <c r="J284" i="4"/>
  <c r="I284" i="4"/>
  <c r="F284" i="4"/>
  <c r="H284" i="4"/>
  <c r="G284" i="4"/>
  <c r="G285" i="4" l="1"/>
  <c r="F285" i="4"/>
  <c r="L285" i="4"/>
  <c r="K285" i="4"/>
  <c r="J285" i="4"/>
  <c r="I285" i="4"/>
  <c r="H285" i="4"/>
  <c r="M285" i="4"/>
  <c r="C286" i="4" s="1"/>
  <c r="E285" i="4"/>
  <c r="D285" i="4"/>
  <c r="K141" i="4"/>
  <c r="L141" i="4" s="1"/>
  <c r="M141" i="4"/>
  <c r="C142" i="4" s="1"/>
  <c r="B286" i="4"/>
  <c r="A287" i="4"/>
  <c r="J142" i="4" l="1"/>
  <c r="I142" i="4"/>
  <c r="D142" i="4"/>
  <c r="F142" i="4"/>
  <c r="A288" i="4"/>
  <c r="B287" i="4"/>
  <c r="J286" i="4"/>
  <c r="I286" i="4"/>
  <c r="K286" i="4"/>
  <c r="H286" i="4"/>
  <c r="G286" i="4"/>
  <c r="F286" i="4"/>
  <c r="E286" i="4"/>
  <c r="D286" i="4"/>
  <c r="M286" i="4"/>
  <c r="C287" i="4" s="1"/>
  <c r="L286" i="4"/>
  <c r="E142" i="4" l="1"/>
  <c r="M287" i="4"/>
  <c r="C288" i="4" s="1"/>
  <c r="E287" i="4"/>
  <c r="L287" i="4"/>
  <c r="D287" i="4"/>
  <c r="H287" i="4"/>
  <c r="G287" i="4"/>
  <c r="F287" i="4"/>
  <c r="K287" i="4"/>
  <c r="J287" i="4"/>
  <c r="I287" i="4"/>
  <c r="A289" i="4"/>
  <c r="B288" i="4"/>
  <c r="H288" i="4" l="1"/>
  <c r="G288" i="4"/>
  <c r="E288" i="4"/>
  <c r="D288" i="4"/>
  <c r="M288" i="4"/>
  <c r="C289" i="4" s="1"/>
  <c r="L288" i="4"/>
  <c r="K288" i="4"/>
  <c r="I288" i="4"/>
  <c r="F288" i="4"/>
  <c r="J288" i="4"/>
  <c r="B289" i="4"/>
  <c r="A290" i="4"/>
  <c r="K142" i="4"/>
  <c r="L142" i="4" s="1"/>
  <c r="M142" i="4"/>
  <c r="C143" i="4" s="1"/>
  <c r="G142" i="4"/>
  <c r="H142" i="4" s="1"/>
  <c r="A291" i="4" l="1"/>
  <c r="B290" i="4"/>
  <c r="D143" i="4"/>
  <c r="J143" i="4"/>
  <c r="F143" i="4"/>
  <c r="I143" i="4"/>
  <c r="K289" i="4"/>
  <c r="J289" i="4"/>
  <c r="D289" i="4"/>
  <c r="M289" i="4"/>
  <c r="C290" i="4" s="1"/>
  <c r="L289" i="4"/>
  <c r="I289" i="4"/>
  <c r="H289" i="4"/>
  <c r="F289" i="4"/>
  <c r="G289" i="4"/>
  <c r="E289" i="4"/>
  <c r="E143" i="4" l="1"/>
  <c r="F290" i="4"/>
  <c r="M290" i="4"/>
  <c r="C291" i="4" s="1"/>
  <c r="E290" i="4"/>
  <c r="K290" i="4"/>
  <c r="J290" i="4"/>
  <c r="I290" i="4"/>
  <c r="H290" i="4"/>
  <c r="G290" i="4"/>
  <c r="L290" i="4"/>
  <c r="D290" i="4"/>
  <c r="A292" i="4"/>
  <c r="B291" i="4"/>
  <c r="I291" i="4" l="1"/>
  <c r="H291" i="4"/>
  <c r="J291" i="4"/>
  <c r="G291" i="4"/>
  <c r="F291" i="4"/>
  <c r="E291" i="4"/>
  <c r="D291" i="4"/>
  <c r="K291" i="4"/>
  <c r="M291" i="4"/>
  <c r="C292" i="4" s="1"/>
  <c r="L291" i="4"/>
  <c r="A293" i="4"/>
  <c r="B292" i="4"/>
  <c r="K143" i="4"/>
  <c r="L143" i="4" s="1"/>
  <c r="M143" i="4"/>
  <c r="C144" i="4" s="1"/>
  <c r="G143" i="4"/>
  <c r="H143" i="4" s="1"/>
  <c r="A294" i="4" l="1"/>
  <c r="B293" i="4"/>
  <c r="J144" i="4"/>
  <c r="I144" i="4"/>
  <c r="D144" i="4"/>
  <c r="F144" i="4"/>
  <c r="L292" i="4"/>
  <c r="D292" i="4"/>
  <c r="K292" i="4"/>
  <c r="G292" i="4"/>
  <c r="F292" i="4"/>
  <c r="E292" i="4"/>
  <c r="M292" i="4"/>
  <c r="C293" i="4" s="1"/>
  <c r="J292" i="4"/>
  <c r="I292" i="4"/>
  <c r="H292" i="4"/>
  <c r="E144" i="4" l="1"/>
  <c r="G293" i="4"/>
  <c r="F293" i="4"/>
  <c r="D293" i="4"/>
  <c r="M293" i="4"/>
  <c r="C294" i="4" s="1"/>
  <c r="L293" i="4"/>
  <c r="K293" i="4"/>
  <c r="J293" i="4"/>
  <c r="I293" i="4"/>
  <c r="E293" i="4"/>
  <c r="H293" i="4"/>
  <c r="B294" i="4"/>
  <c r="A295" i="4"/>
  <c r="A296" i="4" l="1"/>
  <c r="B295" i="4"/>
  <c r="J294" i="4"/>
  <c r="I294" i="4"/>
  <c r="M294" i="4"/>
  <c r="C295" i="4" s="1"/>
  <c r="L294" i="4"/>
  <c r="K294" i="4"/>
  <c r="H294" i="4"/>
  <c r="G294" i="4"/>
  <c r="F294" i="4"/>
  <c r="E294" i="4"/>
  <c r="D294" i="4"/>
  <c r="K144" i="4"/>
  <c r="L144" i="4" s="1"/>
  <c r="M144" i="4"/>
  <c r="C145" i="4" s="1"/>
  <c r="G144" i="4"/>
  <c r="H144" i="4" s="1"/>
  <c r="M295" i="4" l="1"/>
  <c r="C296" i="4" s="1"/>
  <c r="E295" i="4"/>
  <c r="L295" i="4"/>
  <c r="D295" i="4"/>
  <c r="K295" i="4"/>
  <c r="J295" i="4"/>
  <c r="I295" i="4"/>
  <c r="H295" i="4"/>
  <c r="G295" i="4"/>
  <c r="F295" i="4"/>
  <c r="F145" i="4"/>
  <c r="D145" i="4"/>
  <c r="J145" i="4"/>
  <c r="I145" i="4"/>
  <c r="A297" i="4"/>
  <c r="B296" i="4"/>
  <c r="B297" i="4" l="1"/>
  <c r="A298" i="4"/>
  <c r="E145" i="4"/>
  <c r="G145" i="4" s="1"/>
  <c r="H145" i="4" s="1"/>
  <c r="I296" i="4"/>
  <c r="H296" i="4"/>
  <c r="G296" i="4"/>
  <c r="F296" i="4"/>
  <c r="M296" i="4"/>
  <c r="C297" i="4" s="1"/>
  <c r="L296" i="4"/>
  <c r="K296" i="4"/>
  <c r="J296" i="4"/>
  <c r="E296" i="4"/>
  <c r="D296" i="4"/>
  <c r="K145" i="4" l="1"/>
  <c r="L145" i="4" s="1"/>
  <c r="M145" i="4"/>
  <c r="C146" i="4" s="1"/>
  <c r="A299" i="4"/>
  <c r="B298" i="4"/>
  <c r="L297" i="4"/>
  <c r="D297" i="4"/>
  <c r="K297" i="4"/>
  <c r="J297" i="4"/>
  <c r="I297" i="4"/>
  <c r="M297" i="4"/>
  <c r="C298" i="4" s="1"/>
  <c r="H297" i="4"/>
  <c r="G297" i="4"/>
  <c r="E297" i="4"/>
  <c r="F297" i="4"/>
  <c r="G298" i="4" l="1"/>
  <c r="F298" i="4"/>
  <c r="M298" i="4"/>
  <c r="C299" i="4" s="1"/>
  <c r="E298" i="4"/>
  <c r="L298" i="4"/>
  <c r="D298" i="4"/>
  <c r="K298" i="4"/>
  <c r="H298" i="4"/>
  <c r="J298" i="4"/>
  <c r="I298" i="4"/>
  <c r="B299" i="4"/>
  <c r="A300" i="4"/>
  <c r="J146" i="4"/>
  <c r="D146" i="4"/>
  <c r="F146" i="4"/>
  <c r="I146" i="4"/>
  <c r="B300" i="4" l="1"/>
  <c r="A301" i="4"/>
  <c r="E146" i="4"/>
  <c r="G146" i="4" s="1"/>
  <c r="H146" i="4" s="1"/>
  <c r="J299" i="4"/>
  <c r="I299" i="4"/>
  <c r="H299" i="4"/>
  <c r="G299" i="4"/>
  <c r="F299" i="4"/>
  <c r="E299" i="4"/>
  <c r="D299" i="4"/>
  <c r="K299" i="4"/>
  <c r="M299" i="4"/>
  <c r="C300" i="4" s="1"/>
  <c r="L299" i="4"/>
  <c r="A302" i="4" l="1"/>
  <c r="B301" i="4"/>
  <c r="M300" i="4"/>
  <c r="C301" i="4" s="1"/>
  <c r="E300" i="4"/>
  <c r="L300" i="4"/>
  <c r="D300" i="4"/>
  <c r="K300" i="4"/>
  <c r="J300" i="4"/>
  <c r="I300" i="4"/>
  <c r="H300" i="4"/>
  <c r="G300" i="4"/>
  <c r="F300" i="4"/>
  <c r="K146" i="4"/>
  <c r="L146" i="4" s="1"/>
  <c r="M146" i="4"/>
  <c r="C147" i="4" s="1"/>
  <c r="F147" i="4" l="1"/>
  <c r="I147" i="4"/>
  <c r="D147" i="4"/>
  <c r="J147" i="4"/>
  <c r="H301" i="4"/>
  <c r="G301" i="4"/>
  <c r="F301" i="4"/>
  <c r="M301" i="4"/>
  <c r="C302" i="4" s="1"/>
  <c r="E301" i="4"/>
  <c r="L301" i="4"/>
  <c r="K301" i="4"/>
  <c r="J301" i="4"/>
  <c r="I301" i="4"/>
  <c r="D301" i="4"/>
  <c r="B302" i="4"/>
  <c r="A303" i="4"/>
  <c r="E147" i="4" l="1"/>
  <c r="G147" i="4" s="1"/>
  <c r="H147" i="4" s="1"/>
  <c r="K302" i="4"/>
  <c r="J302" i="4"/>
  <c r="I302" i="4"/>
  <c r="H302" i="4"/>
  <c r="M302" i="4"/>
  <c r="C303" i="4" s="1"/>
  <c r="L302" i="4"/>
  <c r="G302" i="4"/>
  <c r="F302" i="4"/>
  <c r="E302" i="4"/>
  <c r="D302" i="4"/>
  <c r="A304" i="4"/>
  <c r="B303" i="4"/>
  <c r="A305" i="4" l="1"/>
  <c r="B304" i="4"/>
  <c r="K147" i="4"/>
  <c r="L147" i="4" s="1"/>
  <c r="M147" i="4"/>
  <c r="C148" i="4" s="1"/>
  <c r="F303" i="4"/>
  <c r="M303" i="4"/>
  <c r="C304" i="4" s="1"/>
  <c r="E303" i="4"/>
  <c r="L303" i="4"/>
  <c r="D303" i="4"/>
  <c r="K303" i="4"/>
  <c r="J303" i="4"/>
  <c r="G303" i="4"/>
  <c r="H303" i="4"/>
  <c r="I303" i="4"/>
  <c r="I304" i="4" l="1"/>
  <c r="H304" i="4"/>
  <c r="G304" i="4"/>
  <c r="F304" i="4"/>
  <c r="E304" i="4"/>
  <c r="D304" i="4"/>
  <c r="M304" i="4"/>
  <c r="C305" i="4" s="1"/>
  <c r="K304" i="4"/>
  <c r="J304" i="4"/>
  <c r="L304" i="4"/>
  <c r="J148" i="4"/>
  <c r="F148" i="4"/>
  <c r="I148" i="4"/>
  <c r="D148" i="4"/>
  <c r="B305" i="4"/>
  <c r="A306" i="4"/>
  <c r="L305" i="4" l="1"/>
  <c r="D305" i="4"/>
  <c r="K305" i="4"/>
  <c r="J305" i="4"/>
  <c r="I305" i="4"/>
  <c r="H305" i="4"/>
  <c r="G305" i="4"/>
  <c r="F305" i="4"/>
  <c r="E305" i="4"/>
  <c r="M305" i="4"/>
  <c r="C306" i="4" s="1"/>
  <c r="E148" i="4"/>
  <c r="G148" i="4" s="1"/>
  <c r="H148" i="4" s="1"/>
  <c r="A307" i="4"/>
  <c r="B306" i="4"/>
  <c r="G306" i="4" l="1"/>
  <c r="F306" i="4"/>
  <c r="M306" i="4"/>
  <c r="C307" i="4" s="1"/>
  <c r="E306" i="4"/>
  <c r="L306" i="4"/>
  <c r="D306" i="4"/>
  <c r="K306" i="4"/>
  <c r="J306" i="4"/>
  <c r="I306" i="4"/>
  <c r="H306" i="4"/>
  <c r="B307" i="4"/>
  <c r="A308" i="4"/>
  <c r="K148" i="4"/>
  <c r="L148" i="4" s="1"/>
  <c r="M148" i="4"/>
  <c r="C149" i="4" s="1"/>
  <c r="B308" i="4" l="1"/>
  <c r="A309" i="4"/>
  <c r="D149" i="4"/>
  <c r="I149" i="4"/>
  <c r="J149" i="4"/>
  <c r="F149" i="4"/>
  <c r="J307" i="4"/>
  <c r="I307" i="4"/>
  <c r="H307" i="4"/>
  <c r="G307" i="4"/>
  <c r="M307" i="4"/>
  <c r="C308" i="4" s="1"/>
  <c r="L307" i="4"/>
  <c r="K307" i="4"/>
  <c r="F307" i="4"/>
  <c r="E307" i="4"/>
  <c r="D307" i="4"/>
  <c r="E149" i="4" l="1"/>
  <c r="G149" i="4" s="1"/>
  <c r="H149" i="4" s="1"/>
  <c r="A310" i="4"/>
  <c r="B309" i="4"/>
  <c r="M308" i="4"/>
  <c r="C309" i="4" s="1"/>
  <c r="E308" i="4"/>
  <c r="L308" i="4"/>
  <c r="D308" i="4"/>
  <c r="K308" i="4"/>
  <c r="J308" i="4"/>
  <c r="I308" i="4"/>
  <c r="F308" i="4"/>
  <c r="H308" i="4"/>
  <c r="G308" i="4"/>
  <c r="H309" i="4" l="1"/>
  <c r="G309" i="4"/>
  <c r="F309" i="4"/>
  <c r="M309" i="4"/>
  <c r="C310" i="4" s="1"/>
  <c r="E309" i="4"/>
  <c r="D309" i="4"/>
  <c r="L309" i="4"/>
  <c r="I309" i="4"/>
  <c r="K309" i="4"/>
  <c r="J309" i="4"/>
  <c r="B310" i="4"/>
  <c r="A311" i="4"/>
  <c r="K149" i="4"/>
  <c r="L149" i="4" s="1"/>
  <c r="M149" i="4"/>
  <c r="C150" i="4" s="1"/>
  <c r="A312" i="4" l="1"/>
  <c r="B311" i="4"/>
  <c r="D150" i="4"/>
  <c r="I150" i="4"/>
  <c r="F150" i="4"/>
  <c r="J150" i="4"/>
  <c r="K310" i="4"/>
  <c r="J310" i="4"/>
  <c r="I310" i="4"/>
  <c r="H310" i="4"/>
  <c r="G310" i="4"/>
  <c r="F310" i="4"/>
  <c r="E310" i="4"/>
  <c r="D310" i="4"/>
  <c r="M310" i="4"/>
  <c r="C311" i="4" s="1"/>
  <c r="L310" i="4"/>
  <c r="E150" i="4" l="1"/>
  <c r="G150" i="4" s="1"/>
  <c r="H150" i="4" s="1"/>
  <c r="F311" i="4"/>
  <c r="M311" i="4"/>
  <c r="C312" i="4" s="1"/>
  <c r="E311" i="4"/>
  <c r="L311" i="4"/>
  <c r="D311" i="4"/>
  <c r="K311" i="4"/>
  <c r="J311" i="4"/>
  <c r="I311" i="4"/>
  <c r="H311" i="4"/>
  <c r="G311" i="4"/>
  <c r="A313" i="4"/>
  <c r="B312" i="4"/>
  <c r="I312" i="4" l="1"/>
  <c r="H312" i="4"/>
  <c r="G312" i="4"/>
  <c r="F312" i="4"/>
  <c r="K312" i="4"/>
  <c r="M312" i="4"/>
  <c r="C313" i="4" s="1"/>
  <c r="L312" i="4"/>
  <c r="J312" i="4"/>
  <c r="E312" i="4"/>
  <c r="D312" i="4"/>
  <c r="B313" i="4"/>
  <c r="A314" i="4"/>
  <c r="K150" i="4"/>
  <c r="L150" i="4" s="1"/>
  <c r="M150" i="4"/>
  <c r="C151" i="4" s="1"/>
  <c r="A315" i="4" l="1"/>
  <c r="B314" i="4"/>
  <c r="J151" i="4"/>
  <c r="I151" i="4"/>
  <c r="D151" i="4"/>
  <c r="F151" i="4"/>
  <c r="L313" i="4"/>
  <c r="D313" i="4"/>
  <c r="K313" i="4"/>
  <c r="J313" i="4"/>
  <c r="I313" i="4"/>
  <c r="F313" i="4"/>
  <c r="G313" i="4"/>
  <c r="E313" i="4"/>
  <c r="H313" i="4"/>
  <c r="M313" i="4"/>
  <c r="C314" i="4" s="1"/>
  <c r="E151" i="4" l="1"/>
  <c r="G151" i="4" s="1"/>
  <c r="H151" i="4" s="1"/>
  <c r="G314" i="4"/>
  <c r="F314" i="4"/>
  <c r="M314" i="4"/>
  <c r="C315" i="4" s="1"/>
  <c r="E314" i="4"/>
  <c r="L314" i="4"/>
  <c r="D314" i="4"/>
  <c r="I314" i="4"/>
  <c r="K314" i="4"/>
  <c r="J314" i="4"/>
  <c r="H314" i="4"/>
  <c r="B315" i="4"/>
  <c r="A316" i="4"/>
  <c r="J315" i="4" l="1"/>
  <c r="I315" i="4"/>
  <c r="H315" i="4"/>
  <c r="G315" i="4"/>
  <c r="L315" i="4"/>
  <c r="D315" i="4"/>
  <c r="M315" i="4"/>
  <c r="C316" i="4" s="1"/>
  <c r="F315" i="4"/>
  <c r="E315" i="4"/>
  <c r="K315" i="4"/>
  <c r="B316" i="4"/>
  <c r="A317" i="4"/>
  <c r="K151" i="4"/>
  <c r="L151" i="4" s="1"/>
  <c r="M151" i="4"/>
  <c r="C152" i="4" s="1"/>
  <c r="M316" i="4" l="1"/>
  <c r="C317" i="4" s="1"/>
  <c r="E316" i="4"/>
  <c r="L316" i="4"/>
  <c r="D316" i="4"/>
  <c r="K316" i="4"/>
  <c r="J316" i="4"/>
  <c r="G316" i="4"/>
  <c r="I316" i="4"/>
  <c r="H316" i="4"/>
  <c r="F316" i="4"/>
  <c r="A318" i="4"/>
  <c r="B317" i="4"/>
  <c r="H317" i="4" l="1"/>
  <c r="G317" i="4"/>
  <c r="F317" i="4"/>
  <c r="M317" i="4"/>
  <c r="C318" i="4" s="1"/>
  <c r="E317" i="4"/>
  <c r="J317" i="4"/>
  <c r="L317" i="4"/>
  <c r="K317" i="4"/>
  <c r="I317" i="4"/>
  <c r="D317" i="4"/>
  <c r="B318" i="4"/>
  <c r="A319" i="4"/>
  <c r="K318" i="4" l="1"/>
  <c r="J318" i="4"/>
  <c r="I318" i="4"/>
  <c r="H318" i="4"/>
  <c r="M318" i="4"/>
  <c r="C319" i="4" s="1"/>
  <c r="E318" i="4"/>
  <c r="F318" i="4"/>
  <c r="D318" i="4"/>
  <c r="L318" i="4"/>
  <c r="G318" i="4"/>
  <c r="A320" i="4"/>
  <c r="B319" i="4"/>
  <c r="F319" i="4" l="1"/>
  <c r="M319" i="4"/>
  <c r="C320" i="4" s="1"/>
  <c r="E319" i="4"/>
  <c r="L319" i="4"/>
  <c r="D319" i="4"/>
  <c r="K319" i="4"/>
  <c r="H319" i="4"/>
  <c r="J319" i="4"/>
  <c r="I319" i="4"/>
  <c r="G319" i="4"/>
  <c r="A321" i="4"/>
  <c r="B320" i="4"/>
  <c r="I320" i="4" l="1"/>
  <c r="H320" i="4"/>
  <c r="G320" i="4"/>
  <c r="F320" i="4"/>
  <c r="K320" i="4"/>
  <c r="M320" i="4"/>
  <c r="C321" i="4" s="1"/>
  <c r="L320" i="4"/>
  <c r="D320" i="4"/>
  <c r="E320" i="4"/>
  <c r="J320" i="4"/>
  <c r="B321" i="4"/>
  <c r="A322" i="4"/>
  <c r="A323" i="4" l="1"/>
  <c r="B322" i="4"/>
  <c r="L321" i="4"/>
  <c r="D321" i="4"/>
  <c r="K321" i="4"/>
  <c r="J321" i="4"/>
  <c r="I321" i="4"/>
  <c r="F321" i="4"/>
  <c r="H321" i="4"/>
  <c r="G321" i="4"/>
  <c r="E321" i="4"/>
  <c r="M321" i="4"/>
  <c r="C322" i="4" s="1"/>
  <c r="G322" i="4" l="1"/>
  <c r="F322" i="4"/>
  <c r="M322" i="4"/>
  <c r="C323" i="4" s="1"/>
  <c r="E322" i="4"/>
  <c r="L322" i="4"/>
  <c r="D322" i="4"/>
  <c r="I322" i="4"/>
  <c r="K322" i="4"/>
  <c r="J322" i="4"/>
  <c r="H322" i="4"/>
  <c r="B323" i="4"/>
  <c r="A324" i="4"/>
  <c r="J323" i="4" l="1"/>
  <c r="I323" i="4"/>
  <c r="H323" i="4"/>
  <c r="G323" i="4"/>
  <c r="L323" i="4"/>
  <c r="D323" i="4"/>
  <c r="E323" i="4"/>
  <c r="M323" i="4"/>
  <c r="C324" i="4" s="1"/>
  <c r="K323" i="4"/>
  <c r="F323" i="4"/>
  <c r="B324" i="4"/>
  <c r="A325" i="4"/>
  <c r="M324" i="4" l="1"/>
  <c r="C325" i="4" s="1"/>
  <c r="E324" i="4"/>
  <c r="L324" i="4"/>
  <c r="D324" i="4"/>
  <c r="K324" i="4"/>
  <c r="J324" i="4"/>
  <c r="G324" i="4"/>
  <c r="I324" i="4"/>
  <c r="H324" i="4"/>
  <c r="F324" i="4"/>
  <c r="A326" i="4"/>
  <c r="B325" i="4"/>
  <c r="H325" i="4" l="1"/>
  <c r="G325" i="4"/>
  <c r="F325" i="4"/>
  <c r="M325" i="4"/>
  <c r="C326" i="4" s="1"/>
  <c r="E325" i="4"/>
  <c r="J325" i="4"/>
  <c r="L325" i="4"/>
  <c r="K325" i="4"/>
  <c r="I325" i="4"/>
  <c r="D325" i="4"/>
  <c r="B326" i="4"/>
  <c r="A327" i="4"/>
  <c r="A328" i="4" l="1"/>
  <c r="B327" i="4"/>
  <c r="K326" i="4"/>
  <c r="J326" i="4"/>
  <c r="I326" i="4"/>
  <c r="H326" i="4"/>
  <c r="M326" i="4"/>
  <c r="C327" i="4" s="1"/>
  <c r="E326" i="4"/>
  <c r="G326" i="4"/>
  <c r="F326" i="4"/>
  <c r="D326" i="4"/>
  <c r="L326" i="4"/>
  <c r="F327" i="4" l="1"/>
  <c r="M327" i="4"/>
  <c r="C328" i="4" s="1"/>
  <c r="E327" i="4"/>
  <c r="L327" i="4"/>
  <c r="D327" i="4"/>
  <c r="K327" i="4"/>
  <c r="H327" i="4"/>
  <c r="J327" i="4"/>
  <c r="I327" i="4"/>
  <c r="G327" i="4"/>
  <c r="A329" i="4"/>
  <c r="B328" i="4"/>
  <c r="B329" i="4" l="1"/>
  <c r="A330" i="4"/>
  <c r="I328" i="4"/>
  <c r="H328" i="4"/>
  <c r="G328" i="4"/>
  <c r="F328" i="4"/>
  <c r="K328" i="4"/>
  <c r="D328" i="4"/>
  <c r="M328" i="4"/>
  <c r="C329" i="4" s="1"/>
  <c r="J328" i="4"/>
  <c r="E328" i="4"/>
  <c r="L328" i="4"/>
  <c r="A331" i="4" l="1"/>
  <c r="B330" i="4"/>
  <c r="L329" i="4"/>
  <c r="D329" i="4"/>
  <c r="K329" i="4"/>
  <c r="J329" i="4"/>
  <c r="I329" i="4"/>
  <c r="F329" i="4"/>
  <c r="M329" i="4"/>
  <c r="C330" i="4" s="1"/>
  <c r="H329" i="4"/>
  <c r="G329" i="4"/>
  <c r="E329" i="4"/>
  <c r="G330" i="4" l="1"/>
  <c r="F330" i="4"/>
  <c r="M330" i="4"/>
  <c r="C331" i="4" s="1"/>
  <c r="E330" i="4"/>
  <c r="L330" i="4"/>
  <c r="D330" i="4"/>
  <c r="I330" i="4"/>
  <c r="K330" i="4"/>
  <c r="J330" i="4"/>
  <c r="H330" i="4"/>
  <c r="B331" i="4"/>
  <c r="A332" i="4"/>
  <c r="J331" i="4" l="1"/>
  <c r="I331" i="4"/>
  <c r="H331" i="4"/>
  <c r="G331" i="4"/>
  <c r="L331" i="4"/>
  <c r="D331" i="4"/>
  <c r="F331" i="4"/>
  <c r="E331" i="4"/>
  <c r="M331" i="4"/>
  <c r="C332" i="4" s="1"/>
  <c r="K331" i="4"/>
  <c r="B332" i="4"/>
  <c r="A333" i="4"/>
  <c r="A334" i="4" l="1"/>
  <c r="B333" i="4"/>
  <c r="M332" i="4"/>
  <c r="C333" i="4" s="1"/>
  <c r="E332" i="4"/>
  <c r="L332" i="4"/>
  <c r="D332" i="4"/>
  <c r="K332" i="4"/>
  <c r="J332" i="4"/>
  <c r="G332" i="4"/>
  <c r="I332" i="4"/>
  <c r="H332" i="4"/>
  <c r="F332" i="4"/>
  <c r="H333" i="4" l="1"/>
  <c r="G333" i="4"/>
  <c r="F333" i="4"/>
  <c r="M333" i="4"/>
  <c r="C334" i="4" s="1"/>
  <c r="E333" i="4"/>
  <c r="J333" i="4"/>
  <c r="L333" i="4"/>
  <c r="D333" i="4"/>
  <c r="K333" i="4"/>
  <c r="I333" i="4"/>
  <c r="B334" i="4"/>
  <c r="A335" i="4"/>
  <c r="K334" i="4" l="1"/>
  <c r="J334" i="4"/>
  <c r="I334" i="4"/>
  <c r="H334" i="4"/>
  <c r="M334" i="4"/>
  <c r="C335" i="4" s="1"/>
  <c r="E334" i="4"/>
  <c r="L334" i="4"/>
  <c r="G334" i="4"/>
  <c r="F334" i="4"/>
  <c r="D334" i="4"/>
  <c r="A336" i="4"/>
  <c r="B335" i="4"/>
  <c r="F335" i="4" l="1"/>
  <c r="M335" i="4"/>
  <c r="C336" i="4" s="1"/>
  <c r="E335" i="4"/>
  <c r="L335" i="4"/>
  <c r="D335" i="4"/>
  <c r="K335" i="4"/>
  <c r="H335" i="4"/>
  <c r="J335" i="4"/>
  <c r="I335" i="4"/>
  <c r="G335" i="4"/>
  <c r="A337" i="4"/>
  <c r="B336" i="4"/>
  <c r="I336" i="4" l="1"/>
  <c r="H336" i="4"/>
  <c r="G336" i="4"/>
  <c r="F336" i="4"/>
  <c r="K336" i="4"/>
  <c r="E336" i="4"/>
  <c r="D336" i="4"/>
  <c r="M336" i="4"/>
  <c r="C337" i="4" s="1"/>
  <c r="L336" i="4"/>
  <c r="J336" i="4"/>
  <c r="B337" i="4"/>
  <c r="A338" i="4"/>
  <c r="L337" i="4" l="1"/>
  <c r="D337" i="4"/>
  <c r="K337" i="4"/>
  <c r="J337" i="4"/>
  <c r="I337" i="4"/>
  <c r="F337" i="4"/>
  <c r="M337" i="4"/>
  <c r="C338" i="4" s="1"/>
  <c r="H337" i="4"/>
  <c r="G337" i="4"/>
  <c r="E337" i="4"/>
  <c r="A339" i="4"/>
  <c r="B338" i="4"/>
  <c r="G338" i="4" l="1"/>
  <c r="F338" i="4"/>
  <c r="M338" i="4"/>
  <c r="C339" i="4" s="1"/>
  <c r="E338" i="4"/>
  <c r="L338" i="4"/>
  <c r="D338" i="4"/>
  <c r="I338" i="4"/>
  <c r="K338" i="4"/>
  <c r="J338" i="4"/>
  <c r="H338" i="4"/>
  <c r="B339" i="4"/>
  <c r="A340" i="4"/>
  <c r="M339" i="4" l="1"/>
  <c r="C340" i="4" s="1"/>
  <c r="L339" i="4"/>
  <c r="K339" i="4"/>
  <c r="J339" i="4"/>
  <c r="H339" i="4"/>
  <c r="I339" i="4"/>
  <c r="G339" i="4"/>
  <c r="D339" i="4"/>
  <c r="F339" i="4"/>
  <c r="E339" i="4"/>
  <c r="A341" i="4"/>
  <c r="B340" i="4"/>
  <c r="H340" i="4" l="1"/>
  <c r="G340" i="4"/>
  <c r="F340" i="4"/>
  <c r="M340" i="4"/>
  <c r="C341" i="4" s="1"/>
  <c r="E340" i="4"/>
  <c r="K340" i="4"/>
  <c r="I340" i="4"/>
  <c r="D340" i="4"/>
  <c r="L340" i="4"/>
  <c r="J340" i="4"/>
  <c r="B341" i="4"/>
  <c r="A342" i="4"/>
  <c r="A343" i="4" l="1"/>
  <c r="B342" i="4"/>
  <c r="K341" i="4"/>
  <c r="J341" i="4"/>
  <c r="I341" i="4"/>
  <c r="H341" i="4"/>
  <c r="F341" i="4"/>
  <c r="L341" i="4"/>
  <c r="G341" i="4"/>
  <c r="E341" i="4"/>
  <c r="D341" i="4"/>
  <c r="M341" i="4"/>
  <c r="C342" i="4" s="1"/>
  <c r="F342" i="4" l="1"/>
  <c r="M342" i="4"/>
  <c r="C343" i="4" s="1"/>
  <c r="E342" i="4"/>
  <c r="L342" i="4"/>
  <c r="D342" i="4"/>
  <c r="K342" i="4"/>
  <c r="I342" i="4"/>
  <c r="J342" i="4"/>
  <c r="H342" i="4"/>
  <c r="G342" i="4"/>
  <c r="A344" i="4"/>
  <c r="B343" i="4"/>
  <c r="I343" i="4" l="1"/>
  <c r="H343" i="4"/>
  <c r="G343" i="4"/>
  <c r="F343" i="4"/>
  <c r="L343" i="4"/>
  <c r="D343" i="4"/>
  <c r="E343" i="4"/>
  <c r="K343" i="4"/>
  <c r="M343" i="4"/>
  <c r="C344" i="4" s="1"/>
  <c r="J343" i="4"/>
  <c r="B344" i="4"/>
  <c r="A345" i="4"/>
  <c r="A346" i="4" l="1"/>
  <c r="B345" i="4"/>
  <c r="L344" i="4"/>
  <c r="D344" i="4"/>
  <c r="K344" i="4"/>
  <c r="J344" i="4"/>
  <c r="I344" i="4"/>
  <c r="G344" i="4"/>
  <c r="M344" i="4"/>
  <c r="C345" i="4" s="1"/>
  <c r="H344" i="4"/>
  <c r="F344" i="4"/>
  <c r="E344" i="4"/>
  <c r="G345" i="4" l="1"/>
  <c r="F345" i="4"/>
  <c r="M345" i="4"/>
  <c r="C346" i="4" s="1"/>
  <c r="E345" i="4"/>
  <c r="L345" i="4"/>
  <c r="D345" i="4"/>
  <c r="J345" i="4"/>
  <c r="H345" i="4"/>
  <c r="I345" i="4"/>
  <c r="K345" i="4"/>
  <c r="B346" i="4"/>
  <c r="A347" i="4"/>
  <c r="B347" i="4" l="1"/>
  <c r="A348" i="4"/>
  <c r="J346" i="4"/>
  <c r="I346" i="4"/>
  <c r="H346" i="4"/>
  <c r="G346" i="4"/>
  <c r="M346" i="4"/>
  <c r="C347" i="4" s="1"/>
  <c r="E346" i="4"/>
  <c r="K346" i="4"/>
  <c r="F346" i="4"/>
  <c r="D346" i="4"/>
  <c r="L346" i="4"/>
  <c r="A349" i="4" l="1"/>
  <c r="B348" i="4"/>
  <c r="M347" i="4"/>
  <c r="C348" i="4" s="1"/>
  <c r="E347" i="4"/>
  <c r="L347" i="4"/>
  <c r="D347" i="4"/>
  <c r="K347" i="4"/>
  <c r="J347" i="4"/>
  <c r="H347" i="4"/>
  <c r="I347" i="4"/>
  <c r="G347" i="4"/>
  <c r="F347" i="4"/>
  <c r="H348" i="4" l="1"/>
  <c r="G348" i="4"/>
  <c r="F348" i="4"/>
  <c r="M348" i="4"/>
  <c r="C349" i="4" s="1"/>
  <c r="E348" i="4"/>
  <c r="K348" i="4"/>
  <c r="D348" i="4"/>
  <c r="J348" i="4"/>
  <c r="L348" i="4"/>
  <c r="I348" i="4"/>
  <c r="B349" i="4"/>
  <c r="A350" i="4"/>
  <c r="K349" i="4" l="1"/>
  <c r="J349" i="4"/>
  <c r="I349" i="4"/>
  <c r="H349" i="4"/>
  <c r="F349" i="4"/>
  <c r="M349" i="4"/>
  <c r="C350" i="4" s="1"/>
  <c r="L349" i="4"/>
  <c r="G349" i="4"/>
  <c r="E349" i="4"/>
  <c r="D349" i="4"/>
  <c r="A351" i="4"/>
  <c r="B350" i="4"/>
  <c r="F350" i="4" l="1"/>
  <c r="M350" i="4"/>
  <c r="C351" i="4" s="1"/>
  <c r="E350" i="4"/>
  <c r="L350" i="4"/>
  <c r="D350" i="4"/>
  <c r="K350" i="4"/>
  <c r="I350" i="4"/>
  <c r="G350" i="4"/>
  <c r="J350" i="4"/>
  <c r="H350" i="4"/>
  <c r="A352" i="4"/>
  <c r="B351" i="4"/>
  <c r="B352" i="4" l="1"/>
  <c r="A353" i="4"/>
  <c r="I351" i="4"/>
  <c r="H351" i="4"/>
  <c r="G351" i="4"/>
  <c r="F351" i="4"/>
  <c r="L351" i="4"/>
  <c r="D351" i="4"/>
  <c r="J351" i="4"/>
  <c r="E351" i="4"/>
  <c r="M351" i="4"/>
  <c r="C352" i="4" s="1"/>
  <c r="K351" i="4"/>
  <c r="A354" i="4" l="1"/>
  <c r="B353" i="4"/>
  <c r="L352" i="4"/>
  <c r="D352" i="4"/>
  <c r="K352" i="4"/>
  <c r="J352" i="4"/>
  <c r="I352" i="4"/>
  <c r="G352" i="4"/>
  <c r="M352" i="4"/>
  <c r="C353" i="4" s="1"/>
  <c r="H352" i="4"/>
  <c r="F352" i="4"/>
  <c r="E352" i="4"/>
  <c r="G353" i="4" l="1"/>
  <c r="F353" i="4"/>
  <c r="M353" i="4"/>
  <c r="C354" i="4" s="1"/>
  <c r="E353" i="4"/>
  <c r="L353" i="4"/>
  <c r="D353" i="4"/>
  <c r="J353" i="4"/>
  <c r="I353" i="4"/>
  <c r="H353" i="4"/>
  <c r="K353" i="4"/>
  <c r="B354" i="4"/>
  <c r="A355" i="4"/>
  <c r="B355" i="4" l="1"/>
  <c r="A356" i="4"/>
  <c r="J354" i="4"/>
  <c r="I354" i="4"/>
  <c r="H354" i="4"/>
  <c r="G354" i="4"/>
  <c r="M354" i="4"/>
  <c r="C355" i="4" s="1"/>
  <c r="E354" i="4"/>
  <c r="L354" i="4"/>
  <c r="K354" i="4"/>
  <c r="F354" i="4"/>
  <c r="D354" i="4"/>
  <c r="A357" i="4" l="1"/>
  <c r="B356" i="4"/>
  <c r="M355" i="4"/>
  <c r="C356" i="4" s="1"/>
  <c r="E355" i="4"/>
  <c r="L355" i="4"/>
  <c r="D355" i="4"/>
  <c r="K355" i="4"/>
  <c r="J355" i="4"/>
  <c r="H355" i="4"/>
  <c r="F355" i="4"/>
  <c r="I355" i="4"/>
  <c r="G355" i="4"/>
  <c r="H356" i="4" l="1"/>
  <c r="G356" i="4"/>
  <c r="F356" i="4"/>
  <c r="M356" i="4"/>
  <c r="C357" i="4" s="1"/>
  <c r="E356" i="4"/>
  <c r="K356" i="4"/>
  <c r="I356" i="4"/>
  <c r="D356" i="4"/>
  <c r="L356" i="4"/>
  <c r="J356" i="4"/>
  <c r="B357" i="4"/>
  <c r="A358" i="4"/>
  <c r="K357" i="4" l="1"/>
  <c r="J357" i="4"/>
  <c r="I357" i="4"/>
  <c r="H357" i="4"/>
  <c r="F357" i="4"/>
  <c r="M357" i="4"/>
  <c r="C358" i="4" s="1"/>
  <c r="L357" i="4"/>
  <c r="G357" i="4"/>
  <c r="E357" i="4"/>
  <c r="D357" i="4"/>
  <c r="A359" i="4"/>
  <c r="B358" i="4"/>
  <c r="A360" i="4" l="1"/>
  <c r="B359" i="4"/>
  <c r="F358" i="4"/>
  <c r="M358" i="4"/>
  <c r="C359" i="4" s="1"/>
  <c r="E358" i="4"/>
  <c r="L358" i="4"/>
  <c r="D358" i="4"/>
  <c r="K358" i="4"/>
  <c r="I358" i="4"/>
  <c r="H358" i="4"/>
  <c r="G358" i="4"/>
  <c r="J358" i="4"/>
  <c r="I359" i="4" l="1"/>
  <c r="H359" i="4"/>
  <c r="G359" i="4"/>
  <c r="F359" i="4"/>
  <c r="L359" i="4"/>
  <c r="D359" i="4"/>
  <c r="K359" i="4"/>
  <c r="J359" i="4"/>
  <c r="E359" i="4"/>
  <c r="M359" i="4"/>
  <c r="C360" i="4" s="1"/>
  <c r="B360" i="4"/>
  <c r="A361" i="4"/>
  <c r="A362" i="4" l="1"/>
  <c r="B361" i="4"/>
  <c r="L360" i="4"/>
  <c r="D360" i="4"/>
  <c r="K360" i="4"/>
  <c r="J360" i="4"/>
  <c r="I360" i="4"/>
  <c r="G360" i="4"/>
  <c r="M360" i="4"/>
  <c r="C361" i="4" s="1"/>
  <c r="E360" i="4"/>
  <c r="H360" i="4"/>
  <c r="F360" i="4"/>
  <c r="G361" i="4" l="1"/>
  <c r="F361" i="4"/>
  <c r="M361" i="4"/>
  <c r="C362" i="4" s="1"/>
  <c r="E361" i="4"/>
  <c r="L361" i="4"/>
  <c r="D361" i="4"/>
  <c r="J361" i="4"/>
  <c r="H361" i="4"/>
  <c r="K361" i="4"/>
  <c r="I361" i="4"/>
  <c r="B362" i="4"/>
  <c r="A363" i="4"/>
  <c r="J362" i="4" l="1"/>
  <c r="I362" i="4"/>
  <c r="H362" i="4"/>
  <c r="G362" i="4"/>
  <c r="M362" i="4"/>
  <c r="C363" i="4" s="1"/>
  <c r="E362" i="4"/>
  <c r="L362" i="4"/>
  <c r="K362" i="4"/>
  <c r="F362" i="4"/>
  <c r="D362" i="4"/>
  <c r="B363" i="4"/>
  <c r="A364" i="4"/>
  <c r="M363" i="4" l="1"/>
  <c r="C364" i="4" s="1"/>
  <c r="E363" i="4"/>
  <c r="L363" i="4"/>
  <c r="D363" i="4"/>
  <c r="K363" i="4"/>
  <c r="J363" i="4"/>
  <c r="H363" i="4"/>
  <c r="G363" i="4"/>
  <c r="F363" i="4"/>
  <c r="I363" i="4"/>
  <c r="A365" i="4"/>
  <c r="B364" i="4"/>
  <c r="H364" i="4" l="1"/>
  <c r="G364" i="4"/>
  <c r="F364" i="4"/>
  <c r="M364" i="4"/>
  <c r="C365" i="4" s="1"/>
  <c r="E364" i="4"/>
  <c r="K364" i="4"/>
  <c r="J364" i="4"/>
  <c r="I364" i="4"/>
  <c r="D364" i="4"/>
  <c r="L364" i="4"/>
  <c r="B365" i="4"/>
  <c r="A366" i="4"/>
  <c r="A367" i="4" l="1"/>
  <c r="B366" i="4"/>
  <c r="K365" i="4"/>
  <c r="J365" i="4"/>
  <c r="I365" i="4"/>
  <c r="H365" i="4"/>
  <c r="F365" i="4"/>
  <c r="M365" i="4"/>
  <c r="C366" i="4" s="1"/>
  <c r="L365" i="4"/>
  <c r="D365" i="4"/>
  <c r="G365" i="4"/>
  <c r="E365" i="4"/>
  <c r="F366" i="4" l="1"/>
  <c r="M366" i="4"/>
  <c r="C367" i="4" s="1"/>
  <c r="E366" i="4"/>
  <c r="L366" i="4"/>
  <c r="D366" i="4"/>
  <c r="K366" i="4"/>
  <c r="I366" i="4"/>
  <c r="G366" i="4"/>
  <c r="J366" i="4"/>
  <c r="H366" i="4"/>
  <c r="A368" i="4"/>
  <c r="B367" i="4"/>
  <c r="B368" i="4" l="1"/>
  <c r="A369" i="4"/>
  <c r="I367" i="4"/>
  <c r="H367" i="4"/>
  <c r="G367" i="4"/>
  <c r="F367" i="4"/>
  <c r="L367" i="4"/>
  <c r="D367" i="4"/>
  <c r="M367" i="4"/>
  <c r="C368" i="4" s="1"/>
  <c r="K367" i="4"/>
  <c r="J367" i="4"/>
  <c r="E367" i="4"/>
  <c r="A370" i="4" l="1"/>
  <c r="B369" i="4"/>
  <c r="L368" i="4"/>
  <c r="D368" i="4"/>
  <c r="K368" i="4"/>
  <c r="J368" i="4"/>
  <c r="I368" i="4"/>
  <c r="G368" i="4"/>
  <c r="F368" i="4"/>
  <c r="M368" i="4"/>
  <c r="C369" i="4" s="1"/>
  <c r="H368" i="4"/>
  <c r="E368" i="4"/>
  <c r="G369" i="4" l="1"/>
  <c r="F369" i="4"/>
  <c r="M369" i="4"/>
  <c r="C370" i="4" s="1"/>
  <c r="E369" i="4"/>
  <c r="L369" i="4"/>
  <c r="D369" i="4"/>
  <c r="J369" i="4"/>
  <c r="I369" i="4"/>
  <c r="H369" i="4"/>
  <c r="K369" i="4"/>
  <c r="B370" i="4"/>
  <c r="A371" i="4"/>
  <c r="B371" i="4" l="1"/>
  <c r="A372" i="4"/>
  <c r="J370" i="4"/>
  <c r="I370" i="4"/>
  <c r="H370" i="4"/>
  <c r="G370" i="4"/>
  <c r="M370" i="4"/>
  <c r="C371" i="4" s="1"/>
  <c r="E370" i="4"/>
  <c r="L370" i="4"/>
  <c r="K370" i="4"/>
  <c r="F370" i="4"/>
  <c r="D370" i="4"/>
  <c r="A373" i="4" l="1"/>
  <c r="B372" i="4"/>
  <c r="M371" i="4"/>
  <c r="C372" i="4" s="1"/>
  <c r="E371" i="4"/>
  <c r="L371" i="4"/>
  <c r="D371" i="4"/>
  <c r="K371" i="4"/>
  <c r="J371" i="4"/>
  <c r="I371" i="4"/>
  <c r="H371" i="4"/>
  <c r="G371" i="4"/>
  <c r="F371" i="4"/>
  <c r="H372" i="4" l="1"/>
  <c r="G372" i="4"/>
  <c r="F372" i="4"/>
  <c r="M372" i="4"/>
  <c r="C373" i="4" s="1"/>
  <c r="E372" i="4"/>
  <c r="L372" i="4"/>
  <c r="D372" i="4"/>
  <c r="K372" i="4"/>
  <c r="J372" i="4"/>
  <c r="I372" i="4"/>
  <c r="B373" i="4"/>
  <c r="A374" i="4"/>
  <c r="A375" i="4" l="1"/>
  <c r="B374" i="4"/>
  <c r="K373" i="4"/>
  <c r="J373" i="4"/>
  <c r="I373" i="4"/>
  <c r="H373" i="4"/>
  <c r="G373" i="4"/>
  <c r="F373" i="4"/>
  <c r="M373" i="4"/>
  <c r="C374" i="4" s="1"/>
  <c r="L373" i="4"/>
  <c r="E373" i="4"/>
  <c r="D373" i="4"/>
  <c r="F374" i="4" l="1"/>
  <c r="M374" i="4"/>
  <c r="C375" i="4" s="1"/>
  <c r="E374" i="4"/>
  <c r="L374" i="4"/>
  <c r="D374" i="4"/>
  <c r="K374" i="4"/>
  <c r="J374" i="4"/>
  <c r="I374" i="4"/>
  <c r="H374" i="4"/>
  <c r="G374" i="4"/>
  <c r="A376" i="4"/>
  <c r="B375" i="4"/>
  <c r="I375" i="4" l="1"/>
  <c r="H375" i="4"/>
  <c r="G375" i="4"/>
  <c r="F375" i="4"/>
  <c r="M375" i="4"/>
  <c r="C376" i="4" s="1"/>
  <c r="E375" i="4"/>
  <c r="L375" i="4"/>
  <c r="D375" i="4"/>
  <c r="K375" i="4"/>
  <c r="J375" i="4"/>
  <c r="B376" i="4"/>
  <c r="A377" i="4"/>
  <c r="A378" i="4" l="1"/>
  <c r="B377" i="4"/>
  <c r="L376" i="4"/>
  <c r="D376" i="4"/>
  <c r="K376" i="4"/>
  <c r="J376" i="4"/>
  <c r="I376" i="4"/>
  <c r="H376" i="4"/>
  <c r="G376" i="4"/>
  <c r="F376" i="4"/>
  <c r="E376" i="4"/>
  <c r="M376" i="4"/>
  <c r="C377" i="4" s="1"/>
  <c r="G377" i="4" l="1"/>
  <c r="F377" i="4"/>
  <c r="M377" i="4"/>
  <c r="C378" i="4" s="1"/>
  <c r="E377" i="4"/>
  <c r="L377" i="4"/>
  <c r="D377" i="4"/>
  <c r="K377" i="4"/>
  <c r="J377" i="4"/>
  <c r="H377" i="4"/>
  <c r="I377" i="4"/>
  <c r="B378" i="4"/>
  <c r="A379" i="4"/>
  <c r="B379" i="4" l="1"/>
  <c r="A380" i="4"/>
  <c r="J378" i="4"/>
  <c r="I378" i="4"/>
  <c r="H378" i="4"/>
  <c r="G378" i="4"/>
  <c r="F378" i="4"/>
  <c r="M378" i="4"/>
  <c r="C379" i="4" s="1"/>
  <c r="E378" i="4"/>
  <c r="L378" i="4"/>
  <c r="K378" i="4"/>
  <c r="D378" i="4"/>
  <c r="A381" i="4" l="1"/>
  <c r="B380" i="4"/>
  <c r="M379" i="4"/>
  <c r="C380" i="4" s="1"/>
  <c r="E379" i="4"/>
  <c r="L379" i="4"/>
  <c r="D379" i="4"/>
  <c r="K379" i="4"/>
  <c r="J379" i="4"/>
  <c r="I379" i="4"/>
  <c r="H379" i="4"/>
  <c r="G379" i="4"/>
  <c r="F379" i="4"/>
  <c r="H380" i="4" l="1"/>
  <c r="G380" i="4"/>
  <c r="F380" i="4"/>
  <c r="M380" i="4"/>
  <c r="C381" i="4" s="1"/>
  <c r="E380" i="4"/>
  <c r="L380" i="4"/>
  <c r="D380" i="4"/>
  <c r="K380" i="4"/>
  <c r="J380" i="4"/>
  <c r="I380" i="4"/>
  <c r="B381" i="4"/>
  <c r="A382" i="4"/>
  <c r="K381" i="4" l="1"/>
  <c r="J381" i="4"/>
  <c r="I381" i="4"/>
  <c r="H381" i="4"/>
  <c r="G381" i="4"/>
  <c r="F381" i="4"/>
  <c r="E381" i="4"/>
  <c r="D381" i="4"/>
  <c r="M381" i="4"/>
  <c r="C382" i="4" s="1"/>
  <c r="L381" i="4"/>
  <c r="A383" i="4"/>
  <c r="B382" i="4"/>
  <c r="A384" i="4" l="1"/>
  <c r="B383" i="4"/>
  <c r="F382" i="4"/>
  <c r="M382" i="4"/>
  <c r="C383" i="4" s="1"/>
  <c r="E382" i="4"/>
  <c r="L382" i="4"/>
  <c r="D382" i="4"/>
  <c r="K382" i="4"/>
  <c r="J382" i="4"/>
  <c r="I382" i="4"/>
  <c r="H382" i="4"/>
  <c r="G382" i="4"/>
  <c r="I383" i="4" l="1"/>
  <c r="H383" i="4"/>
  <c r="G383" i="4"/>
  <c r="F383" i="4"/>
  <c r="M383" i="4"/>
  <c r="C384" i="4" s="1"/>
  <c r="E383" i="4"/>
  <c r="L383" i="4"/>
  <c r="D383" i="4"/>
  <c r="K383" i="4"/>
  <c r="J383" i="4"/>
  <c r="B384" i="4"/>
  <c r="A385" i="4"/>
  <c r="A386" i="4" l="1"/>
  <c r="B385" i="4"/>
  <c r="L384" i="4"/>
  <c r="D384" i="4"/>
  <c r="K384" i="4"/>
  <c r="J384" i="4"/>
  <c r="I384" i="4"/>
  <c r="H384" i="4"/>
  <c r="G384" i="4"/>
  <c r="F384" i="4"/>
  <c r="E384" i="4"/>
  <c r="M384" i="4"/>
  <c r="C385" i="4" s="1"/>
  <c r="G385" i="4" l="1"/>
  <c r="F385" i="4"/>
  <c r="M385" i="4"/>
  <c r="C386" i="4" s="1"/>
  <c r="E385" i="4"/>
  <c r="L385" i="4"/>
  <c r="D385" i="4"/>
  <c r="K385" i="4"/>
  <c r="J385" i="4"/>
  <c r="I385" i="4"/>
  <c r="H385" i="4"/>
  <c r="B386" i="4"/>
  <c r="A387" i="4"/>
  <c r="J386" i="4" l="1"/>
  <c r="I386" i="4"/>
  <c r="H386" i="4"/>
  <c r="G386" i="4"/>
  <c r="F386" i="4"/>
  <c r="M386" i="4"/>
  <c r="C387" i="4" s="1"/>
  <c r="E386" i="4"/>
  <c r="D386" i="4"/>
  <c r="L386" i="4"/>
  <c r="K386" i="4"/>
  <c r="B387" i="4"/>
  <c r="A388" i="4"/>
  <c r="M387" i="4" l="1"/>
  <c r="C388" i="4" s="1"/>
  <c r="E387" i="4"/>
  <c r="L387" i="4"/>
  <c r="D387" i="4"/>
  <c r="K387" i="4"/>
  <c r="J387" i="4"/>
  <c r="I387" i="4"/>
  <c r="H387" i="4"/>
  <c r="G387" i="4"/>
  <c r="F387" i="4"/>
  <c r="A389" i="4"/>
  <c r="B388" i="4"/>
  <c r="B389" i="4" l="1"/>
  <c r="A390" i="4"/>
  <c r="B390" i="4" s="1"/>
  <c r="H388" i="4"/>
  <c r="G388" i="4"/>
  <c r="F388" i="4"/>
  <c r="M388" i="4"/>
  <c r="C389" i="4" s="1"/>
  <c r="E388" i="4"/>
  <c r="L388" i="4"/>
  <c r="D388" i="4"/>
  <c r="K388" i="4"/>
  <c r="J388" i="4"/>
  <c r="I388" i="4"/>
  <c r="F390" i="4" l="1"/>
  <c r="M390" i="4"/>
  <c r="E390" i="4"/>
  <c r="L390" i="4"/>
  <c r="D390" i="4"/>
  <c r="D391" i="4" s="1"/>
  <c r="K390" i="4"/>
  <c r="J390" i="4"/>
  <c r="J391" i="4" s="1"/>
  <c r="I390" i="4"/>
  <c r="I391" i="4" s="1"/>
  <c r="H390" i="4"/>
  <c r="G390" i="4"/>
  <c r="K389" i="4"/>
  <c r="J389" i="4"/>
  <c r="I389" i="4"/>
  <c r="H389" i="4"/>
  <c r="G389" i="4"/>
  <c r="F389" i="4"/>
  <c r="E389" i="4"/>
  <c r="M389" i="4"/>
  <c r="C390" i="4" s="1"/>
  <c r="L389" i="4"/>
  <c r="D389" i="4"/>
  <c r="G391" i="4" l="1"/>
  <c r="K391" i="4"/>
  <c r="F24" i="4"/>
  <c r="F25" i="4" s="1"/>
  <c r="L391" i="4"/>
  <c r="E391" i="4"/>
  <c r="F22" i="4"/>
  <c r="F23" i="4" s="1"/>
  <c r="H391" i="4"/>
  <c r="F391" i="4"/>
  <c r="J16" i="3" l="1"/>
  <c r="J15" i="3"/>
  <c r="J14" i="3"/>
  <c r="J13" i="3"/>
  <c r="J12" i="3"/>
  <c r="J11" i="3"/>
  <c r="B11" i="3"/>
  <c r="J10" i="3"/>
  <c r="J9" i="3"/>
  <c r="J8" i="3"/>
  <c r="J7" i="3"/>
  <c r="B7" i="3"/>
  <c r="B8" i="3" s="1"/>
  <c r="C11" i="3" s="1"/>
  <c r="D11" i="3" s="1"/>
  <c r="J6" i="3"/>
  <c r="J5" i="3"/>
  <c r="B3" i="3"/>
  <c r="A12" i="3" l="1"/>
  <c r="B12" i="3"/>
  <c r="C12" i="3" s="1"/>
  <c r="D12" i="3" s="1"/>
  <c r="G14" i="3"/>
  <c r="H16" i="3"/>
  <c r="G17" i="3" s="1"/>
  <c r="B13" i="3" l="1"/>
  <c r="C13" i="3" s="1"/>
  <c r="D13" i="3" s="1"/>
  <c r="A13" i="3"/>
  <c r="B14" i="3" l="1"/>
  <c r="C14" i="3" s="1"/>
  <c r="D14" i="3" s="1"/>
  <c r="A14" i="3"/>
  <c r="B15" i="3" l="1"/>
  <c r="C15" i="3" s="1"/>
  <c r="D15" i="3" s="1"/>
  <c r="A15" i="3"/>
  <c r="A16" i="3" l="1"/>
  <c r="B16" i="3"/>
  <c r="C16" i="3" l="1"/>
  <c r="D16" i="3" s="1"/>
  <c r="A17" i="3" l="1"/>
  <c r="B17" i="3"/>
  <c r="C17" i="3"/>
  <c r="D17" i="3" s="1"/>
  <c r="B18" i="3" l="1"/>
  <c r="C18" i="3" s="1"/>
  <c r="D18" i="3" s="1"/>
  <c r="A18" i="3"/>
  <c r="A19" i="3" l="1"/>
  <c r="B19" i="3"/>
  <c r="C19" i="3" s="1"/>
  <c r="D19" i="3" s="1"/>
  <c r="B20" i="3" l="1"/>
  <c r="C20" i="3" s="1"/>
  <c r="D20" i="3" s="1"/>
  <c r="A20" i="3"/>
  <c r="B21" i="3" l="1"/>
  <c r="C21" i="3" s="1"/>
  <c r="D21" i="3" s="1"/>
  <c r="A21" i="3"/>
  <c r="B22" i="3" l="1"/>
  <c r="G6" i="3" s="1"/>
  <c r="A22" i="3"/>
  <c r="C22" i="3" l="1"/>
  <c r="D22" i="3" s="1"/>
  <c r="B23" i="3" l="1"/>
  <c r="A23" i="3"/>
  <c r="C23" i="3" l="1"/>
  <c r="D23" i="3" s="1"/>
  <c r="B24" i="3" l="1"/>
  <c r="A24" i="3"/>
  <c r="C24" i="3" l="1"/>
  <c r="D24" i="3" s="1"/>
  <c r="A25" i="3" l="1"/>
  <c r="B25" i="3"/>
  <c r="C25" i="3" l="1"/>
  <c r="D25" i="3" s="1"/>
  <c r="B26" i="3" l="1"/>
  <c r="C26" i="3" s="1"/>
  <c r="D26" i="3" s="1"/>
  <c r="A26" i="3"/>
  <c r="B27" i="3" l="1"/>
  <c r="C27" i="3" s="1"/>
  <c r="D27" i="3" s="1"/>
  <c r="A27" i="3"/>
  <c r="B28" i="3" l="1"/>
  <c r="C28" i="3" s="1"/>
  <c r="D28" i="3" s="1"/>
  <c r="A28" i="3"/>
  <c r="B29" i="3" l="1"/>
  <c r="A29" i="3"/>
  <c r="C29" i="3"/>
  <c r="D29" i="3" s="1"/>
  <c r="B30" i="3" l="1"/>
  <c r="C30" i="3" s="1"/>
  <c r="D30" i="3" s="1"/>
  <c r="A30" i="3"/>
  <c r="A31" i="3" l="1"/>
  <c r="B31" i="3"/>
  <c r="C31" i="3" s="1"/>
  <c r="D31" i="3" s="1"/>
  <c r="B32" i="3" l="1"/>
  <c r="C32" i="3" s="1"/>
  <c r="D32" i="3" s="1"/>
  <c r="A32" i="3"/>
  <c r="A33" i="3" l="1"/>
  <c r="B33" i="3"/>
  <c r="C33" i="3" s="1"/>
  <c r="D33" i="3" s="1"/>
  <c r="B34" i="3" l="1"/>
  <c r="G7" i="3" s="1"/>
  <c r="A34" i="3"/>
  <c r="C34" i="3" l="1"/>
  <c r="D34" i="3" s="1"/>
  <c r="A35" i="3" l="1"/>
  <c r="B35" i="3"/>
  <c r="C35" i="3" s="1"/>
  <c r="D35" i="3" s="1"/>
  <c r="B36" i="3" l="1"/>
  <c r="C36" i="3" s="1"/>
  <c r="D36" i="3" s="1"/>
  <c r="A36" i="3"/>
  <c r="B37" i="3" l="1"/>
  <c r="A37" i="3"/>
  <c r="C37" i="3" l="1"/>
  <c r="D37" i="3" s="1"/>
  <c r="B38" i="3" l="1"/>
  <c r="A38" i="3"/>
  <c r="C38" i="3" l="1"/>
  <c r="D38" i="3" s="1"/>
  <c r="B39" i="3" l="1"/>
  <c r="C39" i="3" s="1"/>
  <c r="D39" i="3" s="1"/>
  <c r="A39" i="3"/>
  <c r="B40" i="3" l="1"/>
  <c r="C40" i="3" s="1"/>
  <c r="D40" i="3" s="1"/>
  <c r="A40" i="3"/>
  <c r="A41" i="3" l="1"/>
  <c r="B41" i="3"/>
  <c r="C41" i="3"/>
  <c r="D41" i="3" s="1"/>
  <c r="B42" i="3" l="1"/>
  <c r="C42" i="3" s="1"/>
  <c r="D42" i="3" s="1"/>
  <c r="A42" i="3"/>
  <c r="B43" i="3" l="1"/>
  <c r="C43" i="3" s="1"/>
  <c r="D43" i="3" s="1"/>
  <c r="A43" i="3"/>
  <c r="B44" i="3" l="1"/>
  <c r="C44" i="3" s="1"/>
  <c r="D44" i="3" s="1"/>
  <c r="A44" i="3"/>
  <c r="B45" i="3" l="1"/>
  <c r="C45" i="3" s="1"/>
  <c r="D45" i="3" s="1"/>
  <c r="A45" i="3"/>
  <c r="B46" i="3" l="1"/>
  <c r="G8" i="3" s="1"/>
  <c r="A46" i="3"/>
  <c r="C46" i="3" l="1"/>
  <c r="D46" i="3" s="1"/>
  <c r="B47" i="3" l="1"/>
  <c r="A47" i="3"/>
  <c r="C47" i="3" l="1"/>
  <c r="D47" i="3" s="1"/>
  <c r="B48" i="3" l="1"/>
  <c r="A48" i="3"/>
  <c r="C48" i="3" l="1"/>
  <c r="D48" i="3" s="1"/>
  <c r="B49" i="3" l="1"/>
  <c r="C49" i="3" s="1"/>
  <c r="D49" i="3" s="1"/>
  <c r="A49" i="3"/>
  <c r="B50" i="3" l="1"/>
  <c r="C50" i="3" s="1"/>
  <c r="D50" i="3" s="1"/>
  <c r="A50" i="3"/>
  <c r="A51" i="3" l="1"/>
  <c r="B51" i="3"/>
  <c r="C51" i="3" s="1"/>
  <c r="D51" i="3" s="1"/>
  <c r="B52" i="3" l="1"/>
  <c r="C52" i="3" s="1"/>
  <c r="D52" i="3" s="1"/>
  <c r="A52" i="3"/>
  <c r="B53" i="3" l="1"/>
  <c r="C53" i="3" s="1"/>
  <c r="D53" i="3" s="1"/>
  <c r="A53" i="3"/>
  <c r="B54" i="3" l="1"/>
  <c r="C54" i="3" s="1"/>
  <c r="D54" i="3" s="1"/>
  <c r="A54" i="3"/>
  <c r="B55" i="3" l="1"/>
  <c r="C55" i="3" s="1"/>
  <c r="D55" i="3" s="1"/>
  <c r="A55" i="3"/>
  <c r="B56" i="3" l="1"/>
  <c r="C56" i="3" s="1"/>
  <c r="D56" i="3" s="1"/>
  <c r="A56" i="3"/>
  <c r="B57" i="3" l="1"/>
  <c r="A57" i="3"/>
  <c r="C57" i="3"/>
  <c r="D57" i="3" s="1"/>
  <c r="B58" i="3" l="1"/>
  <c r="G9" i="3" s="1"/>
  <c r="A58" i="3"/>
  <c r="C58" i="3" l="1"/>
  <c r="D58" i="3" s="1"/>
  <c r="B59" i="3" l="1"/>
  <c r="A59" i="3"/>
  <c r="C59" i="3" l="1"/>
  <c r="D59" i="3" s="1"/>
  <c r="B60" i="3" l="1"/>
  <c r="A60" i="3"/>
  <c r="C60" i="3" l="1"/>
  <c r="D60" i="3" s="1"/>
  <c r="B61" i="3" l="1"/>
  <c r="A61" i="3"/>
  <c r="C61" i="3"/>
  <c r="D61" i="3" s="1"/>
  <c r="B62" i="3" l="1"/>
  <c r="C62" i="3" s="1"/>
  <c r="D62" i="3" s="1"/>
  <c r="A62" i="3"/>
  <c r="B63" i="3" l="1"/>
  <c r="C63" i="3" s="1"/>
  <c r="D63" i="3" s="1"/>
  <c r="A63" i="3"/>
  <c r="B64" i="3" l="1"/>
  <c r="C64" i="3" s="1"/>
  <c r="D64" i="3" s="1"/>
  <c r="A64" i="3"/>
  <c r="A65" i="3" l="1"/>
  <c r="B65" i="3"/>
  <c r="C65" i="3" s="1"/>
  <c r="D65" i="3" s="1"/>
  <c r="B66" i="3" l="1"/>
  <c r="C66" i="3" s="1"/>
  <c r="D66" i="3" s="1"/>
  <c r="A66" i="3"/>
  <c r="A67" i="3" l="1"/>
  <c r="B67" i="3"/>
  <c r="C67" i="3" s="1"/>
  <c r="D67" i="3" s="1"/>
  <c r="B68" i="3" l="1"/>
  <c r="C68" i="3" s="1"/>
  <c r="D68" i="3" s="1"/>
  <c r="A68" i="3"/>
  <c r="B69" i="3" l="1"/>
  <c r="C69" i="3" s="1"/>
  <c r="D69" i="3" s="1"/>
  <c r="A69" i="3"/>
  <c r="B70" i="3" l="1"/>
  <c r="G10" i="3" s="1"/>
  <c r="A70" i="3"/>
  <c r="C70" i="3" l="1"/>
  <c r="D70" i="3" s="1"/>
  <c r="B71" i="3" l="1"/>
  <c r="A71" i="3"/>
  <c r="C71" i="3" l="1"/>
  <c r="D71" i="3" s="1"/>
  <c r="B72" i="3" l="1"/>
  <c r="A72" i="3"/>
  <c r="C72" i="3" l="1"/>
  <c r="D72" i="3" s="1"/>
  <c r="B73" i="3" l="1"/>
  <c r="C73" i="3" s="1"/>
  <c r="D73" i="3" s="1"/>
  <c r="A73" i="3"/>
  <c r="B74" i="3" l="1"/>
  <c r="C74" i="3" s="1"/>
  <c r="D74" i="3" s="1"/>
  <c r="A74" i="3"/>
  <c r="B75" i="3" l="1"/>
  <c r="C75" i="3" s="1"/>
  <c r="D75" i="3" s="1"/>
  <c r="A75" i="3"/>
  <c r="B76" i="3" l="1"/>
  <c r="C76" i="3" s="1"/>
  <c r="D76" i="3" s="1"/>
  <c r="A76" i="3"/>
  <c r="B77" i="3" l="1"/>
  <c r="C77" i="3" s="1"/>
  <c r="D77" i="3" s="1"/>
  <c r="A77" i="3"/>
  <c r="B78" i="3" l="1"/>
  <c r="C78" i="3" s="1"/>
  <c r="D78" i="3" s="1"/>
  <c r="A78" i="3"/>
  <c r="A79" i="3" l="1"/>
  <c r="B79" i="3"/>
  <c r="C79" i="3" s="1"/>
  <c r="D79" i="3" s="1"/>
  <c r="B80" i="3" l="1"/>
  <c r="C80" i="3" s="1"/>
  <c r="D80" i="3" s="1"/>
  <c r="A80" i="3"/>
  <c r="B81" i="3" l="1"/>
  <c r="C81" i="3" s="1"/>
  <c r="D81" i="3" s="1"/>
  <c r="A81" i="3"/>
  <c r="B82" i="3" l="1"/>
  <c r="G11" i="3" s="1"/>
  <c r="A82" i="3"/>
  <c r="C82" i="3" l="1"/>
  <c r="D82" i="3" s="1"/>
  <c r="B83" i="3" l="1"/>
  <c r="A83" i="3"/>
  <c r="C83" i="3" l="1"/>
  <c r="D83" i="3" s="1"/>
  <c r="B84" i="3" l="1"/>
  <c r="C84" i="3" s="1"/>
  <c r="D84" i="3" s="1"/>
  <c r="A84" i="3"/>
  <c r="A85" i="3" l="1"/>
  <c r="B85" i="3"/>
  <c r="C85" i="3" s="1"/>
  <c r="D85" i="3" s="1"/>
  <c r="B86" i="3" l="1"/>
  <c r="C86" i="3" s="1"/>
  <c r="D86" i="3" s="1"/>
  <c r="A86" i="3"/>
  <c r="B87" i="3" l="1"/>
  <c r="C87" i="3" s="1"/>
  <c r="D87" i="3" s="1"/>
  <c r="A87" i="3"/>
  <c r="B88" i="3" l="1"/>
  <c r="C88" i="3" s="1"/>
  <c r="D88" i="3" s="1"/>
  <c r="A88" i="3"/>
  <c r="B89" i="3" l="1"/>
  <c r="C89" i="3" s="1"/>
  <c r="D89" i="3" s="1"/>
  <c r="A89" i="3"/>
  <c r="B90" i="3" l="1"/>
  <c r="C90" i="3" s="1"/>
  <c r="D90" i="3" s="1"/>
  <c r="A90" i="3"/>
  <c r="B91" i="3" l="1"/>
  <c r="C91" i="3" s="1"/>
  <c r="D91" i="3" s="1"/>
  <c r="A91" i="3"/>
  <c r="B92" i="3" l="1"/>
  <c r="C92" i="3" s="1"/>
  <c r="D92" i="3" s="1"/>
  <c r="A92" i="3"/>
  <c r="B93" i="3" l="1"/>
  <c r="C93" i="3" s="1"/>
  <c r="D93" i="3" s="1"/>
  <c r="A93" i="3"/>
  <c r="B94" i="3" l="1"/>
  <c r="G12" i="3" s="1"/>
  <c r="A94" i="3"/>
  <c r="C94" i="3" l="1"/>
  <c r="D94" i="3" s="1"/>
  <c r="B95" i="3" s="1"/>
  <c r="C95" i="3" s="1"/>
  <c r="D95" i="3" s="1"/>
  <c r="A95" i="3"/>
  <c r="B96" i="3" l="1"/>
  <c r="C96" i="3" s="1"/>
  <c r="D96" i="3" s="1"/>
  <c r="A96" i="3"/>
  <c r="B97" i="3" l="1"/>
  <c r="C97" i="3" s="1"/>
  <c r="D97" i="3" s="1"/>
  <c r="A97" i="3"/>
  <c r="B98" i="3" l="1"/>
  <c r="C98" i="3" s="1"/>
  <c r="D98" i="3" s="1"/>
  <c r="A98" i="3"/>
  <c r="A99" i="3" l="1"/>
  <c r="B99" i="3"/>
  <c r="C99" i="3" s="1"/>
  <c r="D99" i="3" s="1"/>
  <c r="B100" i="3" l="1"/>
  <c r="C100" i="3" s="1"/>
  <c r="D100" i="3" s="1"/>
  <c r="A100" i="3"/>
  <c r="B101" i="3" l="1"/>
  <c r="C101" i="3" s="1"/>
  <c r="D101" i="3" s="1"/>
  <c r="A101" i="3"/>
  <c r="B102" i="3" l="1"/>
  <c r="C102" i="3" s="1"/>
  <c r="D102" i="3" s="1"/>
  <c r="A102" i="3"/>
  <c r="A103" i="3" l="1"/>
  <c r="B103" i="3"/>
  <c r="C103" i="3" s="1"/>
  <c r="D103" i="3" s="1"/>
  <c r="B104" i="3" l="1"/>
  <c r="C104" i="3" s="1"/>
  <c r="D104" i="3" s="1"/>
  <c r="A104" i="3"/>
  <c r="B105" i="3" l="1"/>
  <c r="C105" i="3" s="1"/>
  <c r="D105" i="3" s="1"/>
  <c r="A105" i="3"/>
  <c r="B106" i="3" l="1"/>
  <c r="C106" i="3" s="1"/>
  <c r="D106" i="3" s="1"/>
  <c r="A106" i="3"/>
  <c r="A107" i="3" l="1"/>
  <c r="B107" i="3"/>
  <c r="C107" i="3" s="1"/>
  <c r="D107" i="3" s="1"/>
  <c r="B108" i="3" l="1"/>
  <c r="C108" i="3" s="1"/>
  <c r="D108" i="3" s="1"/>
  <c r="A108" i="3"/>
  <c r="B109" i="3" l="1"/>
  <c r="C109" i="3" s="1"/>
  <c r="D109" i="3" s="1"/>
  <c r="A109" i="3"/>
  <c r="B110" i="3" l="1"/>
  <c r="C110" i="3" s="1"/>
  <c r="D110" i="3" s="1"/>
  <c r="A110" i="3"/>
  <c r="B111" i="3" l="1"/>
  <c r="C111" i="3" s="1"/>
  <c r="D111" i="3" s="1"/>
  <c r="A111" i="3"/>
  <c r="B112" i="3" l="1"/>
  <c r="C112" i="3" s="1"/>
  <c r="D112" i="3" s="1"/>
  <c r="A112" i="3"/>
  <c r="B113" i="3" l="1"/>
  <c r="C113" i="3" s="1"/>
  <c r="D113" i="3" s="1"/>
  <c r="A113" i="3"/>
  <c r="B114" i="3" l="1"/>
  <c r="C114" i="3" s="1"/>
  <c r="D114" i="3" s="1"/>
  <c r="A114" i="3"/>
  <c r="E33" i="1"/>
  <c r="F33" i="1"/>
  <c r="B115" i="3" l="1"/>
  <c r="C115" i="3" s="1"/>
  <c r="D115" i="3" s="1"/>
  <c r="A115" i="3"/>
  <c r="E135" i="1"/>
  <c r="E130" i="1"/>
  <c r="E134" i="1"/>
  <c r="F55" i="1"/>
  <c r="F54" i="1"/>
  <c r="E24" i="1"/>
  <c r="E16" i="1"/>
  <c r="E15" i="1"/>
  <c r="E14" i="1"/>
  <c r="F56" i="1"/>
  <c r="E56" i="1"/>
  <c r="B98" i="1"/>
  <c r="B116" i="3" l="1"/>
  <c r="C116" i="3" s="1"/>
  <c r="D116" i="3" s="1"/>
  <c r="A116" i="3"/>
  <c r="F57" i="1"/>
  <c r="B117" i="3" l="1"/>
  <c r="C117" i="3" s="1"/>
  <c r="D117" i="3" s="1"/>
  <c r="A117" i="3"/>
  <c r="G8" i="1"/>
  <c r="B84" i="1"/>
  <c r="B141" i="1"/>
  <c r="B143" i="1"/>
  <c r="F30" i="1"/>
  <c r="F40" i="1"/>
  <c r="E45" i="1"/>
  <c r="F45" i="1"/>
  <c r="F47" i="1" s="1"/>
  <c r="D51" i="1"/>
  <c r="E63" i="1"/>
  <c r="E103" i="1" s="1"/>
  <c r="F63" i="1"/>
  <c r="F66" i="1"/>
  <c r="E69" i="1"/>
  <c r="E76" i="1" s="1"/>
  <c r="B78" i="1"/>
  <c r="E82" i="1"/>
  <c r="E94" i="1"/>
  <c r="E95" i="1"/>
  <c r="B105" i="1"/>
  <c r="B106" i="1"/>
  <c r="E110" i="1"/>
  <c r="B113" i="1"/>
  <c r="B119" i="1"/>
  <c r="E127" i="1"/>
  <c r="E129" i="1" s="1"/>
  <c r="B128" i="1"/>
  <c r="E128" i="1" s="1"/>
  <c r="D128" i="1"/>
  <c r="B129" i="1"/>
  <c r="D129" i="1"/>
  <c r="E132" i="1"/>
  <c r="B133" i="1"/>
  <c r="E133" i="1" s="1"/>
  <c r="D133" i="1"/>
  <c r="B134" i="1"/>
  <c r="D134" i="1"/>
  <c r="E140" i="1"/>
  <c r="D141" i="1" s="1"/>
  <c r="E142" i="1"/>
  <c r="D143" i="1" s="1"/>
  <c r="E143" i="1" l="1"/>
  <c r="B118" i="3"/>
  <c r="C118" i="3" s="1"/>
  <c r="D118" i="3" s="1"/>
  <c r="A118" i="3"/>
  <c r="E141" i="1"/>
  <c r="F82" i="1"/>
  <c r="F117" i="1"/>
  <c r="D105" i="1"/>
  <c r="F81" i="1"/>
  <c r="D106" i="1"/>
  <c r="F94" i="1"/>
  <c r="F74" i="1"/>
  <c r="F69" i="1"/>
  <c r="F76" i="1" s="1"/>
  <c r="F103" i="1"/>
  <c r="E104" i="1" s="1"/>
  <c r="B104" i="1" s="1"/>
  <c r="F95" i="1"/>
  <c r="D86" i="1"/>
  <c r="F110" i="1"/>
  <c r="F112" i="1" s="1"/>
  <c r="F113" i="1" s="1"/>
  <c r="F58" i="1"/>
  <c r="F68" i="1" s="1"/>
  <c r="B89" i="1"/>
  <c r="B71" i="1"/>
  <c r="A71" i="1"/>
  <c r="B119" i="3" l="1"/>
  <c r="C119" i="3" s="1"/>
  <c r="D119" i="3" s="1"/>
  <c r="A119" i="3"/>
  <c r="E131" i="1"/>
  <c r="E136" i="1"/>
  <c r="E144" i="1"/>
  <c r="F83" i="1"/>
  <c r="E105" i="1"/>
  <c r="E106" i="1"/>
  <c r="E96" i="1"/>
  <c r="E97" i="1" s="1"/>
  <c r="E98" i="1" s="1"/>
  <c r="E99" i="1" s="1"/>
  <c r="F70" i="1"/>
  <c r="F71" i="1" s="1"/>
  <c r="B120" i="3" l="1"/>
  <c r="C120" i="3" s="1"/>
  <c r="D120" i="3" s="1"/>
  <c r="A120" i="3"/>
  <c r="E47" i="1"/>
  <c r="E137" i="1"/>
  <c r="E146" i="1" s="1"/>
  <c r="E150" i="1" s="1"/>
  <c r="E107" i="1"/>
  <c r="F84" i="1"/>
  <c r="B121" i="3" l="1"/>
  <c r="C121" i="3" s="1"/>
  <c r="D121" i="3" s="1"/>
  <c r="A121" i="3"/>
  <c r="E75" i="1"/>
  <c r="F75" i="1"/>
  <c r="F77" i="1" s="1"/>
  <c r="F78" i="1" s="1"/>
  <c r="E117" i="1"/>
  <c r="E118" i="1" s="1"/>
  <c r="E119" i="1" s="1"/>
  <c r="E120" i="1" s="1"/>
  <c r="B122" i="3" l="1"/>
  <c r="C122" i="3" s="1"/>
  <c r="D122" i="3" s="1"/>
  <c r="A122" i="3"/>
  <c r="E55" i="1"/>
  <c r="B123" i="3" l="1"/>
  <c r="C123" i="3" s="1"/>
  <c r="D123" i="3" s="1"/>
  <c r="A123" i="3"/>
  <c r="E35" i="1"/>
  <c r="E40" i="1" s="1"/>
  <c r="E111" i="1"/>
  <c r="E112" i="1" s="1"/>
  <c r="E113" i="1" s="1"/>
  <c r="E114" i="1" s="1"/>
  <c r="E54" i="1"/>
  <c r="E57" i="1" s="1"/>
  <c r="B124" i="3" l="1"/>
  <c r="C124" i="3" s="1"/>
  <c r="D124" i="3" s="1"/>
  <c r="A124" i="3"/>
  <c r="E81" i="1"/>
  <c r="E83" i="1" s="1"/>
  <c r="E87" i="1" s="1"/>
  <c r="F96" i="1"/>
  <c r="F97" i="1" s="1"/>
  <c r="F98" i="1" s="1"/>
  <c r="F99" i="1" s="1"/>
  <c r="E100" i="1" s="1"/>
  <c r="E58" i="1"/>
  <c r="E68" i="1" s="1"/>
  <c r="E70" i="1" s="1"/>
  <c r="E71" i="1" s="1"/>
  <c r="E72" i="1" s="1"/>
  <c r="E74" i="1"/>
  <c r="E77" i="1" s="1"/>
  <c r="E78" i="1" s="1"/>
  <c r="E79" i="1" s="1"/>
  <c r="B125" i="3" l="1"/>
  <c r="C125" i="3" s="1"/>
  <c r="D125" i="3" s="1"/>
  <c r="A125" i="3"/>
  <c r="E84" i="1"/>
  <c r="E85" i="1" s="1"/>
  <c r="F86" i="1"/>
  <c r="F87" i="1"/>
  <c r="E86" i="1"/>
  <c r="E88" i="1" s="1"/>
  <c r="E89" i="1" s="1"/>
  <c r="B126" i="3" l="1"/>
  <c r="C126" i="3" s="1"/>
  <c r="D126" i="3" s="1"/>
  <c r="A126" i="3"/>
  <c r="F88" i="1"/>
  <c r="F89" i="1" s="1"/>
  <c r="E90" i="1" s="1"/>
  <c r="E91" i="1" s="1"/>
  <c r="E122" i="1" s="1"/>
  <c r="E149" i="1" s="1"/>
  <c r="E151" i="1" s="1"/>
  <c r="B3" i="2" l="1"/>
  <c r="B5" i="2" s="1"/>
  <c r="B20" i="2" s="1"/>
  <c r="A127" i="3"/>
  <c r="B127" i="3"/>
  <c r="C127" i="3" s="1"/>
  <c r="D127" i="3" s="1"/>
  <c r="B128" i="3" l="1"/>
  <c r="C128" i="3" s="1"/>
  <c r="D128" i="3" s="1"/>
  <c r="A128" i="3"/>
  <c r="B129" i="3" l="1"/>
  <c r="C129" i="3" s="1"/>
  <c r="D129" i="3" s="1"/>
  <c r="A129" i="3"/>
  <c r="B130" i="3" l="1"/>
  <c r="C130" i="3" s="1"/>
  <c r="D130" i="3" s="1"/>
  <c r="A13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Clement Cliford (CLCL - Adjunkt - Cphbusiness)</author>
    <author>Karen Almdal (KAAL - Lektor - Cphbusiness)</author>
    <author>Søren Møller Jensen (SMJ - Lektor - Cphbusiness)</author>
  </authors>
  <commentList>
    <comment ref="C8" authorId="0" shapeId="0" xr:uid="{4CED6619-67D2-4D04-BE54-179CE4DC272F}">
      <text>
        <r>
          <rPr>
            <b/>
            <sz val="9"/>
            <color indexed="81"/>
            <rFont val="Tahoma"/>
            <family val="2"/>
          </rPr>
          <t>Hvis et par ikke er gift, så skal der laves en separat skatteberegning pr. person.</t>
        </r>
      </text>
    </comment>
    <comment ref="E32" authorId="1" shapeId="0" xr:uid="{EB665B9D-5204-4CDC-B70B-CC122CB02A61}">
      <text>
        <r>
          <rPr>
            <b/>
            <sz val="9"/>
            <color indexed="81"/>
            <rFont val="Tahoma"/>
            <family val="2"/>
          </rPr>
          <t xml:space="preserve">Løn minus eget bidrag til arb.markedspension + skatteværdi af personalegoder 
Fri tlf. (2024): 3.200 kr.
Firmabil (2024):
Skat af min. 160.000 kr.
23% af værdien under 300.000 kr. 
22% af værdien over 300.000 kr. 
600% af ejerudgiften </t>
        </r>
      </text>
    </comment>
    <comment ref="F32" authorId="1" shapeId="0" xr:uid="{80913001-849F-4F03-B735-D39659507957}">
      <text>
        <r>
          <rPr>
            <b/>
            <sz val="9"/>
            <color indexed="81"/>
            <rFont val="Tahoma"/>
            <family val="2"/>
          </rPr>
          <t>Løn minus eget bidrag til arb.markedspension + skatteværdi af personalegoder 
Fri tlf. (2024): 3.200 kr.
Firmabil (2024):
Skat af min. 160.000 kr.
23% af værdien under 300.000 kr. 
22% af værdien over 300.000 kr. 
600% af ejerudgiften</t>
        </r>
      </text>
    </comment>
    <comment ref="E37" authorId="2" shapeId="0" xr:uid="{03E7D5C6-66EB-4B02-AC96-667D023155DB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Dette felt er til alle pensioner som bliver udbetalt løbende i det pågældende år (rate/liv/folkep. &amp; ATP).</t>
        </r>
      </text>
    </comment>
    <comment ref="F37" authorId="2" shapeId="0" xr:uid="{CF1EFC5E-EE75-4882-BC59-5895ACF510FC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Dette felt er til alle pensioner som bliver udbetalt løbende i det pågældende år (rate/liv/folkep. &amp; ATP).</t>
        </r>
      </text>
    </comment>
    <comment ref="E38" authorId="2" shapeId="0" xr:uid="{61704916-B640-4CD7-8B86-D5AB0B04CB73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Her indtastes private pensionsindbetalinger til rate eller liv i det pågældende år.</t>
        </r>
      </text>
    </comment>
    <comment ref="F38" authorId="2" shapeId="0" xr:uid="{274FEB5E-F8D0-4594-B8CE-4F89F680A223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Her indtastes private pensionsindbetalinger til rate eller liv i det pågældende år.</t>
        </r>
      </text>
    </comment>
    <comment ref="E43" authorId="2" shapeId="0" xr:uid="{89F20709-665C-4C4A-BF72-5AE014AB7BD2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Eksempler på anden kap.indkomst: 
1. Kursgevinster og kurstab på obligationer - husk bagatelgrænse på 2.000 kr.
2. Kapitalafkast fra virksomhed
3. Visse lejeindtægter</t>
        </r>
      </text>
    </comment>
    <comment ref="F43" authorId="2" shapeId="0" xr:uid="{9F2D0D9E-7AE1-4816-B50F-CE2B04DEA980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Eksempler på anden kap.indkomst: 
1. Kursgevinster og kurstab på obligationer - husk bagatelgrænse på 2.000 kr.
2. Kapitalafkast fra virksomhed
3. Visse lejeindtægter</t>
        </r>
      </text>
    </comment>
    <comment ref="E44" authorId="2" shapeId="0" xr:uid="{8A6DDADA-D3E5-42B4-A1CC-75873D29F886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Renteudgifter fra lån; bidragsudgifter fra realkreditlån tastes også her.</t>
        </r>
      </text>
    </comment>
    <comment ref="F44" authorId="2" shapeId="0" xr:uid="{3B1F2185-A766-4059-BB47-847918564327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Renteudgifter fra lån; bidragsudgifter fra realkreditlån tastes også her.</t>
        </r>
      </text>
    </comment>
    <comment ref="E49" authorId="2" shapeId="0" xr:uid="{1491AE64-9F5A-4256-8F9E-81A614A321E5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Uddybning og skema til beregning findes her:
https://tax.dk/skat/koerselsfradrag.htm</t>
        </r>
      </text>
    </comment>
    <comment ref="F49" authorId="2" shapeId="0" xr:uid="{F06CEA1E-7F9F-4BE0-9F5B-A82D380F9592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Uddybning og skema til beregning findes her:
https://tax.dk/skat/koerselsfradrag.htm</t>
        </r>
      </text>
    </comment>
    <comment ref="E50" authorId="2" shapeId="0" xr:uid="{813D8F24-9FDD-4395-86F2-B42E8BCD726D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Max fradrag på fagforening er 7.000 kr. 
Hele udgift til A-kasse kan fradrages</t>
        </r>
      </text>
    </comment>
    <comment ref="F50" authorId="2" shapeId="0" xr:uid="{44090154-6D24-4E48-B4FE-96D1DD05774F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Max fradrag på fagforening er 7.000 kr. 
Hele udgift til A-kasse kan fradrages</t>
        </r>
      </text>
    </comment>
    <comment ref="E51" authorId="1" shapeId="0" xr:uid="{4FB49CAB-4355-49A5-BBAB-AA34E6CB5D69}">
      <text>
        <r>
          <rPr>
            <sz val="9"/>
            <color indexed="81"/>
            <rFont val="Tahoma"/>
            <family val="2"/>
          </rPr>
          <t>Eksempler:
- arbejdsværelse i hjemmet
- kurser
- faglitteratur
- dobbelt husførelse
- arbejdstøj</t>
        </r>
      </text>
    </comment>
    <comment ref="F51" authorId="1" shapeId="0" xr:uid="{74AC3703-8A8A-4031-98C1-37F147641924}">
      <text>
        <r>
          <rPr>
            <sz val="9"/>
            <color indexed="81"/>
            <rFont val="Tahoma"/>
            <family val="2"/>
          </rPr>
          <t>Eksempler:
- arbejdsværelse i hjemmet
- kurser
- faglitteratur
- dobbelt husførelse
- arbejdstøj</t>
        </r>
      </text>
    </comment>
    <comment ref="E52" authorId="1" shapeId="0" xr:uid="{44DA2925-0EF2-4C76-B325-80DE298C1A72}">
      <text>
        <r>
          <rPr>
            <sz val="9"/>
            <color indexed="81"/>
            <rFont val="Tahoma"/>
            <family val="2"/>
          </rPr>
          <t>Børnebidrag: Grundbeløb 16.440 om året er fradragsberettiget + 2.136 kr. om året i tillæg, som IKKE er fradragsberettiget; i alt betaling på 18.576 kr. om året.</t>
        </r>
      </text>
    </comment>
    <comment ref="F52" authorId="1" shapeId="0" xr:uid="{650252F0-DFE0-417A-8F81-2BD45325F68D}">
      <text>
        <r>
          <rPr>
            <sz val="9"/>
            <color indexed="81"/>
            <rFont val="Tahoma"/>
            <family val="2"/>
          </rPr>
          <t>Børnebidrag: Grundbeløb 16.440 om året er fradragsberettiget + 2.136 kr. om året i tillæg, som IKKE er fradragsberettiget; i alt betaling på 18.576 kr. om året.</t>
        </r>
      </text>
    </comment>
    <comment ref="E53" authorId="1" shapeId="0" xr:uid="{4D38F67F-0924-4D01-AC86-7C7F3B1C511C}">
      <text>
        <r>
          <rPr>
            <sz val="9"/>
            <color indexed="81"/>
            <rFont val="Tahoma"/>
            <family val="2"/>
          </rPr>
          <t xml:space="preserve">Eksempler:
Gaver til velgørenhed max 18.300 kr.
Indskud på etableringskonto
Servicefradrag: max 6.900 kr. </t>
        </r>
      </text>
    </comment>
    <comment ref="F53" authorId="1" shapeId="0" xr:uid="{1D93E121-7257-47AB-8CFE-440704B7F9E0}">
      <text>
        <r>
          <rPr>
            <sz val="9"/>
            <color indexed="81"/>
            <rFont val="Tahoma"/>
            <family val="2"/>
          </rPr>
          <t>Eksempler:
Gaver til velgørenhed max 18.300 kr.
Indskud på etableringskonto
Servicefradrag: max 6.900 kr.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Søren Møller Jensen (SMJ - Lektor - Cphbusiness)</author>
  </authors>
  <commentList>
    <comment ref="B1" authorId="0" shapeId="0" xr:uid="{C9B015B0-7E50-4226-BF79-654B02464E58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Indtast det beløb, der lånes.</t>
        </r>
      </text>
    </comment>
    <comment ref="B2" authorId="0" shapeId="0" xr:uid="{7A81E533-C524-4B16-A927-77B891A54ED8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Indtast eventuelle stiftelsesomkostninger på lånet (tastes som positiv værdi).</t>
        </r>
      </text>
    </comment>
    <comment ref="B5" authorId="0" shapeId="0" xr:uid="{E966AEE8-D877-4C79-8EE6-01A9004350E0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Det totale antal år, lånet løber over.</t>
        </r>
      </text>
    </comment>
  </commentList>
</comments>
</file>

<file path=xl/sharedStrings.xml><?xml version="1.0" encoding="utf-8"?>
<sst xmlns="http://schemas.openxmlformats.org/spreadsheetml/2006/main" count="385" uniqueCount="322">
  <si>
    <t>Kommuneskatteprocenter</t>
  </si>
  <si>
    <t>Satser</t>
  </si>
  <si>
    <t>ja</t>
  </si>
  <si>
    <t>Skatteberegning 2024</t>
  </si>
  <si>
    <t>nej</t>
  </si>
  <si>
    <t>Regnearket implementerer hovedreglerne i indkomstbeskatningen. Brug af dette regneark sker på eget ansvar. Der ydes ikke erstatning, såfremt brugen af regnearket giver anledning til, at der lides et tab.</t>
  </si>
  <si>
    <t>Kommune</t>
  </si>
  <si>
    <t>Skatte</t>
  </si>
  <si>
    <t>Kirke</t>
  </si>
  <si>
    <t>Nedslag</t>
  </si>
  <si>
    <t>Grundskyld</t>
  </si>
  <si>
    <t>Arbejdsmarkedsbidragsprocent AMB § 1</t>
  </si>
  <si>
    <t>pct.</t>
  </si>
  <si>
    <t>prm.</t>
  </si>
  <si>
    <t>Bundskatprocent PSL § 6, stk. 2</t>
  </si>
  <si>
    <t>1. Forskellige oplysninger</t>
  </si>
  <si>
    <t>Sundhedsbidragsprocent PSL § 8</t>
  </si>
  <si>
    <t>intet sommerhus</t>
  </si>
  <si>
    <t>Topskatprocent PSL § 7, stk. 1</t>
  </si>
  <si>
    <t>Gift ?</t>
  </si>
  <si>
    <t>Albertslund</t>
  </si>
  <si>
    <t>Topskatgrænse PSL § 7, stk. 2</t>
  </si>
  <si>
    <t>Under 18 år hele indkomståret ?</t>
  </si>
  <si>
    <t>Allerød</t>
  </si>
  <si>
    <t>Skatteloftprocent PSL § 19, stk. 1</t>
  </si>
  <si>
    <t>Mere end 15 år til folkepensionsalderen ?</t>
  </si>
  <si>
    <t>Assens</t>
  </si>
  <si>
    <t>Skatteloftprocent positiv nettokapitalindkomst PSL § 19, stk. 2</t>
  </si>
  <si>
    <t>Medlem af Folkekirken ?</t>
  </si>
  <si>
    <t>Ballerup</t>
  </si>
  <si>
    <t>Personfradrag unge PSL § 10, stk. 2</t>
  </si>
  <si>
    <t>Billund</t>
  </si>
  <si>
    <t>Personfradrag PSL § 10, stk. 1</t>
  </si>
  <si>
    <t>Bopælskommune pr. 5. september 2023</t>
  </si>
  <si>
    <t>Hillerød</t>
  </si>
  <si>
    <t>Bornholm</t>
  </si>
  <si>
    <t>Maksimalt kapitalpensionsfradrag PBL § 16, stk. 1</t>
  </si>
  <si>
    <t>Kommuneskatteprocent</t>
  </si>
  <si>
    <t>Brøndby</t>
  </si>
  <si>
    <t>Bundfradrag positiv nettokapitalindkomst PSL § 7, stk. 1</t>
  </si>
  <si>
    <t>Kirkeskatteprocent</t>
  </si>
  <si>
    <t>Brønderslev</t>
  </si>
  <si>
    <t>Aktieskatprocent under grænse PSL § 8 a, stk. 1</t>
  </si>
  <si>
    <t>Grundskyldspromille</t>
  </si>
  <si>
    <t>Dragør</t>
  </si>
  <si>
    <t>Aktieskatprocent over grænse PSL § 8 a, stk. 2</t>
  </si>
  <si>
    <t>Egedal</t>
  </si>
  <si>
    <t>Grænse aktieskat PSL § 8 a, stk. 1 og 2</t>
  </si>
  <si>
    <t>Ejendomsværdi af enfamiliehus</t>
  </si>
  <si>
    <t>Esbjerg</t>
  </si>
  <si>
    <t>Bundgrænse lønmodtagerfradrag LL § 9, stk. 1</t>
  </si>
  <si>
    <t>Ejendomsværdi af ejerlejlighed</t>
  </si>
  <si>
    <t>Faaborg-Midtfyn</t>
  </si>
  <si>
    <t>Beskæftigelsesfradragsprocent LL § 9 J, stk. 2</t>
  </si>
  <si>
    <t>Hus/ejerlejlighed erhvervet senest 1. juli 1998 ?</t>
  </si>
  <si>
    <t>Fanø</t>
  </si>
  <si>
    <t>Maksimalt beskæftigelsesfradrag LL § 9 J, stk. 2</t>
  </si>
  <si>
    <t>Grundværdi hus/ejerlejlighed</t>
  </si>
  <si>
    <t>Favrskov</t>
  </si>
  <si>
    <t>Ejendomsværdiskatteprocent under grænse</t>
  </si>
  <si>
    <t>Ejendomsværdi af sommerhus</t>
  </si>
  <si>
    <t>Faxe</t>
  </si>
  <si>
    <t>Ejendomsværdiskatteprocent over grænse</t>
  </si>
  <si>
    <t>Beliggenhed sommerhus</t>
  </si>
  <si>
    <t>Fredensborg</t>
  </si>
  <si>
    <t>Grænse ejendomsværdiskat</t>
  </si>
  <si>
    <t>Fredericia</t>
  </si>
  <si>
    <t>Nedslag ejendomsværdiskat ESL § 23, stk. 1</t>
  </si>
  <si>
    <t>Grundværdi sommerhus</t>
  </si>
  <si>
    <t>Frederiksberg</t>
  </si>
  <si>
    <t>Nedslag ejendomsværdiskat ESL § 24, stk. 1</t>
  </si>
  <si>
    <t>Sommerhus erhvervet senest 1. juli 1998 ?</t>
  </si>
  <si>
    <t>Frederikshavn</t>
  </si>
  <si>
    <t>Maksimalt nedslag efter ESL § 24, stk. 1</t>
  </si>
  <si>
    <r>
      <t xml:space="preserve">Bidrag og præmie til </t>
    </r>
    <r>
      <rPr>
        <i/>
        <sz val="10"/>
        <rFont val="Arial"/>
        <family val="2"/>
      </rPr>
      <t>arbejdsgiveradministreret</t>
    </r>
    <r>
      <rPr>
        <sz val="10"/>
        <rFont val="Arial"/>
        <family val="2"/>
      </rPr>
      <t xml:space="preserve"> pension med løbende udbetalinger og ratepension</t>
    </r>
  </si>
  <si>
    <t>Frederikssund</t>
  </si>
  <si>
    <t>Nedslagsprocent negativ nettokapitalindkomst, PSL § 11, stk. 2</t>
  </si>
  <si>
    <t>Furesø</t>
  </si>
  <si>
    <t>Bundfradrag udligningsskat, PSL § 7 a, stk. 4</t>
  </si>
  <si>
    <t>2. Indkomst og fradrag</t>
  </si>
  <si>
    <t>Gentofte</t>
  </si>
  <si>
    <t>Udligningsskatteprocent, PSL § 7 a, stk. 5</t>
  </si>
  <si>
    <t>Skatteyder</t>
  </si>
  <si>
    <t>Gladsaxe</t>
  </si>
  <si>
    <t>Overførbart bundfradrag udligningsskat, PSL § 7 a, stk. 6</t>
  </si>
  <si>
    <t>Personlig indkomst</t>
  </si>
  <si>
    <t>Glostrup</t>
  </si>
  <si>
    <t>Bundgrænse jobfradrag LL § 9 K, stk. 1</t>
  </si>
  <si>
    <t>Løn, honorarer mv. (før fradrag af AMB)</t>
  </si>
  <si>
    <t>Greve</t>
  </si>
  <si>
    <t>Jobfradragsprocent LL § 9 K, stk. 2</t>
  </si>
  <si>
    <t>- reduceres med Arbejdsmarkedsbidrag (AMB)</t>
  </si>
  <si>
    <t>Gribskov</t>
  </si>
  <si>
    <t>Maksimalt jobfradrag LL § 9 K, stk. 2</t>
  </si>
  <si>
    <t>Personlig indkomst fra selvstændig virksomhed</t>
  </si>
  <si>
    <t>Guldborgsund</t>
  </si>
  <si>
    <t>Maksimalt ekstra pensionsfradrag LL § 9 L</t>
  </si>
  <si>
    <t>Haderslev</t>
  </si>
  <si>
    <t>Dagpenge mv., SU og anden personlig indkomst, hvoraf der ikke skal betales AMB</t>
  </si>
  <si>
    <t>Halsnæs</t>
  </si>
  <si>
    <t>Udbetalt pension mv., hvoraf der skal betales udligningsskat</t>
  </si>
  <si>
    <t>Hedensted</t>
  </si>
  <si>
    <r>
      <t xml:space="preserve">Bidrag og præmie til </t>
    </r>
    <r>
      <rPr>
        <i/>
        <sz val="10"/>
        <rFont val="Arial"/>
        <family val="2"/>
      </rPr>
      <t>privattegnet</t>
    </r>
    <r>
      <rPr>
        <sz val="10"/>
        <rFont val="Arial"/>
        <family val="2"/>
      </rPr>
      <t xml:space="preserve"> pension med løbende udbetalinger og ratepension</t>
    </r>
  </si>
  <si>
    <t>Helsingør</t>
  </si>
  <si>
    <t>Herlev</t>
  </si>
  <si>
    <t>Personlig indkomst i alt</t>
  </si>
  <si>
    <t>Herning</t>
  </si>
  <si>
    <t>Kapitalindkomst</t>
  </si>
  <si>
    <t>Renteindtægter</t>
  </si>
  <si>
    <t>Hjørring</t>
  </si>
  <si>
    <t>Anden kapitalindkomst</t>
  </si>
  <si>
    <t>Holbæk</t>
  </si>
  <si>
    <t>Renteudgifter</t>
  </si>
  <si>
    <t>Holstebro</t>
  </si>
  <si>
    <t>Personlig kapitalindkomst</t>
  </si>
  <si>
    <t>Horsens</t>
  </si>
  <si>
    <t>Kapitalindkomst fra selvstændig virksomhed</t>
  </si>
  <si>
    <t>Hvidovre</t>
  </si>
  <si>
    <t>Kapitalindkomst i alt</t>
  </si>
  <si>
    <t>Høje-Taastrup</t>
  </si>
  <si>
    <t>Ligningsmæssige fradrag</t>
  </si>
  <si>
    <t>Hørsholm</t>
  </si>
  <si>
    <t>Befordring</t>
  </si>
  <si>
    <t xml:space="preserve"> </t>
  </si>
  <si>
    <t>Ikast-Brande</t>
  </si>
  <si>
    <t>Arbejdsløshedsforsikring og fagligt kontingent</t>
  </si>
  <si>
    <t>Ishøj</t>
  </si>
  <si>
    <t>Øvrige lønmodtagerudgifter over</t>
  </si>
  <si>
    <t>Jammerbugt</t>
  </si>
  <si>
    <t>Underholdsbidrag til tidligere ægtefælle og børnebidrag</t>
  </si>
  <si>
    <t>Kalundborg</t>
  </si>
  <si>
    <t>Andre ligningsmæssig fradrag</t>
  </si>
  <si>
    <t>Kerteminde</t>
  </si>
  <si>
    <t>Beskæftigelsesfradrag</t>
  </si>
  <si>
    <t>Kolding</t>
  </si>
  <si>
    <t>Jobfradrag</t>
  </si>
  <si>
    <t>København</t>
  </si>
  <si>
    <t>Ekstra pensionsfradrag</t>
  </si>
  <si>
    <t>Køge</t>
  </si>
  <si>
    <t>Ligningsmæssige fradrag i alt</t>
  </si>
  <si>
    <t>Langeland</t>
  </si>
  <si>
    <t>Skattepligtig indkomst i alt</t>
  </si>
  <si>
    <t>Lejre</t>
  </si>
  <si>
    <t>Lemvig</t>
  </si>
  <si>
    <t>Aktieindkomst</t>
  </si>
  <si>
    <t>Lolland</t>
  </si>
  <si>
    <t>Udbytte af aktier, hvoraf der er indeholdt 27% udbytteskat (beløb før indeholdelse af udbytteskat)</t>
  </si>
  <si>
    <t>Lyngby-Taarbæk</t>
  </si>
  <si>
    <t>Udbytte af aktier, hvoraf der ikke er indeholdt 27% udbytteskat, samt gevinst/tab på aktier</t>
  </si>
  <si>
    <t>Læsø</t>
  </si>
  <si>
    <t>Aktieindkomst i alt</t>
  </si>
  <si>
    <t>Mariagerfjord</t>
  </si>
  <si>
    <t>Middelfart</t>
  </si>
  <si>
    <t>3. Indkomstskat</t>
  </si>
  <si>
    <t>Morsø</t>
  </si>
  <si>
    <t>Norddjurs</t>
  </si>
  <si>
    <t>Kommunal skat, sundhedsbidrag og kirkeskat</t>
  </si>
  <si>
    <t>Nordfyns</t>
  </si>
  <si>
    <t>Skattepligtig indkomst</t>
  </si>
  <si>
    <t>Nyborg</t>
  </si>
  <si>
    <t>Personfradrag</t>
  </si>
  <si>
    <t>Næstved</t>
  </si>
  <si>
    <t>Beregningsgrundlag</t>
  </si>
  <si>
    <t>Odder</t>
  </si>
  <si>
    <t>% af beregningsgrundlag</t>
  </si>
  <si>
    <t>Odense</t>
  </si>
  <si>
    <t>I alt</t>
  </si>
  <si>
    <t>Odsherred</t>
  </si>
  <si>
    <t>Bundskat</t>
  </si>
  <si>
    <t>Randers</t>
  </si>
  <si>
    <t>Rebild</t>
  </si>
  <si>
    <t>Positiv nettokapitalindkomst</t>
  </si>
  <si>
    <t>Ringkøbing-Skjern</t>
  </si>
  <si>
    <t>Ringsted</t>
  </si>
  <si>
    <t>Roskilde</t>
  </si>
  <si>
    <t>Rudersdal</t>
  </si>
  <si>
    <t>Rødovre</t>
  </si>
  <si>
    <t>Topskat</t>
  </si>
  <si>
    <t>Samsø</t>
  </si>
  <si>
    <t>Silkeborg</t>
  </si>
  <si>
    <t>Bundgrænse</t>
  </si>
  <si>
    <t>Skanderborg</t>
  </si>
  <si>
    <t>Skive</t>
  </si>
  <si>
    <t>Slagelse</t>
  </si>
  <si>
    <t>Topskat af personlig indkomst</t>
  </si>
  <si>
    <t>Solrød</t>
  </si>
  <si>
    <t>Positiv nettokapitalindkomst over</t>
  </si>
  <si>
    <t>Sorø</t>
  </si>
  <si>
    <t>Stevns</t>
  </si>
  <si>
    <t>Struer</t>
  </si>
  <si>
    <t>Svendborg</t>
  </si>
  <si>
    <t>Topskat af positiv nettokapitalindkomst</t>
  </si>
  <si>
    <t>Syddjurs</t>
  </si>
  <si>
    <t>Sønderborg</t>
  </si>
  <si>
    <t>Thisted</t>
  </si>
  <si>
    <t>Udligningsskat</t>
  </si>
  <si>
    <t>Tårnby</t>
  </si>
  <si>
    <t>Pensioner mv., hvoraf der skal betales udligningsskat</t>
  </si>
  <si>
    <t>Tønder</t>
  </si>
  <si>
    <t>Bundfradrag</t>
  </si>
  <si>
    <t>Vallensbæk</t>
  </si>
  <si>
    <t>Overført bundfradrag fra ægtefælle</t>
  </si>
  <si>
    <t>Varde</t>
  </si>
  <si>
    <t>Vejen</t>
  </si>
  <si>
    <t>Vejle</t>
  </si>
  <si>
    <t>Positiv udligningsskat</t>
  </si>
  <si>
    <t>Vesthimmerland</t>
  </si>
  <si>
    <t>Viborg</t>
  </si>
  <si>
    <t>Vordingborg</t>
  </si>
  <si>
    <t>Aktieskat</t>
  </si>
  <si>
    <t>Ærø</t>
  </si>
  <si>
    <t>Aabenraa</t>
  </si>
  <si>
    <t>Aalborg</t>
  </si>
  <si>
    <t>% af beregningsgrundlag indtil</t>
  </si>
  <si>
    <t>Aarhus</t>
  </si>
  <si>
    <t>% af beregningsgrundlag over</t>
  </si>
  <si>
    <t>Kilde: Skatteministeriet, 3/12-2023</t>
  </si>
  <si>
    <t>Arbejdsmarkedsbidrag (AMB)</t>
  </si>
  <si>
    <t>Løn, honorarer mv.</t>
  </si>
  <si>
    <t>Positivt resultat af selvstændig virksomhed, der beskattes som personlig indkomst</t>
  </si>
  <si>
    <t>Nedslag for negativ nettokapitalindkomst</t>
  </si>
  <si>
    <t>Nettokapitalindkomst</t>
  </si>
  <si>
    <r>
      <t xml:space="preserve">Indkomstskat i alt </t>
    </r>
    <r>
      <rPr>
        <sz val="10"/>
        <rFont val="Arial"/>
        <family val="2"/>
      </rPr>
      <t>(grøn check er ikke fratrukket)</t>
    </r>
  </si>
  <si>
    <t>4. Skat af fast ejendom</t>
  </si>
  <si>
    <t>Ejendomsværdiskat</t>
  </si>
  <si>
    <t>Ejendomsværdi enfamiliehus/ejerlejlighed</t>
  </si>
  <si>
    <t>% af 80% af ejendomsværdi indtil</t>
  </si>
  <si>
    <t>% af 80% af ejendomsværdi over</t>
  </si>
  <si>
    <t>Ejendomsværdiskat enfamiliehus/ejerlejlighed</t>
  </si>
  <si>
    <t>Ejendomsværdi sommerhus</t>
  </si>
  <si>
    <t>% af ejendomsværdi indtil</t>
  </si>
  <si>
    <t>% af ejendomsværdi over</t>
  </si>
  <si>
    <t>Ejendomsværdiskat sommerhus</t>
  </si>
  <si>
    <t>Grundskyld (ejendomsskat)</t>
  </si>
  <si>
    <t>Grundværdi enfamiliehus/ejerlejlighed</t>
  </si>
  <si>
    <t>promille af 80% af grundværdi</t>
  </si>
  <si>
    <t>Skat af fast ejendom i alt</t>
  </si>
  <si>
    <t>5. Samlet skat</t>
  </si>
  <si>
    <t>Indkomstskat</t>
  </si>
  <si>
    <t>Skat af fast ejendom</t>
  </si>
  <si>
    <t>Indkomst m.m.</t>
  </si>
  <si>
    <t>Løn, brutto/år</t>
  </si>
  <si>
    <t>Skat/år</t>
  </si>
  <si>
    <t>Børneydelse/år</t>
  </si>
  <si>
    <t>Disponibel indkomst/måned</t>
  </si>
  <si>
    <t>Faste udgifter</t>
  </si>
  <si>
    <t>Rådighedsbeløb/måned</t>
  </si>
  <si>
    <t>Realkreditlån</t>
  </si>
  <si>
    <t>Hovedstol</t>
  </si>
  <si>
    <t>Stiftelsesomk.</t>
  </si>
  <si>
    <t>Provenue</t>
  </si>
  <si>
    <t>Rente pr. år</t>
  </si>
  <si>
    <t>Årlige renteudgifter</t>
  </si>
  <si>
    <t>Antal år</t>
  </si>
  <si>
    <t>KUN VED 12 TERMINER PR. ÅR</t>
  </si>
  <si>
    <t>Terminer pr. år</t>
  </si>
  <si>
    <t>År 1</t>
  </si>
  <si>
    <t>Antal terminer</t>
  </si>
  <si>
    <t>År 2</t>
  </si>
  <si>
    <t>Ydelse pr. termin</t>
  </si>
  <si>
    <t>År 3</t>
  </si>
  <si>
    <t>År 4</t>
  </si>
  <si>
    <t xml:space="preserve">Termin </t>
  </si>
  <si>
    <t>Rente</t>
  </si>
  <si>
    <t>afdrag</t>
  </si>
  <si>
    <t xml:space="preserve">restgæld </t>
  </si>
  <si>
    <t>År 5</t>
  </si>
  <si>
    <t>År 6</t>
  </si>
  <si>
    <t>År 7</t>
  </si>
  <si>
    <t>Årlig ydelse</t>
  </si>
  <si>
    <t>Effektiv rente pr. termin</t>
  </si>
  <si>
    <t>ÅOP</t>
  </si>
  <si>
    <t>El, vand og varme (villa)</t>
  </si>
  <si>
    <t>Ejerudgifter (villa)</t>
  </si>
  <si>
    <t>Telefon/internet/streaming</t>
  </si>
  <si>
    <t>Beregning af ÅOP på annuitetslån:</t>
  </si>
  <si>
    <t>Lånets størrelse, Hovedstol</t>
  </si>
  <si>
    <t>Kurs (indtast også ved kurs 100)</t>
  </si>
  <si>
    <t>Evt. omk.ved låneoptagelse i kr</t>
  </si>
  <si>
    <t>Til udbetaling / nettoprovenuet</t>
  </si>
  <si>
    <t>Ved krav om bestemt låneprovenue - så vælg målsøgning og find hovedstolen</t>
  </si>
  <si>
    <t>Nominel rente pr. år i %</t>
  </si>
  <si>
    <t>Antal år (Lånets samlede løbetid)</t>
  </si>
  <si>
    <t>Antal afdragsfrie år</t>
  </si>
  <si>
    <t>Skattesats i %</t>
  </si>
  <si>
    <t>Antal terminer i alt</t>
  </si>
  <si>
    <t>Antal afdragsfrie terminer</t>
  </si>
  <si>
    <t>Nominel rente pr. termin</t>
  </si>
  <si>
    <t>Nominel rente pr. termin efter skat</t>
  </si>
  <si>
    <t>Ydelse pr. termin (rentebetaling)</t>
  </si>
  <si>
    <t>I den afdragsfrie periode</t>
  </si>
  <si>
    <t>Ydelse (rente og afdrag) før skat (uden gebyr) pr. termin</t>
  </si>
  <si>
    <t>Efter afdragsfri periode</t>
  </si>
  <si>
    <t>Gebyr pr. termin i %-del af restgælden</t>
  </si>
  <si>
    <t>Ikke fradragsberettiget</t>
  </si>
  <si>
    <t>Fradragsberettiget</t>
  </si>
  <si>
    <t>Gebyr pr. termin i %-del af hovedstolen</t>
  </si>
  <si>
    <t>Effektiv rente per termin</t>
  </si>
  <si>
    <t>Før skat</t>
  </si>
  <si>
    <t>Efter skat</t>
  </si>
  <si>
    <t>Termin</t>
  </si>
  <si>
    <t>Restgæld primo</t>
  </si>
  <si>
    <t>Rente før skat</t>
  </si>
  <si>
    <t>Afdrag</t>
  </si>
  <si>
    <t>Løbende gebyr før skat</t>
  </si>
  <si>
    <t>Ydelse før skat  uden gebyr</t>
  </si>
  <si>
    <t>Ydelse før skat incl. gebyr</t>
  </si>
  <si>
    <t>Rente efter skat</t>
  </si>
  <si>
    <t>Løbende gebyr efter skat</t>
  </si>
  <si>
    <t>Ydelse efter skat uden gebyr</t>
  </si>
  <si>
    <t>Ydelse efter skat incl gebyr</t>
  </si>
  <si>
    <t>Restgæld ultimo</t>
  </si>
  <si>
    <t>Totalerne er i række 388</t>
  </si>
  <si>
    <t>Total</t>
  </si>
  <si>
    <t>Fagforening og a-kasse (Marianne)</t>
  </si>
  <si>
    <t>Vedligeholdelse af ejendom</t>
  </si>
  <si>
    <t>Forsikringer (indbo, biler)</t>
  </si>
  <si>
    <t>Billån (VW Touran)</t>
  </si>
  <si>
    <t>Sport og fritid</t>
  </si>
  <si>
    <t>Herbert</t>
  </si>
  <si>
    <t>Marianne</t>
  </si>
  <si>
    <t>Brændstof og øvrige biludgifter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</si>
</sst>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&quot;kr&quot;\ * #,##0.00_);_(&quot;kr&quot;\ * \(#,##0.00\);_(&quot;kr&quot;\ * &quot;-&quot;??_);_(@_)"/>
    <numFmt numFmtId="165" formatCode="_-* #,##0.00\ _k_r_._-;\-* #,##0.00\ _k_r_._-;_-* &quot;-&quot;??\ _k_r_._-;_-@_-"/>
    <numFmt numFmtId="166" formatCode="_-* #,##0.00\ _k_r_-;\-* #,##0.00\ _k_r_-;_-* &quot;-&quot;\ _k_r_-;_-@_-"/>
    <numFmt numFmtId="167" formatCode="#,##0.00_ ;[Red]\-#,##0.00\ "/>
    <numFmt numFmtId="168" formatCode="0.00000%"/>
    <numFmt numFmtId="169" formatCode="_-* #,##0\ _k_r_-;\-* #,##0\ _k_r_-;_-* &quot;-&quot;\ _k_r_-;_-@_-"/>
    <numFmt numFmtId="170" formatCode="_(* #,##0.00_);_(* \(#,##0.00\);_(* &quot;-&quot;??_);_(@_)"/>
    <numFmt numFmtId="171" formatCode="_(* #,##0_);_(* \(#,##0\);_(* &quot;-&quot;???_);_(@_)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6"/>
      <name val="Arial"/>
      <family val="2"/>
    </font>
    <font>
      <sz val="8"/>
      <name val="Arial"/>
      <family val="2"/>
    </font>
    <font>
      <vertAlign val="superscript"/>
      <sz val="10"/>
      <name val="Arial"/>
      <family val="2"/>
    </font>
    <font>
      <sz val="10"/>
      <color indexed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AE6E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7">
    <xf numFmtId="0" fontId="0" fillId="0" borderId="0" xfId="0"/>
    <xf numFmtId="0" fontId="0" fillId="0" borderId="1" xfId="0" applyBorder="1"/>
    <xf numFmtId="0" fontId="0" fillId="2" borderId="3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2" fillId="0" borderId="0" xfId="0" applyFont="1"/>
    <xf numFmtId="0" fontId="0" fillId="0" borderId="2" xfId="0" applyBorder="1"/>
    <xf numFmtId="0" fontId="6" fillId="2" borderId="1" xfId="0" applyFont="1" applyFill="1" applyBorder="1" applyAlignment="1">
      <alignment wrapText="1"/>
    </xf>
    <xf numFmtId="0" fontId="0" fillId="2" borderId="0" xfId="0" applyFill="1" applyAlignment="1">
      <alignment wrapText="1"/>
    </xf>
    <xf numFmtId="3" fontId="0" fillId="0" borderId="0" xfId="0" applyNumberFormat="1"/>
    <xf numFmtId="3" fontId="0" fillId="0" borderId="1" xfId="0" applyNumberFormat="1" applyBorder="1"/>
    <xf numFmtId="0" fontId="5" fillId="2" borderId="1" xfId="0" applyFont="1" applyFill="1" applyBorder="1" applyAlignment="1">
      <alignment wrapText="1"/>
    </xf>
    <xf numFmtId="14" fontId="7" fillId="0" borderId="0" xfId="0" applyNumberFormat="1" applyFont="1" applyAlignment="1">
      <alignment horizontal="left"/>
    </xf>
    <xf numFmtId="0" fontId="0" fillId="3" borderId="1" xfId="0" applyFill="1" applyBorder="1" applyProtection="1">
      <protection locked="0"/>
    </xf>
    <xf numFmtId="3" fontId="0" fillId="3" borderId="0" xfId="0" applyNumberFormat="1" applyFill="1" applyProtection="1">
      <protection locked="0"/>
    </xf>
    <xf numFmtId="3" fontId="0" fillId="3" borderId="1" xfId="0" applyNumberFormat="1" applyFill="1" applyBorder="1" applyProtection="1">
      <protection locked="0"/>
    </xf>
    <xf numFmtId="0" fontId="0" fillId="0" borderId="4" xfId="0" applyBorder="1"/>
    <xf numFmtId="0" fontId="0" fillId="0" borderId="5" xfId="0" applyBorder="1"/>
    <xf numFmtId="0" fontId="0" fillId="0" borderId="0" xfId="0" applyAlignment="1">
      <alignment wrapText="1"/>
    </xf>
    <xf numFmtId="2" fontId="0" fillId="0" borderId="1" xfId="0" applyNumberFormat="1" applyBorder="1"/>
    <xf numFmtId="3" fontId="0" fillId="0" borderId="5" xfId="0" applyNumberFormat="1" applyBorder="1"/>
    <xf numFmtId="0" fontId="3" fillId="2" borderId="0" xfId="0" applyFont="1" applyFill="1" applyAlignment="1">
      <alignment wrapText="1"/>
    </xf>
    <xf numFmtId="2" fontId="0" fillId="0" borderId="0" xfId="0" applyNumberFormat="1"/>
    <xf numFmtId="0" fontId="6" fillId="2" borderId="0" xfId="0" applyFont="1" applyFill="1" applyAlignment="1">
      <alignment wrapText="1"/>
    </xf>
    <xf numFmtId="0" fontId="9" fillId="0" borderId="0" xfId="0" applyFont="1"/>
    <xf numFmtId="0" fontId="0" fillId="0" borderId="6" xfId="0" applyBorder="1"/>
    <xf numFmtId="3" fontId="0" fillId="0" borderId="6" xfId="0" applyNumberFormat="1" applyBorder="1"/>
    <xf numFmtId="0" fontId="0" fillId="0" borderId="3" xfId="0" applyBorder="1"/>
    <xf numFmtId="3" fontId="0" fillId="0" borderId="3" xfId="0" applyNumberFormat="1" applyBorder="1"/>
    <xf numFmtId="3" fontId="0" fillId="0" borderId="4" xfId="0" applyNumberFormat="1" applyBorder="1"/>
    <xf numFmtId="49" fontId="0" fillId="2" borderId="1" xfId="0" applyNumberFormat="1" applyFill="1" applyBorder="1" applyAlignment="1">
      <alignment wrapText="1"/>
    </xf>
    <xf numFmtId="164" fontId="0" fillId="0" borderId="0" xfId="1" applyFont="1" applyAlignment="1">
      <alignment horizontal="center" vertical="center" wrapText="1"/>
    </xf>
    <xf numFmtId="0" fontId="10" fillId="0" borderId="0" xfId="0" applyFont="1"/>
    <xf numFmtId="4" fontId="0" fillId="0" borderId="0" xfId="0" applyNumberFormat="1"/>
    <xf numFmtId="0" fontId="0" fillId="0" borderId="0" xfId="0" applyAlignment="1">
      <alignment vertical="center"/>
    </xf>
    <xf numFmtId="3" fontId="0" fillId="0" borderId="0" xfId="0" applyNumberFormat="1" applyAlignment="1">
      <alignment vertical="center" wrapText="1"/>
    </xf>
    <xf numFmtId="0" fontId="2" fillId="2" borderId="1" xfId="0" applyFont="1" applyFill="1" applyBorder="1" applyAlignment="1">
      <alignment wrapText="1"/>
    </xf>
    <xf numFmtId="3" fontId="0" fillId="5" borderId="1" xfId="0" applyNumberFormat="1" applyFill="1" applyBorder="1" applyProtection="1">
      <protection locked="0"/>
    </xf>
    <xf numFmtId="0" fontId="2" fillId="2" borderId="3" xfId="0" applyFont="1" applyFill="1" applyBorder="1" applyAlignment="1">
      <alignment wrapText="1"/>
    </xf>
    <xf numFmtId="0" fontId="3" fillId="0" borderId="0" xfId="0" applyFont="1" applyAlignment="1">
      <alignment horizontal="left"/>
    </xf>
    <xf numFmtId="0" fontId="2" fillId="0" borderId="1" xfId="0" applyFont="1" applyBorder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1" fontId="0" fillId="0" borderId="1" xfId="0" applyNumberFormat="1" applyBorder="1"/>
    <xf numFmtId="1" fontId="2" fillId="0" borderId="1" xfId="0" applyNumberFormat="1" applyFont="1" applyBorder="1"/>
    <xf numFmtId="3" fontId="0" fillId="5" borderId="1" xfId="0" applyNumberFormat="1" applyFill="1" applyBorder="1"/>
    <xf numFmtId="0" fontId="3" fillId="2" borderId="2" xfId="0" applyFont="1" applyFill="1" applyBorder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2" fillId="3" borderId="1" xfId="0" applyFont="1" applyFill="1" applyBorder="1" applyProtection="1">
      <protection locked="0"/>
    </xf>
    <xf numFmtId="3" fontId="2" fillId="0" borderId="1" xfId="0" applyNumberFormat="1" applyFont="1" applyBorder="1"/>
    <xf numFmtId="0" fontId="6" fillId="0" borderId="1" xfId="0" applyFont="1" applyBorder="1"/>
    <xf numFmtId="0" fontId="6" fillId="0" borderId="6" xfId="0" applyFont="1" applyBorder="1"/>
    <xf numFmtId="3" fontId="3" fillId="0" borderId="1" xfId="0" applyNumberFormat="1" applyFont="1" applyBorder="1"/>
    <xf numFmtId="3" fontId="3" fillId="0" borderId="0" xfId="0" applyNumberFormat="1" applyFont="1"/>
    <xf numFmtId="0" fontId="3" fillId="0" borderId="0" xfId="0" applyFont="1"/>
    <xf numFmtId="0" fontId="6" fillId="2" borderId="1" xfId="0" applyFont="1" applyFill="1" applyBorder="1"/>
    <xf numFmtId="0" fontId="14" fillId="0" borderId="0" xfId="0" applyFont="1"/>
    <xf numFmtId="0" fontId="15" fillId="0" borderId="0" xfId="0" applyFont="1"/>
    <xf numFmtId="3" fontId="15" fillId="0" borderId="0" xfId="0" applyNumberFormat="1" applyFont="1"/>
    <xf numFmtId="43" fontId="0" fillId="5" borderId="0" xfId="3" applyFont="1" applyFill="1" applyAlignment="1">
      <alignment horizontal="center"/>
    </xf>
    <xf numFmtId="165" fontId="0" fillId="0" borderId="0" xfId="0" applyNumberFormat="1"/>
    <xf numFmtId="43" fontId="0" fillId="0" borderId="0" xfId="3" applyFont="1" applyFill="1" applyAlignment="1">
      <alignment horizontal="center"/>
    </xf>
    <xf numFmtId="10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9" fontId="0" fillId="0" borderId="0" xfId="0" applyNumberFormat="1"/>
    <xf numFmtId="0" fontId="16" fillId="6" borderId="0" xfId="0" applyFont="1" applyFill="1"/>
    <xf numFmtId="166" fontId="16" fillId="6" borderId="0" xfId="0" applyNumberFormat="1" applyFont="1" applyFill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7" fontId="15" fillId="0" borderId="0" xfId="0" applyNumberFormat="1" applyFont="1"/>
    <xf numFmtId="168" fontId="0" fillId="0" borderId="0" xfId="0" applyNumberFormat="1" applyAlignment="1">
      <alignment horizontal="left" indent="3"/>
    </xf>
    <xf numFmtId="16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5" fillId="6" borderId="0" xfId="0" applyFont="1" applyFill="1"/>
    <xf numFmtId="4" fontId="15" fillId="6" borderId="0" xfId="0" applyNumberFormat="1" applyFont="1" applyFill="1"/>
    <xf numFmtId="10" fontId="0" fillId="0" borderId="0" xfId="0" applyNumberFormat="1"/>
    <xf numFmtId="10" fontId="15" fillId="6" borderId="0" xfId="4" applyNumberFormat="1" applyFont="1" applyFill="1"/>
    <xf numFmtId="0" fontId="2" fillId="0" borderId="0" xfId="2" applyFont="1"/>
    <xf numFmtId="0" fontId="4" fillId="7" borderId="7" xfId="2" applyFont="1" applyFill="1" applyBorder="1"/>
    <xf numFmtId="0" fontId="4" fillId="7" borderId="8" xfId="2" applyFont="1" applyFill="1" applyBorder="1"/>
    <xf numFmtId="0" fontId="1" fillId="0" borderId="0" xfId="2"/>
    <xf numFmtId="0" fontId="2" fillId="0" borderId="7" xfId="2" applyFont="1" applyBorder="1"/>
    <xf numFmtId="0" fontId="2" fillId="0" borderId="8" xfId="2" applyFont="1" applyBorder="1"/>
    <xf numFmtId="3" fontId="2" fillId="5" borderId="9" xfId="5" applyNumberFormat="1" applyFont="1" applyFill="1" applyBorder="1" applyProtection="1">
      <protection locked="0"/>
    </xf>
    <xf numFmtId="0" fontId="2" fillId="0" borderId="10" xfId="2" applyFont="1" applyBorder="1"/>
    <xf numFmtId="0" fontId="2" fillId="0" borderId="11" xfId="2" applyFont="1" applyBorder="1"/>
    <xf numFmtId="2" fontId="2" fillId="5" borderId="12" xfId="2" applyNumberFormat="1" applyFont="1" applyFill="1" applyBorder="1" applyProtection="1">
      <protection locked="0"/>
    </xf>
    <xf numFmtId="0" fontId="2" fillId="0" borderId="13" xfId="2" applyFont="1" applyBorder="1"/>
    <xf numFmtId="3" fontId="2" fillId="5" borderId="12" xfId="2" applyNumberFormat="1" applyFont="1" applyFill="1" applyBorder="1" applyProtection="1">
      <protection locked="0"/>
    </xf>
    <xf numFmtId="171" fontId="2" fillId="0" borderId="12" xfId="2" applyNumberFormat="1" applyFont="1" applyBorder="1" applyAlignment="1">
      <alignment horizontal="right"/>
    </xf>
    <xf numFmtId="10" fontId="2" fillId="5" borderId="12" xfId="6" applyNumberFormat="1" applyFont="1" applyFill="1" applyBorder="1" applyProtection="1">
      <protection locked="0"/>
    </xf>
    <xf numFmtId="3" fontId="2" fillId="0" borderId="0" xfId="2" applyNumberFormat="1" applyFont="1"/>
    <xf numFmtId="0" fontId="2" fillId="0" borderId="11" xfId="2" applyFont="1" applyBorder="1" applyAlignment="1">
      <alignment horizontal="left"/>
    </xf>
    <xf numFmtId="0" fontId="2" fillId="0" borderId="0" xfId="2" applyFont="1" applyAlignment="1">
      <alignment horizontal="left"/>
    </xf>
    <xf numFmtId="10" fontId="2" fillId="5" borderId="12" xfId="2" applyNumberFormat="1" applyFont="1" applyFill="1" applyBorder="1" applyProtection="1">
      <protection locked="0"/>
    </xf>
    <xf numFmtId="0" fontId="2" fillId="0" borderId="12" xfId="2" applyFont="1" applyBorder="1"/>
    <xf numFmtId="10" fontId="2" fillId="0" borderId="12" xfId="2" applyNumberFormat="1" applyFont="1" applyBorder="1"/>
    <xf numFmtId="3" fontId="2" fillId="0" borderId="12" xfId="2" applyNumberFormat="1" applyFont="1" applyBorder="1"/>
    <xf numFmtId="0" fontId="2" fillId="0" borderId="13" xfId="2" applyFont="1" applyBorder="1" applyAlignment="1">
      <alignment horizontal="left"/>
    </xf>
    <xf numFmtId="10" fontId="17" fillId="8" borderId="1" xfId="6" applyNumberFormat="1" applyFont="1" applyFill="1" applyBorder="1"/>
    <xf numFmtId="10" fontId="17" fillId="8" borderId="1" xfId="2" applyNumberFormat="1" applyFont="1" applyFill="1" applyBorder="1" applyAlignment="1">
      <alignment horizontal="left"/>
    </xf>
    <xf numFmtId="10" fontId="17" fillId="0" borderId="0" xfId="2" applyNumberFormat="1" applyFont="1" applyAlignment="1">
      <alignment horizontal="left"/>
    </xf>
    <xf numFmtId="0" fontId="17" fillId="0" borderId="0" xfId="2" applyFont="1"/>
    <xf numFmtId="0" fontId="17" fillId="0" borderId="13" xfId="2" applyFont="1" applyBorder="1"/>
    <xf numFmtId="0" fontId="2" fillId="0" borderId="15" xfId="2" applyFont="1" applyBorder="1"/>
    <xf numFmtId="10" fontId="2" fillId="0" borderId="16" xfId="2" applyNumberFormat="1" applyFont="1" applyBorder="1"/>
    <xf numFmtId="0" fontId="2" fillId="0" borderId="16" xfId="2" applyFont="1" applyBorder="1"/>
    <xf numFmtId="0" fontId="2" fillId="0" borderId="17" xfId="2" applyFont="1" applyBorder="1"/>
    <xf numFmtId="0" fontId="17" fillId="0" borderId="7" xfId="2" applyFont="1" applyBorder="1"/>
    <xf numFmtId="0" fontId="3" fillId="0" borderId="8" xfId="2" applyFont="1" applyBorder="1"/>
    <xf numFmtId="0" fontId="2" fillId="6" borderId="1" xfId="2" applyFont="1" applyFill="1" applyBorder="1" applyAlignment="1">
      <alignment horizontal="center" vertical="center"/>
    </xf>
    <xf numFmtId="0" fontId="2" fillId="6" borderId="1" xfId="2" applyFont="1" applyFill="1" applyBorder="1" applyAlignment="1">
      <alignment horizontal="center" vertical="center" wrapText="1"/>
    </xf>
    <xf numFmtId="0" fontId="3" fillId="9" borderId="0" xfId="2" applyFont="1" applyFill="1" applyAlignment="1">
      <alignment wrapText="1"/>
    </xf>
    <xf numFmtId="0" fontId="2" fillId="0" borderId="0" xfId="2" applyFont="1" applyAlignment="1">
      <alignment horizontal="right" wrapText="1"/>
    </xf>
    <xf numFmtId="171" fontId="2" fillId="0" borderId="0" xfId="2" applyNumberFormat="1" applyFont="1" applyAlignment="1">
      <alignment horizontal="right" wrapText="1"/>
    </xf>
    <xf numFmtId="0" fontId="2" fillId="0" borderId="13" xfId="2" applyFont="1" applyBorder="1" applyAlignment="1">
      <alignment horizontal="right" wrapText="1"/>
    </xf>
    <xf numFmtId="0" fontId="2" fillId="0" borderId="0" xfId="2" applyFont="1" applyAlignment="1">
      <alignment wrapText="1"/>
    </xf>
    <xf numFmtId="0" fontId="2" fillId="0" borderId="1" xfId="2" applyFont="1" applyBorder="1"/>
    <xf numFmtId="3" fontId="2" fillId="0" borderId="1" xfId="2" applyNumberFormat="1" applyFont="1" applyBorder="1"/>
    <xf numFmtId="3" fontId="2" fillId="0" borderId="1" xfId="5" applyNumberFormat="1" applyFont="1" applyBorder="1"/>
    <xf numFmtId="3" fontId="2" fillId="10" borderId="1" xfId="2" applyNumberFormat="1" applyFont="1" applyFill="1" applyBorder="1"/>
    <xf numFmtId="3" fontId="3" fillId="10" borderId="1" xfId="2" applyNumberFormat="1" applyFont="1" applyFill="1" applyBorder="1"/>
    <xf numFmtId="3" fontId="2" fillId="0" borderId="0" xfId="5" applyNumberFormat="1" applyFont="1"/>
    <xf numFmtId="3" fontId="2" fillId="5" borderId="1" xfId="2" applyNumberFormat="1" applyFont="1" applyFill="1" applyBorder="1"/>
    <xf numFmtId="49" fontId="8" fillId="0" borderId="0" xfId="0" applyNumberFormat="1" applyFont="1"/>
    <xf numFmtId="0" fontId="3" fillId="2" borderId="2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2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4" xfId="0" applyBorder="1"/>
    <xf numFmtId="0" fontId="0" fillId="0" borderId="5" xfId="0" applyBorder="1"/>
    <xf numFmtId="0" fontId="3" fillId="4" borderId="0" xfId="0" applyFont="1" applyFill="1"/>
    <xf numFmtId="0" fontId="4" fillId="0" borderId="0" xfId="0" applyFont="1" applyAlignment="1">
      <alignment horizontal="center" wrapText="1"/>
    </xf>
    <xf numFmtId="0" fontId="4" fillId="0" borderId="0" xfId="0" applyFont="1"/>
    <xf numFmtId="0" fontId="8" fillId="0" borderId="0" xfId="0" applyFont="1" applyAlignment="1">
      <alignment wrapText="1"/>
    </xf>
    <xf numFmtId="0" fontId="0" fillId="0" borderId="0" xfId="0"/>
    <xf numFmtId="0" fontId="0" fillId="4" borderId="0" xfId="0" applyFill="1"/>
    <xf numFmtId="0" fontId="17" fillId="8" borderId="14" xfId="2" applyFont="1" applyFill="1" applyBorder="1" applyAlignment="1">
      <alignment horizontal="center"/>
    </xf>
    <xf numFmtId="0" fontId="17" fillId="8" borderId="4" xfId="2" applyFont="1" applyFill="1" applyBorder="1" applyAlignment="1">
      <alignment horizontal="center"/>
    </xf>
    <xf numFmtId="0" fontId="17" fillId="8" borderId="5" xfId="2" applyFont="1" applyFill="1" applyBorder="1" applyAlignment="1">
      <alignment horizontal="center"/>
    </xf>
    <xf numFmtId="0" fontId="2" fillId="0" borderId="11" xfId="2" applyFont="1" applyBorder="1" applyAlignment="1">
      <alignment horizontal="center"/>
    </xf>
    <xf numFmtId="0" fontId="2" fillId="0" borderId="0" xfId="2" applyFont="1" applyAlignment="1">
      <alignment horizontal="center"/>
    </xf>
  </cellXfs>
  <cellStyles count="7">
    <cellStyle name="Komma" xfId="3" builtinId="3"/>
    <cellStyle name="Komma 6" xfId="5" xr:uid="{1189C796-DDCA-4827-9751-034F9EDF1A46}"/>
    <cellStyle name="Normal" xfId="0" builtinId="0"/>
    <cellStyle name="Normal 2" xfId="2" xr:uid="{736E7174-7404-4557-B1CA-6507C2F3B824}"/>
    <cellStyle name="Procent" xfId="4" builtinId="5"/>
    <cellStyle name="Procent 2" xfId="6" xr:uid="{9CD2603B-7244-40D4-8C4C-D51CB5A9DF4A}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676275</xdr:colOff>
      <xdr:row>0</xdr:row>
      <xdr:rowOff>0</xdr:rowOff>
    </xdr:from>
    <xdr:to>
      <xdr:col>6</xdr:col>
      <xdr:colOff>0</xdr:colOff>
      <xdr:row>1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FDD3AAA-B6F2-41FF-B4E1-208150D5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0"/>
          <a:ext cx="7620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89C0-D43F-4ED4-A591-42BE5D5F3B3B}">
  <dimension ref="A1:B20"/>
  <sheetViews>
    <sheetView tabSelected="1" zoomScale="110" zoomScaleNormal="110" workbookViewId="0">
      <selection activeCell="B2" sqref="B2"/>
    </sheetView>
  </sheetViews>
  <sheetFormatPr defaultRowHeight="12.75" x14ac:dyDescent="0.2"/>
  <cols>
    <col min="1" max="1" width="31.42578125" customWidth="1"/>
    <col min="2" max="2" width="10.140625" style="8" customWidth="1"/>
  </cols>
  <sheetData>
    <row r="1" spans="1:2" ht="15.75" x14ac:dyDescent="0.25">
      <c r="A1" s="59" t="s">
        <v>240</v>
      </c>
    </row>
    <row r="2" spans="1:2" x14ac:dyDescent="0.2">
      <c r="A2" t="s">
        <v>241</v>
      </c>
      <c r="B2" s="8">
        <f>12*(35000+45000)</f>
        <v>960000</v>
      </c>
    </row>
    <row r="3" spans="1:2" x14ac:dyDescent="0.2">
      <c r="A3" t="s">
        <v>242</v>
      </c>
      <c r="B3" s="8">
        <f>Skatteberegning!E151</f>
        <v>325146.5867028588</v>
      </c>
    </row>
    <row r="4" spans="1:2" x14ac:dyDescent="0.2">
      <c r="A4" t="s">
        <v>243</v>
      </c>
      <c r="B4" s="8">
        <f>12*1064</f>
        <v>12768</v>
      </c>
    </row>
    <row r="5" spans="1:2" ht="15.75" x14ac:dyDescent="0.25">
      <c r="A5" s="60" t="s">
        <v>244</v>
      </c>
      <c r="B5" s="61">
        <f>(B2-B3+B4)/12</f>
        <v>53968.451108095098</v>
      </c>
    </row>
    <row r="7" spans="1:2" ht="15.75" x14ac:dyDescent="0.25">
      <c r="A7" s="59" t="s">
        <v>245</v>
      </c>
    </row>
    <row r="8" spans="1:2" x14ac:dyDescent="0.2">
      <c r="A8" t="s">
        <v>247</v>
      </c>
      <c r="B8" s="8">
        <f>SUM(Realkredit!H47:H50)/12</f>
        <v>11072.35333484359</v>
      </c>
    </row>
    <row r="9" spans="1:2" x14ac:dyDescent="0.2">
      <c r="A9" s="4" t="s">
        <v>273</v>
      </c>
      <c r="B9" s="8">
        <v>5250</v>
      </c>
    </row>
    <row r="10" spans="1:2" x14ac:dyDescent="0.2">
      <c r="A10" t="s">
        <v>272</v>
      </c>
      <c r="B10" s="8">
        <v>2500</v>
      </c>
    </row>
    <row r="11" spans="1:2" x14ac:dyDescent="0.2">
      <c r="A11" t="s">
        <v>315</v>
      </c>
      <c r="B11" s="8">
        <v>4000</v>
      </c>
    </row>
    <row r="12" spans="1:2" x14ac:dyDescent="0.2">
      <c r="A12" s="4" t="s">
        <v>314</v>
      </c>
      <c r="B12" s="8">
        <v>1100</v>
      </c>
    </row>
    <row r="13" spans="1:2" x14ac:dyDescent="0.2">
      <c r="A13" t="s">
        <v>316</v>
      </c>
      <c r="B13" s="8">
        <v>1000</v>
      </c>
    </row>
    <row r="14" spans="1:2" x14ac:dyDescent="0.2">
      <c r="A14" t="s">
        <v>317</v>
      </c>
      <c r="B14" s="8">
        <f>Billån!B8</f>
        <v>1971.2145315208807</v>
      </c>
    </row>
    <row r="15" spans="1:2" x14ac:dyDescent="0.2">
      <c r="A15" s="4" t="s">
        <v>321</v>
      </c>
      <c r="B15" s="8">
        <v>2500</v>
      </c>
    </row>
    <row r="16" spans="1:2" x14ac:dyDescent="0.2">
      <c r="A16" t="s">
        <v>318</v>
      </c>
      <c r="B16" s="8">
        <v>1000</v>
      </c>
    </row>
    <row r="17" spans="1:2" x14ac:dyDescent="0.2">
      <c r="A17" t="s">
        <v>274</v>
      </c>
      <c r="B17" s="8">
        <v>800</v>
      </c>
    </row>
    <row r="20" spans="1:2" ht="15.75" x14ac:dyDescent="0.25">
      <c r="A20" s="60" t="s">
        <v>246</v>
      </c>
      <c r="B20" s="61">
        <f>B5-(SUM(B8:B19))</f>
        <v>22774.883241730629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/>
  <dimension ref="A1:S151"/>
  <sheetViews>
    <sheetView topLeftCell="A35" workbookViewId="0">
      <selection activeCell="C41" sqref="C41:F41"/>
    </sheetView>
  </sheetViews>
  <sheetFormatPr defaultRowHeight="12.75" x14ac:dyDescent="0.2"/>
  <cols>
    <col min="1" max="2" width="6" bestFit="1" customWidth="1"/>
    <col min="3" max="3" width="43.7109375" customWidth="1"/>
    <col min="5" max="5" width="11.28515625" customWidth="1"/>
    <col min="6" max="6" width="10.28515625" customWidth="1"/>
    <col min="7" max="7" width="9.140625" hidden="1" customWidth="1"/>
    <col min="9" max="9" width="24.140625" bestFit="1" customWidth="1"/>
    <col min="10" max="10" width="6.42578125" bestFit="1" customWidth="1"/>
    <col min="11" max="11" width="5.28515625" customWidth="1"/>
    <col min="12" max="12" width="7.7109375" customWidth="1"/>
    <col min="13" max="13" width="10.42578125" bestFit="1" customWidth="1"/>
    <col min="15" max="15" width="53.7109375" customWidth="1"/>
    <col min="16" max="16" width="9.140625" bestFit="1" customWidth="1"/>
    <col min="18" max="19" width="0" hidden="1" customWidth="1"/>
  </cols>
  <sheetData>
    <row r="1" spans="1:19" x14ac:dyDescent="0.2">
      <c r="A1" s="4"/>
      <c r="C1" s="11">
        <v>45291</v>
      </c>
      <c r="I1" s="136" t="s">
        <v>0</v>
      </c>
      <c r="J1" s="141"/>
      <c r="K1" s="141"/>
      <c r="L1" s="141"/>
      <c r="M1" s="141"/>
      <c r="O1" s="136" t="s">
        <v>1</v>
      </c>
      <c r="P1" s="136"/>
      <c r="R1" t="b">
        <v>1</v>
      </c>
      <c r="S1" t="s">
        <v>2</v>
      </c>
    </row>
    <row r="2" spans="1:19" ht="20.25" x14ac:dyDescent="0.3">
      <c r="C2" s="137" t="s">
        <v>3</v>
      </c>
      <c r="D2" s="137"/>
      <c r="E2" s="138"/>
      <c r="F2" s="138"/>
      <c r="R2" t="b">
        <v>0</v>
      </c>
      <c r="S2" t="s">
        <v>4</v>
      </c>
    </row>
    <row r="3" spans="1:19" x14ac:dyDescent="0.2">
      <c r="C3" s="139" t="s">
        <v>5</v>
      </c>
      <c r="D3" s="139"/>
      <c r="E3" s="139"/>
      <c r="F3" s="139"/>
      <c r="I3" s="38">
        <v>2024</v>
      </c>
      <c r="O3" s="38">
        <v>2024</v>
      </c>
    </row>
    <row r="4" spans="1:19" x14ac:dyDescent="0.2">
      <c r="C4" s="140"/>
      <c r="D4" s="140"/>
      <c r="E4" s="140"/>
      <c r="F4" s="140"/>
      <c r="I4" t="s">
        <v>6</v>
      </c>
      <c r="J4" s="4" t="s">
        <v>7</v>
      </c>
      <c r="K4" s="4" t="s">
        <v>8</v>
      </c>
      <c r="L4" t="s">
        <v>9</v>
      </c>
      <c r="M4" t="s">
        <v>10</v>
      </c>
      <c r="O4" s="33" t="s">
        <v>11</v>
      </c>
      <c r="P4">
        <v>8</v>
      </c>
    </row>
    <row r="5" spans="1:19" ht="14.25" x14ac:dyDescent="0.2">
      <c r="J5" s="4" t="s">
        <v>12</v>
      </c>
      <c r="K5" s="4" t="s">
        <v>12</v>
      </c>
      <c r="L5" t="s">
        <v>12</v>
      </c>
      <c r="M5" t="s">
        <v>13</v>
      </c>
      <c r="O5" s="33" t="s">
        <v>14</v>
      </c>
      <c r="P5">
        <v>12.06</v>
      </c>
      <c r="Q5" s="23"/>
    </row>
    <row r="6" spans="1:19" x14ac:dyDescent="0.2">
      <c r="C6" s="49" t="s">
        <v>15</v>
      </c>
      <c r="D6" s="50"/>
      <c r="E6" s="15"/>
      <c r="F6" s="16"/>
      <c r="J6" s="4"/>
      <c r="K6" s="4"/>
      <c r="O6" s="33" t="s">
        <v>16</v>
      </c>
      <c r="P6">
        <v>0</v>
      </c>
    </row>
    <row r="7" spans="1:19" x14ac:dyDescent="0.2">
      <c r="C7" s="1"/>
      <c r="D7" s="5"/>
      <c r="E7" s="48" t="s">
        <v>319</v>
      </c>
      <c r="F7" s="48" t="s">
        <v>320</v>
      </c>
      <c r="I7" s="40" t="s">
        <v>17</v>
      </c>
      <c r="J7" s="21"/>
      <c r="K7" s="21"/>
      <c r="L7" s="21"/>
      <c r="M7" s="21">
        <v>0</v>
      </c>
      <c r="O7" s="33" t="s">
        <v>18</v>
      </c>
      <c r="P7">
        <v>15</v>
      </c>
    </row>
    <row r="8" spans="1:19" x14ac:dyDescent="0.2">
      <c r="C8" s="3" t="s">
        <v>19</v>
      </c>
      <c r="D8" s="3"/>
      <c r="E8" s="51" t="s">
        <v>2</v>
      </c>
      <c r="F8" s="1"/>
      <c r="G8" t="b">
        <f>IF(E8=S1,TRUE,FALSE)</f>
        <v>1</v>
      </c>
      <c r="I8" s="42" t="s">
        <v>20</v>
      </c>
      <c r="J8" s="43">
        <v>25.6</v>
      </c>
      <c r="K8" s="43">
        <v>0.8</v>
      </c>
      <c r="L8" s="43">
        <v>0.59</v>
      </c>
      <c r="M8" s="43">
        <v>9.1</v>
      </c>
      <c r="O8" s="33" t="s">
        <v>21</v>
      </c>
      <c r="P8" s="8">
        <v>588900</v>
      </c>
    </row>
    <row r="9" spans="1:19" x14ac:dyDescent="0.2">
      <c r="C9" s="2" t="s">
        <v>22</v>
      </c>
      <c r="D9" s="7"/>
      <c r="E9" s="12" t="s">
        <v>4</v>
      </c>
      <c r="F9" s="12" t="s">
        <v>4</v>
      </c>
      <c r="I9" s="42" t="s">
        <v>23</v>
      </c>
      <c r="J9" s="43">
        <v>25.3</v>
      </c>
      <c r="K9" s="43">
        <v>0.57999999999999996</v>
      </c>
      <c r="L9" s="43">
        <v>0.28999999999999998</v>
      </c>
      <c r="M9" s="43">
        <v>8</v>
      </c>
      <c r="O9" s="33" t="s">
        <v>24</v>
      </c>
      <c r="P9">
        <v>52.07</v>
      </c>
    </row>
    <row r="10" spans="1:19" x14ac:dyDescent="0.2">
      <c r="C10" s="37" t="s">
        <v>25</v>
      </c>
      <c r="D10" s="3"/>
      <c r="E10" s="12" t="s">
        <v>2</v>
      </c>
      <c r="F10" s="12" t="s">
        <v>2</v>
      </c>
      <c r="I10" s="42" t="s">
        <v>26</v>
      </c>
      <c r="J10" s="43">
        <v>26.1</v>
      </c>
      <c r="K10" s="43">
        <v>0.98</v>
      </c>
      <c r="L10" s="43">
        <v>1.0900000000000001</v>
      </c>
      <c r="M10" s="43">
        <v>11.2</v>
      </c>
      <c r="O10" s="33" t="s">
        <v>27</v>
      </c>
      <c r="P10">
        <v>42</v>
      </c>
    </row>
    <row r="11" spans="1:19" x14ac:dyDescent="0.2">
      <c r="C11" s="3" t="s">
        <v>28</v>
      </c>
      <c r="D11" s="3"/>
      <c r="E11" s="12" t="s">
        <v>4</v>
      </c>
      <c r="F11" s="12" t="s">
        <v>4</v>
      </c>
      <c r="I11" s="42" t="s">
        <v>29</v>
      </c>
      <c r="J11" s="43">
        <v>25.5</v>
      </c>
      <c r="K11" s="43">
        <v>0.72</v>
      </c>
      <c r="L11" s="43">
        <v>0.49</v>
      </c>
      <c r="M11" s="43">
        <v>8.3000000000000007</v>
      </c>
      <c r="O11" s="33" t="s">
        <v>30</v>
      </c>
      <c r="P11" s="8">
        <v>39800</v>
      </c>
    </row>
    <row r="12" spans="1:19" x14ac:dyDescent="0.2">
      <c r="C12" s="1"/>
      <c r="D12" s="1"/>
      <c r="E12" s="1"/>
      <c r="F12" s="1"/>
      <c r="I12" s="42" t="s">
        <v>31</v>
      </c>
      <c r="J12" s="43">
        <v>24</v>
      </c>
      <c r="K12" s="43">
        <v>0.89</v>
      </c>
      <c r="L12" s="43">
        <v>0</v>
      </c>
      <c r="M12" s="43">
        <v>7.2</v>
      </c>
      <c r="O12" s="33" t="s">
        <v>32</v>
      </c>
      <c r="P12" s="8">
        <v>49700</v>
      </c>
    </row>
    <row r="13" spans="1:19" x14ac:dyDescent="0.2">
      <c r="C13" s="35" t="s">
        <v>33</v>
      </c>
      <c r="D13" s="3"/>
      <c r="E13" s="12" t="s">
        <v>34</v>
      </c>
      <c r="F13" s="1"/>
      <c r="I13" s="42" t="s">
        <v>35</v>
      </c>
      <c r="J13" s="43">
        <v>26.2</v>
      </c>
      <c r="K13" s="43">
        <v>0.93</v>
      </c>
      <c r="L13" s="43">
        <v>1.19</v>
      </c>
      <c r="M13" s="43">
        <v>10.7</v>
      </c>
      <c r="O13" s="33" t="s">
        <v>36</v>
      </c>
      <c r="P13" s="8">
        <v>0</v>
      </c>
    </row>
    <row r="14" spans="1:19" x14ac:dyDescent="0.2">
      <c r="C14" s="1" t="s">
        <v>37</v>
      </c>
      <c r="D14" s="1"/>
      <c r="E14" s="1">
        <f>VLOOKUP(E13,I8:M105,2,FALSE)</f>
        <v>25.6</v>
      </c>
      <c r="F14" s="1"/>
      <c r="I14" s="42" t="s">
        <v>38</v>
      </c>
      <c r="J14" s="43">
        <v>24.3</v>
      </c>
      <c r="K14" s="43">
        <v>0.8</v>
      </c>
      <c r="L14" s="43">
        <v>0</v>
      </c>
      <c r="M14" s="43">
        <v>4.9000000000000004</v>
      </c>
      <c r="O14" s="33" t="s">
        <v>39</v>
      </c>
      <c r="P14" s="8">
        <v>50500</v>
      </c>
    </row>
    <row r="15" spans="1:19" x14ac:dyDescent="0.2">
      <c r="C15" s="1" t="s">
        <v>40</v>
      </c>
      <c r="D15" s="1"/>
      <c r="E15" s="1">
        <f>VLOOKUP(E13,I8:M105,3,FALSE)</f>
        <v>0.69</v>
      </c>
      <c r="F15" s="1"/>
      <c r="I15" s="42" t="s">
        <v>41</v>
      </c>
      <c r="J15" s="43">
        <v>26.3</v>
      </c>
      <c r="K15" s="43">
        <v>1.08</v>
      </c>
      <c r="L15" s="43">
        <v>1.29</v>
      </c>
      <c r="M15" s="43">
        <v>17.100000000000001</v>
      </c>
      <c r="O15" s="33" t="s">
        <v>42</v>
      </c>
      <c r="P15" s="8">
        <v>27</v>
      </c>
    </row>
    <row r="16" spans="1:19" x14ac:dyDescent="0.2">
      <c r="C16" s="1" t="s">
        <v>43</v>
      </c>
      <c r="D16" s="1"/>
      <c r="E16" s="1">
        <f>VLOOKUP(E13,I7:M105,5,FALSE)</f>
        <v>6.6</v>
      </c>
      <c r="F16" s="1"/>
      <c r="I16" s="42" t="s">
        <v>44</v>
      </c>
      <c r="J16" s="43">
        <v>24.8</v>
      </c>
      <c r="K16" s="43">
        <v>0.61</v>
      </c>
      <c r="L16" s="43">
        <v>0</v>
      </c>
      <c r="M16" s="43">
        <v>8.1</v>
      </c>
      <c r="O16" s="33" t="s">
        <v>45</v>
      </c>
      <c r="P16" s="8">
        <v>42</v>
      </c>
    </row>
    <row r="17" spans="3:16" x14ac:dyDescent="0.2">
      <c r="C17" s="1"/>
      <c r="D17" s="1"/>
      <c r="E17" s="1"/>
      <c r="F17" s="1"/>
      <c r="I17" s="42" t="s">
        <v>46</v>
      </c>
      <c r="J17" s="43">
        <v>25.7</v>
      </c>
      <c r="K17" s="43">
        <v>0.76</v>
      </c>
      <c r="L17" s="43">
        <v>0.69</v>
      </c>
      <c r="M17" s="43">
        <v>8.8000000000000007</v>
      </c>
      <c r="O17" s="33" t="s">
        <v>47</v>
      </c>
      <c r="P17" s="8">
        <v>61000</v>
      </c>
    </row>
    <row r="18" spans="3:16" x14ac:dyDescent="0.2">
      <c r="C18" s="3" t="s">
        <v>48</v>
      </c>
      <c r="D18" s="3"/>
      <c r="E18" s="13"/>
      <c r="F18" s="1"/>
      <c r="I18" s="42" t="s">
        <v>49</v>
      </c>
      <c r="J18" s="43">
        <v>25.8</v>
      </c>
      <c r="K18" s="43">
        <v>0.81</v>
      </c>
      <c r="L18" s="43">
        <v>0.79</v>
      </c>
      <c r="M18" s="43">
        <v>9.9</v>
      </c>
      <c r="O18" s="33" t="s">
        <v>50</v>
      </c>
      <c r="P18" s="8">
        <v>7000</v>
      </c>
    </row>
    <row r="19" spans="3:16" x14ac:dyDescent="0.2">
      <c r="C19" s="3" t="s">
        <v>51</v>
      </c>
      <c r="D19" s="3"/>
      <c r="E19" s="14"/>
      <c r="F19" s="1"/>
      <c r="I19" s="42" t="s">
        <v>52</v>
      </c>
      <c r="J19" s="43">
        <v>26.1</v>
      </c>
      <c r="K19" s="43">
        <v>1.05</v>
      </c>
      <c r="L19" s="43">
        <v>1.0900000000000001</v>
      </c>
      <c r="M19" s="43">
        <v>8.5</v>
      </c>
      <c r="O19" s="33" t="s">
        <v>53</v>
      </c>
      <c r="P19">
        <v>10.65</v>
      </c>
    </row>
    <row r="20" spans="3:16" x14ac:dyDescent="0.2">
      <c r="C20" s="3" t="s">
        <v>54</v>
      </c>
      <c r="D20" s="3"/>
      <c r="E20" s="12" t="s">
        <v>4</v>
      </c>
      <c r="F20" s="1"/>
      <c r="I20" s="42" t="s">
        <v>55</v>
      </c>
      <c r="J20" s="43">
        <v>25.77</v>
      </c>
      <c r="K20" s="43">
        <v>1.1399999999999999</v>
      </c>
      <c r="L20" s="43">
        <v>0.76</v>
      </c>
      <c r="M20" s="43">
        <v>12.5</v>
      </c>
      <c r="O20" s="33" t="s">
        <v>56</v>
      </c>
      <c r="P20" s="8">
        <v>45100</v>
      </c>
    </row>
    <row r="21" spans="3:16" x14ac:dyDescent="0.2">
      <c r="C21" s="3" t="s">
        <v>57</v>
      </c>
      <c r="D21" s="3"/>
      <c r="E21" s="14"/>
      <c r="F21" s="1"/>
      <c r="I21" s="42" t="s">
        <v>58</v>
      </c>
      <c r="J21" s="43">
        <v>25.7</v>
      </c>
      <c r="K21" s="43">
        <v>0.96</v>
      </c>
      <c r="L21" s="43">
        <v>0.69</v>
      </c>
      <c r="M21" s="43">
        <v>10.6</v>
      </c>
      <c r="O21" s="41" t="s">
        <v>59</v>
      </c>
      <c r="P21">
        <v>0.51</v>
      </c>
    </row>
    <row r="22" spans="3:16" x14ac:dyDescent="0.2">
      <c r="C22" s="3" t="s">
        <v>60</v>
      </c>
      <c r="D22" s="3"/>
      <c r="E22" s="13"/>
      <c r="F22" s="1"/>
      <c r="I22" s="42" t="s">
        <v>61</v>
      </c>
      <c r="J22" s="43">
        <v>25.8</v>
      </c>
      <c r="K22" s="43">
        <v>1.08</v>
      </c>
      <c r="L22" s="43">
        <v>0.79</v>
      </c>
      <c r="M22" s="43">
        <v>8</v>
      </c>
      <c r="O22" s="41" t="s">
        <v>62</v>
      </c>
      <c r="P22">
        <v>1.4</v>
      </c>
    </row>
    <row r="23" spans="3:16" x14ac:dyDescent="0.2">
      <c r="C23" s="3" t="s">
        <v>63</v>
      </c>
      <c r="D23" s="3"/>
      <c r="E23" s="14" t="s">
        <v>20</v>
      </c>
      <c r="F23" s="1"/>
      <c r="I23" s="42" t="s">
        <v>64</v>
      </c>
      <c r="J23" s="43">
        <v>25.3</v>
      </c>
      <c r="K23" s="43">
        <v>0.62</v>
      </c>
      <c r="L23" s="43">
        <v>0.28999999999999998</v>
      </c>
      <c r="M23" s="43">
        <v>8.3000000000000007</v>
      </c>
      <c r="O23" s="41" t="s">
        <v>65</v>
      </c>
      <c r="P23" s="8">
        <v>9200000</v>
      </c>
    </row>
    <row r="24" spans="3:16" x14ac:dyDescent="0.2">
      <c r="C24" s="3" t="s">
        <v>43</v>
      </c>
      <c r="D24" s="3"/>
      <c r="E24" s="18">
        <f>VLOOKUP(E23,I7:M105,5,FALSE)</f>
        <v>9.1</v>
      </c>
      <c r="F24" s="1"/>
      <c r="I24" s="42" t="s">
        <v>66</v>
      </c>
      <c r="J24" s="43">
        <v>25.5</v>
      </c>
      <c r="K24" s="43">
        <v>0.88</v>
      </c>
      <c r="L24" s="43">
        <v>0.49</v>
      </c>
      <c r="M24" s="43">
        <v>13</v>
      </c>
      <c r="O24" s="41" t="s">
        <v>67</v>
      </c>
      <c r="P24">
        <v>0.1</v>
      </c>
    </row>
    <row r="25" spans="3:16" x14ac:dyDescent="0.2">
      <c r="C25" s="3" t="s">
        <v>68</v>
      </c>
      <c r="D25" s="3"/>
      <c r="E25" s="14"/>
      <c r="F25" s="1"/>
      <c r="I25" s="42" t="s">
        <v>69</v>
      </c>
      <c r="J25" s="43">
        <v>24.57</v>
      </c>
      <c r="K25" s="43">
        <v>0.5</v>
      </c>
      <c r="L25" s="43">
        <v>0</v>
      </c>
      <c r="M25" s="43">
        <v>3.1</v>
      </c>
      <c r="O25" s="41" t="s">
        <v>70</v>
      </c>
      <c r="P25">
        <v>0.21</v>
      </c>
    </row>
    <row r="26" spans="3:16" x14ac:dyDescent="0.2">
      <c r="C26" s="3" t="s">
        <v>71</v>
      </c>
      <c r="D26" s="3"/>
      <c r="E26" s="12" t="s">
        <v>4</v>
      </c>
      <c r="F26" s="1"/>
      <c r="I26" s="42" t="s">
        <v>72</v>
      </c>
      <c r="J26" s="43">
        <v>26.2</v>
      </c>
      <c r="K26" s="43">
        <v>1.03</v>
      </c>
      <c r="L26" s="43">
        <v>1.19</v>
      </c>
      <c r="M26" s="43">
        <v>13.4</v>
      </c>
      <c r="O26" s="41" t="s">
        <v>73</v>
      </c>
      <c r="P26" s="8">
        <v>1200</v>
      </c>
    </row>
    <row r="27" spans="3:16" ht="25.5" x14ac:dyDescent="0.2">
      <c r="C27" s="35" t="s">
        <v>74</v>
      </c>
      <c r="D27" s="3"/>
      <c r="E27" s="36"/>
      <c r="F27" s="36">
        <f>F32*0.12</f>
        <v>64800</v>
      </c>
      <c r="I27" s="42" t="s">
        <v>75</v>
      </c>
      <c r="J27" s="43">
        <v>25.8</v>
      </c>
      <c r="K27" s="43">
        <v>0.96</v>
      </c>
      <c r="L27" s="43">
        <v>0.79</v>
      </c>
      <c r="M27" s="43">
        <v>12</v>
      </c>
      <c r="O27" s="33" t="s">
        <v>76</v>
      </c>
      <c r="P27">
        <v>8</v>
      </c>
    </row>
    <row r="28" spans="3:16" x14ac:dyDescent="0.2">
      <c r="I28" s="42" t="s">
        <v>77</v>
      </c>
      <c r="J28" s="43">
        <v>24.88</v>
      </c>
      <c r="K28" s="43">
        <v>0.65</v>
      </c>
      <c r="L28" s="43">
        <v>0</v>
      </c>
      <c r="M28" s="43">
        <v>7</v>
      </c>
      <c r="O28" s="33" t="s">
        <v>78</v>
      </c>
      <c r="P28" s="8">
        <v>457500</v>
      </c>
    </row>
    <row r="29" spans="3:16" x14ac:dyDescent="0.2">
      <c r="C29" s="131" t="s">
        <v>79</v>
      </c>
      <c r="D29" s="134"/>
      <c r="E29" s="134"/>
      <c r="F29" s="135"/>
      <c r="I29" s="42" t="s">
        <v>80</v>
      </c>
      <c r="J29" s="43">
        <v>24.34</v>
      </c>
      <c r="K29" s="43">
        <v>0.4</v>
      </c>
      <c r="L29" s="43">
        <v>0</v>
      </c>
      <c r="M29" s="43">
        <v>5.0999999999999996</v>
      </c>
      <c r="O29" s="33" t="s">
        <v>81</v>
      </c>
      <c r="P29">
        <v>0</v>
      </c>
    </row>
    <row r="30" spans="3:16" x14ac:dyDescent="0.2">
      <c r="C30" s="39"/>
      <c r="D30" s="49"/>
      <c r="E30" s="48" t="s">
        <v>82</v>
      </c>
      <c r="F30" s="48" t="str">
        <f>IF(E8=S1,"Ægtefælle","ugift")</f>
        <v>Ægtefælle</v>
      </c>
      <c r="I30" s="42" t="s">
        <v>83</v>
      </c>
      <c r="J30" s="43">
        <v>23.6</v>
      </c>
      <c r="K30" s="43">
        <v>0.75</v>
      </c>
      <c r="L30" s="43">
        <v>0</v>
      </c>
      <c r="M30" s="43">
        <v>5.9</v>
      </c>
      <c r="O30" s="33" t="s">
        <v>84</v>
      </c>
      <c r="P30" s="8">
        <v>152600</v>
      </c>
    </row>
    <row r="31" spans="3:16" x14ac:dyDescent="0.2">
      <c r="C31" s="128" t="s">
        <v>85</v>
      </c>
      <c r="D31" s="134"/>
      <c r="E31" s="134"/>
      <c r="F31" s="135"/>
      <c r="I31" s="42" t="s">
        <v>86</v>
      </c>
      <c r="J31" s="43">
        <v>24.6</v>
      </c>
      <c r="K31" s="43">
        <v>0.8</v>
      </c>
      <c r="L31" s="43">
        <v>0</v>
      </c>
      <c r="M31" s="43">
        <v>6.5</v>
      </c>
      <c r="O31" s="41" t="s">
        <v>87</v>
      </c>
      <c r="P31" s="34">
        <v>216100</v>
      </c>
    </row>
    <row r="32" spans="3:16" x14ac:dyDescent="0.2">
      <c r="C32" s="3" t="s">
        <v>88</v>
      </c>
      <c r="D32" s="3"/>
      <c r="E32" s="14">
        <f>12*35000</f>
        <v>420000</v>
      </c>
      <c r="F32" s="14">
        <f>12*45000</f>
        <v>540000</v>
      </c>
      <c r="I32" s="42" t="s">
        <v>89</v>
      </c>
      <c r="J32" s="43">
        <v>24.52</v>
      </c>
      <c r="K32" s="43">
        <v>0.73</v>
      </c>
      <c r="L32" s="43">
        <v>0</v>
      </c>
      <c r="M32" s="43">
        <v>5.5</v>
      </c>
      <c r="O32" s="33" t="s">
        <v>90</v>
      </c>
      <c r="P32" s="32">
        <v>4.5</v>
      </c>
    </row>
    <row r="33" spans="3:16" x14ac:dyDescent="0.2">
      <c r="C33" s="29" t="s">
        <v>91</v>
      </c>
      <c r="D33" s="3"/>
      <c r="E33" s="8">
        <f>E32*P4/100</f>
        <v>33600</v>
      </c>
      <c r="F33" s="9">
        <f>F32*P4/100</f>
        <v>43200</v>
      </c>
      <c r="I33" s="42" t="s">
        <v>92</v>
      </c>
      <c r="J33" s="43">
        <v>25.4</v>
      </c>
      <c r="K33" s="43">
        <v>0.85</v>
      </c>
      <c r="L33" s="43">
        <v>0.39</v>
      </c>
      <c r="M33" s="43">
        <v>11.1</v>
      </c>
      <c r="O33" s="41" t="s">
        <v>93</v>
      </c>
      <c r="P33" s="34">
        <v>2800</v>
      </c>
    </row>
    <row r="34" spans="3:16" x14ac:dyDescent="0.2">
      <c r="C34" s="35" t="s">
        <v>94</v>
      </c>
      <c r="D34" s="3"/>
      <c r="E34" s="46"/>
      <c r="F34" s="9"/>
      <c r="I34" s="42" t="s">
        <v>95</v>
      </c>
      <c r="J34" s="43">
        <v>25.8</v>
      </c>
      <c r="K34" s="43">
        <v>1.1599999999999999</v>
      </c>
      <c r="L34" s="43">
        <v>0.79</v>
      </c>
      <c r="M34" s="43">
        <v>15.9</v>
      </c>
      <c r="O34" s="41" t="s">
        <v>96</v>
      </c>
      <c r="P34" s="8">
        <v>80600</v>
      </c>
    </row>
    <row r="35" spans="3:16" x14ac:dyDescent="0.2">
      <c r="C35" s="29" t="s">
        <v>91</v>
      </c>
      <c r="D35" s="3"/>
      <c r="E35" s="9">
        <f>MAX(0,E34*P4/100)</f>
        <v>0</v>
      </c>
      <c r="F35" s="9"/>
      <c r="I35" s="42" t="s">
        <v>97</v>
      </c>
      <c r="J35" s="43">
        <v>26.3</v>
      </c>
      <c r="K35" s="43">
        <v>0.95</v>
      </c>
      <c r="L35" s="43">
        <v>1.29</v>
      </c>
      <c r="M35" s="43">
        <v>12.7</v>
      </c>
    </row>
    <row r="36" spans="3:16" ht="25.5" x14ac:dyDescent="0.2">
      <c r="C36" s="3" t="s">
        <v>98</v>
      </c>
      <c r="D36" s="3"/>
      <c r="E36" s="14"/>
      <c r="F36" s="14"/>
      <c r="I36" s="42" t="s">
        <v>99</v>
      </c>
      <c r="J36" s="43">
        <v>25.7</v>
      </c>
      <c r="K36" s="43">
        <v>0.85</v>
      </c>
      <c r="L36" s="43">
        <v>0.69</v>
      </c>
      <c r="M36" s="43">
        <v>10.9</v>
      </c>
      <c r="O36" s="30"/>
      <c r="P36" s="30"/>
    </row>
    <row r="37" spans="3:16" ht="25.5" x14ac:dyDescent="0.2">
      <c r="C37" s="3" t="s">
        <v>100</v>
      </c>
      <c r="D37" s="3"/>
      <c r="E37" s="14"/>
      <c r="F37" s="14"/>
      <c r="I37" s="42" t="s">
        <v>101</v>
      </c>
      <c r="J37" s="43">
        <v>25.52</v>
      </c>
      <c r="K37" s="43">
        <v>0.98</v>
      </c>
      <c r="L37" s="43">
        <v>0.51</v>
      </c>
      <c r="M37" s="43">
        <v>7.9</v>
      </c>
      <c r="O37" s="17"/>
      <c r="P37" s="17"/>
    </row>
    <row r="38" spans="3:16" ht="25.5" x14ac:dyDescent="0.2">
      <c r="C38" s="3" t="s">
        <v>102</v>
      </c>
      <c r="D38" s="3"/>
      <c r="E38" s="14"/>
      <c r="F38" s="14"/>
      <c r="I38" s="42" t="s">
        <v>103</v>
      </c>
      <c r="J38" s="43">
        <v>25.52</v>
      </c>
      <c r="K38" s="43">
        <v>0.63</v>
      </c>
      <c r="L38" s="43">
        <v>0.51</v>
      </c>
      <c r="M38" s="43">
        <v>9.5</v>
      </c>
    </row>
    <row r="39" spans="3:16" x14ac:dyDescent="0.2">
      <c r="I39" s="42" t="s">
        <v>104</v>
      </c>
      <c r="J39" s="43">
        <v>23.7</v>
      </c>
      <c r="K39" s="43">
        <v>0.75</v>
      </c>
      <c r="L39" s="43">
        <v>0</v>
      </c>
      <c r="M39" s="43">
        <v>5.4</v>
      </c>
    </row>
    <row r="40" spans="3:16" x14ac:dyDescent="0.2">
      <c r="C40" s="6" t="s">
        <v>105</v>
      </c>
      <c r="D40" s="6"/>
      <c r="E40" s="9">
        <f>E32-E33+E34-E35+E36+E37-E38</f>
        <v>386400</v>
      </c>
      <c r="F40" s="9">
        <f>F32-F33+F36+F37-F38</f>
        <v>496800</v>
      </c>
      <c r="I40" s="42" t="s">
        <v>106</v>
      </c>
      <c r="J40" s="43">
        <v>25.4</v>
      </c>
      <c r="K40" s="43">
        <v>0.99</v>
      </c>
      <c r="L40" s="43">
        <v>0.39</v>
      </c>
      <c r="M40" s="43">
        <v>9.9</v>
      </c>
    </row>
    <row r="41" spans="3:16" x14ac:dyDescent="0.2">
      <c r="C41" s="128" t="s">
        <v>107</v>
      </c>
      <c r="D41" s="130"/>
      <c r="E41" s="130"/>
      <c r="F41" s="129"/>
      <c r="I41" s="42" t="s">
        <v>34</v>
      </c>
      <c r="J41" s="43">
        <v>25.6</v>
      </c>
      <c r="K41" s="43">
        <v>0.69</v>
      </c>
      <c r="L41" s="43">
        <v>0.59</v>
      </c>
      <c r="M41" s="43">
        <v>6.6</v>
      </c>
    </row>
    <row r="42" spans="3:16" x14ac:dyDescent="0.2">
      <c r="C42" s="3" t="s">
        <v>108</v>
      </c>
      <c r="D42" s="3"/>
      <c r="E42" s="14"/>
      <c r="F42" s="14"/>
      <c r="I42" s="42" t="s">
        <v>109</v>
      </c>
      <c r="J42" s="43">
        <v>26.21</v>
      </c>
      <c r="K42" s="43">
        <v>1.19</v>
      </c>
      <c r="L42" s="43">
        <v>1.2</v>
      </c>
      <c r="M42" s="43">
        <v>16.5</v>
      </c>
    </row>
    <row r="43" spans="3:16" x14ac:dyDescent="0.2">
      <c r="C43" s="3" t="s">
        <v>110</v>
      </c>
      <c r="D43" s="3"/>
      <c r="E43" s="14"/>
      <c r="F43" s="14"/>
      <c r="I43" s="42" t="s">
        <v>111</v>
      </c>
      <c r="J43" s="43">
        <v>25.3</v>
      </c>
      <c r="K43" s="43">
        <v>0.96</v>
      </c>
      <c r="L43" s="43">
        <v>0.28999999999999998</v>
      </c>
      <c r="M43" s="43">
        <v>8.1</v>
      </c>
    </row>
    <row r="44" spans="3:16" x14ac:dyDescent="0.2">
      <c r="C44" s="3" t="s">
        <v>112</v>
      </c>
      <c r="D44" s="3"/>
      <c r="E44" s="14">
        <f>((SUM(Realkredit!$D$47:$D$50)+SUM(Realkredit!$F$47:$F$50))/2)+Billån!$G$8/2</f>
        <v>25346.067406460137</v>
      </c>
      <c r="F44" s="14">
        <f>((SUM(Realkredit!$D$47:$D$50)+SUM(Realkredit!$F$47:$F$50))/2)+Billån!$G$8/2</f>
        <v>25346.067406460137</v>
      </c>
      <c r="I44" s="42" t="s">
        <v>113</v>
      </c>
      <c r="J44" s="43">
        <v>25.5</v>
      </c>
      <c r="K44" s="43">
        <v>1.08</v>
      </c>
      <c r="L44" s="43">
        <v>0.49</v>
      </c>
      <c r="M44" s="43">
        <v>11.5</v>
      </c>
    </row>
    <row r="45" spans="3:16" x14ac:dyDescent="0.2">
      <c r="C45" s="3" t="s">
        <v>114</v>
      </c>
      <c r="D45" s="3"/>
      <c r="E45" s="9">
        <f>E42+E43-E44</f>
        <v>-25346.067406460137</v>
      </c>
      <c r="F45" s="9">
        <f>F42+F43-F44</f>
        <v>-25346.067406460137</v>
      </c>
      <c r="I45" s="42" t="s">
        <v>115</v>
      </c>
      <c r="J45" s="43">
        <v>25.69</v>
      </c>
      <c r="K45" s="43">
        <v>0.79</v>
      </c>
      <c r="L45" s="43">
        <v>0.68</v>
      </c>
      <c r="M45" s="43">
        <v>8.6999999999999993</v>
      </c>
    </row>
    <row r="46" spans="3:16" x14ac:dyDescent="0.2">
      <c r="C46" s="35" t="s">
        <v>116</v>
      </c>
      <c r="D46" s="3"/>
      <c r="E46" s="46"/>
      <c r="F46" s="9"/>
      <c r="I46" s="42" t="s">
        <v>117</v>
      </c>
      <c r="J46" s="43">
        <v>25.4</v>
      </c>
      <c r="K46" s="43">
        <v>0.72</v>
      </c>
      <c r="L46" s="43">
        <v>0.39</v>
      </c>
      <c r="M46" s="43">
        <v>6.5</v>
      </c>
    </row>
    <row r="47" spans="3:16" x14ac:dyDescent="0.2">
      <c r="C47" s="6" t="s">
        <v>118</v>
      </c>
      <c r="D47" s="6"/>
      <c r="E47" s="9">
        <f>E45+E46</f>
        <v>-25346.067406460137</v>
      </c>
      <c r="F47" s="9">
        <f>F45</f>
        <v>-25346.067406460137</v>
      </c>
      <c r="I47" s="42" t="s">
        <v>119</v>
      </c>
      <c r="J47" s="43">
        <v>24.6</v>
      </c>
      <c r="K47" s="43">
        <v>0.8</v>
      </c>
      <c r="L47" s="43">
        <v>0</v>
      </c>
      <c r="M47" s="43">
        <v>6.3</v>
      </c>
    </row>
    <row r="48" spans="3:16" x14ac:dyDescent="0.2">
      <c r="C48" s="128" t="s">
        <v>120</v>
      </c>
      <c r="D48" s="130"/>
      <c r="E48" s="130"/>
      <c r="F48" s="129"/>
      <c r="I48" s="42" t="s">
        <v>121</v>
      </c>
      <c r="J48" s="43">
        <v>23.7</v>
      </c>
      <c r="K48" s="43">
        <v>0.62</v>
      </c>
      <c r="L48" s="43">
        <v>0</v>
      </c>
      <c r="M48" s="43">
        <v>8.5</v>
      </c>
    </row>
    <row r="49" spans="3:13" x14ac:dyDescent="0.2">
      <c r="C49" s="3" t="s">
        <v>122</v>
      </c>
      <c r="D49" s="3"/>
      <c r="E49" s="14"/>
      <c r="F49" s="14" t="s">
        <v>123</v>
      </c>
      <c r="I49" s="42" t="s">
        <v>124</v>
      </c>
      <c r="J49" s="43">
        <v>25.1</v>
      </c>
      <c r="K49" s="43">
        <v>0.97</v>
      </c>
      <c r="L49" s="43">
        <v>0.09</v>
      </c>
      <c r="M49" s="43">
        <v>9.1</v>
      </c>
    </row>
    <row r="50" spans="3:13" x14ac:dyDescent="0.2">
      <c r="C50" s="3" t="s">
        <v>125</v>
      </c>
      <c r="D50" s="3"/>
      <c r="E50" s="14"/>
      <c r="F50" s="14">
        <f>12*1100</f>
        <v>13200</v>
      </c>
      <c r="I50" s="42" t="s">
        <v>126</v>
      </c>
      <c r="J50" s="43">
        <v>25</v>
      </c>
      <c r="K50" s="43">
        <v>0.9</v>
      </c>
      <c r="L50" s="43">
        <v>0</v>
      </c>
      <c r="M50" s="43">
        <v>6.5</v>
      </c>
    </row>
    <row r="51" spans="3:13" x14ac:dyDescent="0.2">
      <c r="C51" s="3" t="s">
        <v>127</v>
      </c>
      <c r="D51" s="9">
        <f>P18</f>
        <v>7000</v>
      </c>
      <c r="E51" s="14"/>
      <c r="F51" s="14"/>
      <c r="I51" s="42" t="s">
        <v>128</v>
      </c>
      <c r="J51" s="43">
        <v>25.7</v>
      </c>
      <c r="K51" s="43">
        <v>1.2</v>
      </c>
      <c r="L51" s="43">
        <v>0.69</v>
      </c>
      <c r="M51" s="43">
        <v>13.2</v>
      </c>
    </row>
    <row r="52" spans="3:13" ht="25.5" x14ac:dyDescent="0.2">
      <c r="C52" s="3" t="s">
        <v>129</v>
      </c>
      <c r="D52" s="1"/>
      <c r="E52" s="14"/>
      <c r="F52" s="14"/>
      <c r="I52" s="42" t="s">
        <v>130</v>
      </c>
      <c r="J52" s="43">
        <v>24.2</v>
      </c>
      <c r="K52" s="43">
        <v>1.01</v>
      </c>
      <c r="L52" s="43">
        <v>0</v>
      </c>
      <c r="M52" s="43">
        <v>16.600000000000001</v>
      </c>
    </row>
    <row r="53" spans="3:13" x14ac:dyDescent="0.2">
      <c r="C53" s="3" t="s">
        <v>131</v>
      </c>
      <c r="D53" s="1"/>
      <c r="E53" s="14"/>
      <c r="F53" s="14"/>
      <c r="I53" s="42" t="s">
        <v>132</v>
      </c>
      <c r="J53" s="43">
        <v>26.1</v>
      </c>
      <c r="K53" s="43">
        <v>0.98</v>
      </c>
      <c r="L53" s="43">
        <v>1.0900000000000001</v>
      </c>
      <c r="M53" s="43">
        <v>12.4</v>
      </c>
    </row>
    <row r="54" spans="3:13" x14ac:dyDescent="0.2">
      <c r="C54" s="3" t="s">
        <v>133</v>
      </c>
      <c r="D54" s="1"/>
      <c r="E54" s="9">
        <f>MIN(MAX(0,(E32+MAX(0,E34+E27)))*P19/100,P20)</f>
        <v>44730</v>
      </c>
      <c r="F54" s="9">
        <f>MIN(MAX(0,F32+F27)*P19/100,P20)</f>
        <v>45100</v>
      </c>
      <c r="I54" s="42" t="s">
        <v>134</v>
      </c>
      <c r="J54" s="43">
        <v>25.5</v>
      </c>
      <c r="K54" s="43">
        <v>0.92</v>
      </c>
      <c r="L54" s="43">
        <v>0.49</v>
      </c>
      <c r="M54" s="43">
        <v>11.1</v>
      </c>
    </row>
    <row r="55" spans="3:13" x14ac:dyDescent="0.2">
      <c r="C55" s="3" t="s">
        <v>135</v>
      </c>
      <c r="D55" s="1"/>
      <c r="E55" s="9">
        <f>MIN(MAX(0,MAX(0,(E32+MAX(0,E34+E27)))-P31)*P32/100,P33)</f>
        <v>2800</v>
      </c>
      <c r="F55" s="9">
        <f>MIN(MAX(0,MAX(0,F32+F27)-P31)*P32/100,P33)</f>
        <v>2800</v>
      </c>
      <c r="I55" s="42" t="s">
        <v>136</v>
      </c>
      <c r="J55" s="43">
        <v>23.6</v>
      </c>
      <c r="K55" s="43">
        <v>0.8</v>
      </c>
      <c r="L55" s="43">
        <v>0</v>
      </c>
      <c r="M55" s="43">
        <v>5.0999999999999996</v>
      </c>
    </row>
    <row r="56" spans="3:13" x14ac:dyDescent="0.2">
      <c r="C56" s="35" t="s">
        <v>137</v>
      </c>
      <c r="D56" s="1"/>
      <c r="E56" s="9">
        <f>IF(E10="ja",MIN(P34,E27+E38)*0.12,MIN(P34,E27+E38)*0.32)</f>
        <v>0</v>
      </c>
      <c r="F56" s="9">
        <f>IF(F10="ja",MIN(P34,F27+F38)*0.12,MIN(P34,F27+F38)*0.32)</f>
        <v>7776</v>
      </c>
      <c r="I56" s="42" t="s">
        <v>138</v>
      </c>
      <c r="J56" s="43">
        <v>25.26</v>
      </c>
      <c r="K56" s="43">
        <v>0.87</v>
      </c>
      <c r="L56" s="43">
        <v>0.25</v>
      </c>
      <c r="M56" s="43">
        <v>5.3</v>
      </c>
    </row>
    <row r="57" spans="3:13" x14ac:dyDescent="0.2">
      <c r="C57" s="6" t="s">
        <v>139</v>
      </c>
      <c r="D57" s="1"/>
      <c r="E57" s="9">
        <f>SUM(E49:E56)</f>
        <v>47530</v>
      </c>
      <c r="F57" s="9">
        <f>SUM(F49:F56)</f>
        <v>68876</v>
      </c>
      <c r="I57" s="42" t="s">
        <v>140</v>
      </c>
      <c r="J57" s="43">
        <v>26.3</v>
      </c>
      <c r="K57" s="43">
        <v>1.1399999999999999</v>
      </c>
      <c r="L57" s="43">
        <v>1.29</v>
      </c>
      <c r="M57" s="43">
        <v>12.2</v>
      </c>
    </row>
    <row r="58" spans="3:13" x14ac:dyDescent="0.2">
      <c r="C58" s="128" t="s">
        <v>141</v>
      </c>
      <c r="D58" s="129"/>
      <c r="E58" s="52">
        <f>E40+E47-E57</f>
        <v>313523.93259353988</v>
      </c>
      <c r="F58" s="52">
        <f>F40+F47-F57</f>
        <v>402577.93259353988</v>
      </c>
      <c r="I58" s="42" t="s">
        <v>142</v>
      </c>
      <c r="J58" s="43">
        <v>25.31</v>
      </c>
      <c r="K58" s="43">
        <v>1.05</v>
      </c>
      <c r="L58" s="43">
        <v>0.3</v>
      </c>
      <c r="M58" s="43">
        <v>9.6</v>
      </c>
    </row>
    <row r="59" spans="3:13" x14ac:dyDescent="0.2">
      <c r="I59" s="42" t="s">
        <v>143</v>
      </c>
      <c r="J59" s="43">
        <v>25.46</v>
      </c>
      <c r="K59" s="43">
        <v>1.27</v>
      </c>
      <c r="L59" s="43">
        <v>0.45</v>
      </c>
      <c r="M59" s="43">
        <v>15.4</v>
      </c>
    </row>
    <row r="60" spans="3:13" x14ac:dyDescent="0.2">
      <c r="C60" s="128" t="s">
        <v>144</v>
      </c>
      <c r="D60" s="130"/>
      <c r="E60" s="130"/>
      <c r="F60" s="129"/>
      <c r="I60" s="42" t="s">
        <v>145</v>
      </c>
      <c r="J60" s="43">
        <v>26.3</v>
      </c>
      <c r="K60" s="43">
        <v>1.23</v>
      </c>
      <c r="L60" s="43">
        <v>1.29</v>
      </c>
      <c r="M60" s="43">
        <v>17.399999999999999</v>
      </c>
    </row>
    <row r="61" spans="3:13" ht="25.5" x14ac:dyDescent="0.2">
      <c r="C61" s="3" t="s">
        <v>146</v>
      </c>
      <c r="D61" s="1"/>
      <c r="E61" s="14" t="s">
        <v>123</v>
      </c>
      <c r="F61" s="14" t="s">
        <v>123</v>
      </c>
      <c r="I61" s="42" t="s">
        <v>147</v>
      </c>
      <c r="J61" s="43">
        <v>24.38</v>
      </c>
      <c r="K61" s="43">
        <v>0.6</v>
      </c>
      <c r="L61" s="43">
        <v>0</v>
      </c>
      <c r="M61" s="43">
        <v>6.7</v>
      </c>
    </row>
    <row r="62" spans="3:13" ht="25.5" x14ac:dyDescent="0.2">
      <c r="C62" s="3" t="s">
        <v>148</v>
      </c>
      <c r="D62" s="1"/>
      <c r="E62" s="14" t="s">
        <v>123</v>
      </c>
      <c r="F62" s="14"/>
      <c r="I62" s="42" t="s">
        <v>149</v>
      </c>
      <c r="J62" s="43">
        <v>26.3</v>
      </c>
      <c r="K62" s="43">
        <v>1.3</v>
      </c>
      <c r="L62" s="43">
        <v>1.29</v>
      </c>
      <c r="M62" s="43">
        <v>12.7</v>
      </c>
    </row>
    <row r="63" spans="3:13" x14ac:dyDescent="0.2">
      <c r="C63" s="6" t="s">
        <v>150</v>
      </c>
      <c r="D63" s="1"/>
      <c r="E63" s="9">
        <f>SUM(E61:E62)</f>
        <v>0</v>
      </c>
      <c r="F63" s="9">
        <f>SUM(F61:F62)</f>
        <v>0</v>
      </c>
      <c r="I63" s="42" t="s">
        <v>151</v>
      </c>
      <c r="J63" s="43">
        <v>25.9</v>
      </c>
      <c r="K63" s="43">
        <v>1.1499999999999999</v>
      </c>
      <c r="L63" s="43">
        <v>0.89</v>
      </c>
      <c r="M63" s="43">
        <v>15.7</v>
      </c>
    </row>
    <row r="64" spans="3:13" x14ac:dyDescent="0.2">
      <c r="C64" s="22"/>
      <c r="E64" s="8"/>
      <c r="F64" s="8"/>
      <c r="I64" s="42" t="s">
        <v>152</v>
      </c>
      <c r="J64" s="43">
        <v>25.8</v>
      </c>
      <c r="K64" s="43">
        <v>0.9</v>
      </c>
      <c r="L64" s="43">
        <v>0.79</v>
      </c>
      <c r="M64" s="43">
        <v>6.8</v>
      </c>
    </row>
    <row r="65" spans="1:13" x14ac:dyDescent="0.2">
      <c r="C65" s="131" t="s">
        <v>153</v>
      </c>
      <c r="D65" s="132"/>
      <c r="E65" s="132"/>
      <c r="F65" s="133"/>
      <c r="I65" s="42" t="s">
        <v>154</v>
      </c>
      <c r="J65" s="43">
        <v>25.8</v>
      </c>
      <c r="K65" s="43">
        <v>1.2</v>
      </c>
      <c r="L65" s="43">
        <v>0.79</v>
      </c>
      <c r="M65" s="43">
        <v>15.3</v>
      </c>
    </row>
    <row r="66" spans="1:13" x14ac:dyDescent="0.2">
      <c r="C66" s="48"/>
      <c r="D66" s="15"/>
      <c r="E66" s="48" t="s">
        <v>82</v>
      </c>
      <c r="F66" s="48" t="str">
        <f>IF(E8=S1,"Ægtefælle","ugift")</f>
        <v>Ægtefælle</v>
      </c>
      <c r="I66" s="42" t="s">
        <v>155</v>
      </c>
      <c r="J66" s="43">
        <v>26</v>
      </c>
      <c r="K66" s="43">
        <v>1</v>
      </c>
      <c r="L66" s="43">
        <v>0.99</v>
      </c>
      <c r="M66" s="43">
        <v>16.8</v>
      </c>
    </row>
    <row r="67" spans="1:13" x14ac:dyDescent="0.2">
      <c r="C67" s="128" t="s">
        <v>156</v>
      </c>
      <c r="D67" s="130"/>
      <c r="E67" s="130"/>
      <c r="F67" s="129"/>
      <c r="I67" s="42" t="s">
        <v>157</v>
      </c>
      <c r="J67" s="43">
        <v>26</v>
      </c>
      <c r="K67" s="43">
        <v>1.04</v>
      </c>
      <c r="L67" s="43">
        <v>0.99</v>
      </c>
      <c r="M67" s="43">
        <v>15.1</v>
      </c>
    </row>
    <row r="68" spans="1:13" x14ac:dyDescent="0.2">
      <c r="C68" s="3" t="s">
        <v>158</v>
      </c>
      <c r="D68" s="1"/>
      <c r="E68" s="9">
        <f>E58</f>
        <v>313523.93259353988</v>
      </c>
      <c r="F68" s="9">
        <f>IF(Gift,F58,"ugift")</f>
        <v>402577.93259353988</v>
      </c>
      <c r="I68" s="42" t="s">
        <v>159</v>
      </c>
      <c r="J68" s="43">
        <v>26.3</v>
      </c>
      <c r="K68" s="43">
        <v>1</v>
      </c>
      <c r="L68" s="43">
        <v>1.29</v>
      </c>
      <c r="M68" s="43">
        <v>12.8</v>
      </c>
    </row>
    <row r="69" spans="1:13" x14ac:dyDescent="0.2">
      <c r="C69" s="3" t="s">
        <v>160</v>
      </c>
      <c r="D69" s="1"/>
      <c r="E69" s="9">
        <f>IF(E9=S1,(-1)*P11,(-1)*P12)</f>
        <v>-49700</v>
      </c>
      <c r="F69" s="9">
        <f>IF(Gift,IF(F9=S1,(-1)*P11,(-1)*P12),"ugift")</f>
        <v>-49700</v>
      </c>
      <c r="I69" s="42" t="s">
        <v>161</v>
      </c>
      <c r="J69" s="43">
        <v>25</v>
      </c>
      <c r="K69" s="43">
        <v>0.98</v>
      </c>
      <c r="L69" s="43">
        <v>0</v>
      </c>
      <c r="M69" s="43">
        <v>9.8000000000000007</v>
      </c>
    </row>
    <row r="70" spans="1:13" x14ac:dyDescent="0.2">
      <c r="C70" s="6" t="s">
        <v>162</v>
      </c>
      <c r="D70" s="1"/>
      <c r="E70" s="9">
        <f>SUM(E68:E69)</f>
        <v>263823.93259353988</v>
      </c>
      <c r="F70" s="9">
        <f>IF(Gift,SUM(F68:F69),"ugift")</f>
        <v>352877.93259353988</v>
      </c>
      <c r="I70" s="42" t="s">
        <v>163</v>
      </c>
      <c r="J70" s="43">
        <v>25.1</v>
      </c>
      <c r="K70" s="43">
        <v>0.95</v>
      </c>
      <c r="L70" s="43">
        <v>0.09</v>
      </c>
      <c r="M70" s="43">
        <v>14.4</v>
      </c>
    </row>
    <row r="71" spans="1:13" x14ac:dyDescent="0.2">
      <c r="A71" s="18">
        <f>IF(E11=S1,E14+E15,E14)+P6</f>
        <v>25.6</v>
      </c>
      <c r="B71" s="18">
        <f>IF(F11=S1,E14+E15,E14)+P6</f>
        <v>25.6</v>
      </c>
      <c r="C71" s="1" t="s">
        <v>164</v>
      </c>
      <c r="D71" s="1"/>
      <c r="E71" s="9">
        <f>E70*A71/100</f>
        <v>67538.926743946213</v>
      </c>
      <c r="F71" s="9">
        <f>IF(Gift,F70*B71/100,"ugift")</f>
        <v>90336.750743946206</v>
      </c>
      <c r="I71" s="42" t="s">
        <v>165</v>
      </c>
      <c r="J71" s="43">
        <v>25.5</v>
      </c>
      <c r="K71" s="43">
        <v>0.68</v>
      </c>
      <c r="L71" s="43">
        <v>0.49</v>
      </c>
      <c r="M71" s="43">
        <v>5.7</v>
      </c>
    </row>
    <row r="72" spans="1:13" x14ac:dyDescent="0.2">
      <c r="C72" s="1" t="s">
        <v>166</v>
      </c>
      <c r="D72" s="1"/>
      <c r="E72" s="9">
        <f>IF(Gift,E71+F71,E71)</f>
        <v>157875.67748789242</v>
      </c>
      <c r="F72" s="8"/>
      <c r="I72" s="42" t="s">
        <v>167</v>
      </c>
      <c r="J72" s="43">
        <v>26.3</v>
      </c>
      <c r="K72" s="43">
        <v>0.98</v>
      </c>
      <c r="L72" s="43">
        <v>1.29</v>
      </c>
      <c r="M72" s="43">
        <v>12.3</v>
      </c>
    </row>
    <row r="73" spans="1:13" x14ac:dyDescent="0.2">
      <c r="C73" s="128" t="s">
        <v>168</v>
      </c>
      <c r="D73" s="130"/>
      <c r="E73" s="130"/>
      <c r="F73" s="129"/>
      <c r="I73" s="42" t="s">
        <v>169</v>
      </c>
      <c r="J73" s="43">
        <v>25.8</v>
      </c>
      <c r="K73" s="43">
        <v>0.89</v>
      </c>
      <c r="L73" s="43">
        <v>0.79</v>
      </c>
      <c r="M73" s="43">
        <v>13.9</v>
      </c>
    </row>
    <row r="74" spans="1:13" x14ac:dyDescent="0.2">
      <c r="C74" s="3" t="s">
        <v>85</v>
      </c>
      <c r="D74" s="1"/>
      <c r="E74" s="9">
        <f>E40</f>
        <v>386400</v>
      </c>
      <c r="F74" s="9">
        <f>IF(Gift,F40,"ugift")</f>
        <v>496800</v>
      </c>
      <c r="I74" s="42" t="s">
        <v>170</v>
      </c>
      <c r="J74" s="43">
        <v>25.83</v>
      </c>
      <c r="K74" s="43">
        <v>1.2</v>
      </c>
      <c r="L74" s="43">
        <v>0.82</v>
      </c>
      <c r="M74" s="43">
        <v>8.9</v>
      </c>
    </row>
    <row r="75" spans="1:13" x14ac:dyDescent="0.2">
      <c r="C75" s="1" t="s">
        <v>171</v>
      </c>
      <c r="D75" s="1"/>
      <c r="E75" s="9">
        <f>IF(Gift,IF(E47&gt;=0,IF(F47&gt;=0,E47,MAX(0,E47+F47)),0),MAX(E47,0))</f>
        <v>0</v>
      </c>
      <c r="F75" s="9">
        <f>IF(Gift,IF(E47&gt;=0,IF(F47&gt;=0,F47,0),IF(F47&gt;=0,MAX(0,E47+F47),0)),"ugift")</f>
        <v>0</v>
      </c>
      <c r="I75" s="42" t="s">
        <v>172</v>
      </c>
      <c r="J75" s="43">
        <v>25</v>
      </c>
      <c r="K75" s="43">
        <v>1.05</v>
      </c>
      <c r="L75" s="43">
        <v>0</v>
      </c>
      <c r="M75" s="43">
        <v>16.399999999999999</v>
      </c>
    </row>
    <row r="76" spans="1:13" x14ac:dyDescent="0.2">
      <c r="C76" s="3" t="s">
        <v>160</v>
      </c>
      <c r="D76" s="1"/>
      <c r="E76" s="9">
        <f>E69</f>
        <v>-49700</v>
      </c>
      <c r="F76" s="9">
        <f>F69</f>
        <v>-49700</v>
      </c>
      <c r="I76" s="42" t="s">
        <v>173</v>
      </c>
      <c r="J76" s="43">
        <v>26.1</v>
      </c>
      <c r="K76" s="43">
        <v>0.95</v>
      </c>
      <c r="L76" s="43">
        <v>1.0900000000000001</v>
      </c>
      <c r="M76" s="43">
        <v>7</v>
      </c>
    </row>
    <row r="77" spans="1:13" x14ac:dyDescent="0.2">
      <c r="C77" s="6" t="s">
        <v>162</v>
      </c>
      <c r="D77" s="1"/>
      <c r="E77" s="9">
        <f>SUM(E74:E76)</f>
        <v>336700</v>
      </c>
      <c r="F77" s="9">
        <f>IF(Gift,SUM(F74:F76),"ugift")</f>
        <v>447100</v>
      </c>
      <c r="I77" s="42" t="s">
        <v>174</v>
      </c>
      <c r="J77" s="43">
        <v>25.2</v>
      </c>
      <c r="K77" s="43">
        <v>0.84</v>
      </c>
      <c r="L77" s="43">
        <v>0.19</v>
      </c>
      <c r="M77" s="43">
        <v>7.4</v>
      </c>
    </row>
    <row r="78" spans="1:13" x14ac:dyDescent="0.2">
      <c r="B78" s="18">
        <f>P5</f>
        <v>12.06</v>
      </c>
      <c r="C78" s="1" t="s">
        <v>164</v>
      </c>
      <c r="D78" s="1"/>
      <c r="E78" s="9">
        <f>E77*B78/100</f>
        <v>40606.019999999997</v>
      </c>
      <c r="F78" s="9">
        <f>IF(Gift,F77*B78/100,"ugift")</f>
        <v>53920.26</v>
      </c>
      <c r="I78" s="42" t="s">
        <v>175</v>
      </c>
      <c r="J78" s="43">
        <v>23.36</v>
      </c>
      <c r="K78" s="43">
        <v>0.56999999999999995</v>
      </c>
      <c r="L78" s="43">
        <v>0</v>
      </c>
      <c r="M78" s="43">
        <v>9.6</v>
      </c>
    </row>
    <row r="79" spans="1:13" x14ac:dyDescent="0.2">
      <c r="C79" s="1" t="s">
        <v>166</v>
      </c>
      <c r="D79" s="1"/>
      <c r="E79" s="9">
        <f>IF(Gift,E78+F78,E78)</f>
        <v>94526.28</v>
      </c>
      <c r="I79" s="42" t="s">
        <v>176</v>
      </c>
      <c r="J79" s="43">
        <v>25.7</v>
      </c>
      <c r="K79" s="43">
        <v>0.72</v>
      </c>
      <c r="L79" s="43">
        <v>0.69</v>
      </c>
      <c r="M79" s="43">
        <v>7.8</v>
      </c>
    </row>
    <row r="80" spans="1:13" x14ac:dyDescent="0.2">
      <c r="C80" s="131" t="s">
        <v>177</v>
      </c>
      <c r="D80" s="132"/>
      <c r="E80" s="132"/>
      <c r="F80" s="133"/>
      <c r="I80" s="42" t="s">
        <v>178</v>
      </c>
      <c r="J80" s="43">
        <v>25.9</v>
      </c>
      <c r="K80" s="43">
        <v>1.22</v>
      </c>
      <c r="L80" s="43">
        <v>0.89</v>
      </c>
      <c r="M80" s="43">
        <v>10.5</v>
      </c>
    </row>
    <row r="81" spans="2:13" x14ac:dyDescent="0.2">
      <c r="C81" s="3" t="s">
        <v>85</v>
      </c>
      <c r="D81" s="1"/>
      <c r="E81" s="9">
        <f>E40</f>
        <v>386400</v>
      </c>
      <c r="F81" s="9">
        <f>IF(Gift,F40,"ugift")</f>
        <v>496800</v>
      </c>
      <c r="I81" s="42" t="s">
        <v>179</v>
      </c>
      <c r="J81" s="43">
        <v>25.5</v>
      </c>
      <c r="K81" s="43">
        <v>0.95</v>
      </c>
      <c r="L81" s="43">
        <v>0.49</v>
      </c>
      <c r="M81" s="43">
        <v>11</v>
      </c>
    </row>
    <row r="82" spans="2:13" x14ac:dyDescent="0.2">
      <c r="C82" s="3" t="s">
        <v>180</v>
      </c>
      <c r="D82" s="1"/>
      <c r="E82" s="9">
        <f>-P8</f>
        <v>-588900</v>
      </c>
      <c r="F82" s="9">
        <f>IF(Gift,-P8,"ugift")</f>
        <v>-588900</v>
      </c>
      <c r="I82" s="42" t="s">
        <v>181</v>
      </c>
      <c r="J82" s="43">
        <v>26</v>
      </c>
      <c r="K82" s="43">
        <v>0.86</v>
      </c>
      <c r="L82" s="43">
        <v>0.99</v>
      </c>
      <c r="M82" s="43">
        <v>8.6</v>
      </c>
    </row>
    <row r="83" spans="2:13" x14ac:dyDescent="0.2">
      <c r="C83" s="6" t="s">
        <v>162</v>
      </c>
      <c r="D83" s="1"/>
      <c r="E83" s="9">
        <f>SUM(E81:E82)</f>
        <v>-202500</v>
      </c>
      <c r="F83" s="9">
        <f>IF(Gift,SUM(F81:F82),"ugift")</f>
        <v>-92100</v>
      </c>
      <c r="I83" s="42" t="s">
        <v>182</v>
      </c>
      <c r="J83" s="43">
        <v>25.5</v>
      </c>
      <c r="K83" s="43">
        <v>1.0900000000000001</v>
      </c>
      <c r="L83" s="43">
        <v>0.49</v>
      </c>
      <c r="M83" s="43">
        <v>11.6</v>
      </c>
    </row>
    <row r="84" spans="2:13" x14ac:dyDescent="0.2">
      <c r="B84" s="18">
        <f>IF((E14+P6+P5+P7)&gt;P9,P7-(E14+P6+P5+P7-P9),P7)</f>
        <v>14.409999999999997</v>
      </c>
      <c r="C84" s="1" t="s">
        <v>164</v>
      </c>
      <c r="D84" s="1"/>
      <c r="E84" s="9">
        <f>E83*B84/100</f>
        <v>-29180.249999999996</v>
      </c>
      <c r="F84" s="9">
        <f>IF(Gift,F83*B84/100,"ugift")</f>
        <v>-13271.609999999997</v>
      </c>
      <c r="I84" s="42" t="s">
        <v>183</v>
      </c>
      <c r="J84" s="43">
        <v>26.1</v>
      </c>
      <c r="K84" s="43">
        <v>0.96</v>
      </c>
      <c r="L84" s="43">
        <v>1.0900000000000001</v>
      </c>
      <c r="M84" s="43">
        <v>11.1</v>
      </c>
    </row>
    <row r="85" spans="2:13" x14ac:dyDescent="0.2">
      <c r="C85" s="10" t="s">
        <v>184</v>
      </c>
      <c r="D85" s="1"/>
      <c r="E85" s="9">
        <f>IF(Gift,MAX(0,E84)+MAX(0,F84),MAX(0,E84))</f>
        <v>0</v>
      </c>
      <c r="I85" s="42" t="s">
        <v>185</v>
      </c>
      <c r="J85" s="43">
        <v>24.99</v>
      </c>
      <c r="K85" s="43">
        <v>0.89</v>
      </c>
      <c r="L85" s="43">
        <v>0</v>
      </c>
      <c r="M85" s="43">
        <v>7.9</v>
      </c>
    </row>
    <row r="86" spans="2:13" x14ac:dyDescent="0.2">
      <c r="C86" s="3" t="s">
        <v>186</v>
      </c>
      <c r="D86" s="9">
        <f>IF(Gift,P14*2,P14)</f>
        <v>101000</v>
      </c>
      <c r="E86" s="9" t="str">
        <f>IF(Gift,IF(E83&gt;=F83,MAX(0,E75+F75-D86),""),MAX(0,E75-D86))</f>
        <v/>
      </c>
      <c r="F86" s="9">
        <f>IF(Gift,IF(E83&lt;F83,MAX(0,E75+F75-D86),""),"ugift")</f>
        <v>0</v>
      </c>
      <c r="I86" s="42" t="s">
        <v>187</v>
      </c>
      <c r="J86" s="43">
        <v>26.3</v>
      </c>
      <c r="K86" s="43">
        <v>0.95</v>
      </c>
      <c r="L86" s="43">
        <v>1.29</v>
      </c>
      <c r="M86" s="43">
        <v>9.8000000000000007</v>
      </c>
    </row>
    <row r="87" spans="2:13" x14ac:dyDescent="0.2">
      <c r="C87" s="3" t="s">
        <v>180</v>
      </c>
      <c r="D87" s="1"/>
      <c r="E87" s="9" t="str">
        <f>IF(Gift,IF(E83&gt;=F83,(-1)*IF(E40&gt;=P8,0,P8-(E40)),""),(-1)*IF(E40&gt;=P8,0,P8-(E40)))</f>
        <v/>
      </c>
      <c r="F87" s="9">
        <f>IF(Gift,IF(E83&lt;F83,(-1)*IF(F40&gt;=P8,0,P8-(F40)),""),"ugift")</f>
        <v>-92100</v>
      </c>
      <c r="I87" s="42" t="s">
        <v>188</v>
      </c>
      <c r="J87" s="43">
        <v>26</v>
      </c>
      <c r="K87" s="43">
        <v>1.1000000000000001</v>
      </c>
      <c r="L87" s="43">
        <v>0.99</v>
      </c>
      <c r="M87" s="43">
        <v>8.3000000000000007</v>
      </c>
    </row>
    <row r="88" spans="2:13" x14ac:dyDescent="0.2">
      <c r="C88" s="6" t="s">
        <v>162</v>
      </c>
      <c r="D88" s="1"/>
      <c r="E88" s="9" t="str">
        <f>IF(Gift,IF(E83&gt;=F83,E86+E87,""),E86+E87)</f>
        <v/>
      </c>
      <c r="F88" s="9">
        <f>IF(Gift,IF(E83&lt;F83,F86+F87,""),"ugift")</f>
        <v>-92100</v>
      </c>
      <c r="I88" s="42" t="s">
        <v>189</v>
      </c>
      <c r="J88" s="43">
        <v>25.3</v>
      </c>
      <c r="K88" s="43">
        <v>1.2</v>
      </c>
      <c r="L88" s="43">
        <v>0.28999999999999998</v>
      </c>
      <c r="M88" s="43">
        <v>15.5</v>
      </c>
    </row>
    <row r="89" spans="2:13" x14ac:dyDescent="0.2">
      <c r="B89" s="18">
        <f>IF((E14+P6+P5+P7)&gt;P10,P7-(E14+P6+P5+P7-P10),P7)</f>
        <v>4.3399999999999963</v>
      </c>
      <c r="C89" s="3" t="s">
        <v>164</v>
      </c>
      <c r="D89" s="1"/>
      <c r="E89" s="9" t="str">
        <f>IF(Gift,IF(E83&gt;=F83,E88*B89/100,""),E88*B89/100)</f>
        <v/>
      </c>
      <c r="F89" s="9">
        <f>IF(Gift,IF(E83&lt;F83,F88*B89/100,""),"ugift")</f>
        <v>-3997.1399999999967</v>
      </c>
      <c r="I89" s="42" t="s">
        <v>190</v>
      </c>
      <c r="J89" s="43">
        <v>26.3</v>
      </c>
      <c r="K89" s="43">
        <v>1.02</v>
      </c>
      <c r="L89" s="43">
        <v>1.29</v>
      </c>
      <c r="M89" s="43">
        <v>8.8000000000000007</v>
      </c>
    </row>
    <row r="90" spans="2:13" x14ac:dyDescent="0.2">
      <c r="C90" s="10" t="s">
        <v>191</v>
      </c>
      <c r="D90" s="1"/>
      <c r="E90" s="9">
        <f>IF(Gift,IF(E83&gt;=F83,MAX(0,E89),MAX(0,F89)),MAX(0,E89))</f>
        <v>0</v>
      </c>
      <c r="I90" s="42" t="s">
        <v>192</v>
      </c>
      <c r="J90" s="43">
        <v>25.9</v>
      </c>
      <c r="K90" s="43">
        <v>0.94</v>
      </c>
      <c r="L90" s="43">
        <v>0.89</v>
      </c>
      <c r="M90" s="43">
        <v>14.2</v>
      </c>
    </row>
    <row r="91" spans="2:13" x14ac:dyDescent="0.2">
      <c r="C91" s="1" t="s">
        <v>166</v>
      </c>
      <c r="D91" s="1"/>
      <c r="E91" s="9">
        <f>E85+E90</f>
        <v>0</v>
      </c>
      <c r="I91" s="42" t="s">
        <v>193</v>
      </c>
      <c r="J91" s="43">
        <v>25.7</v>
      </c>
      <c r="K91" s="43">
        <v>0.91</v>
      </c>
      <c r="L91" s="43">
        <v>0.69</v>
      </c>
      <c r="M91" s="43">
        <v>13.5</v>
      </c>
    </row>
    <row r="92" spans="2:13" x14ac:dyDescent="0.2">
      <c r="E92" s="8"/>
      <c r="I92" s="42" t="s">
        <v>194</v>
      </c>
      <c r="J92" s="43">
        <v>25.5</v>
      </c>
      <c r="K92" s="43">
        <v>1.27</v>
      </c>
      <c r="L92" s="43">
        <v>0.49</v>
      </c>
      <c r="M92" s="43">
        <v>11.2</v>
      </c>
    </row>
    <row r="93" spans="2:13" x14ac:dyDescent="0.2">
      <c r="C93" s="131" t="s">
        <v>195</v>
      </c>
      <c r="D93" s="134"/>
      <c r="E93" s="134"/>
      <c r="F93" s="135"/>
      <c r="I93" s="42" t="s">
        <v>196</v>
      </c>
      <c r="J93" s="43">
        <v>24.1</v>
      </c>
      <c r="K93" s="43">
        <v>0.61</v>
      </c>
      <c r="L93" s="43">
        <v>0</v>
      </c>
      <c r="M93" s="43">
        <v>6</v>
      </c>
    </row>
    <row r="94" spans="2:13" x14ac:dyDescent="0.2">
      <c r="C94" s="39" t="s">
        <v>197</v>
      </c>
      <c r="D94" s="48"/>
      <c r="E94" s="9">
        <f>E37</f>
        <v>0</v>
      </c>
      <c r="F94" s="9">
        <f>IF(Gift,F37,"ugift")</f>
        <v>0</v>
      </c>
      <c r="I94" s="42" t="s">
        <v>198</v>
      </c>
      <c r="J94" s="43">
        <v>25.3</v>
      </c>
      <c r="K94" s="43">
        <v>1.1599999999999999</v>
      </c>
      <c r="L94" s="43">
        <v>0.28999999999999998</v>
      </c>
      <c r="M94" s="43">
        <v>10.8</v>
      </c>
    </row>
    <row r="95" spans="2:13" x14ac:dyDescent="0.2">
      <c r="C95" s="39" t="s">
        <v>199</v>
      </c>
      <c r="D95" s="48"/>
      <c r="E95" s="9">
        <f>P28</f>
        <v>457500</v>
      </c>
      <c r="F95" s="9">
        <f>IF(Gift,P28,"ugift")</f>
        <v>457500</v>
      </c>
      <c r="I95" s="42" t="s">
        <v>200</v>
      </c>
      <c r="J95" s="43">
        <v>25.6</v>
      </c>
      <c r="K95" s="43">
        <v>0.8</v>
      </c>
      <c r="L95" s="43">
        <v>0.59</v>
      </c>
      <c r="M95" s="43">
        <v>8.6</v>
      </c>
    </row>
    <row r="96" spans="2:13" x14ac:dyDescent="0.2">
      <c r="C96" s="39" t="s">
        <v>201</v>
      </c>
      <c r="D96" s="48"/>
      <c r="E96" s="9">
        <f>IF(Gift,MAX(MIN(MAX(0,(-1)*(F94-F95)),P29-MAX(0,F40)),0),0)</f>
        <v>0</v>
      </c>
      <c r="F96" s="9">
        <f>IF(Gift,MAX(MIN(MAX(0,(-1)*(E94-E95)),P29-MAX(0,E40)),0),"ugift")</f>
        <v>0</v>
      </c>
      <c r="I96" s="42" t="s">
        <v>202</v>
      </c>
      <c r="J96" s="43">
        <v>25.1</v>
      </c>
      <c r="K96" s="43">
        <v>0.95</v>
      </c>
      <c r="L96" s="43">
        <v>0.09</v>
      </c>
      <c r="M96" s="43">
        <v>17.7</v>
      </c>
    </row>
    <row r="97" spans="2:13" x14ac:dyDescent="0.2">
      <c r="C97" s="53" t="s">
        <v>162</v>
      </c>
      <c r="D97" s="1"/>
      <c r="E97" s="9">
        <f>E94-(E95+E96)</f>
        <v>-457500</v>
      </c>
      <c r="F97" s="9">
        <f>IF(Gift,F94-(F95+F96),"ugift")</f>
        <v>-457500</v>
      </c>
      <c r="I97" s="42" t="s">
        <v>203</v>
      </c>
      <c r="J97" s="43">
        <v>25.33</v>
      </c>
      <c r="K97" s="43">
        <v>1.06</v>
      </c>
      <c r="L97" s="43">
        <v>0.32</v>
      </c>
      <c r="M97" s="43">
        <v>9</v>
      </c>
    </row>
    <row r="98" spans="2:13" x14ac:dyDescent="0.2">
      <c r="B98" s="45">
        <f>P29</f>
        <v>0</v>
      </c>
      <c r="C98" s="1" t="s">
        <v>164</v>
      </c>
      <c r="D98" s="1"/>
      <c r="E98" s="9">
        <f>E97*B98/100</f>
        <v>0</v>
      </c>
      <c r="F98" s="9">
        <f>IF(Gift,F97*B98/100,"ugift")</f>
        <v>0</v>
      </c>
      <c r="I98" s="42" t="s">
        <v>204</v>
      </c>
      <c r="J98" s="43">
        <v>23.4</v>
      </c>
      <c r="K98" s="43">
        <v>0.89</v>
      </c>
      <c r="L98" s="43">
        <v>0</v>
      </c>
      <c r="M98" s="43">
        <v>10.5</v>
      </c>
    </row>
    <row r="99" spans="2:13" x14ac:dyDescent="0.2">
      <c r="C99" s="1" t="s">
        <v>205</v>
      </c>
      <c r="D99" s="1"/>
      <c r="E99" s="9">
        <f>IF(E98&gt;0,E98,0)</f>
        <v>0</v>
      </c>
      <c r="F99" s="9">
        <f>IF(Gift,IF(F98&gt;0,F98,0),"ugift")</f>
        <v>0</v>
      </c>
      <c r="I99" s="42" t="s">
        <v>206</v>
      </c>
      <c r="J99" s="43">
        <v>26.3</v>
      </c>
      <c r="K99" s="43">
        <v>1.18</v>
      </c>
      <c r="L99" s="43">
        <v>1.29</v>
      </c>
      <c r="M99" s="43">
        <v>9.3000000000000007</v>
      </c>
    </row>
    <row r="100" spans="2:13" x14ac:dyDescent="0.2">
      <c r="C100" s="39" t="s">
        <v>166</v>
      </c>
      <c r="D100" s="1"/>
      <c r="E100" s="9">
        <f>IF(Gift,E99+F99,E99)</f>
        <v>0</v>
      </c>
      <c r="I100" s="42" t="s">
        <v>207</v>
      </c>
      <c r="J100" s="43">
        <v>25.5</v>
      </c>
      <c r="K100" s="43">
        <v>0.93</v>
      </c>
      <c r="L100" s="43">
        <v>0.49</v>
      </c>
      <c r="M100" s="43">
        <v>11.5</v>
      </c>
    </row>
    <row r="101" spans="2:13" x14ac:dyDescent="0.2">
      <c r="E101" s="8"/>
      <c r="I101" s="42" t="s">
        <v>208</v>
      </c>
      <c r="J101" s="43">
        <v>26.3</v>
      </c>
      <c r="K101" s="43">
        <v>1.02</v>
      </c>
      <c r="L101" s="43">
        <v>1.29</v>
      </c>
      <c r="M101" s="43">
        <v>13.5</v>
      </c>
    </row>
    <row r="102" spans="2:13" x14ac:dyDescent="0.2">
      <c r="B102" s="8"/>
      <c r="C102" s="128" t="s">
        <v>209</v>
      </c>
      <c r="D102" s="130"/>
      <c r="E102" s="130"/>
      <c r="F102" s="129"/>
      <c r="I102" s="42" t="s">
        <v>210</v>
      </c>
      <c r="J102" s="43">
        <v>26.1</v>
      </c>
      <c r="K102" s="43">
        <v>1.07</v>
      </c>
      <c r="L102" s="43">
        <v>1.0900000000000001</v>
      </c>
      <c r="M102" s="43">
        <v>11.1</v>
      </c>
    </row>
    <row r="103" spans="2:13" x14ac:dyDescent="0.2">
      <c r="B103" s="8"/>
      <c r="C103" s="3" t="s">
        <v>144</v>
      </c>
      <c r="D103" s="1"/>
      <c r="E103" s="9">
        <f>E63</f>
        <v>0</v>
      </c>
      <c r="F103" s="9">
        <f>IF(Gift,F63,"ugift")</f>
        <v>0</v>
      </c>
      <c r="I103" s="42" t="s">
        <v>211</v>
      </c>
      <c r="J103" s="43">
        <v>25.6</v>
      </c>
      <c r="K103" s="43">
        <v>0.95</v>
      </c>
      <c r="L103" s="43">
        <v>0.59</v>
      </c>
      <c r="M103" s="43">
        <v>7.8</v>
      </c>
    </row>
    <row r="104" spans="2:13" x14ac:dyDescent="0.2">
      <c r="B104" s="31">
        <f>IF(E104&lt;0,-1,1)</f>
        <v>1</v>
      </c>
      <c r="C104" s="1" t="s">
        <v>162</v>
      </c>
      <c r="D104" s="1"/>
      <c r="E104" s="9">
        <f>IF(Gift,E103+F103,E103)</f>
        <v>0</v>
      </c>
      <c r="I104" s="42" t="s">
        <v>212</v>
      </c>
      <c r="J104" s="43">
        <v>25.6</v>
      </c>
      <c r="K104" s="43">
        <v>0.98</v>
      </c>
      <c r="L104" s="43">
        <v>0.59</v>
      </c>
      <c r="M104" s="43">
        <v>7.4</v>
      </c>
    </row>
    <row r="105" spans="2:13" x14ac:dyDescent="0.2">
      <c r="B105" s="9">
        <f>P15</f>
        <v>27</v>
      </c>
      <c r="C105" s="1" t="s">
        <v>213</v>
      </c>
      <c r="D105" s="9">
        <f>IF(Gift,P17*2,P17)</f>
        <v>122000</v>
      </c>
      <c r="E105" s="9">
        <f>IF(B104*E104&lt;=D105,E104*B105/100,B104*D105*B105/100)</f>
        <v>0</v>
      </c>
      <c r="I105" s="42" t="s">
        <v>214</v>
      </c>
      <c r="J105" s="43">
        <v>24.52</v>
      </c>
      <c r="K105" s="43">
        <v>0.74</v>
      </c>
      <c r="L105" s="43">
        <v>0</v>
      </c>
      <c r="M105" s="43">
        <v>6</v>
      </c>
    </row>
    <row r="106" spans="2:13" x14ac:dyDescent="0.2">
      <c r="B106" s="9">
        <f>P16</f>
        <v>42</v>
      </c>
      <c r="C106" s="1" t="s">
        <v>215</v>
      </c>
      <c r="D106" s="9">
        <f>IF(Gift,P17*2,P17)</f>
        <v>122000</v>
      </c>
      <c r="E106" s="9">
        <f>IF(B104*E104&gt;D106,B104*(B104*E104-D106)*B106/100,0)</f>
        <v>0</v>
      </c>
    </row>
    <row r="107" spans="2:13" x14ac:dyDescent="0.2">
      <c r="C107" s="1" t="s">
        <v>166</v>
      </c>
      <c r="D107" s="1"/>
      <c r="E107" s="9">
        <f>SUM(E105:E106)</f>
        <v>0</v>
      </c>
      <c r="I107" s="127" t="s">
        <v>216</v>
      </c>
      <c r="J107" s="127"/>
      <c r="K107" s="127"/>
      <c r="L107" s="127"/>
      <c r="M107" s="127"/>
    </row>
    <row r="108" spans="2:13" x14ac:dyDescent="0.2">
      <c r="F108" s="8"/>
    </row>
    <row r="109" spans="2:13" x14ac:dyDescent="0.2">
      <c r="C109" s="128" t="s">
        <v>217</v>
      </c>
      <c r="D109" s="130"/>
      <c r="E109" s="130"/>
      <c r="F109" s="129"/>
    </row>
    <row r="110" spans="2:13" x14ac:dyDescent="0.2">
      <c r="C110" s="3" t="s">
        <v>218</v>
      </c>
      <c r="D110" s="1"/>
      <c r="E110" s="9">
        <f>E32</f>
        <v>420000</v>
      </c>
      <c r="F110" s="9">
        <f>IF(Gift,F32,"ugift")</f>
        <v>540000</v>
      </c>
    </row>
    <row r="111" spans="2:13" ht="25.5" x14ac:dyDescent="0.2">
      <c r="C111" s="3" t="s">
        <v>219</v>
      </c>
      <c r="D111" s="1"/>
      <c r="E111" s="9">
        <f>MAX(0,E34)</f>
        <v>0</v>
      </c>
      <c r="F111" s="9"/>
    </row>
    <row r="112" spans="2:13" x14ac:dyDescent="0.2">
      <c r="C112" s="6" t="s">
        <v>162</v>
      </c>
      <c r="D112" s="1"/>
      <c r="E112" s="9">
        <f>SUM(E110:E111)</f>
        <v>420000</v>
      </c>
      <c r="F112" s="9">
        <f>IF(Gift,SUM(F110),"ugift")</f>
        <v>540000</v>
      </c>
    </row>
    <row r="113" spans="2:6" x14ac:dyDescent="0.2">
      <c r="B113" s="1">
        <f>P4</f>
        <v>8</v>
      </c>
      <c r="C113" s="1" t="s">
        <v>164</v>
      </c>
      <c r="D113" s="1"/>
      <c r="E113" s="9">
        <f>E112*B113/100</f>
        <v>33600</v>
      </c>
      <c r="F113" s="9">
        <f>IF(Gift,F112*B113/100,"ugift")</f>
        <v>43200</v>
      </c>
    </row>
    <row r="114" spans="2:6" x14ac:dyDescent="0.2">
      <c r="C114" s="1" t="s">
        <v>166</v>
      </c>
      <c r="D114" s="1"/>
      <c r="E114" s="9">
        <f>IF(Gift,E113+F113,E113)</f>
        <v>76800</v>
      </c>
    </row>
    <row r="115" spans="2:6" x14ac:dyDescent="0.2">
      <c r="E115" s="8"/>
    </row>
    <row r="116" spans="2:6" x14ac:dyDescent="0.2">
      <c r="C116" s="49" t="s">
        <v>220</v>
      </c>
      <c r="D116" s="15"/>
      <c r="E116" s="28"/>
      <c r="F116" s="16"/>
    </row>
    <row r="117" spans="2:6" x14ac:dyDescent="0.2">
      <c r="C117" s="1" t="s">
        <v>221</v>
      </c>
      <c r="D117" s="1"/>
      <c r="E117" s="9">
        <f>E47</f>
        <v>-25346.067406460137</v>
      </c>
      <c r="F117" s="9">
        <f>IF(Gift,F47,"ugift")</f>
        <v>-25346.067406460137</v>
      </c>
    </row>
    <row r="118" spans="2:6" x14ac:dyDescent="0.2">
      <c r="C118" s="54" t="s">
        <v>162</v>
      </c>
      <c r="D118" s="24"/>
      <c r="E118" s="25">
        <f>IF(Gift,MIN(0,MAX(E117+F117,-100000)),MIN(0,MAX(E117,-50000)))</f>
        <v>-50692.134812920274</v>
      </c>
    </row>
    <row r="119" spans="2:6" x14ac:dyDescent="0.2">
      <c r="B119" s="44">
        <f>P27</f>
        <v>8</v>
      </c>
      <c r="C119" s="1" t="s">
        <v>164</v>
      </c>
      <c r="D119" s="1"/>
      <c r="E119" s="9">
        <f>E118*B119/100</f>
        <v>-4055.3707850336218</v>
      </c>
    </row>
    <row r="120" spans="2:6" x14ac:dyDescent="0.2">
      <c r="C120" s="26" t="s">
        <v>166</v>
      </c>
      <c r="D120" s="26"/>
      <c r="E120" s="27">
        <f>E119</f>
        <v>-4055.3707850336218</v>
      </c>
    </row>
    <row r="122" spans="2:6" x14ac:dyDescent="0.2">
      <c r="C122" s="128" t="s">
        <v>222</v>
      </c>
      <c r="D122" s="129"/>
      <c r="E122" s="55">
        <f>MAX(0,MAX(0,E72+E79+E91+E100+E106+E120)+E105)+E114</f>
        <v>325146.5867028588</v>
      </c>
    </row>
    <row r="123" spans="2:6" x14ac:dyDescent="0.2">
      <c r="C123" s="20"/>
      <c r="E123" s="56"/>
    </row>
    <row r="124" spans="2:6" x14ac:dyDescent="0.2">
      <c r="C124" s="131" t="s">
        <v>223</v>
      </c>
      <c r="D124" s="132"/>
      <c r="E124" s="133"/>
    </row>
    <row r="125" spans="2:6" x14ac:dyDescent="0.2">
      <c r="C125" s="57"/>
    </row>
    <row r="126" spans="2:6" x14ac:dyDescent="0.2">
      <c r="C126" s="128" t="s">
        <v>224</v>
      </c>
      <c r="D126" s="130"/>
      <c r="E126" s="129"/>
    </row>
    <row r="127" spans="2:6" x14ac:dyDescent="0.2">
      <c r="C127" s="6" t="s">
        <v>225</v>
      </c>
      <c r="D127" s="1"/>
      <c r="E127" s="9">
        <f>E18+E19</f>
        <v>0</v>
      </c>
    </row>
    <row r="128" spans="2:6" x14ac:dyDescent="0.2">
      <c r="B128" s="18">
        <f>P21</f>
        <v>0.51</v>
      </c>
      <c r="C128" s="39" t="s">
        <v>226</v>
      </c>
      <c r="D128" s="9">
        <f>P23</f>
        <v>9200000</v>
      </c>
      <c r="E128" s="9">
        <f>IF(E127*0.8&lt;=D128,E127*0.8*B128/100,D128*B128/100)</f>
        <v>0</v>
      </c>
    </row>
    <row r="129" spans="2:5" x14ac:dyDescent="0.2">
      <c r="B129" s="18">
        <f>P22</f>
        <v>1.4</v>
      </c>
      <c r="C129" s="39" t="s">
        <v>227</v>
      </c>
      <c r="D129" s="9">
        <f>P23</f>
        <v>9200000</v>
      </c>
      <c r="E129" s="9">
        <f>IF(E127*0.8&gt;D129,(E127*0.8-D129)*B129/100,0)</f>
        <v>0</v>
      </c>
    </row>
    <row r="130" spans="2:5" x14ac:dyDescent="0.2">
      <c r="C130" s="1" t="s">
        <v>9</v>
      </c>
      <c r="D130" s="9"/>
      <c r="E130" s="9" t="str">
        <f>IF(E20=S1,IF(E18&gt;0,(-1)*(E127*0.8*P24/100+MIN(E127*0.8*P25/100,P26)),IF(E19&gt;0,(-1)*(E127*0.8*P24/100),"")),"")</f>
        <v/>
      </c>
    </row>
    <row r="131" spans="2:5" x14ac:dyDescent="0.2">
      <c r="C131" s="3" t="s">
        <v>228</v>
      </c>
      <c r="D131" s="1"/>
      <c r="E131" s="9">
        <f>SUM(E128:E130)</f>
        <v>0</v>
      </c>
    </row>
    <row r="132" spans="2:5" x14ac:dyDescent="0.2">
      <c r="C132" s="6" t="s">
        <v>229</v>
      </c>
      <c r="D132" s="1"/>
      <c r="E132" s="9">
        <f>E22</f>
        <v>0</v>
      </c>
    </row>
    <row r="133" spans="2:5" x14ac:dyDescent="0.2">
      <c r="B133" s="18">
        <f>P21</f>
        <v>0.51</v>
      </c>
      <c r="C133" s="1" t="s">
        <v>230</v>
      </c>
      <c r="D133" s="9">
        <f>P23</f>
        <v>9200000</v>
      </c>
      <c r="E133" s="9">
        <f>IF(E132*0.8&lt;=D133,E132*0.8*B133/100,D133*B133/100)</f>
        <v>0</v>
      </c>
    </row>
    <row r="134" spans="2:5" x14ac:dyDescent="0.2">
      <c r="B134" s="18">
        <f>P22</f>
        <v>1.4</v>
      </c>
      <c r="C134" s="1" t="s">
        <v>231</v>
      </c>
      <c r="D134" s="9">
        <f>P23</f>
        <v>9200000</v>
      </c>
      <c r="E134" s="9">
        <f>IF(E132*0.8&gt;D134,(E132*0.8-D134)*B134/100,0)</f>
        <v>0</v>
      </c>
    </row>
    <row r="135" spans="2:5" x14ac:dyDescent="0.2">
      <c r="C135" s="1" t="s">
        <v>9</v>
      </c>
      <c r="D135" s="9"/>
      <c r="E135" s="9" t="str">
        <f>IF(E26=S1,(-1)*(E132*0.8*P24/100+MIN(E132*0.8*P25/100,P26)),"")</f>
        <v/>
      </c>
    </row>
    <row r="136" spans="2:5" x14ac:dyDescent="0.2">
      <c r="C136" s="3" t="s">
        <v>232</v>
      </c>
      <c r="D136" s="1"/>
      <c r="E136" s="9">
        <f>SUM(E133:E135)</f>
        <v>0</v>
      </c>
    </row>
    <row r="137" spans="2:5" x14ac:dyDescent="0.2">
      <c r="C137" s="3" t="s">
        <v>166</v>
      </c>
      <c r="D137" s="1"/>
      <c r="E137" s="9">
        <f>E131+E136</f>
        <v>0</v>
      </c>
    </row>
    <row r="138" spans="2:5" x14ac:dyDescent="0.2">
      <c r="C138" s="7"/>
      <c r="E138" s="8"/>
    </row>
    <row r="139" spans="2:5" x14ac:dyDescent="0.2">
      <c r="C139" s="47" t="s">
        <v>233</v>
      </c>
      <c r="D139" s="15"/>
      <c r="E139" s="19"/>
    </row>
    <row r="140" spans="2:5" x14ac:dyDescent="0.2">
      <c r="C140" s="58" t="s">
        <v>234</v>
      </c>
      <c r="D140" s="1"/>
      <c r="E140" s="9">
        <f>E21</f>
        <v>0</v>
      </c>
    </row>
    <row r="141" spans="2:5" x14ac:dyDescent="0.2">
      <c r="B141" s="18">
        <f>E16</f>
        <v>6.6</v>
      </c>
      <c r="C141" s="3" t="s">
        <v>235</v>
      </c>
      <c r="D141" s="9">
        <f>E140*0.8</f>
        <v>0</v>
      </c>
      <c r="E141" s="9">
        <f>B141*D141/1000</f>
        <v>0</v>
      </c>
    </row>
    <row r="142" spans="2:5" x14ac:dyDescent="0.2">
      <c r="C142" s="58" t="s">
        <v>68</v>
      </c>
      <c r="D142" s="1"/>
      <c r="E142" s="9">
        <f>E25</f>
        <v>0</v>
      </c>
    </row>
    <row r="143" spans="2:5" x14ac:dyDescent="0.2">
      <c r="B143" s="18">
        <f>E24</f>
        <v>9.1</v>
      </c>
      <c r="C143" s="3" t="s">
        <v>235</v>
      </c>
      <c r="D143" s="9">
        <f>E142*0.8</f>
        <v>0</v>
      </c>
      <c r="E143" s="9">
        <f>B143*D143/1000</f>
        <v>0</v>
      </c>
    </row>
    <row r="144" spans="2:5" x14ac:dyDescent="0.2">
      <c r="B144" s="21"/>
      <c r="C144" s="3" t="s">
        <v>166</v>
      </c>
      <c r="D144" s="9"/>
      <c r="E144" s="9">
        <f>E141+E143</f>
        <v>0</v>
      </c>
    </row>
    <row r="145" spans="3:5" x14ac:dyDescent="0.2">
      <c r="C145" s="7"/>
      <c r="E145" s="8"/>
    </row>
    <row r="146" spans="3:5" x14ac:dyDescent="0.2">
      <c r="C146" s="128" t="s">
        <v>236</v>
      </c>
      <c r="D146" s="129"/>
      <c r="E146" s="55">
        <f>E137+E144</f>
        <v>0</v>
      </c>
    </row>
    <row r="148" spans="3:5" x14ac:dyDescent="0.2">
      <c r="C148" s="131" t="s">
        <v>237</v>
      </c>
      <c r="D148" s="132"/>
      <c r="E148" s="133"/>
    </row>
    <row r="149" spans="3:5" x14ac:dyDescent="0.2">
      <c r="C149" s="1" t="s">
        <v>238</v>
      </c>
      <c r="D149" s="1"/>
      <c r="E149" s="9">
        <f>E122</f>
        <v>325146.5867028588</v>
      </c>
    </row>
    <row r="150" spans="3:5" x14ac:dyDescent="0.2">
      <c r="C150" s="1" t="s">
        <v>239</v>
      </c>
      <c r="D150" s="1"/>
      <c r="E150" s="9">
        <f>E146</f>
        <v>0</v>
      </c>
    </row>
    <row r="151" spans="3:5" x14ac:dyDescent="0.2">
      <c r="C151" s="131" t="s">
        <v>166</v>
      </c>
      <c r="D151" s="133"/>
      <c r="E151" s="55">
        <f>SUM(E149:E150)</f>
        <v>325146.5867028588</v>
      </c>
    </row>
  </sheetData>
  <mergeCells count="24">
    <mergeCell ref="C67:F67"/>
    <mergeCell ref="C73:F73"/>
    <mergeCell ref="C3:F4"/>
    <mergeCell ref="C31:F31"/>
    <mergeCell ref="I1:M1"/>
    <mergeCell ref="O1:P1"/>
    <mergeCell ref="C41:F41"/>
    <mergeCell ref="C65:F65"/>
    <mergeCell ref="C60:F60"/>
    <mergeCell ref="C58:D58"/>
    <mergeCell ref="C48:F48"/>
    <mergeCell ref="C2:F2"/>
    <mergeCell ref="C29:F29"/>
    <mergeCell ref="C151:D151"/>
    <mergeCell ref="C126:E126"/>
    <mergeCell ref="C146:D146"/>
    <mergeCell ref="C124:E124"/>
    <mergeCell ref="C148:E148"/>
    <mergeCell ref="I107:M107"/>
    <mergeCell ref="C122:D122"/>
    <mergeCell ref="C109:F109"/>
    <mergeCell ref="C102:F102"/>
    <mergeCell ref="C80:F80"/>
    <mergeCell ref="C93:F93"/>
  </mergeCells>
  <dataValidations count="3">
    <dataValidation type="list" allowBlank="1" showInputMessage="1" showErrorMessage="1" sqref="E20 F9:F11 E8:E11 E26" xr:uid="{00000000-0002-0000-0000-000002000000}">
      <formula1>$S$1:$S$2</formula1>
    </dataValidation>
    <dataValidation type="list" allowBlank="1" showInputMessage="1" showErrorMessage="1" sqref="E13" xr:uid="{00000000-0002-0000-0000-000000000000}">
      <formula1>$I$8:$I$105</formula1>
    </dataValidation>
    <dataValidation type="list" allowBlank="1" showInputMessage="1" showErrorMessage="1" sqref="E23" xr:uid="{00000000-0002-0000-0000-000001000000}">
      <formula1>$I$7:$I$105</formula1>
    </dataValidation>
  </dataValidations>
  <pageMargins left="0.78740157480314965" right="0.78740157480314965" top="0.78740157480314965" bottom="0.59055118110236227" header="0.51181102362204722" footer="0.51181102362204722"/>
  <pageSetup paperSize="9" orientation="portrait" r:id="rId1"/>
  <headerFooter alignWithMargins="0"/>
  <rowBreaks count="4" manualBreakCount="4">
    <brk id="26" max="5" man="1"/>
    <brk id="59" max="5" man="1"/>
    <brk id="119" max="5" man="1"/>
    <brk id="143" max="5" man="1"/>
  </rowBreaks>
  <ignoredErrors>
    <ignoredError sqref="E142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5923-4925-44D4-BB6D-8DD77BFB0084}">
  <dimension ref="A1:IV392"/>
  <sheetViews>
    <sheetView topLeftCell="B1" zoomScale="90" zoomScaleNormal="90" workbookViewId="0">
      <selection activeCell="F6" sqref="F6"/>
    </sheetView>
  </sheetViews>
  <sheetFormatPr defaultColWidth="9.140625" defaultRowHeight="15" x14ac:dyDescent="0.25"/>
  <cols>
    <col min="1" max="1" width="0" style="80" hidden="1" customWidth="1"/>
    <col min="2" max="2" width="9.85546875" style="80" customWidth="1"/>
    <col min="3" max="3" width="10.85546875" style="80" customWidth="1"/>
    <col min="4" max="4" width="15.7109375" style="80" customWidth="1"/>
    <col min="5" max="5" width="12.140625" style="80" customWidth="1"/>
    <col min="6" max="6" width="16" style="80" bestFit="1" customWidth="1"/>
    <col min="7" max="7" width="14.140625" style="80" customWidth="1"/>
    <col min="8" max="8" width="11.28515625" style="80" customWidth="1"/>
    <col min="9" max="9" width="12.7109375" style="80" customWidth="1"/>
    <col min="10" max="10" width="13" style="80" customWidth="1"/>
    <col min="11" max="12" width="10.85546875" style="80" customWidth="1"/>
    <col min="13" max="13" width="11.28515625" style="80" customWidth="1"/>
    <col min="14" max="14" width="11.5703125" style="80" customWidth="1"/>
    <col min="15" max="15" width="12.28515625" style="80" customWidth="1"/>
    <col min="16" max="256" width="9.140625" style="80"/>
    <col min="257" max="16384" width="9.140625" style="83"/>
  </cols>
  <sheetData>
    <row r="1" spans="2:14" ht="21" thickBot="1" x14ac:dyDescent="0.35">
      <c r="B1" s="81" t="s">
        <v>275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4" x14ac:dyDescent="0.25">
      <c r="B2" s="84" t="s">
        <v>276</v>
      </c>
      <c r="C2" s="85"/>
      <c r="D2" s="85"/>
      <c r="E2" s="85"/>
      <c r="F2" s="86">
        <v>3000000</v>
      </c>
      <c r="G2" s="85"/>
      <c r="H2" s="85"/>
      <c r="I2" s="85"/>
      <c r="J2" s="85"/>
      <c r="K2" s="85"/>
      <c r="L2" s="87"/>
    </row>
    <row r="3" spans="2:14" x14ac:dyDescent="0.25">
      <c r="B3" s="88" t="s">
        <v>277</v>
      </c>
      <c r="F3" s="89">
        <v>100</v>
      </c>
      <c r="L3" s="90"/>
    </row>
    <row r="4" spans="2:14" x14ac:dyDescent="0.25">
      <c r="B4" s="88" t="s">
        <v>278</v>
      </c>
      <c r="F4" s="91"/>
      <c r="L4" s="90"/>
    </row>
    <row r="5" spans="2:14" x14ac:dyDescent="0.25">
      <c r="B5" s="88" t="s">
        <v>279</v>
      </c>
      <c r="F5" s="92">
        <f>(F2*(F3/100))-F4</f>
        <v>3000000</v>
      </c>
      <c r="G5" s="80" t="s">
        <v>280</v>
      </c>
      <c r="L5" s="90"/>
    </row>
    <row r="6" spans="2:14" x14ac:dyDescent="0.25">
      <c r="B6" s="88" t="s">
        <v>281</v>
      </c>
      <c r="F6" s="93">
        <v>0.01</v>
      </c>
      <c r="L6" s="90"/>
      <c r="N6" s="94"/>
    </row>
    <row r="7" spans="2:14" x14ac:dyDescent="0.25">
      <c r="B7" s="88" t="s">
        <v>282</v>
      </c>
      <c r="F7" s="91">
        <v>30.25</v>
      </c>
      <c r="L7" s="90"/>
    </row>
    <row r="8" spans="2:14" x14ac:dyDescent="0.25">
      <c r="B8" s="88" t="s">
        <v>255</v>
      </c>
      <c r="F8" s="91">
        <v>4</v>
      </c>
      <c r="L8" s="90"/>
    </row>
    <row r="9" spans="2:14" x14ac:dyDescent="0.25">
      <c r="B9" s="88" t="s">
        <v>283</v>
      </c>
      <c r="F9" s="91"/>
      <c r="L9" s="90"/>
    </row>
    <row r="10" spans="2:14" x14ac:dyDescent="0.25">
      <c r="B10" s="95" t="s">
        <v>284</v>
      </c>
      <c r="C10" s="96"/>
      <c r="D10" s="96"/>
      <c r="E10" s="96"/>
      <c r="F10" s="97">
        <v>0.25600000000000001</v>
      </c>
      <c r="G10" s="96"/>
      <c r="L10" s="90"/>
    </row>
    <row r="11" spans="2:14" x14ac:dyDescent="0.25">
      <c r="B11" s="88" t="s">
        <v>285</v>
      </c>
      <c r="F11" s="98">
        <f>F7*F8</f>
        <v>121</v>
      </c>
      <c r="L11" s="90"/>
    </row>
    <row r="12" spans="2:14" x14ac:dyDescent="0.25">
      <c r="B12" s="88" t="s">
        <v>286</v>
      </c>
      <c r="F12" s="98">
        <f>F9*F8</f>
        <v>0</v>
      </c>
      <c r="L12" s="90"/>
    </row>
    <row r="13" spans="2:14" x14ac:dyDescent="0.25">
      <c r="B13" s="88" t="s">
        <v>287</v>
      </c>
      <c r="F13" s="99">
        <f>F6/F8</f>
        <v>2.5000000000000001E-3</v>
      </c>
      <c r="L13" s="90"/>
    </row>
    <row r="14" spans="2:14" x14ac:dyDescent="0.25">
      <c r="B14" s="95" t="s">
        <v>288</v>
      </c>
      <c r="C14" s="96"/>
      <c r="D14" s="96"/>
      <c r="E14" s="96"/>
      <c r="F14" s="99">
        <f>F13*(1-F10)</f>
        <v>1.8600000000000001E-3</v>
      </c>
      <c r="L14" s="90"/>
    </row>
    <row r="15" spans="2:14" x14ac:dyDescent="0.25">
      <c r="B15" s="95" t="s">
        <v>289</v>
      </c>
      <c r="C15" s="96"/>
      <c r="D15" s="96"/>
      <c r="E15" s="96"/>
      <c r="F15" s="100" t="str">
        <f>IF(F12&lt;&gt;0,-F2*F13,"")</f>
        <v/>
      </c>
      <c r="G15" s="80" t="s">
        <v>290</v>
      </c>
      <c r="L15" s="90"/>
    </row>
    <row r="16" spans="2:14" x14ac:dyDescent="0.25">
      <c r="B16" s="88" t="s">
        <v>291</v>
      </c>
      <c r="F16" s="100">
        <f>(PMT(F13,(F11-F12),F2))</f>
        <v>-28762.907194204345</v>
      </c>
      <c r="G16" s="80" t="s">
        <v>292</v>
      </c>
      <c r="L16" s="101"/>
    </row>
    <row r="17" spans="1:14" x14ac:dyDescent="0.25">
      <c r="B17" s="95" t="s">
        <v>293</v>
      </c>
      <c r="C17" s="96"/>
      <c r="D17" s="96"/>
      <c r="E17" s="96"/>
      <c r="F17" s="97"/>
      <c r="G17" s="96" t="s">
        <v>294</v>
      </c>
      <c r="H17" s="96"/>
      <c r="I17" s="96"/>
      <c r="J17" s="96"/>
      <c r="K17" s="96"/>
      <c r="L17" s="101"/>
    </row>
    <row r="18" spans="1:14" x14ac:dyDescent="0.25">
      <c r="B18" s="95" t="s">
        <v>293</v>
      </c>
      <c r="C18" s="96"/>
      <c r="D18" s="96"/>
      <c r="E18" s="96"/>
      <c r="F18" s="97">
        <f>0.68%/4</f>
        <v>1.7000000000000001E-3</v>
      </c>
      <c r="G18" s="96" t="s">
        <v>295</v>
      </c>
      <c r="H18" s="96"/>
      <c r="I18" s="96"/>
      <c r="J18" s="96"/>
      <c r="K18" s="96"/>
      <c r="L18" s="101"/>
    </row>
    <row r="19" spans="1:14" x14ac:dyDescent="0.25">
      <c r="B19" s="88" t="s">
        <v>296</v>
      </c>
      <c r="C19" s="83"/>
      <c r="D19" s="83" t="e">
        <f>IF(Skatteordning=2,0,IF(Skatteordning=3,C19,0))</f>
        <v>#REF!</v>
      </c>
      <c r="E19" s="83"/>
      <c r="F19" s="97"/>
      <c r="G19" s="96" t="s">
        <v>294</v>
      </c>
      <c r="L19" s="90"/>
    </row>
    <row r="20" spans="1:14" x14ac:dyDescent="0.25">
      <c r="B20" s="88" t="s">
        <v>296</v>
      </c>
      <c r="C20" s="83"/>
      <c r="D20" s="83"/>
      <c r="E20" s="83"/>
      <c r="F20" s="97"/>
      <c r="G20" s="80" t="s">
        <v>295</v>
      </c>
      <c r="L20" s="90"/>
    </row>
    <row r="21" spans="1:14" x14ac:dyDescent="0.25">
      <c r="B21" s="88"/>
      <c r="L21" s="90"/>
    </row>
    <row r="22" spans="1:14" ht="18" x14ac:dyDescent="0.25">
      <c r="B22" s="142" t="s">
        <v>297</v>
      </c>
      <c r="C22" s="143"/>
      <c r="D22" s="143"/>
      <c r="E22" s="144"/>
      <c r="F22" s="102">
        <f>IRR(H30:H390,2%)</f>
        <v>4.1999999999999815E-3</v>
      </c>
      <c r="G22" s="103" t="s">
        <v>298</v>
      </c>
      <c r="H22" s="104"/>
      <c r="I22" s="105"/>
      <c r="J22" s="105"/>
      <c r="K22" s="105"/>
      <c r="L22" s="106"/>
    </row>
    <row r="23" spans="1:14" ht="18" x14ac:dyDescent="0.25">
      <c r="B23" s="142" t="s">
        <v>271</v>
      </c>
      <c r="C23" s="143"/>
      <c r="D23" s="143"/>
      <c r="E23" s="144"/>
      <c r="F23" s="102">
        <f>((1+F22)^F8)-1</f>
        <v>1.6906136663169535E-2</v>
      </c>
      <c r="G23" s="103" t="s">
        <v>298</v>
      </c>
      <c r="H23" s="104"/>
      <c r="I23" s="105"/>
      <c r="J23" s="105"/>
      <c r="K23" s="105"/>
      <c r="L23" s="106"/>
    </row>
    <row r="24" spans="1:14" ht="18" x14ac:dyDescent="0.25">
      <c r="B24" s="142" t="s">
        <v>297</v>
      </c>
      <c r="C24" s="143"/>
      <c r="D24" s="143"/>
      <c r="E24" s="144"/>
      <c r="F24" s="102">
        <f>IRR(L30:L390,2%)</f>
        <v>3.1247999999999276E-3</v>
      </c>
      <c r="G24" s="103" t="s">
        <v>299</v>
      </c>
      <c r="H24" s="104"/>
      <c r="I24" s="105"/>
      <c r="J24" s="105"/>
      <c r="K24" s="105"/>
      <c r="L24" s="106"/>
    </row>
    <row r="25" spans="1:14" ht="18" x14ac:dyDescent="0.25">
      <c r="B25" s="142" t="s">
        <v>271</v>
      </c>
      <c r="C25" s="143"/>
      <c r="D25" s="143"/>
      <c r="E25" s="144"/>
      <c r="F25" s="102">
        <f>((1+F24)^F8)-1</f>
        <v>1.2557908392459405E-2</v>
      </c>
      <c r="G25" s="103" t="s">
        <v>299</v>
      </c>
      <c r="H25" s="104"/>
      <c r="I25" s="105"/>
      <c r="J25" s="105"/>
      <c r="K25" s="105"/>
      <c r="L25" s="106"/>
    </row>
    <row r="26" spans="1:14" x14ac:dyDescent="0.25">
      <c r="B26" s="145"/>
      <c r="C26" s="146"/>
      <c r="D26" s="146"/>
      <c r="E26" s="146"/>
      <c r="F26" s="146"/>
      <c r="G26" s="146"/>
      <c r="H26" s="146"/>
      <c r="I26" s="146"/>
      <c r="L26" s="90"/>
    </row>
    <row r="27" spans="1:14" ht="15.75" thickBot="1" x14ac:dyDescent="0.3">
      <c r="B27" s="107"/>
      <c r="C27" s="108"/>
      <c r="D27" s="108"/>
      <c r="E27" s="108"/>
      <c r="F27" s="108"/>
      <c r="G27" s="108"/>
      <c r="H27" s="108"/>
      <c r="I27" s="109"/>
      <c r="J27" s="109"/>
      <c r="K27" s="109"/>
      <c r="L27" s="110"/>
    </row>
    <row r="28" spans="1:14" ht="18" x14ac:dyDescent="0.25">
      <c r="B28" s="111" t="str">
        <f>CONCATENATE("Amortisationstabel annuitetslån: (",F11," terminer)")</f>
        <v>Amortisationstabel annuitetslån: (121 terminer)</v>
      </c>
      <c r="C28" s="112"/>
      <c r="D28" s="112"/>
      <c r="E28" s="112"/>
      <c r="F28" s="112"/>
      <c r="G28" s="112"/>
      <c r="H28" s="112"/>
      <c r="I28" s="85"/>
      <c r="J28" s="85"/>
      <c r="K28" s="85"/>
      <c r="L28" s="85"/>
    </row>
    <row r="29" spans="1:14" ht="39" x14ac:dyDescent="0.25">
      <c r="B29" s="113" t="s">
        <v>300</v>
      </c>
      <c r="C29" s="114" t="s">
        <v>301</v>
      </c>
      <c r="D29" s="114" t="s">
        <v>302</v>
      </c>
      <c r="E29" s="114" t="s">
        <v>303</v>
      </c>
      <c r="F29" s="114" t="s">
        <v>304</v>
      </c>
      <c r="G29" s="114" t="s">
        <v>305</v>
      </c>
      <c r="H29" s="114" t="s">
        <v>306</v>
      </c>
      <c r="I29" s="114" t="s">
        <v>307</v>
      </c>
      <c r="J29" s="114" t="s">
        <v>308</v>
      </c>
      <c r="K29" s="114" t="s">
        <v>309</v>
      </c>
      <c r="L29" s="114" t="s">
        <v>310</v>
      </c>
      <c r="M29" s="114" t="s">
        <v>311</v>
      </c>
      <c r="N29" s="115" t="s">
        <v>312</v>
      </c>
    </row>
    <row r="30" spans="1:14" x14ac:dyDescent="0.25">
      <c r="B30" s="88"/>
      <c r="C30" s="116"/>
      <c r="D30" s="116"/>
      <c r="E30" s="116"/>
      <c r="F30" s="116"/>
      <c r="G30" s="116"/>
      <c r="H30" s="117">
        <f>-F5</f>
        <v>-3000000</v>
      </c>
      <c r="I30" s="116"/>
      <c r="J30" s="116"/>
      <c r="K30" s="116"/>
      <c r="L30" s="117">
        <f>-F5</f>
        <v>-3000000</v>
      </c>
      <c r="M30" s="118"/>
      <c r="N30" s="119"/>
    </row>
    <row r="31" spans="1:14" x14ac:dyDescent="0.25">
      <c r="A31" s="80">
        <v>1</v>
      </c>
      <c r="B31" s="120">
        <f t="shared" ref="B31:B94" si="0">IF(A31&lt;=$F$11,A31,"")</f>
        <v>1</v>
      </c>
      <c r="C31" s="121">
        <f>IF(B31&lt;=$F$11,F2,"")</f>
        <v>3000000</v>
      </c>
      <c r="D31" s="122">
        <f t="shared" ref="D31:D94" si="1">IF(B31&lt;=$F$11,(C31*$F$13),"")</f>
        <v>7500</v>
      </c>
      <c r="E31" s="121">
        <f t="shared" ref="E31:E94" si="2">IF(B31&lt;=$F$12,0,IF(B31&lt;=$F$11,(-$F$16-D31),""))</f>
        <v>21262.907194204345</v>
      </c>
      <c r="F31" s="121">
        <f t="shared" ref="F31:F94" si="3">IF(B31&lt;=$F$11,(($F$20*$F$2)+($F$19*$F$2)+(C31*$F$18)+($F$17*C31)),"")</f>
        <v>5100</v>
      </c>
      <c r="G31" s="121">
        <f t="shared" ref="G31:G94" si="4">IF(B31&lt;=$F$11,(D31+E31),"")</f>
        <v>28762.907194204345</v>
      </c>
      <c r="H31" s="121">
        <f t="shared" ref="H31:H94" si="5">IF(B31&lt;=$F$11,(F31+G31),"")</f>
        <v>33862.907194204345</v>
      </c>
      <c r="I31" s="122">
        <f>IF(B31&lt;=$F$11,D31*(1-$F$10),"")</f>
        <v>5580</v>
      </c>
      <c r="J31" s="121">
        <f t="shared" ref="J31:J94" si="6">IF(B31&lt;=$F$11,(($F$20*$F$2*(1-$F$10))+($F$19*$F$2)+((C31*$F$18)*(1-$F$10))+(($F$17*C31))),"")</f>
        <v>3794.4</v>
      </c>
      <c r="K31" s="121">
        <f t="shared" ref="K31:K94" si="7">IF(B31&lt;=$F$11,(E31+I31),"")</f>
        <v>26842.907194204345</v>
      </c>
      <c r="L31" s="121">
        <f t="shared" ref="L31:L94" si="8">IF(B31&lt;=$F$11,(J31+K31),"")</f>
        <v>30637.307194204346</v>
      </c>
      <c r="M31" s="121">
        <f t="shared" ref="M31:M94" si="9">IF(B31&lt;=$F$11,(C31-E31),IF(B31&gt;$F$11,"",0))</f>
        <v>2978737.0928057958</v>
      </c>
    </row>
    <row r="32" spans="1:14" x14ac:dyDescent="0.25">
      <c r="A32" s="80">
        <f t="shared" ref="A32:A95" si="10">A31+1</f>
        <v>2</v>
      </c>
      <c r="B32" s="120">
        <f t="shared" si="0"/>
        <v>2</v>
      </c>
      <c r="C32" s="121">
        <f t="shared" ref="C32:C95" si="11">IF(M31=0,"",M31)</f>
        <v>2978737.0928057958</v>
      </c>
      <c r="D32" s="122">
        <f t="shared" si="1"/>
        <v>7446.8427320144901</v>
      </c>
      <c r="E32" s="121">
        <f t="shared" si="2"/>
        <v>21316.064462189854</v>
      </c>
      <c r="F32" s="121">
        <f t="shared" si="3"/>
        <v>5063.853057769853</v>
      </c>
      <c r="G32" s="121">
        <f t="shared" si="4"/>
        <v>28762.907194204345</v>
      </c>
      <c r="H32" s="121">
        <f t="shared" si="5"/>
        <v>33826.760251974199</v>
      </c>
      <c r="I32" s="122">
        <f t="shared" ref="I32:I95" si="12">IF(B32&lt;=$F$11,(C32*$F$13)*(1-$F$10),"")</f>
        <v>5540.4509926187802</v>
      </c>
      <c r="J32" s="121">
        <f t="shared" si="6"/>
        <v>3767.5066749807706</v>
      </c>
      <c r="K32" s="121">
        <f t="shared" si="7"/>
        <v>26856.515454808636</v>
      </c>
      <c r="L32" s="121">
        <f t="shared" si="8"/>
        <v>30624.022129789406</v>
      </c>
      <c r="M32" s="121">
        <f t="shared" si="9"/>
        <v>2957421.0283436058</v>
      </c>
    </row>
    <row r="33" spans="1:13" x14ac:dyDescent="0.25">
      <c r="A33" s="80">
        <f t="shared" si="10"/>
        <v>3</v>
      </c>
      <c r="B33" s="120">
        <f t="shared" si="0"/>
        <v>3</v>
      </c>
      <c r="C33" s="121">
        <f t="shared" si="11"/>
        <v>2957421.0283436058</v>
      </c>
      <c r="D33" s="122">
        <f t="shared" si="1"/>
        <v>7393.5525708590148</v>
      </c>
      <c r="E33" s="121">
        <f t="shared" si="2"/>
        <v>21369.354623345331</v>
      </c>
      <c r="F33" s="121">
        <f t="shared" si="3"/>
        <v>5027.6157481841301</v>
      </c>
      <c r="G33" s="121">
        <f t="shared" si="4"/>
        <v>28762.907194204345</v>
      </c>
      <c r="H33" s="121">
        <f t="shared" si="5"/>
        <v>33790.522942388474</v>
      </c>
      <c r="I33" s="122">
        <f t="shared" si="12"/>
        <v>5500.803112719107</v>
      </c>
      <c r="J33" s="121">
        <f t="shared" si="6"/>
        <v>3740.5461166489927</v>
      </c>
      <c r="K33" s="121">
        <f t="shared" si="7"/>
        <v>26870.157736064437</v>
      </c>
      <c r="L33" s="121">
        <f t="shared" si="8"/>
        <v>30610.703852713428</v>
      </c>
      <c r="M33" s="121">
        <f t="shared" si="9"/>
        <v>2936051.6737202606</v>
      </c>
    </row>
    <row r="34" spans="1:13" x14ac:dyDescent="0.25">
      <c r="A34" s="80">
        <f t="shared" si="10"/>
        <v>4</v>
      </c>
      <c r="B34" s="120">
        <f t="shared" si="0"/>
        <v>4</v>
      </c>
      <c r="C34" s="121">
        <f t="shared" si="11"/>
        <v>2936051.6737202606</v>
      </c>
      <c r="D34" s="122">
        <f t="shared" si="1"/>
        <v>7340.129184300652</v>
      </c>
      <c r="E34" s="121">
        <f t="shared" si="2"/>
        <v>21422.778009903694</v>
      </c>
      <c r="F34" s="121">
        <f t="shared" si="3"/>
        <v>4991.287845324443</v>
      </c>
      <c r="G34" s="121">
        <f t="shared" si="4"/>
        <v>28762.907194204345</v>
      </c>
      <c r="H34" s="121">
        <f t="shared" si="5"/>
        <v>33754.195039528786</v>
      </c>
      <c r="I34" s="122">
        <f t="shared" si="12"/>
        <v>5461.0561131196855</v>
      </c>
      <c r="J34" s="121">
        <f t="shared" si="6"/>
        <v>3713.5181569213855</v>
      </c>
      <c r="K34" s="121">
        <f t="shared" si="7"/>
        <v>26883.834123023378</v>
      </c>
      <c r="L34" s="121">
        <f t="shared" si="8"/>
        <v>30597.352279944764</v>
      </c>
      <c r="M34" s="121">
        <f t="shared" si="9"/>
        <v>2914628.895710357</v>
      </c>
    </row>
    <row r="35" spans="1:13" x14ac:dyDescent="0.25">
      <c r="A35" s="80">
        <f t="shared" si="10"/>
        <v>5</v>
      </c>
      <c r="B35" s="120">
        <f t="shared" si="0"/>
        <v>5</v>
      </c>
      <c r="C35" s="121">
        <f t="shared" si="11"/>
        <v>2914628.895710357</v>
      </c>
      <c r="D35" s="122">
        <f t="shared" si="1"/>
        <v>7286.5722392758926</v>
      </c>
      <c r="E35" s="121">
        <f t="shared" si="2"/>
        <v>21476.334954928454</v>
      </c>
      <c r="F35" s="121">
        <f t="shared" si="3"/>
        <v>4954.8691227076069</v>
      </c>
      <c r="G35" s="121">
        <f t="shared" si="4"/>
        <v>28762.907194204345</v>
      </c>
      <c r="H35" s="121">
        <f t="shared" si="5"/>
        <v>33717.77631691195</v>
      </c>
      <c r="I35" s="122">
        <f t="shared" si="12"/>
        <v>5421.2097460212644</v>
      </c>
      <c r="J35" s="121">
        <f t="shared" si="6"/>
        <v>3686.4226272944597</v>
      </c>
      <c r="K35" s="121">
        <f t="shared" si="7"/>
        <v>26897.544700949718</v>
      </c>
      <c r="L35" s="121">
        <f t="shared" si="8"/>
        <v>30583.96732824418</v>
      </c>
      <c r="M35" s="121">
        <f t="shared" si="9"/>
        <v>2893152.5607554284</v>
      </c>
    </row>
    <row r="36" spans="1:13" x14ac:dyDescent="0.25">
      <c r="A36" s="80">
        <f t="shared" si="10"/>
        <v>6</v>
      </c>
      <c r="B36" s="120">
        <f t="shared" si="0"/>
        <v>6</v>
      </c>
      <c r="C36" s="121">
        <f t="shared" si="11"/>
        <v>2893152.5607554284</v>
      </c>
      <c r="D36" s="122">
        <f t="shared" si="1"/>
        <v>7232.8814018885714</v>
      </c>
      <c r="E36" s="121">
        <f t="shared" si="2"/>
        <v>21530.025792315773</v>
      </c>
      <c r="F36" s="121">
        <f t="shared" si="3"/>
        <v>4918.3593532842287</v>
      </c>
      <c r="G36" s="121">
        <f t="shared" si="4"/>
        <v>28762.907194204345</v>
      </c>
      <c r="H36" s="121">
        <f t="shared" si="5"/>
        <v>33681.266547488573</v>
      </c>
      <c r="I36" s="122">
        <f t="shared" si="12"/>
        <v>5381.2637630050967</v>
      </c>
      <c r="J36" s="121">
        <f t="shared" si="6"/>
        <v>3659.2593588434661</v>
      </c>
      <c r="K36" s="121">
        <f t="shared" si="7"/>
        <v>26911.289555320869</v>
      </c>
      <c r="L36" s="121">
        <f t="shared" si="8"/>
        <v>30570.548914164334</v>
      </c>
      <c r="M36" s="121">
        <f t="shared" si="9"/>
        <v>2871622.5349631128</v>
      </c>
    </row>
    <row r="37" spans="1:13" x14ac:dyDescent="0.25">
      <c r="A37" s="80">
        <f t="shared" si="10"/>
        <v>7</v>
      </c>
      <c r="B37" s="120">
        <f t="shared" si="0"/>
        <v>7</v>
      </c>
      <c r="C37" s="121">
        <f t="shared" si="11"/>
        <v>2871622.5349631128</v>
      </c>
      <c r="D37" s="122">
        <f t="shared" si="1"/>
        <v>7179.0563374077819</v>
      </c>
      <c r="E37" s="121">
        <f t="shared" si="2"/>
        <v>21583.850856796562</v>
      </c>
      <c r="F37" s="121">
        <f t="shared" si="3"/>
        <v>4881.7583094372922</v>
      </c>
      <c r="G37" s="121">
        <f t="shared" si="4"/>
        <v>28762.907194204345</v>
      </c>
      <c r="H37" s="121">
        <f t="shared" si="5"/>
        <v>33644.665503641634</v>
      </c>
      <c r="I37" s="122">
        <f t="shared" si="12"/>
        <v>5341.2179150313896</v>
      </c>
      <c r="J37" s="121">
        <f t="shared" si="6"/>
        <v>3632.0281822213456</v>
      </c>
      <c r="K37" s="121">
        <f t="shared" si="7"/>
        <v>26925.068771827951</v>
      </c>
      <c r="L37" s="121">
        <f t="shared" si="8"/>
        <v>30557.096954049295</v>
      </c>
      <c r="M37" s="121">
        <f t="shared" si="9"/>
        <v>2850038.6841063164</v>
      </c>
    </row>
    <row r="38" spans="1:13" x14ac:dyDescent="0.25">
      <c r="A38" s="80">
        <f t="shared" si="10"/>
        <v>8</v>
      </c>
      <c r="B38" s="120">
        <f t="shared" si="0"/>
        <v>8</v>
      </c>
      <c r="C38" s="121">
        <f t="shared" si="11"/>
        <v>2850038.6841063164</v>
      </c>
      <c r="D38" s="122">
        <f t="shared" si="1"/>
        <v>7125.0967102657914</v>
      </c>
      <c r="E38" s="121">
        <f t="shared" si="2"/>
        <v>21637.810483938552</v>
      </c>
      <c r="F38" s="121">
        <f t="shared" si="3"/>
        <v>4845.0657629807383</v>
      </c>
      <c r="G38" s="121">
        <f t="shared" si="4"/>
        <v>28762.907194204345</v>
      </c>
      <c r="H38" s="121">
        <f t="shared" si="5"/>
        <v>33607.972957185084</v>
      </c>
      <c r="I38" s="122">
        <f t="shared" si="12"/>
        <v>5301.0719524377491</v>
      </c>
      <c r="J38" s="121">
        <f t="shared" si="6"/>
        <v>3604.7289276576694</v>
      </c>
      <c r="K38" s="121">
        <f t="shared" si="7"/>
        <v>26938.882436376301</v>
      </c>
      <c r="L38" s="121">
        <f t="shared" si="8"/>
        <v>30543.611364033972</v>
      </c>
      <c r="M38" s="121">
        <f t="shared" si="9"/>
        <v>2828400.8736223779</v>
      </c>
    </row>
    <row r="39" spans="1:13" x14ac:dyDescent="0.25">
      <c r="A39" s="80">
        <f t="shared" si="10"/>
        <v>9</v>
      </c>
      <c r="B39" s="120">
        <f t="shared" si="0"/>
        <v>9</v>
      </c>
      <c r="C39" s="121">
        <f t="shared" si="11"/>
        <v>2828400.8736223779</v>
      </c>
      <c r="D39" s="122">
        <f t="shared" si="1"/>
        <v>7071.0021840559448</v>
      </c>
      <c r="E39" s="121">
        <f t="shared" si="2"/>
        <v>21691.905010148399</v>
      </c>
      <c r="F39" s="121">
        <f t="shared" si="3"/>
        <v>4808.2814851580424</v>
      </c>
      <c r="G39" s="121">
        <f t="shared" si="4"/>
        <v>28762.907194204345</v>
      </c>
      <c r="H39" s="121">
        <f t="shared" si="5"/>
        <v>33571.188679362385</v>
      </c>
      <c r="I39" s="122">
        <f t="shared" si="12"/>
        <v>5260.8256249376227</v>
      </c>
      <c r="J39" s="121">
        <f t="shared" si="6"/>
        <v>3577.3614249575835</v>
      </c>
      <c r="K39" s="121">
        <f t="shared" si="7"/>
        <v>26952.730635086024</v>
      </c>
      <c r="L39" s="121">
        <f t="shared" si="8"/>
        <v>30530.092060043607</v>
      </c>
      <c r="M39" s="121">
        <f t="shared" si="9"/>
        <v>2806708.9686122295</v>
      </c>
    </row>
    <row r="40" spans="1:13" x14ac:dyDescent="0.25">
      <c r="A40" s="80">
        <f t="shared" si="10"/>
        <v>10</v>
      </c>
      <c r="B40" s="120">
        <f t="shared" si="0"/>
        <v>10</v>
      </c>
      <c r="C40" s="121">
        <f t="shared" si="11"/>
        <v>2806708.9686122295</v>
      </c>
      <c r="D40" s="122">
        <f t="shared" si="1"/>
        <v>7016.7724215305734</v>
      </c>
      <c r="E40" s="121">
        <f t="shared" si="2"/>
        <v>21746.134772673773</v>
      </c>
      <c r="F40" s="121">
        <f t="shared" si="3"/>
        <v>4771.4052466407902</v>
      </c>
      <c r="G40" s="121">
        <f t="shared" si="4"/>
        <v>28762.907194204345</v>
      </c>
      <c r="H40" s="121">
        <f t="shared" si="5"/>
        <v>33534.312440845133</v>
      </c>
      <c r="I40" s="122">
        <f t="shared" si="12"/>
        <v>5220.478681618747</v>
      </c>
      <c r="J40" s="121">
        <f t="shared" si="6"/>
        <v>3549.9255035007477</v>
      </c>
      <c r="K40" s="121">
        <f t="shared" si="7"/>
        <v>26966.613454292521</v>
      </c>
      <c r="L40" s="121">
        <f t="shared" si="8"/>
        <v>30516.538957793269</v>
      </c>
      <c r="M40" s="121">
        <f t="shared" si="9"/>
        <v>2784962.8338395557</v>
      </c>
    </row>
    <row r="41" spans="1:13" x14ac:dyDescent="0.25">
      <c r="A41" s="80">
        <f t="shared" si="10"/>
        <v>11</v>
      </c>
      <c r="B41" s="120">
        <f t="shared" si="0"/>
        <v>11</v>
      </c>
      <c r="C41" s="121">
        <f t="shared" si="11"/>
        <v>2784962.8338395557</v>
      </c>
      <c r="D41" s="122">
        <f t="shared" si="1"/>
        <v>6962.4070845988899</v>
      </c>
      <c r="E41" s="121">
        <f t="shared" si="2"/>
        <v>21800.500109605455</v>
      </c>
      <c r="F41" s="121">
        <f t="shared" si="3"/>
        <v>4734.4368175272448</v>
      </c>
      <c r="G41" s="121">
        <f t="shared" si="4"/>
        <v>28762.907194204345</v>
      </c>
      <c r="H41" s="121">
        <f t="shared" si="5"/>
        <v>33497.344011731591</v>
      </c>
      <c r="I41" s="122">
        <f t="shared" si="12"/>
        <v>5180.030870941574</v>
      </c>
      <c r="J41" s="121">
        <f t="shared" si="6"/>
        <v>3522.4209922402702</v>
      </c>
      <c r="K41" s="121">
        <f t="shared" si="7"/>
        <v>26980.530980547028</v>
      </c>
      <c r="L41" s="121">
        <f t="shared" si="8"/>
        <v>30502.951972787298</v>
      </c>
      <c r="M41" s="121">
        <f t="shared" si="9"/>
        <v>2763162.3337299502</v>
      </c>
    </row>
    <row r="42" spans="1:13" x14ac:dyDescent="0.25">
      <c r="A42" s="80">
        <f t="shared" si="10"/>
        <v>12</v>
      </c>
      <c r="B42" s="120">
        <f t="shared" si="0"/>
        <v>12</v>
      </c>
      <c r="C42" s="121">
        <f t="shared" si="11"/>
        <v>2763162.3337299502</v>
      </c>
      <c r="D42" s="122">
        <f t="shared" si="1"/>
        <v>6907.9058343248762</v>
      </c>
      <c r="E42" s="121">
        <f t="shared" si="2"/>
        <v>21855.001359879469</v>
      </c>
      <c r="F42" s="121">
        <f t="shared" si="3"/>
        <v>4697.3759673409158</v>
      </c>
      <c r="G42" s="121">
        <f t="shared" si="4"/>
        <v>28762.907194204345</v>
      </c>
      <c r="H42" s="121">
        <f t="shared" si="5"/>
        <v>33460.28316154526</v>
      </c>
      <c r="I42" s="122">
        <f t="shared" si="12"/>
        <v>5139.4819407377081</v>
      </c>
      <c r="J42" s="121">
        <f t="shared" si="6"/>
        <v>3494.8477197016414</v>
      </c>
      <c r="K42" s="121">
        <f t="shared" si="7"/>
        <v>26994.483300617176</v>
      </c>
      <c r="L42" s="121">
        <f t="shared" si="8"/>
        <v>30489.331020318816</v>
      </c>
      <c r="M42" s="121">
        <f t="shared" si="9"/>
        <v>2741307.3323700707</v>
      </c>
    </row>
    <row r="43" spans="1:13" x14ac:dyDescent="0.25">
      <c r="A43" s="80">
        <f t="shared" si="10"/>
        <v>13</v>
      </c>
      <c r="B43" s="120">
        <f t="shared" si="0"/>
        <v>13</v>
      </c>
      <c r="C43" s="121">
        <f t="shared" si="11"/>
        <v>2741307.3323700707</v>
      </c>
      <c r="D43" s="122">
        <f t="shared" si="1"/>
        <v>6853.268330925177</v>
      </c>
      <c r="E43" s="121">
        <f t="shared" si="2"/>
        <v>21909.638863279168</v>
      </c>
      <c r="F43" s="121">
        <f t="shared" si="3"/>
        <v>4660.2224650291209</v>
      </c>
      <c r="G43" s="121">
        <f t="shared" si="4"/>
        <v>28762.907194204345</v>
      </c>
      <c r="H43" s="121">
        <f t="shared" si="5"/>
        <v>33423.129659233469</v>
      </c>
      <c r="I43" s="122">
        <f t="shared" si="12"/>
        <v>5098.8316382083312</v>
      </c>
      <c r="J43" s="121">
        <f t="shared" si="6"/>
        <v>3467.2055139816662</v>
      </c>
      <c r="K43" s="121">
        <f t="shared" si="7"/>
        <v>27008.4705014875</v>
      </c>
      <c r="L43" s="121">
        <f t="shared" si="8"/>
        <v>30475.676015469166</v>
      </c>
      <c r="M43" s="121">
        <f t="shared" si="9"/>
        <v>2719397.6935067917</v>
      </c>
    </row>
    <row r="44" spans="1:13" x14ac:dyDescent="0.25">
      <c r="A44" s="80">
        <f t="shared" si="10"/>
        <v>14</v>
      </c>
      <c r="B44" s="120">
        <f t="shared" si="0"/>
        <v>14</v>
      </c>
      <c r="C44" s="121">
        <f t="shared" si="11"/>
        <v>2719397.6935067917</v>
      </c>
      <c r="D44" s="122">
        <f t="shared" si="1"/>
        <v>6798.4942337669791</v>
      </c>
      <c r="E44" s="121">
        <f t="shared" si="2"/>
        <v>21964.412960437367</v>
      </c>
      <c r="F44" s="121">
        <f t="shared" si="3"/>
        <v>4622.9760789615466</v>
      </c>
      <c r="G44" s="121">
        <f t="shared" si="4"/>
        <v>28762.907194204345</v>
      </c>
      <c r="H44" s="121">
        <f t="shared" si="5"/>
        <v>33385.883273165891</v>
      </c>
      <c r="I44" s="122">
        <f t="shared" si="12"/>
        <v>5058.079709922632</v>
      </c>
      <c r="J44" s="121">
        <f t="shared" si="6"/>
        <v>3439.4942027473908</v>
      </c>
      <c r="K44" s="121">
        <f t="shared" si="7"/>
        <v>27022.492670359999</v>
      </c>
      <c r="L44" s="121">
        <f t="shared" si="8"/>
        <v>30461.986873107391</v>
      </c>
      <c r="M44" s="121">
        <f t="shared" si="9"/>
        <v>2697433.2805463541</v>
      </c>
    </row>
    <row r="45" spans="1:13" x14ac:dyDescent="0.25">
      <c r="A45" s="80">
        <f t="shared" si="10"/>
        <v>15</v>
      </c>
      <c r="B45" s="120">
        <f t="shared" si="0"/>
        <v>15</v>
      </c>
      <c r="C45" s="121">
        <f t="shared" si="11"/>
        <v>2697433.2805463541</v>
      </c>
      <c r="D45" s="122">
        <f t="shared" si="1"/>
        <v>6743.5832013658855</v>
      </c>
      <c r="E45" s="121">
        <f t="shared" si="2"/>
        <v>22019.323992838457</v>
      </c>
      <c r="F45" s="121">
        <f t="shared" si="3"/>
        <v>4585.6365769288022</v>
      </c>
      <c r="G45" s="121">
        <f t="shared" si="4"/>
        <v>28762.907194204345</v>
      </c>
      <c r="H45" s="121">
        <f t="shared" si="5"/>
        <v>33348.543771133147</v>
      </c>
      <c r="I45" s="122">
        <f t="shared" si="12"/>
        <v>5017.2259018162185</v>
      </c>
      <c r="J45" s="121">
        <f t="shared" si="6"/>
        <v>3411.7136132350288</v>
      </c>
      <c r="K45" s="121">
        <f t="shared" si="7"/>
        <v>27036.549894654676</v>
      </c>
      <c r="L45" s="121">
        <f t="shared" si="8"/>
        <v>30448.263507889704</v>
      </c>
      <c r="M45" s="121">
        <f t="shared" si="9"/>
        <v>2675413.9565535155</v>
      </c>
    </row>
    <row r="46" spans="1:13" x14ac:dyDescent="0.25">
      <c r="A46" s="80">
        <f t="shared" si="10"/>
        <v>16</v>
      </c>
      <c r="B46" s="120">
        <f t="shared" si="0"/>
        <v>16</v>
      </c>
      <c r="C46" s="121">
        <f t="shared" si="11"/>
        <v>2675413.9565535155</v>
      </c>
      <c r="D46" s="122">
        <f t="shared" si="1"/>
        <v>6688.5348913837888</v>
      </c>
      <c r="E46" s="121">
        <f t="shared" si="2"/>
        <v>22074.372302820557</v>
      </c>
      <c r="F46" s="121">
        <f t="shared" si="3"/>
        <v>4548.2037261409769</v>
      </c>
      <c r="G46" s="121">
        <f t="shared" si="4"/>
        <v>28762.907194204345</v>
      </c>
      <c r="H46" s="121">
        <f t="shared" si="5"/>
        <v>33311.110920345323</v>
      </c>
      <c r="I46" s="122">
        <f t="shared" si="12"/>
        <v>4976.2699591895389</v>
      </c>
      <c r="J46" s="121">
        <f t="shared" si="6"/>
        <v>3383.8635722488866</v>
      </c>
      <c r="K46" s="121">
        <f t="shared" si="7"/>
        <v>27050.642262010097</v>
      </c>
      <c r="L46" s="121">
        <f t="shared" si="8"/>
        <v>30434.505834258984</v>
      </c>
      <c r="M46" s="121">
        <f t="shared" si="9"/>
        <v>2653339.5842506951</v>
      </c>
    </row>
    <row r="47" spans="1:13" x14ac:dyDescent="0.25">
      <c r="A47" s="80">
        <f t="shared" si="10"/>
        <v>17</v>
      </c>
      <c r="B47" s="120">
        <f t="shared" si="0"/>
        <v>17</v>
      </c>
      <c r="C47" s="121">
        <f t="shared" si="11"/>
        <v>2653339.5842506951</v>
      </c>
      <c r="D47" s="122">
        <f t="shared" si="1"/>
        <v>6633.3489606267376</v>
      </c>
      <c r="E47" s="121">
        <f t="shared" si="2"/>
        <v>22129.558233577605</v>
      </c>
      <c r="F47" s="121">
        <f t="shared" si="3"/>
        <v>4510.677293226182</v>
      </c>
      <c r="G47" s="121">
        <f t="shared" si="4"/>
        <v>28762.907194204345</v>
      </c>
      <c r="H47" s="126">
        <f t="shared" si="5"/>
        <v>33273.584487430526</v>
      </c>
      <c r="I47" s="122">
        <f t="shared" si="12"/>
        <v>4935.2116267062929</v>
      </c>
      <c r="J47" s="121">
        <f t="shared" si="6"/>
        <v>3355.9439061602793</v>
      </c>
      <c r="K47" s="121">
        <f t="shared" si="7"/>
        <v>27064.769860283897</v>
      </c>
      <c r="L47" s="121">
        <f t="shared" si="8"/>
        <v>30420.713766444176</v>
      </c>
      <c r="M47" s="121">
        <f t="shared" si="9"/>
        <v>2631210.0260171173</v>
      </c>
    </row>
    <row r="48" spans="1:13" x14ac:dyDescent="0.25">
      <c r="A48" s="80">
        <f t="shared" si="10"/>
        <v>18</v>
      </c>
      <c r="B48" s="120">
        <f t="shared" si="0"/>
        <v>18</v>
      </c>
      <c r="C48" s="121">
        <f t="shared" si="11"/>
        <v>2631210.0260171173</v>
      </c>
      <c r="D48" s="122">
        <f t="shared" si="1"/>
        <v>6578.0250650427934</v>
      </c>
      <c r="E48" s="121">
        <f t="shared" si="2"/>
        <v>22184.882129161553</v>
      </c>
      <c r="F48" s="121">
        <f t="shared" si="3"/>
        <v>4473.0570442291</v>
      </c>
      <c r="G48" s="121">
        <f t="shared" si="4"/>
        <v>28762.907194204345</v>
      </c>
      <c r="H48" s="126">
        <f t="shared" si="5"/>
        <v>33235.964238433444</v>
      </c>
      <c r="I48" s="122">
        <f t="shared" si="12"/>
        <v>4894.050648391838</v>
      </c>
      <c r="J48" s="121">
        <f t="shared" si="6"/>
        <v>3327.9544409064506</v>
      </c>
      <c r="K48" s="121">
        <f t="shared" si="7"/>
        <v>27078.932777553389</v>
      </c>
      <c r="L48" s="121">
        <f t="shared" si="8"/>
        <v>30406.88721845984</v>
      </c>
      <c r="M48" s="121">
        <f t="shared" si="9"/>
        <v>2609025.1438879557</v>
      </c>
    </row>
    <row r="49" spans="1:13" x14ac:dyDescent="0.25">
      <c r="A49" s="80">
        <f t="shared" si="10"/>
        <v>19</v>
      </c>
      <c r="B49" s="120">
        <f t="shared" si="0"/>
        <v>19</v>
      </c>
      <c r="C49" s="121">
        <f t="shared" si="11"/>
        <v>2609025.1438879557</v>
      </c>
      <c r="D49" s="122">
        <f t="shared" si="1"/>
        <v>6522.5628597198893</v>
      </c>
      <c r="E49" s="121">
        <f t="shared" si="2"/>
        <v>22240.344334484456</v>
      </c>
      <c r="F49" s="121">
        <f t="shared" si="3"/>
        <v>4435.3427446095247</v>
      </c>
      <c r="G49" s="121">
        <f t="shared" si="4"/>
        <v>28762.907194204345</v>
      </c>
      <c r="H49" s="126">
        <f t="shared" si="5"/>
        <v>33198.249938813868</v>
      </c>
      <c r="I49" s="122">
        <f t="shared" si="12"/>
        <v>4852.7867676315973</v>
      </c>
      <c r="J49" s="121">
        <f t="shared" si="6"/>
        <v>3299.8950019894864</v>
      </c>
      <c r="K49" s="121">
        <f t="shared" si="7"/>
        <v>27093.131102116055</v>
      </c>
      <c r="L49" s="121">
        <f t="shared" si="8"/>
        <v>30393.026104105542</v>
      </c>
      <c r="M49" s="121">
        <f t="shared" si="9"/>
        <v>2586784.7995534712</v>
      </c>
    </row>
    <row r="50" spans="1:13" x14ac:dyDescent="0.25">
      <c r="A50" s="80">
        <f t="shared" si="10"/>
        <v>20</v>
      </c>
      <c r="B50" s="120">
        <f t="shared" si="0"/>
        <v>20</v>
      </c>
      <c r="C50" s="121">
        <f t="shared" si="11"/>
        <v>2586784.7995534712</v>
      </c>
      <c r="D50" s="122">
        <f t="shared" si="1"/>
        <v>6466.9619988836785</v>
      </c>
      <c r="E50" s="121">
        <f t="shared" si="2"/>
        <v>22295.945195320666</v>
      </c>
      <c r="F50" s="121">
        <f t="shared" si="3"/>
        <v>4397.5341592409013</v>
      </c>
      <c r="G50" s="121">
        <f t="shared" si="4"/>
        <v>28762.907194204345</v>
      </c>
      <c r="H50" s="126">
        <f t="shared" si="5"/>
        <v>33160.441353445247</v>
      </c>
      <c r="I50" s="122">
        <f t="shared" si="12"/>
        <v>4811.4197271694566</v>
      </c>
      <c r="J50" s="121">
        <f t="shared" si="6"/>
        <v>3271.7654144752305</v>
      </c>
      <c r="K50" s="121">
        <f t="shared" si="7"/>
        <v>27107.364922490124</v>
      </c>
      <c r="L50" s="121">
        <f t="shared" si="8"/>
        <v>30379.130336965354</v>
      </c>
      <c r="M50" s="121">
        <f t="shared" si="9"/>
        <v>2564488.8543581506</v>
      </c>
    </row>
    <row r="51" spans="1:13" x14ac:dyDescent="0.25">
      <c r="A51" s="80">
        <f t="shared" si="10"/>
        <v>21</v>
      </c>
      <c r="B51" s="120">
        <f t="shared" si="0"/>
        <v>21</v>
      </c>
      <c r="C51" s="121">
        <f t="shared" si="11"/>
        <v>2564488.8543581506</v>
      </c>
      <c r="D51" s="122">
        <f t="shared" si="1"/>
        <v>6411.2221358953766</v>
      </c>
      <c r="E51" s="121">
        <f t="shared" si="2"/>
        <v>22351.685058308969</v>
      </c>
      <c r="F51" s="121">
        <f t="shared" si="3"/>
        <v>4359.6310524088567</v>
      </c>
      <c r="G51" s="121">
        <f t="shared" si="4"/>
        <v>28762.907194204345</v>
      </c>
      <c r="H51" s="121">
        <f t="shared" si="5"/>
        <v>33122.5382466132</v>
      </c>
      <c r="I51" s="122">
        <f t="shared" si="12"/>
        <v>4769.9492691061605</v>
      </c>
      <c r="J51" s="121">
        <f t="shared" si="6"/>
        <v>3243.5655029921895</v>
      </c>
      <c r="K51" s="121">
        <f t="shared" si="7"/>
        <v>27121.63432741513</v>
      </c>
      <c r="L51" s="121">
        <f t="shared" si="8"/>
        <v>30365.19983040732</v>
      </c>
      <c r="M51" s="121">
        <f t="shared" si="9"/>
        <v>2542137.1692998419</v>
      </c>
    </row>
    <row r="52" spans="1:13" x14ac:dyDescent="0.25">
      <c r="A52" s="80">
        <f t="shared" si="10"/>
        <v>22</v>
      </c>
      <c r="B52" s="120">
        <f t="shared" si="0"/>
        <v>22</v>
      </c>
      <c r="C52" s="121">
        <f t="shared" si="11"/>
        <v>2542137.1692998419</v>
      </c>
      <c r="D52" s="122">
        <f t="shared" si="1"/>
        <v>6355.3429232496046</v>
      </c>
      <c r="E52" s="121">
        <f t="shared" si="2"/>
        <v>22407.564270954739</v>
      </c>
      <c r="F52" s="121">
        <f t="shared" si="3"/>
        <v>4321.6331878097317</v>
      </c>
      <c r="G52" s="121">
        <f t="shared" si="4"/>
        <v>28762.907194204345</v>
      </c>
      <c r="H52" s="121">
        <f t="shared" si="5"/>
        <v>33084.540382014078</v>
      </c>
      <c r="I52" s="122">
        <f t="shared" si="12"/>
        <v>4728.3751348977057</v>
      </c>
      <c r="J52" s="121">
        <f t="shared" si="6"/>
        <v>3215.2950917304402</v>
      </c>
      <c r="K52" s="121">
        <f t="shared" si="7"/>
        <v>27135.939405852445</v>
      </c>
      <c r="L52" s="121">
        <f t="shared" si="8"/>
        <v>30351.234497582886</v>
      </c>
      <c r="M52" s="121">
        <f t="shared" si="9"/>
        <v>2519729.6050288873</v>
      </c>
    </row>
    <row r="53" spans="1:13" x14ac:dyDescent="0.25">
      <c r="A53" s="80">
        <f t="shared" si="10"/>
        <v>23</v>
      </c>
      <c r="B53" s="120">
        <f t="shared" si="0"/>
        <v>23</v>
      </c>
      <c r="C53" s="121">
        <f t="shared" si="11"/>
        <v>2519729.6050288873</v>
      </c>
      <c r="D53" s="122">
        <f t="shared" si="1"/>
        <v>6299.3240125722186</v>
      </c>
      <c r="E53" s="121">
        <f t="shared" si="2"/>
        <v>22463.583181632126</v>
      </c>
      <c r="F53" s="121">
        <f t="shared" si="3"/>
        <v>4283.5403285491084</v>
      </c>
      <c r="G53" s="121">
        <f t="shared" si="4"/>
        <v>28762.907194204345</v>
      </c>
      <c r="H53" s="121">
        <f t="shared" si="5"/>
        <v>33046.447522753457</v>
      </c>
      <c r="I53" s="122">
        <f t="shared" si="12"/>
        <v>4686.697065353731</v>
      </c>
      <c r="J53" s="121">
        <f t="shared" si="6"/>
        <v>3186.9540044405367</v>
      </c>
      <c r="K53" s="121">
        <f t="shared" si="7"/>
        <v>27150.280246985858</v>
      </c>
      <c r="L53" s="121">
        <f t="shared" si="8"/>
        <v>30337.234251426395</v>
      </c>
      <c r="M53" s="121">
        <f t="shared" si="9"/>
        <v>2497266.0218472551</v>
      </c>
    </row>
    <row r="54" spans="1:13" x14ac:dyDescent="0.25">
      <c r="A54" s="80">
        <f t="shared" si="10"/>
        <v>24</v>
      </c>
      <c r="B54" s="120">
        <f t="shared" si="0"/>
        <v>24</v>
      </c>
      <c r="C54" s="121">
        <f t="shared" si="11"/>
        <v>2497266.0218472551</v>
      </c>
      <c r="D54" s="122">
        <f t="shared" si="1"/>
        <v>6243.1650546181381</v>
      </c>
      <c r="E54" s="121">
        <f t="shared" si="2"/>
        <v>22519.742139586207</v>
      </c>
      <c r="F54" s="121">
        <f t="shared" si="3"/>
        <v>4245.3522371403342</v>
      </c>
      <c r="G54" s="121">
        <f t="shared" si="4"/>
        <v>28762.907194204345</v>
      </c>
      <c r="H54" s="121">
        <f t="shared" si="5"/>
        <v>33008.259431344675</v>
      </c>
      <c r="I54" s="122">
        <f t="shared" si="12"/>
        <v>4644.9148006358946</v>
      </c>
      <c r="J54" s="121">
        <f t="shared" si="6"/>
        <v>3158.5420644324086</v>
      </c>
      <c r="K54" s="121">
        <f t="shared" si="7"/>
        <v>27164.656940222103</v>
      </c>
      <c r="L54" s="121">
        <f t="shared" si="8"/>
        <v>30323.199004654511</v>
      </c>
      <c r="M54" s="121">
        <f t="shared" si="9"/>
        <v>2474746.2797076688</v>
      </c>
    </row>
    <row r="55" spans="1:13" x14ac:dyDescent="0.25">
      <c r="A55" s="80">
        <f t="shared" si="10"/>
        <v>25</v>
      </c>
      <c r="B55" s="120">
        <f t="shared" si="0"/>
        <v>25</v>
      </c>
      <c r="C55" s="121">
        <f t="shared" si="11"/>
        <v>2474746.2797076688</v>
      </c>
      <c r="D55" s="122">
        <f t="shared" si="1"/>
        <v>6186.8656992691722</v>
      </c>
      <c r="E55" s="121">
        <f t="shared" si="2"/>
        <v>22576.041494935173</v>
      </c>
      <c r="F55" s="121">
        <f t="shared" si="3"/>
        <v>4207.0686755030374</v>
      </c>
      <c r="G55" s="121">
        <f t="shared" si="4"/>
        <v>28762.907194204345</v>
      </c>
      <c r="H55" s="121">
        <f t="shared" si="5"/>
        <v>32969.975869707385</v>
      </c>
      <c r="I55" s="122">
        <f t="shared" si="12"/>
        <v>4603.0280802562638</v>
      </c>
      <c r="J55" s="121">
        <f t="shared" si="6"/>
        <v>3130.0590945742597</v>
      </c>
      <c r="K55" s="121">
        <f t="shared" si="7"/>
        <v>27179.069575191435</v>
      </c>
      <c r="L55" s="121">
        <f t="shared" si="8"/>
        <v>30309.128669765694</v>
      </c>
      <c r="M55" s="121">
        <f t="shared" si="9"/>
        <v>2452170.2382127335</v>
      </c>
    </row>
    <row r="56" spans="1:13" x14ac:dyDescent="0.25">
      <c r="A56" s="80">
        <f t="shared" si="10"/>
        <v>26</v>
      </c>
      <c r="B56" s="120">
        <f t="shared" si="0"/>
        <v>26</v>
      </c>
      <c r="C56" s="121">
        <f t="shared" si="11"/>
        <v>2452170.2382127335</v>
      </c>
      <c r="D56" s="122">
        <f t="shared" si="1"/>
        <v>6130.425595531834</v>
      </c>
      <c r="E56" s="121">
        <f t="shared" si="2"/>
        <v>22632.481598672512</v>
      </c>
      <c r="F56" s="121">
        <f t="shared" si="3"/>
        <v>4168.6894049616476</v>
      </c>
      <c r="G56" s="121">
        <f t="shared" si="4"/>
        <v>28762.907194204345</v>
      </c>
      <c r="H56" s="121">
        <f t="shared" si="5"/>
        <v>32931.59659916599</v>
      </c>
      <c r="I56" s="122">
        <f t="shared" si="12"/>
        <v>4561.0366430756849</v>
      </c>
      <c r="J56" s="121">
        <f t="shared" si="6"/>
        <v>3101.504917291466</v>
      </c>
      <c r="K56" s="121">
        <f t="shared" si="7"/>
        <v>27193.518241748196</v>
      </c>
      <c r="L56" s="121">
        <f t="shared" si="8"/>
        <v>30295.023159039662</v>
      </c>
      <c r="M56" s="121">
        <f t="shared" si="9"/>
        <v>2429537.7566140611</v>
      </c>
    </row>
    <row r="57" spans="1:13" x14ac:dyDescent="0.25">
      <c r="A57" s="80">
        <f t="shared" si="10"/>
        <v>27</v>
      </c>
      <c r="B57" s="120">
        <f t="shared" si="0"/>
        <v>27</v>
      </c>
      <c r="C57" s="121">
        <f t="shared" si="11"/>
        <v>2429537.7566140611</v>
      </c>
      <c r="D57" s="122">
        <f t="shared" si="1"/>
        <v>6073.8443915351527</v>
      </c>
      <c r="E57" s="121">
        <f t="shared" si="2"/>
        <v>22689.062802669192</v>
      </c>
      <c r="F57" s="121">
        <f t="shared" si="3"/>
        <v>4130.2141862439039</v>
      </c>
      <c r="G57" s="121">
        <f t="shared" si="4"/>
        <v>28762.907194204345</v>
      </c>
      <c r="H57" s="121">
        <f t="shared" si="5"/>
        <v>32893.121380448247</v>
      </c>
      <c r="I57" s="122">
        <f t="shared" si="12"/>
        <v>4518.9402273021533</v>
      </c>
      <c r="J57" s="121">
        <f t="shared" si="6"/>
        <v>3072.8793545654644</v>
      </c>
      <c r="K57" s="121">
        <f t="shared" si="7"/>
        <v>27208.003029971347</v>
      </c>
      <c r="L57" s="121">
        <f t="shared" si="8"/>
        <v>30280.88238453681</v>
      </c>
      <c r="M57" s="121">
        <f t="shared" si="9"/>
        <v>2406848.6938113919</v>
      </c>
    </row>
    <row r="58" spans="1:13" x14ac:dyDescent="0.25">
      <c r="A58" s="80">
        <f t="shared" si="10"/>
        <v>28</v>
      </c>
      <c r="B58" s="120">
        <f t="shared" si="0"/>
        <v>28</v>
      </c>
      <c r="C58" s="121">
        <f t="shared" si="11"/>
        <v>2406848.6938113919</v>
      </c>
      <c r="D58" s="122">
        <f t="shared" si="1"/>
        <v>6017.1217345284804</v>
      </c>
      <c r="E58" s="121">
        <f t="shared" si="2"/>
        <v>22745.785459675863</v>
      </c>
      <c r="F58" s="121">
        <f t="shared" si="3"/>
        <v>4091.6427794793667</v>
      </c>
      <c r="G58" s="121">
        <f t="shared" si="4"/>
        <v>28762.907194204345</v>
      </c>
      <c r="H58" s="121">
        <f t="shared" si="5"/>
        <v>32854.549973683708</v>
      </c>
      <c r="I58" s="122">
        <f t="shared" si="12"/>
        <v>4476.7385704891894</v>
      </c>
      <c r="J58" s="121">
        <f t="shared" si="6"/>
        <v>3044.1822279326489</v>
      </c>
      <c r="K58" s="121">
        <f t="shared" si="7"/>
        <v>27222.524030165052</v>
      </c>
      <c r="L58" s="121">
        <f t="shared" si="8"/>
        <v>30266.7062580977</v>
      </c>
      <c r="M58" s="121">
        <f t="shared" si="9"/>
        <v>2384102.9083517161</v>
      </c>
    </row>
    <row r="59" spans="1:13" x14ac:dyDescent="0.25">
      <c r="A59" s="80">
        <f t="shared" si="10"/>
        <v>29</v>
      </c>
      <c r="B59" s="120">
        <f t="shared" si="0"/>
        <v>29</v>
      </c>
      <c r="C59" s="121">
        <f t="shared" si="11"/>
        <v>2384102.9083517161</v>
      </c>
      <c r="D59" s="122">
        <f t="shared" si="1"/>
        <v>5960.2572708792904</v>
      </c>
      <c r="E59" s="121">
        <f t="shared" si="2"/>
        <v>22802.649923325054</v>
      </c>
      <c r="F59" s="121">
        <f t="shared" si="3"/>
        <v>4052.9749441979179</v>
      </c>
      <c r="G59" s="121">
        <f t="shared" si="4"/>
        <v>28762.907194204345</v>
      </c>
      <c r="H59" s="121">
        <f t="shared" si="5"/>
        <v>32815.882138402259</v>
      </c>
      <c r="I59" s="122">
        <f t="shared" si="12"/>
        <v>4434.4314095341924</v>
      </c>
      <c r="J59" s="121">
        <f t="shared" si="6"/>
        <v>3015.4133584832507</v>
      </c>
      <c r="K59" s="121">
        <f t="shared" si="7"/>
        <v>27237.081332859249</v>
      </c>
      <c r="L59" s="121">
        <f t="shared" si="8"/>
        <v>30252.494691342501</v>
      </c>
      <c r="M59" s="121">
        <f t="shared" si="9"/>
        <v>2361300.2584283911</v>
      </c>
    </row>
    <row r="60" spans="1:13" x14ac:dyDescent="0.25">
      <c r="A60" s="80">
        <f t="shared" si="10"/>
        <v>30</v>
      </c>
      <c r="B60" s="120">
        <f t="shared" si="0"/>
        <v>30</v>
      </c>
      <c r="C60" s="121">
        <f t="shared" si="11"/>
        <v>2361300.2584283911</v>
      </c>
      <c r="D60" s="122">
        <f t="shared" si="1"/>
        <v>5903.2506460709774</v>
      </c>
      <c r="E60" s="121">
        <f t="shared" si="2"/>
        <v>22859.656548133367</v>
      </c>
      <c r="F60" s="121">
        <f t="shared" si="3"/>
        <v>4014.2104393282652</v>
      </c>
      <c r="G60" s="121">
        <f t="shared" si="4"/>
        <v>28762.907194204345</v>
      </c>
      <c r="H60" s="121">
        <f t="shared" si="5"/>
        <v>32777.117633532609</v>
      </c>
      <c r="I60" s="122">
        <f t="shared" si="12"/>
        <v>4392.0184806768075</v>
      </c>
      <c r="J60" s="121">
        <f t="shared" si="6"/>
        <v>2986.5725668602295</v>
      </c>
      <c r="K60" s="121">
        <f t="shared" si="7"/>
        <v>27251.675028810176</v>
      </c>
      <c r="L60" s="121">
        <f t="shared" si="8"/>
        <v>30238.247595670404</v>
      </c>
      <c r="M60" s="121">
        <f t="shared" si="9"/>
        <v>2338440.6018802575</v>
      </c>
    </row>
    <row r="61" spans="1:13" x14ac:dyDescent="0.25">
      <c r="A61" s="80">
        <f t="shared" si="10"/>
        <v>31</v>
      </c>
      <c r="B61" s="120">
        <f t="shared" si="0"/>
        <v>31</v>
      </c>
      <c r="C61" s="121">
        <f t="shared" si="11"/>
        <v>2338440.6018802575</v>
      </c>
      <c r="D61" s="122">
        <f t="shared" si="1"/>
        <v>5846.101504700644</v>
      </c>
      <c r="E61" s="121">
        <f t="shared" si="2"/>
        <v>22916.805689503701</v>
      </c>
      <c r="F61" s="121">
        <f t="shared" si="3"/>
        <v>3975.3490231964379</v>
      </c>
      <c r="G61" s="121">
        <f t="shared" si="4"/>
        <v>28762.907194204345</v>
      </c>
      <c r="H61" s="121">
        <f t="shared" si="5"/>
        <v>32738.256217400783</v>
      </c>
      <c r="I61" s="122">
        <f t="shared" si="12"/>
        <v>4349.4995194972789</v>
      </c>
      <c r="J61" s="121">
        <f t="shared" si="6"/>
        <v>2957.6596732581497</v>
      </c>
      <c r="K61" s="121">
        <f t="shared" si="7"/>
        <v>27266.305209000981</v>
      </c>
      <c r="L61" s="121">
        <f t="shared" si="8"/>
        <v>30223.96488225913</v>
      </c>
      <c r="M61" s="121">
        <f t="shared" si="9"/>
        <v>2315523.7961907536</v>
      </c>
    </row>
    <row r="62" spans="1:13" x14ac:dyDescent="0.25">
      <c r="A62" s="80">
        <f t="shared" si="10"/>
        <v>32</v>
      </c>
      <c r="B62" s="120">
        <f t="shared" si="0"/>
        <v>32</v>
      </c>
      <c r="C62" s="121">
        <f t="shared" si="11"/>
        <v>2315523.7961907536</v>
      </c>
      <c r="D62" s="122">
        <f t="shared" si="1"/>
        <v>5788.8094904768841</v>
      </c>
      <c r="E62" s="121">
        <f t="shared" si="2"/>
        <v>22974.097703727461</v>
      </c>
      <c r="F62" s="121">
        <f t="shared" si="3"/>
        <v>3936.3904535242814</v>
      </c>
      <c r="G62" s="121">
        <f t="shared" si="4"/>
        <v>28762.907194204345</v>
      </c>
      <c r="H62" s="121">
        <f t="shared" si="5"/>
        <v>32699.297647728625</v>
      </c>
      <c r="I62" s="122">
        <f t="shared" si="12"/>
        <v>4306.8742609148021</v>
      </c>
      <c r="J62" s="121">
        <f t="shared" si="6"/>
        <v>2928.6744974220655</v>
      </c>
      <c r="K62" s="121">
        <f t="shared" si="7"/>
        <v>27280.971964642264</v>
      </c>
      <c r="L62" s="121">
        <f t="shared" si="8"/>
        <v>30209.646462064331</v>
      </c>
      <c r="M62" s="121">
        <f t="shared" si="9"/>
        <v>2292549.6984870262</v>
      </c>
    </row>
    <row r="63" spans="1:13" x14ac:dyDescent="0.25">
      <c r="A63" s="80">
        <f t="shared" si="10"/>
        <v>33</v>
      </c>
      <c r="B63" s="120">
        <f t="shared" si="0"/>
        <v>33</v>
      </c>
      <c r="C63" s="121">
        <f t="shared" si="11"/>
        <v>2292549.6984870262</v>
      </c>
      <c r="D63" s="122">
        <f t="shared" si="1"/>
        <v>5731.3742462175651</v>
      </c>
      <c r="E63" s="121">
        <f t="shared" si="2"/>
        <v>23031.53294798678</v>
      </c>
      <c r="F63" s="121">
        <f t="shared" si="3"/>
        <v>3897.3344874279446</v>
      </c>
      <c r="G63" s="121">
        <f t="shared" si="4"/>
        <v>28762.907194204345</v>
      </c>
      <c r="H63" s="121">
        <f t="shared" si="5"/>
        <v>32660.241681632288</v>
      </c>
      <c r="I63" s="122">
        <f t="shared" si="12"/>
        <v>4264.1424391858682</v>
      </c>
      <c r="J63" s="121">
        <f t="shared" si="6"/>
        <v>2899.6168586463909</v>
      </c>
      <c r="K63" s="121">
        <f t="shared" si="7"/>
        <v>27295.675387172647</v>
      </c>
      <c r="L63" s="121">
        <f t="shared" si="8"/>
        <v>30195.292245819037</v>
      </c>
      <c r="M63" s="121">
        <f t="shared" si="9"/>
        <v>2269518.1655390393</v>
      </c>
    </row>
    <row r="64" spans="1:13" x14ac:dyDescent="0.25">
      <c r="A64" s="80">
        <f t="shared" si="10"/>
        <v>34</v>
      </c>
      <c r="B64" s="120">
        <f t="shared" si="0"/>
        <v>34</v>
      </c>
      <c r="C64" s="121">
        <f t="shared" si="11"/>
        <v>2269518.1655390393</v>
      </c>
      <c r="D64" s="122">
        <f t="shared" si="1"/>
        <v>5673.795413847598</v>
      </c>
      <c r="E64" s="121">
        <f t="shared" si="2"/>
        <v>23089.111780356747</v>
      </c>
      <c r="F64" s="121">
        <f t="shared" si="3"/>
        <v>3858.1808814163669</v>
      </c>
      <c r="G64" s="121">
        <f t="shared" si="4"/>
        <v>28762.907194204345</v>
      </c>
      <c r="H64" s="121">
        <f t="shared" si="5"/>
        <v>32621.088075620712</v>
      </c>
      <c r="I64" s="122">
        <f t="shared" si="12"/>
        <v>4221.3037879026133</v>
      </c>
      <c r="J64" s="121">
        <f t="shared" si="6"/>
        <v>2870.4865757737771</v>
      </c>
      <c r="K64" s="121">
        <f t="shared" si="7"/>
        <v>27310.415568259359</v>
      </c>
      <c r="L64" s="121">
        <f t="shared" si="8"/>
        <v>30180.902144033134</v>
      </c>
      <c r="M64" s="121">
        <f t="shared" si="9"/>
        <v>2246429.0537586827</v>
      </c>
    </row>
    <row r="65" spans="1:13" x14ac:dyDescent="0.25">
      <c r="A65" s="80">
        <f t="shared" si="10"/>
        <v>35</v>
      </c>
      <c r="B65" s="120">
        <f t="shared" si="0"/>
        <v>35</v>
      </c>
      <c r="C65" s="121">
        <f t="shared" si="11"/>
        <v>2246429.0537586827</v>
      </c>
      <c r="D65" s="122">
        <f t="shared" si="1"/>
        <v>5616.0726343967071</v>
      </c>
      <c r="E65" s="121">
        <f t="shared" si="2"/>
        <v>23146.834559807638</v>
      </c>
      <c r="F65" s="121">
        <f t="shared" si="3"/>
        <v>3818.9293913897609</v>
      </c>
      <c r="G65" s="121">
        <f t="shared" si="4"/>
        <v>28762.907194204345</v>
      </c>
      <c r="H65" s="121">
        <f t="shared" si="5"/>
        <v>32581.836585594105</v>
      </c>
      <c r="I65" s="122">
        <f t="shared" si="12"/>
        <v>4178.3580399911498</v>
      </c>
      <c r="J65" s="121">
        <f t="shared" si="6"/>
        <v>2841.2834671939822</v>
      </c>
      <c r="K65" s="121">
        <f t="shared" si="7"/>
        <v>27325.192599798786</v>
      </c>
      <c r="L65" s="121">
        <f t="shared" si="8"/>
        <v>30166.476066992767</v>
      </c>
      <c r="M65" s="121">
        <f t="shared" si="9"/>
        <v>2223282.2191988751</v>
      </c>
    </row>
    <row r="66" spans="1:13" x14ac:dyDescent="0.25">
      <c r="A66" s="80">
        <f t="shared" si="10"/>
        <v>36</v>
      </c>
      <c r="B66" s="120">
        <f t="shared" si="0"/>
        <v>36</v>
      </c>
      <c r="C66" s="121">
        <f t="shared" si="11"/>
        <v>2223282.2191988751</v>
      </c>
      <c r="D66" s="122">
        <f t="shared" si="1"/>
        <v>5558.2055479971878</v>
      </c>
      <c r="E66" s="121">
        <f t="shared" si="2"/>
        <v>23204.701646207155</v>
      </c>
      <c r="F66" s="121">
        <f t="shared" si="3"/>
        <v>3779.5797726380879</v>
      </c>
      <c r="G66" s="121">
        <f t="shared" si="4"/>
        <v>28762.907194204345</v>
      </c>
      <c r="H66" s="121">
        <f t="shared" si="5"/>
        <v>32542.486966842433</v>
      </c>
      <c r="I66" s="122">
        <f t="shared" si="12"/>
        <v>4135.304927709908</v>
      </c>
      <c r="J66" s="121">
        <f t="shared" si="6"/>
        <v>2812.0073508427372</v>
      </c>
      <c r="K66" s="121">
        <f t="shared" si="7"/>
        <v>27340.006573917064</v>
      </c>
      <c r="L66" s="121">
        <f t="shared" si="8"/>
        <v>30152.013924759802</v>
      </c>
      <c r="M66" s="121">
        <f t="shared" si="9"/>
        <v>2200077.5175526678</v>
      </c>
    </row>
    <row r="67" spans="1:13" x14ac:dyDescent="0.25">
      <c r="A67" s="80">
        <f t="shared" si="10"/>
        <v>37</v>
      </c>
      <c r="B67" s="120">
        <f t="shared" si="0"/>
        <v>37</v>
      </c>
      <c r="C67" s="121">
        <f t="shared" si="11"/>
        <v>2200077.5175526678</v>
      </c>
      <c r="D67" s="122">
        <f t="shared" si="1"/>
        <v>5500.1937938816691</v>
      </c>
      <c r="E67" s="121">
        <f t="shared" si="2"/>
        <v>23262.713400322675</v>
      </c>
      <c r="F67" s="121">
        <f t="shared" si="3"/>
        <v>3740.1317798395353</v>
      </c>
      <c r="G67" s="121">
        <f t="shared" si="4"/>
        <v>28762.907194204345</v>
      </c>
      <c r="H67" s="121">
        <f t="shared" si="5"/>
        <v>32503.03897404388</v>
      </c>
      <c r="I67" s="122">
        <f t="shared" si="12"/>
        <v>4092.1441826479618</v>
      </c>
      <c r="J67" s="121">
        <f t="shared" si="6"/>
        <v>2782.6580442006143</v>
      </c>
      <c r="K67" s="121">
        <f t="shared" si="7"/>
        <v>27354.857582970635</v>
      </c>
      <c r="L67" s="121">
        <f t="shared" si="8"/>
        <v>30137.515627171248</v>
      </c>
      <c r="M67" s="121">
        <f t="shared" si="9"/>
        <v>2176814.8041523453</v>
      </c>
    </row>
    <row r="68" spans="1:13" x14ac:dyDescent="0.25">
      <c r="A68" s="80">
        <f t="shared" si="10"/>
        <v>38</v>
      </c>
      <c r="B68" s="120">
        <f t="shared" si="0"/>
        <v>38</v>
      </c>
      <c r="C68" s="121">
        <f t="shared" si="11"/>
        <v>2176814.8041523453</v>
      </c>
      <c r="D68" s="122">
        <f t="shared" si="1"/>
        <v>5442.0370103808636</v>
      </c>
      <c r="E68" s="121">
        <f t="shared" si="2"/>
        <v>23320.870183823481</v>
      </c>
      <c r="F68" s="121">
        <f t="shared" si="3"/>
        <v>3700.5851670589873</v>
      </c>
      <c r="G68" s="121">
        <f t="shared" si="4"/>
        <v>28762.907194204345</v>
      </c>
      <c r="H68" s="121">
        <f t="shared" si="5"/>
        <v>32463.492361263332</v>
      </c>
      <c r="I68" s="122">
        <f t="shared" si="12"/>
        <v>4048.8755357233626</v>
      </c>
      <c r="J68" s="121">
        <f t="shared" si="6"/>
        <v>2753.2353642918865</v>
      </c>
      <c r="K68" s="121">
        <f t="shared" si="7"/>
        <v>27369.745719546845</v>
      </c>
      <c r="L68" s="121">
        <f t="shared" si="8"/>
        <v>30122.981083838731</v>
      </c>
      <c r="M68" s="121">
        <f t="shared" si="9"/>
        <v>2153493.9339685217</v>
      </c>
    </row>
    <row r="69" spans="1:13" x14ac:dyDescent="0.25">
      <c r="A69" s="80">
        <f t="shared" si="10"/>
        <v>39</v>
      </c>
      <c r="B69" s="120">
        <f t="shared" si="0"/>
        <v>39</v>
      </c>
      <c r="C69" s="121">
        <f t="shared" si="11"/>
        <v>2153493.9339685217</v>
      </c>
      <c r="D69" s="122">
        <f t="shared" si="1"/>
        <v>5383.7348349213044</v>
      </c>
      <c r="E69" s="121">
        <f t="shared" si="2"/>
        <v>23379.172359283039</v>
      </c>
      <c r="F69" s="121">
        <f t="shared" si="3"/>
        <v>3660.9396877464869</v>
      </c>
      <c r="G69" s="121">
        <f t="shared" si="4"/>
        <v>28762.907194204345</v>
      </c>
      <c r="H69" s="121">
        <f t="shared" si="5"/>
        <v>32423.846881950831</v>
      </c>
      <c r="I69" s="122">
        <f t="shared" si="12"/>
        <v>4005.4987171814505</v>
      </c>
      <c r="J69" s="121">
        <f t="shared" si="6"/>
        <v>2723.7391276833864</v>
      </c>
      <c r="K69" s="121">
        <f t="shared" si="7"/>
        <v>27384.671076464489</v>
      </c>
      <c r="L69" s="121">
        <f t="shared" si="8"/>
        <v>30108.410204147876</v>
      </c>
      <c r="M69" s="121">
        <f t="shared" si="9"/>
        <v>2130114.7616092386</v>
      </c>
    </row>
    <row r="70" spans="1:13" x14ac:dyDescent="0.25">
      <c r="A70" s="80">
        <f t="shared" si="10"/>
        <v>40</v>
      </c>
      <c r="B70" s="120">
        <f t="shared" si="0"/>
        <v>40</v>
      </c>
      <c r="C70" s="121">
        <f t="shared" si="11"/>
        <v>2130114.7616092386</v>
      </c>
      <c r="D70" s="122">
        <f t="shared" si="1"/>
        <v>5325.2869040230962</v>
      </c>
      <c r="E70" s="121">
        <f t="shared" si="2"/>
        <v>23437.62029018125</v>
      </c>
      <c r="F70" s="121">
        <f t="shared" si="3"/>
        <v>3621.1950947357059</v>
      </c>
      <c r="G70" s="121">
        <f t="shared" si="4"/>
        <v>28762.907194204345</v>
      </c>
      <c r="H70" s="121">
        <f t="shared" si="5"/>
        <v>32384.102288940052</v>
      </c>
      <c r="I70" s="122">
        <f t="shared" si="12"/>
        <v>3962.0134565931835</v>
      </c>
      <c r="J70" s="121">
        <f t="shared" si="6"/>
        <v>2694.1691504833652</v>
      </c>
      <c r="K70" s="121">
        <f t="shared" si="7"/>
        <v>27399.633746774434</v>
      </c>
      <c r="L70" s="121">
        <f t="shared" si="8"/>
        <v>30093.802897257799</v>
      </c>
      <c r="M70" s="121">
        <f t="shared" si="9"/>
        <v>2106677.1413190574</v>
      </c>
    </row>
    <row r="71" spans="1:13" x14ac:dyDescent="0.25">
      <c r="A71" s="80">
        <f t="shared" si="10"/>
        <v>41</v>
      </c>
      <c r="B71" s="120">
        <f t="shared" si="0"/>
        <v>41</v>
      </c>
      <c r="C71" s="121">
        <f t="shared" si="11"/>
        <v>2106677.1413190574</v>
      </c>
      <c r="D71" s="122">
        <f t="shared" si="1"/>
        <v>5266.6928532976435</v>
      </c>
      <c r="E71" s="121">
        <f t="shared" si="2"/>
        <v>23496.214340906699</v>
      </c>
      <c r="F71" s="121">
        <f t="shared" si="3"/>
        <v>3581.3511402423978</v>
      </c>
      <c r="G71" s="121">
        <f t="shared" si="4"/>
        <v>28762.907194204345</v>
      </c>
      <c r="H71" s="121">
        <f t="shared" si="5"/>
        <v>32344.258334446742</v>
      </c>
      <c r="I71" s="122">
        <f t="shared" si="12"/>
        <v>3918.4194828534469</v>
      </c>
      <c r="J71" s="121">
        <f t="shared" si="6"/>
        <v>2664.5252483403438</v>
      </c>
      <c r="K71" s="121">
        <f t="shared" si="7"/>
        <v>27414.633823760145</v>
      </c>
      <c r="L71" s="121">
        <f t="shared" si="8"/>
        <v>30079.15907210049</v>
      </c>
      <c r="M71" s="121">
        <f t="shared" si="9"/>
        <v>2083180.9269781508</v>
      </c>
    </row>
    <row r="72" spans="1:13" x14ac:dyDescent="0.25">
      <c r="A72" s="80">
        <f t="shared" si="10"/>
        <v>42</v>
      </c>
      <c r="B72" s="120">
        <f t="shared" si="0"/>
        <v>42</v>
      </c>
      <c r="C72" s="121">
        <f t="shared" si="11"/>
        <v>2083180.9269781508</v>
      </c>
      <c r="D72" s="122">
        <f t="shared" si="1"/>
        <v>5207.952317445377</v>
      </c>
      <c r="E72" s="121">
        <f t="shared" si="2"/>
        <v>23554.954876758966</v>
      </c>
      <c r="F72" s="121">
        <f t="shared" si="3"/>
        <v>3541.4075758628569</v>
      </c>
      <c r="G72" s="121">
        <f t="shared" si="4"/>
        <v>28762.907194204345</v>
      </c>
      <c r="H72" s="121">
        <f t="shared" si="5"/>
        <v>32304.314770067202</v>
      </c>
      <c r="I72" s="122">
        <f t="shared" si="12"/>
        <v>3874.7165241793605</v>
      </c>
      <c r="J72" s="121">
        <f t="shared" si="6"/>
        <v>2634.8072364419654</v>
      </c>
      <c r="K72" s="121">
        <f t="shared" si="7"/>
        <v>27429.671400938325</v>
      </c>
      <c r="L72" s="121">
        <f t="shared" si="8"/>
        <v>30064.478637380289</v>
      </c>
      <c r="M72" s="121">
        <f t="shared" si="9"/>
        <v>2059625.972101392</v>
      </c>
    </row>
    <row r="73" spans="1:13" x14ac:dyDescent="0.25">
      <c r="A73" s="80">
        <f t="shared" si="10"/>
        <v>43</v>
      </c>
      <c r="B73" s="120">
        <f t="shared" si="0"/>
        <v>43</v>
      </c>
      <c r="C73" s="121">
        <f t="shared" si="11"/>
        <v>2059625.972101392</v>
      </c>
      <c r="D73" s="122">
        <f t="shared" si="1"/>
        <v>5149.0649302534803</v>
      </c>
      <c r="E73" s="121">
        <f t="shared" si="2"/>
        <v>23613.842263950864</v>
      </c>
      <c r="F73" s="121">
        <f t="shared" si="3"/>
        <v>3501.3641525723665</v>
      </c>
      <c r="G73" s="121">
        <f t="shared" si="4"/>
        <v>28762.907194204345</v>
      </c>
      <c r="H73" s="121">
        <f t="shared" si="5"/>
        <v>32264.27134677671</v>
      </c>
      <c r="I73" s="122">
        <f t="shared" si="12"/>
        <v>3830.9043081085892</v>
      </c>
      <c r="J73" s="121">
        <f t="shared" si="6"/>
        <v>2605.0149295138408</v>
      </c>
      <c r="K73" s="121">
        <f t="shared" si="7"/>
        <v>27444.746572059456</v>
      </c>
      <c r="L73" s="121">
        <f t="shared" si="8"/>
        <v>30049.761501573295</v>
      </c>
      <c r="M73" s="121">
        <f t="shared" si="9"/>
        <v>2036012.129837441</v>
      </c>
    </row>
    <row r="74" spans="1:13" x14ac:dyDescent="0.25">
      <c r="A74" s="80">
        <f t="shared" si="10"/>
        <v>44</v>
      </c>
      <c r="B74" s="120">
        <f t="shared" si="0"/>
        <v>44</v>
      </c>
      <c r="C74" s="121">
        <f t="shared" si="11"/>
        <v>2036012.129837441</v>
      </c>
      <c r="D74" s="122">
        <f t="shared" si="1"/>
        <v>5090.0303245936029</v>
      </c>
      <c r="E74" s="121">
        <f t="shared" si="2"/>
        <v>23672.876869610744</v>
      </c>
      <c r="F74" s="121">
        <f t="shared" si="3"/>
        <v>3461.22062072365</v>
      </c>
      <c r="G74" s="121">
        <f t="shared" si="4"/>
        <v>28762.907194204345</v>
      </c>
      <c r="H74" s="121">
        <f t="shared" si="5"/>
        <v>32224.127814927993</v>
      </c>
      <c r="I74" s="122">
        <f t="shared" si="12"/>
        <v>3786.9825614976407</v>
      </c>
      <c r="J74" s="121">
        <f t="shared" si="6"/>
        <v>2575.1481418183957</v>
      </c>
      <c r="K74" s="121">
        <f t="shared" si="7"/>
        <v>27459.859431108383</v>
      </c>
      <c r="L74" s="121">
        <f t="shared" si="8"/>
        <v>30035.007572926777</v>
      </c>
      <c r="M74" s="121">
        <f t="shared" si="9"/>
        <v>2012339.2529678303</v>
      </c>
    </row>
    <row r="75" spans="1:13" x14ac:dyDescent="0.25">
      <c r="A75" s="80">
        <f t="shared" si="10"/>
        <v>45</v>
      </c>
      <c r="B75" s="120">
        <f t="shared" si="0"/>
        <v>45</v>
      </c>
      <c r="C75" s="121">
        <f t="shared" si="11"/>
        <v>2012339.2529678303</v>
      </c>
      <c r="D75" s="122">
        <f t="shared" si="1"/>
        <v>5030.8481324195754</v>
      </c>
      <c r="E75" s="121">
        <f t="shared" si="2"/>
        <v>23732.05906178477</v>
      </c>
      <c r="F75" s="121">
        <f t="shared" si="3"/>
        <v>3420.9767300453118</v>
      </c>
      <c r="G75" s="121">
        <f t="shared" si="4"/>
        <v>28762.907194204345</v>
      </c>
      <c r="H75" s="121">
        <f t="shared" si="5"/>
        <v>32183.883924249658</v>
      </c>
      <c r="I75" s="122">
        <f t="shared" si="12"/>
        <v>3742.9510105201639</v>
      </c>
      <c r="J75" s="121">
        <f t="shared" si="6"/>
        <v>2545.2066871537118</v>
      </c>
      <c r="K75" s="121">
        <f t="shared" si="7"/>
        <v>27475.010072304933</v>
      </c>
      <c r="L75" s="121">
        <f t="shared" si="8"/>
        <v>30020.216759458643</v>
      </c>
      <c r="M75" s="121">
        <f t="shared" si="9"/>
        <v>1988607.1939060455</v>
      </c>
    </row>
    <row r="76" spans="1:13" x14ac:dyDescent="0.25">
      <c r="A76" s="80">
        <f t="shared" si="10"/>
        <v>46</v>
      </c>
      <c r="B76" s="120">
        <f t="shared" si="0"/>
        <v>46</v>
      </c>
      <c r="C76" s="121">
        <f t="shared" si="11"/>
        <v>1988607.1939060455</v>
      </c>
      <c r="D76" s="122">
        <f t="shared" si="1"/>
        <v>4971.5179847651143</v>
      </c>
      <c r="E76" s="121">
        <f t="shared" si="2"/>
        <v>23791.389209439229</v>
      </c>
      <c r="F76" s="121">
        <f t="shared" si="3"/>
        <v>3380.6322296402777</v>
      </c>
      <c r="G76" s="121">
        <f t="shared" si="4"/>
        <v>28762.907194204345</v>
      </c>
      <c r="H76" s="121">
        <f t="shared" si="5"/>
        <v>32143.539423844624</v>
      </c>
      <c r="I76" s="122">
        <f t="shared" si="12"/>
        <v>3698.809380665245</v>
      </c>
      <c r="J76" s="121">
        <f t="shared" si="6"/>
        <v>2515.1903788523664</v>
      </c>
      <c r="K76" s="121">
        <f t="shared" si="7"/>
        <v>27490.198590104475</v>
      </c>
      <c r="L76" s="121">
        <f t="shared" si="8"/>
        <v>30005.388968956842</v>
      </c>
      <c r="M76" s="121">
        <f t="shared" si="9"/>
        <v>1964815.8046966062</v>
      </c>
    </row>
    <row r="77" spans="1:13" x14ac:dyDescent="0.25">
      <c r="A77" s="80">
        <f t="shared" si="10"/>
        <v>47</v>
      </c>
      <c r="B77" s="120">
        <f t="shared" si="0"/>
        <v>47</v>
      </c>
      <c r="C77" s="121">
        <f t="shared" si="11"/>
        <v>1964815.8046966062</v>
      </c>
      <c r="D77" s="122">
        <f t="shared" si="1"/>
        <v>4912.0395117415155</v>
      </c>
      <c r="E77" s="121">
        <f t="shared" si="2"/>
        <v>23850.867682462827</v>
      </c>
      <c r="F77" s="121">
        <f t="shared" si="3"/>
        <v>3340.186867984231</v>
      </c>
      <c r="G77" s="121">
        <f t="shared" si="4"/>
        <v>28762.907194204345</v>
      </c>
      <c r="H77" s="121">
        <f t="shared" si="5"/>
        <v>32103.094062188575</v>
      </c>
      <c r="I77" s="122">
        <f t="shared" si="12"/>
        <v>3654.5573967356877</v>
      </c>
      <c r="J77" s="121">
        <f t="shared" si="6"/>
        <v>2485.0990297802678</v>
      </c>
      <c r="K77" s="121">
        <f t="shared" si="7"/>
        <v>27505.425079198514</v>
      </c>
      <c r="L77" s="121">
        <f t="shared" si="8"/>
        <v>29990.524108978781</v>
      </c>
      <c r="M77" s="121">
        <f t="shared" si="9"/>
        <v>1940964.9370141434</v>
      </c>
    </row>
    <row r="78" spans="1:13" x14ac:dyDescent="0.25">
      <c r="A78" s="80">
        <f t="shared" si="10"/>
        <v>48</v>
      </c>
      <c r="B78" s="120">
        <f t="shared" si="0"/>
        <v>48</v>
      </c>
      <c r="C78" s="121">
        <f t="shared" si="11"/>
        <v>1940964.9370141434</v>
      </c>
      <c r="D78" s="122">
        <f t="shared" si="1"/>
        <v>4852.4123425353591</v>
      </c>
      <c r="E78" s="121">
        <f t="shared" si="2"/>
        <v>23910.494851668984</v>
      </c>
      <c r="F78" s="121">
        <f t="shared" si="3"/>
        <v>3299.6403929240441</v>
      </c>
      <c r="G78" s="121">
        <f t="shared" si="4"/>
        <v>28762.907194204345</v>
      </c>
      <c r="H78" s="121">
        <f t="shared" si="5"/>
        <v>32062.547587128389</v>
      </c>
      <c r="I78" s="122">
        <f t="shared" si="12"/>
        <v>3610.1947828463071</v>
      </c>
      <c r="J78" s="121">
        <f t="shared" si="6"/>
        <v>2454.932452335489</v>
      </c>
      <c r="K78" s="121">
        <f t="shared" si="7"/>
        <v>27520.689634515293</v>
      </c>
      <c r="L78" s="121">
        <f t="shared" si="8"/>
        <v>29975.622086850781</v>
      </c>
      <c r="M78" s="121">
        <f t="shared" si="9"/>
        <v>1917054.4421624744</v>
      </c>
    </row>
    <row r="79" spans="1:13" x14ac:dyDescent="0.25">
      <c r="A79" s="80">
        <f t="shared" si="10"/>
        <v>49</v>
      </c>
      <c r="B79" s="120">
        <f t="shared" si="0"/>
        <v>49</v>
      </c>
      <c r="C79" s="121">
        <f t="shared" si="11"/>
        <v>1917054.4421624744</v>
      </c>
      <c r="D79" s="122">
        <f t="shared" si="1"/>
        <v>4792.6361054061863</v>
      </c>
      <c r="E79" s="121">
        <f t="shared" si="2"/>
        <v>23970.271088798159</v>
      </c>
      <c r="F79" s="121">
        <f t="shared" si="3"/>
        <v>3258.9925516762069</v>
      </c>
      <c r="G79" s="121">
        <f t="shared" si="4"/>
        <v>28762.907194204345</v>
      </c>
      <c r="H79" s="121">
        <f t="shared" si="5"/>
        <v>32021.899745880553</v>
      </c>
      <c r="I79" s="122">
        <f t="shared" si="12"/>
        <v>3565.7212624222025</v>
      </c>
      <c r="J79" s="121">
        <f t="shared" si="6"/>
        <v>2424.6904584470981</v>
      </c>
      <c r="K79" s="121">
        <f t="shared" si="7"/>
        <v>27535.99235122036</v>
      </c>
      <c r="L79" s="121">
        <f t="shared" si="8"/>
        <v>29960.682809667458</v>
      </c>
      <c r="M79" s="121">
        <f t="shared" si="9"/>
        <v>1893084.1710736763</v>
      </c>
    </row>
    <row r="80" spans="1:13" x14ac:dyDescent="0.25">
      <c r="A80" s="80">
        <f t="shared" si="10"/>
        <v>50</v>
      </c>
      <c r="B80" s="120">
        <f t="shared" si="0"/>
        <v>50</v>
      </c>
      <c r="C80" s="121">
        <f t="shared" si="11"/>
        <v>1893084.1710736763</v>
      </c>
      <c r="D80" s="122">
        <f t="shared" si="1"/>
        <v>4732.710427684191</v>
      </c>
      <c r="E80" s="121">
        <f t="shared" si="2"/>
        <v>24030.196766520152</v>
      </c>
      <c r="F80" s="121">
        <f t="shared" si="3"/>
        <v>3218.24309082525</v>
      </c>
      <c r="G80" s="121">
        <f t="shared" si="4"/>
        <v>28762.907194204345</v>
      </c>
      <c r="H80" s="121">
        <f t="shared" si="5"/>
        <v>31981.150285029595</v>
      </c>
      <c r="I80" s="122">
        <f t="shared" si="12"/>
        <v>3521.1365581970381</v>
      </c>
      <c r="J80" s="121">
        <f t="shared" si="6"/>
        <v>2394.3728595739858</v>
      </c>
      <c r="K80" s="121">
        <f t="shared" si="7"/>
        <v>27551.33332471719</v>
      </c>
      <c r="L80" s="121">
        <f t="shared" si="8"/>
        <v>29945.706184291175</v>
      </c>
      <c r="M80" s="121">
        <f t="shared" si="9"/>
        <v>1869053.9743071562</v>
      </c>
    </row>
    <row r="81" spans="1:13" x14ac:dyDescent="0.25">
      <c r="A81" s="80">
        <f t="shared" si="10"/>
        <v>51</v>
      </c>
      <c r="B81" s="120">
        <f t="shared" si="0"/>
        <v>51</v>
      </c>
      <c r="C81" s="121">
        <f t="shared" si="11"/>
        <v>1869053.9743071562</v>
      </c>
      <c r="D81" s="122">
        <f t="shared" si="1"/>
        <v>4672.634935767891</v>
      </c>
      <c r="E81" s="121">
        <f t="shared" si="2"/>
        <v>24090.272258436453</v>
      </c>
      <c r="F81" s="121">
        <f t="shared" si="3"/>
        <v>3177.3917563221657</v>
      </c>
      <c r="G81" s="121">
        <f t="shared" si="4"/>
        <v>28762.907194204345</v>
      </c>
      <c r="H81" s="121">
        <f t="shared" si="5"/>
        <v>31940.29895052651</v>
      </c>
      <c r="I81" s="122">
        <f t="shared" si="12"/>
        <v>3476.4403922113111</v>
      </c>
      <c r="J81" s="121">
        <f t="shared" si="6"/>
        <v>2363.9794667036913</v>
      </c>
      <c r="K81" s="121">
        <f t="shared" si="7"/>
        <v>27566.712650647765</v>
      </c>
      <c r="L81" s="121">
        <f t="shared" si="8"/>
        <v>29930.692117351457</v>
      </c>
      <c r="M81" s="121">
        <f t="shared" si="9"/>
        <v>1844963.7020487196</v>
      </c>
    </row>
    <row r="82" spans="1:13" x14ac:dyDescent="0.25">
      <c r="A82" s="80">
        <f t="shared" si="10"/>
        <v>52</v>
      </c>
      <c r="B82" s="120">
        <f t="shared" si="0"/>
        <v>52</v>
      </c>
      <c r="C82" s="121">
        <f t="shared" si="11"/>
        <v>1844963.7020487196</v>
      </c>
      <c r="D82" s="122">
        <f t="shared" si="1"/>
        <v>4612.4092551217991</v>
      </c>
      <c r="E82" s="121">
        <f t="shared" si="2"/>
        <v>24150.497939082547</v>
      </c>
      <c r="F82" s="121">
        <f t="shared" si="3"/>
        <v>3136.4382934828236</v>
      </c>
      <c r="G82" s="121">
        <f t="shared" si="4"/>
        <v>28762.907194204345</v>
      </c>
      <c r="H82" s="121">
        <f t="shared" si="5"/>
        <v>31899.345487687169</v>
      </c>
      <c r="I82" s="122">
        <f t="shared" si="12"/>
        <v>3431.6324858106186</v>
      </c>
      <c r="J82" s="121">
        <f t="shared" si="6"/>
        <v>2333.5100903512207</v>
      </c>
      <c r="K82" s="121">
        <f t="shared" si="7"/>
        <v>27582.130424893166</v>
      </c>
      <c r="L82" s="121">
        <f t="shared" si="8"/>
        <v>29915.640515244388</v>
      </c>
      <c r="M82" s="121">
        <f t="shared" si="9"/>
        <v>1820813.2041096371</v>
      </c>
    </row>
    <row r="83" spans="1:13" x14ac:dyDescent="0.25">
      <c r="A83" s="80">
        <f t="shared" si="10"/>
        <v>53</v>
      </c>
      <c r="B83" s="120">
        <f t="shared" si="0"/>
        <v>53</v>
      </c>
      <c r="C83" s="121">
        <f t="shared" si="11"/>
        <v>1820813.2041096371</v>
      </c>
      <c r="D83" s="122">
        <f t="shared" si="1"/>
        <v>4552.0330102740927</v>
      </c>
      <c r="E83" s="121">
        <f t="shared" si="2"/>
        <v>24210.874183930253</v>
      </c>
      <c r="F83" s="121">
        <f t="shared" si="3"/>
        <v>3095.3824469863835</v>
      </c>
      <c r="G83" s="121">
        <f t="shared" si="4"/>
        <v>28762.907194204345</v>
      </c>
      <c r="H83" s="121">
        <f t="shared" si="5"/>
        <v>31858.289641190728</v>
      </c>
      <c r="I83" s="122">
        <f t="shared" si="12"/>
        <v>3386.712559643925</v>
      </c>
      <c r="J83" s="121">
        <f t="shared" si="6"/>
        <v>2302.9645405578694</v>
      </c>
      <c r="K83" s="121">
        <f t="shared" si="7"/>
        <v>27597.586743574178</v>
      </c>
      <c r="L83" s="121">
        <f t="shared" si="8"/>
        <v>29900.551284132049</v>
      </c>
      <c r="M83" s="121">
        <f t="shared" si="9"/>
        <v>1796602.3299257068</v>
      </c>
    </row>
    <row r="84" spans="1:13" x14ac:dyDescent="0.25">
      <c r="A84" s="80">
        <f t="shared" si="10"/>
        <v>54</v>
      </c>
      <c r="B84" s="120">
        <f t="shared" si="0"/>
        <v>54</v>
      </c>
      <c r="C84" s="121">
        <f t="shared" si="11"/>
        <v>1796602.3299257068</v>
      </c>
      <c r="D84" s="122">
        <f t="shared" si="1"/>
        <v>4491.5058248142668</v>
      </c>
      <c r="E84" s="121">
        <f t="shared" si="2"/>
        <v>24271.401369390078</v>
      </c>
      <c r="F84" s="121">
        <f t="shared" si="3"/>
        <v>3054.2239608737018</v>
      </c>
      <c r="G84" s="121">
        <f t="shared" si="4"/>
        <v>28762.907194204345</v>
      </c>
      <c r="H84" s="121">
        <f t="shared" si="5"/>
        <v>31817.131155078045</v>
      </c>
      <c r="I84" s="122">
        <f t="shared" si="12"/>
        <v>3341.6803336618145</v>
      </c>
      <c r="J84" s="121">
        <f t="shared" si="6"/>
        <v>2272.3426268900339</v>
      </c>
      <c r="K84" s="121">
        <f t="shared" si="7"/>
        <v>27613.081703051892</v>
      </c>
      <c r="L84" s="121">
        <f t="shared" si="8"/>
        <v>29885.424329941925</v>
      </c>
      <c r="M84" s="121">
        <f t="shared" si="9"/>
        <v>1772330.9285563168</v>
      </c>
    </row>
    <row r="85" spans="1:13" x14ac:dyDescent="0.25">
      <c r="A85" s="80">
        <f t="shared" si="10"/>
        <v>55</v>
      </c>
      <c r="B85" s="120">
        <f t="shared" si="0"/>
        <v>55</v>
      </c>
      <c r="C85" s="121">
        <f t="shared" si="11"/>
        <v>1772330.9285563168</v>
      </c>
      <c r="D85" s="122">
        <f t="shared" si="1"/>
        <v>4430.8273213907923</v>
      </c>
      <c r="E85" s="121">
        <f t="shared" si="2"/>
        <v>24332.079872813552</v>
      </c>
      <c r="F85" s="121">
        <f t="shared" si="3"/>
        <v>3012.9625785457388</v>
      </c>
      <c r="G85" s="121">
        <f t="shared" si="4"/>
        <v>28762.907194204345</v>
      </c>
      <c r="H85" s="121">
        <f t="shared" si="5"/>
        <v>31775.869772750084</v>
      </c>
      <c r="I85" s="122">
        <f t="shared" si="12"/>
        <v>3296.5355271147496</v>
      </c>
      <c r="J85" s="121">
        <f t="shared" si="6"/>
        <v>2241.6441584380295</v>
      </c>
      <c r="K85" s="121">
        <f t="shared" si="7"/>
        <v>27628.615399928301</v>
      </c>
      <c r="L85" s="121">
        <f t="shared" si="8"/>
        <v>29870.259558366331</v>
      </c>
      <c r="M85" s="121">
        <f t="shared" si="9"/>
        <v>1747998.8486835032</v>
      </c>
    </row>
    <row r="86" spans="1:13" x14ac:dyDescent="0.25">
      <c r="A86" s="80">
        <f t="shared" si="10"/>
        <v>56</v>
      </c>
      <c r="B86" s="120">
        <f t="shared" si="0"/>
        <v>56</v>
      </c>
      <c r="C86" s="121">
        <f t="shared" si="11"/>
        <v>1747998.8486835032</v>
      </c>
      <c r="D86" s="122">
        <f t="shared" si="1"/>
        <v>4369.9971217087577</v>
      </c>
      <c r="E86" s="121">
        <f t="shared" si="2"/>
        <v>24392.910072495586</v>
      </c>
      <c r="F86" s="121">
        <f t="shared" si="3"/>
        <v>2971.5980427619556</v>
      </c>
      <c r="G86" s="121">
        <f t="shared" si="4"/>
        <v>28762.907194204345</v>
      </c>
      <c r="H86" s="121">
        <f t="shared" si="5"/>
        <v>31734.505236966299</v>
      </c>
      <c r="I86" s="122">
        <f t="shared" si="12"/>
        <v>3251.2778585513156</v>
      </c>
      <c r="J86" s="121">
        <f t="shared" si="6"/>
        <v>2210.8689438148949</v>
      </c>
      <c r="K86" s="121">
        <f t="shared" si="7"/>
        <v>27644.187931046901</v>
      </c>
      <c r="L86" s="121">
        <f t="shared" si="8"/>
        <v>29855.056874861795</v>
      </c>
      <c r="M86" s="121">
        <f t="shared" si="9"/>
        <v>1723605.9386110075</v>
      </c>
    </row>
    <row r="87" spans="1:13" x14ac:dyDescent="0.25">
      <c r="A87" s="80">
        <f t="shared" si="10"/>
        <v>57</v>
      </c>
      <c r="B87" s="120">
        <f t="shared" si="0"/>
        <v>57</v>
      </c>
      <c r="C87" s="121">
        <f t="shared" si="11"/>
        <v>1723605.9386110075</v>
      </c>
      <c r="D87" s="122">
        <f t="shared" si="1"/>
        <v>4309.0148465275188</v>
      </c>
      <c r="E87" s="121">
        <f t="shared" si="2"/>
        <v>24453.892347676825</v>
      </c>
      <c r="F87" s="121">
        <f t="shared" si="3"/>
        <v>2930.1300956387131</v>
      </c>
      <c r="G87" s="121">
        <f t="shared" si="4"/>
        <v>28762.907194204345</v>
      </c>
      <c r="H87" s="121">
        <f t="shared" si="5"/>
        <v>31693.037289843058</v>
      </c>
      <c r="I87" s="122">
        <f t="shared" si="12"/>
        <v>3205.9070458164738</v>
      </c>
      <c r="J87" s="121">
        <f t="shared" si="6"/>
        <v>2180.0167911552026</v>
      </c>
      <c r="K87" s="121">
        <f t="shared" si="7"/>
        <v>27659.7993934933</v>
      </c>
      <c r="L87" s="121">
        <f t="shared" si="8"/>
        <v>29839.816184648502</v>
      </c>
      <c r="M87" s="121">
        <f t="shared" si="9"/>
        <v>1699152.0462633306</v>
      </c>
    </row>
    <row r="88" spans="1:13" x14ac:dyDescent="0.25">
      <c r="A88" s="80">
        <f t="shared" si="10"/>
        <v>58</v>
      </c>
      <c r="B88" s="120">
        <f t="shared" si="0"/>
        <v>58</v>
      </c>
      <c r="C88" s="121">
        <f t="shared" si="11"/>
        <v>1699152.0462633306</v>
      </c>
      <c r="D88" s="122">
        <f t="shared" si="1"/>
        <v>4247.8801156583268</v>
      </c>
      <c r="E88" s="121">
        <f t="shared" si="2"/>
        <v>24515.027078546016</v>
      </c>
      <c r="F88" s="121">
        <f t="shared" si="3"/>
        <v>2888.5584786476625</v>
      </c>
      <c r="G88" s="121">
        <f t="shared" si="4"/>
        <v>28762.907194204345</v>
      </c>
      <c r="H88" s="121">
        <f t="shared" si="5"/>
        <v>31651.465672852006</v>
      </c>
      <c r="I88" s="122">
        <f t="shared" si="12"/>
        <v>3160.4228060497949</v>
      </c>
      <c r="J88" s="121">
        <f t="shared" si="6"/>
        <v>2149.0875081138611</v>
      </c>
      <c r="K88" s="121">
        <f t="shared" si="7"/>
        <v>27675.449884595811</v>
      </c>
      <c r="L88" s="121">
        <f t="shared" si="8"/>
        <v>29824.537392709673</v>
      </c>
      <c r="M88" s="121">
        <f t="shared" si="9"/>
        <v>1674637.0191847845</v>
      </c>
    </row>
    <row r="89" spans="1:13" x14ac:dyDescent="0.25">
      <c r="A89" s="80">
        <f t="shared" si="10"/>
        <v>59</v>
      </c>
      <c r="B89" s="120">
        <f t="shared" si="0"/>
        <v>59</v>
      </c>
      <c r="C89" s="121">
        <f t="shared" si="11"/>
        <v>1674637.0191847845</v>
      </c>
      <c r="D89" s="122">
        <f t="shared" si="1"/>
        <v>4186.5925479619609</v>
      </c>
      <c r="E89" s="121">
        <f t="shared" si="2"/>
        <v>24576.314646242383</v>
      </c>
      <c r="F89" s="121">
        <f t="shared" si="3"/>
        <v>2846.882932614134</v>
      </c>
      <c r="G89" s="121">
        <f t="shared" si="4"/>
        <v>28762.907194204345</v>
      </c>
      <c r="H89" s="121">
        <f t="shared" si="5"/>
        <v>31609.79012681848</v>
      </c>
      <c r="I89" s="122">
        <f t="shared" si="12"/>
        <v>3114.8248556836988</v>
      </c>
      <c r="J89" s="121">
        <f t="shared" si="6"/>
        <v>2118.0809018649156</v>
      </c>
      <c r="K89" s="121">
        <f t="shared" si="7"/>
        <v>27691.139501926082</v>
      </c>
      <c r="L89" s="121">
        <f t="shared" si="8"/>
        <v>29809.220403790998</v>
      </c>
      <c r="M89" s="121">
        <f t="shared" si="9"/>
        <v>1650060.7045385421</v>
      </c>
    </row>
    <row r="90" spans="1:13" x14ac:dyDescent="0.25">
      <c r="A90" s="80">
        <f t="shared" si="10"/>
        <v>60</v>
      </c>
      <c r="B90" s="120">
        <f t="shared" si="0"/>
        <v>60</v>
      </c>
      <c r="C90" s="121">
        <f t="shared" si="11"/>
        <v>1650060.7045385421</v>
      </c>
      <c r="D90" s="122">
        <f t="shared" si="1"/>
        <v>4125.1517613463557</v>
      </c>
      <c r="E90" s="121">
        <f t="shared" si="2"/>
        <v>24637.75543285799</v>
      </c>
      <c r="F90" s="121">
        <f t="shared" si="3"/>
        <v>2805.1031977155217</v>
      </c>
      <c r="G90" s="121">
        <f t="shared" si="4"/>
        <v>28762.907194204345</v>
      </c>
      <c r="H90" s="121">
        <f t="shared" si="5"/>
        <v>31568.010391919866</v>
      </c>
      <c r="I90" s="122">
        <f t="shared" si="12"/>
        <v>3069.1129104416887</v>
      </c>
      <c r="J90" s="121">
        <f t="shared" si="6"/>
        <v>2086.9967791003482</v>
      </c>
      <c r="K90" s="121">
        <f t="shared" si="7"/>
        <v>27706.868343299677</v>
      </c>
      <c r="L90" s="121">
        <f t="shared" si="8"/>
        <v>29793.865122400024</v>
      </c>
      <c r="M90" s="121">
        <f t="shared" si="9"/>
        <v>1625422.9491056842</v>
      </c>
    </row>
    <row r="91" spans="1:13" x14ac:dyDescent="0.25">
      <c r="A91" s="80">
        <f t="shared" si="10"/>
        <v>61</v>
      </c>
      <c r="B91" s="120">
        <f t="shared" si="0"/>
        <v>61</v>
      </c>
      <c r="C91" s="121">
        <f t="shared" si="11"/>
        <v>1625422.9491056842</v>
      </c>
      <c r="D91" s="122">
        <f t="shared" si="1"/>
        <v>4063.5573727642104</v>
      </c>
      <c r="E91" s="121">
        <f t="shared" si="2"/>
        <v>24699.349821440133</v>
      </c>
      <c r="F91" s="121">
        <f t="shared" si="3"/>
        <v>2763.2190134796633</v>
      </c>
      <c r="G91" s="121">
        <f t="shared" si="4"/>
        <v>28762.907194204345</v>
      </c>
      <c r="H91" s="121">
        <f t="shared" si="5"/>
        <v>31526.126207684007</v>
      </c>
      <c r="I91" s="122">
        <f t="shared" si="12"/>
        <v>3023.2866853365726</v>
      </c>
      <c r="J91" s="121">
        <f t="shared" si="6"/>
        <v>2055.8349460288696</v>
      </c>
      <c r="K91" s="121">
        <f t="shared" si="7"/>
        <v>27722.636506776707</v>
      </c>
      <c r="L91" s="121">
        <f t="shared" si="8"/>
        <v>29778.471452805577</v>
      </c>
      <c r="M91" s="121">
        <f t="shared" si="9"/>
        <v>1600723.599284244</v>
      </c>
    </row>
    <row r="92" spans="1:13" x14ac:dyDescent="0.25">
      <c r="A92" s="80">
        <f t="shared" si="10"/>
        <v>62</v>
      </c>
      <c r="B92" s="120">
        <f t="shared" si="0"/>
        <v>62</v>
      </c>
      <c r="C92" s="121">
        <f t="shared" si="11"/>
        <v>1600723.599284244</v>
      </c>
      <c r="D92" s="122">
        <f t="shared" si="1"/>
        <v>4001.8089982106103</v>
      </c>
      <c r="E92" s="121">
        <f t="shared" si="2"/>
        <v>24761.098195993734</v>
      </c>
      <c r="F92" s="121">
        <f t="shared" si="3"/>
        <v>2721.2301187832149</v>
      </c>
      <c r="G92" s="121">
        <f t="shared" si="4"/>
        <v>28762.907194204345</v>
      </c>
      <c r="H92" s="121">
        <f t="shared" si="5"/>
        <v>31484.137312987561</v>
      </c>
      <c r="I92" s="122">
        <f t="shared" si="12"/>
        <v>2977.3458946686942</v>
      </c>
      <c r="J92" s="121">
        <f t="shared" si="6"/>
        <v>2024.595208374712</v>
      </c>
      <c r="K92" s="121">
        <f t="shared" si="7"/>
        <v>27738.44409066243</v>
      </c>
      <c r="L92" s="121">
        <f t="shared" si="8"/>
        <v>29763.03929903714</v>
      </c>
      <c r="M92" s="121">
        <f t="shared" si="9"/>
        <v>1575962.5010882502</v>
      </c>
    </row>
    <row r="93" spans="1:13" x14ac:dyDescent="0.25">
      <c r="A93" s="80">
        <f t="shared" si="10"/>
        <v>63</v>
      </c>
      <c r="B93" s="120">
        <f t="shared" si="0"/>
        <v>63</v>
      </c>
      <c r="C93" s="121">
        <f t="shared" si="11"/>
        <v>1575962.5010882502</v>
      </c>
      <c r="D93" s="122">
        <f t="shared" si="1"/>
        <v>3939.9062527206256</v>
      </c>
      <c r="E93" s="121">
        <f t="shared" si="2"/>
        <v>24823.000941483719</v>
      </c>
      <c r="F93" s="121">
        <f t="shared" si="3"/>
        <v>2679.1362518500255</v>
      </c>
      <c r="G93" s="121">
        <f t="shared" si="4"/>
        <v>28762.907194204345</v>
      </c>
      <c r="H93" s="121">
        <f t="shared" si="5"/>
        <v>31442.043446054369</v>
      </c>
      <c r="I93" s="122">
        <f t="shared" si="12"/>
        <v>2931.2902520241455</v>
      </c>
      <c r="J93" s="121">
        <f t="shared" si="6"/>
        <v>1993.2773713764188</v>
      </c>
      <c r="K93" s="121">
        <f t="shared" si="7"/>
        <v>27754.291193507863</v>
      </c>
      <c r="L93" s="121">
        <f t="shared" si="8"/>
        <v>29747.568564884281</v>
      </c>
      <c r="M93" s="121">
        <f t="shared" si="9"/>
        <v>1551139.5001467664</v>
      </c>
    </row>
    <row r="94" spans="1:13" x14ac:dyDescent="0.25">
      <c r="A94" s="80">
        <f t="shared" si="10"/>
        <v>64</v>
      </c>
      <c r="B94" s="120">
        <f t="shared" si="0"/>
        <v>64</v>
      </c>
      <c r="C94" s="121">
        <f t="shared" si="11"/>
        <v>1551139.5001467664</v>
      </c>
      <c r="D94" s="122">
        <f t="shared" si="1"/>
        <v>3877.8487503669162</v>
      </c>
      <c r="E94" s="121">
        <f t="shared" si="2"/>
        <v>24885.058443837428</v>
      </c>
      <c r="F94" s="121">
        <f t="shared" si="3"/>
        <v>2636.9371502495032</v>
      </c>
      <c r="G94" s="121">
        <f t="shared" si="4"/>
        <v>28762.907194204345</v>
      </c>
      <c r="H94" s="121">
        <f t="shared" si="5"/>
        <v>31399.84434445385</v>
      </c>
      <c r="I94" s="122">
        <f t="shared" si="12"/>
        <v>2885.1194702729858</v>
      </c>
      <c r="J94" s="121">
        <f t="shared" si="6"/>
        <v>1961.8812397856304</v>
      </c>
      <c r="K94" s="121">
        <f t="shared" si="7"/>
        <v>27770.177914110413</v>
      </c>
      <c r="L94" s="121">
        <f t="shared" si="8"/>
        <v>29732.059153896043</v>
      </c>
      <c r="M94" s="121">
        <f t="shared" si="9"/>
        <v>1526254.4417029291</v>
      </c>
    </row>
    <row r="95" spans="1:13" x14ac:dyDescent="0.25">
      <c r="A95" s="80">
        <f t="shared" si="10"/>
        <v>65</v>
      </c>
      <c r="B95" s="120">
        <f t="shared" ref="B95:B158" si="13">IF(A95&lt;=$F$11,A95,"")</f>
        <v>65</v>
      </c>
      <c r="C95" s="121">
        <f t="shared" si="11"/>
        <v>1526254.4417029291</v>
      </c>
      <c r="D95" s="122">
        <f t="shared" ref="D95:D158" si="14">IF(B95&lt;=$F$11,(C95*$F$13),"")</f>
        <v>3815.6361042573226</v>
      </c>
      <c r="E95" s="121">
        <f t="shared" ref="E95:E158" si="15">IF(B95&lt;=$F$12,0,IF(B95&lt;=$F$11,(-$F$16-D95),""))</f>
        <v>24947.271089947022</v>
      </c>
      <c r="F95" s="121">
        <f t="shared" ref="F95:F158" si="16">IF(B95&lt;=$F$11,(($F$20*$F$2)+($F$19*$F$2)+(C95*$F$18)+($F$17*C95)),"")</f>
        <v>2594.6325508949794</v>
      </c>
      <c r="G95" s="121">
        <f t="shared" ref="G95:G158" si="17">IF(B95&lt;=$F$11,(D95+E95),"")</f>
        <v>28762.907194204345</v>
      </c>
      <c r="H95" s="121">
        <f t="shared" ref="H95:H158" si="18">IF(B95&lt;=$F$11,(F95+G95),"")</f>
        <v>31357.539745099326</v>
      </c>
      <c r="I95" s="122">
        <f t="shared" si="12"/>
        <v>2838.8332615674481</v>
      </c>
      <c r="J95" s="121">
        <f t="shared" ref="J95:J158" si="19">IF(B95&lt;=$F$11,(($F$20*$F$2*(1-$F$10))+($F$19*$F$2)+((C95*$F$18)*(1-$F$10))+(($F$17*C95))),"")</f>
        <v>1930.4066178658647</v>
      </c>
      <c r="K95" s="121">
        <f t="shared" ref="K95:K158" si="20">IF(B95&lt;=$F$11,(E95+I95),"")</f>
        <v>27786.10435151447</v>
      </c>
      <c r="L95" s="121">
        <f t="shared" ref="L95:L158" si="21">IF(B95&lt;=$F$11,(J95+K95),"")</f>
        <v>29716.510969380335</v>
      </c>
      <c r="M95" s="121">
        <f t="shared" ref="M95:M158" si="22">IF(B95&lt;=$F$11,(C95-E95),IF(B95&gt;$F$11,"",0))</f>
        <v>1501307.170612982</v>
      </c>
    </row>
    <row r="96" spans="1:13" x14ac:dyDescent="0.25">
      <c r="A96" s="80">
        <f t="shared" ref="A96:A159" si="23">A95+1</f>
        <v>66</v>
      </c>
      <c r="B96" s="120">
        <f t="shared" si="13"/>
        <v>66</v>
      </c>
      <c r="C96" s="121">
        <f t="shared" ref="C96:C159" si="24">IF(M95=0,"",M95)</f>
        <v>1501307.170612982</v>
      </c>
      <c r="D96" s="122">
        <f t="shared" si="14"/>
        <v>3753.267926532455</v>
      </c>
      <c r="E96" s="121">
        <f t="shared" si="15"/>
        <v>25009.63926767189</v>
      </c>
      <c r="F96" s="121">
        <f t="shared" si="16"/>
        <v>2552.2221900420695</v>
      </c>
      <c r="G96" s="121">
        <f t="shared" si="17"/>
        <v>28762.907194204345</v>
      </c>
      <c r="H96" s="121">
        <f t="shared" si="18"/>
        <v>31315.129384246415</v>
      </c>
      <c r="I96" s="122">
        <f t="shared" ref="I96:I159" si="25">IF(B96&lt;=$F$11,(C96*$F$13)*(1-$F$10),"")</f>
        <v>2792.4313373401465</v>
      </c>
      <c r="J96" s="121">
        <f t="shared" si="19"/>
        <v>1898.8533093912997</v>
      </c>
      <c r="K96" s="121">
        <f t="shared" si="20"/>
        <v>27802.070605012035</v>
      </c>
      <c r="L96" s="121">
        <f t="shared" si="21"/>
        <v>29700.923914403334</v>
      </c>
      <c r="M96" s="121">
        <f t="shared" si="22"/>
        <v>1476297.5313453102</v>
      </c>
    </row>
    <row r="97" spans="1:13" x14ac:dyDescent="0.25">
      <c r="A97" s="80">
        <f t="shared" si="23"/>
        <v>67</v>
      </c>
      <c r="B97" s="120">
        <f t="shared" si="13"/>
        <v>67</v>
      </c>
      <c r="C97" s="121">
        <f t="shared" si="24"/>
        <v>1476297.5313453102</v>
      </c>
      <c r="D97" s="122">
        <f t="shared" si="14"/>
        <v>3690.7438283632755</v>
      </c>
      <c r="E97" s="121">
        <f t="shared" si="15"/>
        <v>25072.163365841068</v>
      </c>
      <c r="F97" s="121">
        <f t="shared" si="16"/>
        <v>2509.7058032870273</v>
      </c>
      <c r="G97" s="121">
        <f t="shared" si="17"/>
        <v>28762.907194204345</v>
      </c>
      <c r="H97" s="121">
        <f t="shared" si="18"/>
        <v>31272.612997491371</v>
      </c>
      <c r="I97" s="122">
        <f t="shared" si="25"/>
        <v>2745.9134083022768</v>
      </c>
      <c r="J97" s="121">
        <f t="shared" si="19"/>
        <v>1867.2211176455482</v>
      </c>
      <c r="K97" s="121">
        <f t="shared" si="20"/>
        <v>27818.076774143345</v>
      </c>
      <c r="L97" s="121">
        <f t="shared" si="21"/>
        <v>29685.297891788894</v>
      </c>
      <c r="M97" s="121">
        <f t="shared" si="22"/>
        <v>1451225.367979469</v>
      </c>
    </row>
    <row r="98" spans="1:13" x14ac:dyDescent="0.25">
      <c r="A98" s="80">
        <f t="shared" si="23"/>
        <v>68</v>
      </c>
      <c r="B98" s="120">
        <f t="shared" si="13"/>
        <v>68</v>
      </c>
      <c r="C98" s="121">
        <f t="shared" si="24"/>
        <v>1451225.367979469</v>
      </c>
      <c r="D98" s="122">
        <f t="shared" si="14"/>
        <v>3628.0634199486726</v>
      </c>
      <c r="E98" s="121">
        <f t="shared" si="15"/>
        <v>25134.843774255671</v>
      </c>
      <c r="F98" s="121">
        <f t="shared" si="16"/>
        <v>2467.0831255650974</v>
      </c>
      <c r="G98" s="121">
        <f t="shared" si="17"/>
        <v>28762.907194204345</v>
      </c>
      <c r="H98" s="121">
        <f t="shared" si="18"/>
        <v>31229.990319769444</v>
      </c>
      <c r="I98" s="122">
        <f t="shared" si="25"/>
        <v>2699.2791844418125</v>
      </c>
      <c r="J98" s="121">
        <f t="shared" si="19"/>
        <v>1835.5098454204324</v>
      </c>
      <c r="K98" s="121">
        <f t="shared" si="20"/>
        <v>27834.122958697484</v>
      </c>
      <c r="L98" s="121">
        <f t="shared" si="21"/>
        <v>29669.632804117915</v>
      </c>
      <c r="M98" s="121">
        <f t="shared" si="22"/>
        <v>1426090.5242052134</v>
      </c>
    </row>
    <row r="99" spans="1:13" x14ac:dyDescent="0.25">
      <c r="A99" s="80">
        <f t="shared" si="23"/>
        <v>69</v>
      </c>
      <c r="B99" s="120">
        <f t="shared" si="13"/>
        <v>69</v>
      </c>
      <c r="C99" s="121">
        <f t="shared" si="24"/>
        <v>1426090.5242052134</v>
      </c>
      <c r="D99" s="122">
        <f t="shared" si="14"/>
        <v>3565.2263105130337</v>
      </c>
      <c r="E99" s="121">
        <f t="shared" si="15"/>
        <v>25197.680883691311</v>
      </c>
      <c r="F99" s="121">
        <f t="shared" si="16"/>
        <v>2424.3538911488631</v>
      </c>
      <c r="G99" s="121">
        <f t="shared" si="17"/>
        <v>28762.907194204345</v>
      </c>
      <c r="H99" s="121">
        <f t="shared" si="18"/>
        <v>31187.26108535321</v>
      </c>
      <c r="I99" s="122">
        <f t="shared" si="25"/>
        <v>2652.5283750216972</v>
      </c>
      <c r="J99" s="121">
        <f t="shared" si="19"/>
        <v>1803.7192950147542</v>
      </c>
      <c r="K99" s="121">
        <f t="shared" si="20"/>
        <v>27850.20925871301</v>
      </c>
      <c r="L99" s="121">
        <f t="shared" si="21"/>
        <v>29653.928553727765</v>
      </c>
      <c r="M99" s="121">
        <f t="shared" si="22"/>
        <v>1400892.843321522</v>
      </c>
    </row>
    <row r="100" spans="1:13" x14ac:dyDescent="0.25">
      <c r="A100" s="80">
        <f t="shared" si="23"/>
        <v>70</v>
      </c>
      <c r="B100" s="120">
        <f t="shared" si="13"/>
        <v>70</v>
      </c>
      <c r="C100" s="121">
        <f t="shared" si="24"/>
        <v>1400892.843321522</v>
      </c>
      <c r="D100" s="122">
        <f t="shared" si="14"/>
        <v>3502.232108303805</v>
      </c>
      <c r="E100" s="121">
        <f t="shared" si="15"/>
        <v>25260.675085900541</v>
      </c>
      <c r="F100" s="121">
        <f t="shared" si="16"/>
        <v>2381.5178336465874</v>
      </c>
      <c r="G100" s="121">
        <f t="shared" si="17"/>
        <v>28762.907194204345</v>
      </c>
      <c r="H100" s="121">
        <f t="shared" si="18"/>
        <v>31144.425027850932</v>
      </c>
      <c r="I100" s="122">
        <f t="shared" si="25"/>
        <v>2605.6606885780311</v>
      </c>
      <c r="J100" s="121">
        <f t="shared" si="19"/>
        <v>1771.8492682330609</v>
      </c>
      <c r="K100" s="121">
        <f t="shared" si="20"/>
        <v>27866.335774478572</v>
      </c>
      <c r="L100" s="121">
        <f t="shared" si="21"/>
        <v>29638.185042711633</v>
      </c>
      <c r="M100" s="121">
        <f t="shared" si="22"/>
        <v>1375632.1682356214</v>
      </c>
    </row>
    <row r="101" spans="1:13" x14ac:dyDescent="0.25">
      <c r="A101" s="80">
        <f t="shared" si="23"/>
        <v>71</v>
      </c>
      <c r="B101" s="120">
        <f t="shared" si="13"/>
        <v>71</v>
      </c>
      <c r="C101" s="121">
        <f t="shared" si="24"/>
        <v>1375632.1682356214</v>
      </c>
      <c r="D101" s="122">
        <f t="shared" si="14"/>
        <v>3439.0804205890536</v>
      </c>
      <c r="E101" s="121">
        <f t="shared" si="15"/>
        <v>25323.826773615292</v>
      </c>
      <c r="F101" s="121">
        <f t="shared" si="16"/>
        <v>2338.5746860005565</v>
      </c>
      <c r="G101" s="121">
        <f t="shared" si="17"/>
        <v>28762.907194204345</v>
      </c>
      <c r="H101" s="121">
        <f t="shared" si="18"/>
        <v>31101.481880204901</v>
      </c>
      <c r="I101" s="122">
        <f t="shared" si="25"/>
        <v>2558.6758329182558</v>
      </c>
      <c r="J101" s="121">
        <f t="shared" si="19"/>
        <v>1739.8995663844141</v>
      </c>
      <c r="K101" s="121">
        <f t="shared" si="20"/>
        <v>27882.502606533548</v>
      </c>
      <c r="L101" s="121">
        <f t="shared" si="21"/>
        <v>29622.402172917962</v>
      </c>
      <c r="M101" s="121">
        <f t="shared" si="22"/>
        <v>1350308.3414620061</v>
      </c>
    </row>
    <row r="102" spans="1:13" x14ac:dyDescent="0.25">
      <c r="A102" s="80">
        <f t="shared" si="23"/>
        <v>72</v>
      </c>
      <c r="B102" s="120">
        <f t="shared" si="13"/>
        <v>72</v>
      </c>
      <c r="C102" s="121">
        <f t="shared" si="24"/>
        <v>1350308.3414620061</v>
      </c>
      <c r="D102" s="122">
        <f t="shared" si="14"/>
        <v>3375.7708536550153</v>
      </c>
      <c r="E102" s="121">
        <f t="shared" si="15"/>
        <v>25387.136340549328</v>
      </c>
      <c r="F102" s="121">
        <f t="shared" si="16"/>
        <v>2295.5241804854104</v>
      </c>
      <c r="G102" s="121">
        <f t="shared" si="17"/>
        <v>28762.907194204345</v>
      </c>
      <c r="H102" s="121">
        <f t="shared" si="18"/>
        <v>31058.431374689753</v>
      </c>
      <c r="I102" s="122">
        <f t="shared" si="25"/>
        <v>2511.5735151193312</v>
      </c>
      <c r="J102" s="121">
        <f t="shared" si="19"/>
        <v>1707.8699902811454</v>
      </c>
      <c r="K102" s="121">
        <f t="shared" si="20"/>
        <v>27898.709855668661</v>
      </c>
      <c r="L102" s="121">
        <f t="shared" si="21"/>
        <v>29606.579845949807</v>
      </c>
      <c r="M102" s="121">
        <f t="shared" si="22"/>
        <v>1324921.2051214569</v>
      </c>
    </row>
    <row r="103" spans="1:13" x14ac:dyDescent="0.25">
      <c r="A103" s="80">
        <f t="shared" si="23"/>
        <v>73</v>
      </c>
      <c r="B103" s="120">
        <f t="shared" si="13"/>
        <v>73</v>
      </c>
      <c r="C103" s="121">
        <f t="shared" si="24"/>
        <v>1324921.2051214569</v>
      </c>
      <c r="D103" s="122">
        <f t="shared" si="14"/>
        <v>3312.3030128036421</v>
      </c>
      <c r="E103" s="121">
        <f t="shared" si="15"/>
        <v>25450.604181400704</v>
      </c>
      <c r="F103" s="121">
        <f t="shared" si="16"/>
        <v>2252.3660487064767</v>
      </c>
      <c r="G103" s="121">
        <f t="shared" si="17"/>
        <v>28762.907194204345</v>
      </c>
      <c r="H103" s="121">
        <f t="shared" si="18"/>
        <v>31015.273242910822</v>
      </c>
      <c r="I103" s="122">
        <f t="shared" si="25"/>
        <v>2464.3534415259096</v>
      </c>
      <c r="J103" s="121">
        <f t="shared" si="19"/>
        <v>1675.7603402376187</v>
      </c>
      <c r="K103" s="121">
        <f t="shared" si="20"/>
        <v>27914.957622926613</v>
      </c>
      <c r="L103" s="121">
        <f t="shared" si="21"/>
        <v>29590.717963164232</v>
      </c>
      <c r="M103" s="121">
        <f t="shared" si="22"/>
        <v>1299470.6009400561</v>
      </c>
    </row>
    <row r="104" spans="1:13" x14ac:dyDescent="0.25">
      <c r="A104" s="80">
        <f t="shared" si="23"/>
        <v>74</v>
      </c>
      <c r="B104" s="120">
        <f t="shared" si="13"/>
        <v>74</v>
      </c>
      <c r="C104" s="121">
        <f t="shared" si="24"/>
        <v>1299470.6009400561</v>
      </c>
      <c r="D104" s="122">
        <f t="shared" si="14"/>
        <v>3248.6765023501403</v>
      </c>
      <c r="E104" s="121">
        <f t="shared" si="15"/>
        <v>25514.230691854205</v>
      </c>
      <c r="F104" s="121">
        <f t="shared" si="16"/>
        <v>2209.1000215980957</v>
      </c>
      <c r="G104" s="121">
        <f t="shared" si="17"/>
        <v>28762.907194204345</v>
      </c>
      <c r="H104" s="121">
        <f t="shared" si="18"/>
        <v>30972.007215802441</v>
      </c>
      <c r="I104" s="122">
        <f t="shared" si="25"/>
        <v>2417.0153177485045</v>
      </c>
      <c r="J104" s="121">
        <f t="shared" si="19"/>
        <v>1643.5704160689831</v>
      </c>
      <c r="K104" s="121">
        <f t="shared" si="20"/>
        <v>27931.24600960271</v>
      </c>
      <c r="L104" s="121">
        <f t="shared" si="21"/>
        <v>29574.816425671692</v>
      </c>
      <c r="M104" s="121">
        <f t="shared" si="22"/>
        <v>1273956.370248202</v>
      </c>
    </row>
    <row r="105" spans="1:13" x14ac:dyDescent="0.25">
      <c r="A105" s="80">
        <f t="shared" si="23"/>
        <v>75</v>
      </c>
      <c r="B105" s="120">
        <f t="shared" si="13"/>
        <v>75</v>
      </c>
      <c r="C105" s="121">
        <f t="shared" si="24"/>
        <v>1273956.370248202</v>
      </c>
      <c r="D105" s="122">
        <f t="shared" si="14"/>
        <v>3184.8909256205052</v>
      </c>
      <c r="E105" s="121">
        <f t="shared" si="15"/>
        <v>25578.01626858384</v>
      </c>
      <c r="F105" s="121">
        <f t="shared" si="16"/>
        <v>2165.7258294219437</v>
      </c>
      <c r="G105" s="121">
        <f t="shared" si="17"/>
        <v>28762.907194204345</v>
      </c>
      <c r="H105" s="121">
        <f t="shared" si="18"/>
        <v>30928.633023626287</v>
      </c>
      <c r="I105" s="122">
        <f t="shared" si="25"/>
        <v>2369.5588486616557</v>
      </c>
      <c r="J105" s="121">
        <f t="shared" si="19"/>
        <v>1611.3000170899261</v>
      </c>
      <c r="K105" s="121">
        <f t="shared" si="20"/>
        <v>27947.575117245495</v>
      </c>
      <c r="L105" s="121">
        <f t="shared" si="21"/>
        <v>29558.87513433542</v>
      </c>
      <c r="M105" s="121">
        <f t="shared" si="22"/>
        <v>1248378.3539796181</v>
      </c>
    </row>
    <row r="106" spans="1:13" x14ac:dyDescent="0.25">
      <c r="A106" s="80">
        <f t="shared" si="23"/>
        <v>76</v>
      </c>
      <c r="B106" s="120">
        <f t="shared" si="13"/>
        <v>76</v>
      </c>
      <c r="C106" s="121">
        <f t="shared" si="24"/>
        <v>1248378.3539796181</v>
      </c>
      <c r="D106" s="122">
        <f t="shared" si="14"/>
        <v>3120.9458849490452</v>
      </c>
      <c r="E106" s="121">
        <f t="shared" si="15"/>
        <v>25641.961309255301</v>
      </c>
      <c r="F106" s="121">
        <f t="shared" si="16"/>
        <v>2122.2432017653509</v>
      </c>
      <c r="G106" s="121">
        <f t="shared" si="17"/>
        <v>28762.907194204345</v>
      </c>
      <c r="H106" s="121">
        <f t="shared" si="18"/>
        <v>30885.150395969697</v>
      </c>
      <c r="I106" s="122">
        <f t="shared" si="25"/>
        <v>2321.9837384020898</v>
      </c>
      <c r="J106" s="121">
        <f t="shared" si="19"/>
        <v>1578.948942113421</v>
      </c>
      <c r="K106" s="121">
        <f t="shared" si="20"/>
        <v>27963.945047657391</v>
      </c>
      <c r="L106" s="121">
        <f t="shared" si="21"/>
        <v>29542.893989770811</v>
      </c>
      <c r="M106" s="121">
        <f t="shared" si="22"/>
        <v>1222736.3926703627</v>
      </c>
    </row>
    <row r="107" spans="1:13" x14ac:dyDescent="0.25">
      <c r="A107" s="80">
        <f t="shared" si="23"/>
        <v>77</v>
      </c>
      <c r="B107" s="120">
        <f t="shared" si="13"/>
        <v>77</v>
      </c>
      <c r="C107" s="121">
        <f t="shared" si="24"/>
        <v>1222736.3926703627</v>
      </c>
      <c r="D107" s="122">
        <f t="shared" si="14"/>
        <v>3056.8409816759067</v>
      </c>
      <c r="E107" s="121">
        <f t="shared" si="15"/>
        <v>25706.066212528436</v>
      </c>
      <c r="F107" s="121">
        <f t="shared" si="16"/>
        <v>2078.6518675396169</v>
      </c>
      <c r="G107" s="121">
        <f t="shared" si="17"/>
        <v>28762.907194204345</v>
      </c>
      <c r="H107" s="121">
        <f t="shared" si="18"/>
        <v>30841.559061743963</v>
      </c>
      <c r="I107" s="122">
        <f t="shared" si="25"/>
        <v>2274.2896903668748</v>
      </c>
      <c r="J107" s="121">
        <f t="shared" si="19"/>
        <v>1546.516989449475</v>
      </c>
      <c r="K107" s="121">
        <f t="shared" si="20"/>
        <v>27980.35590289531</v>
      </c>
      <c r="L107" s="121">
        <f t="shared" si="21"/>
        <v>29526.872892344785</v>
      </c>
      <c r="M107" s="121">
        <f t="shared" si="22"/>
        <v>1197030.3264578343</v>
      </c>
    </row>
    <row r="108" spans="1:13" x14ac:dyDescent="0.25">
      <c r="A108" s="80">
        <f t="shared" si="23"/>
        <v>78</v>
      </c>
      <c r="B108" s="120">
        <f t="shared" si="13"/>
        <v>78</v>
      </c>
      <c r="C108" s="121">
        <f t="shared" si="24"/>
        <v>1197030.3264578343</v>
      </c>
      <c r="D108" s="122">
        <f t="shared" si="14"/>
        <v>2992.575816144586</v>
      </c>
      <c r="E108" s="121">
        <f t="shared" si="15"/>
        <v>25770.33137805976</v>
      </c>
      <c r="F108" s="121">
        <f t="shared" si="16"/>
        <v>2034.9515549783184</v>
      </c>
      <c r="G108" s="121">
        <f t="shared" si="17"/>
        <v>28762.907194204345</v>
      </c>
      <c r="H108" s="121">
        <f t="shared" si="18"/>
        <v>30797.858749182662</v>
      </c>
      <c r="I108" s="122">
        <f t="shared" si="25"/>
        <v>2226.4764072115722</v>
      </c>
      <c r="J108" s="121">
        <f t="shared" si="19"/>
        <v>1514.0039569038688</v>
      </c>
      <c r="K108" s="121">
        <f t="shared" si="20"/>
        <v>27996.807785271332</v>
      </c>
      <c r="L108" s="121">
        <f t="shared" si="21"/>
        <v>29510.811742175199</v>
      </c>
      <c r="M108" s="121">
        <f t="shared" si="22"/>
        <v>1171259.9950797746</v>
      </c>
    </row>
    <row r="109" spans="1:13" x14ac:dyDescent="0.25">
      <c r="A109" s="80">
        <f t="shared" si="23"/>
        <v>79</v>
      </c>
      <c r="B109" s="120">
        <f t="shared" si="13"/>
        <v>79</v>
      </c>
      <c r="C109" s="121">
        <f t="shared" si="24"/>
        <v>1171259.9950797746</v>
      </c>
      <c r="D109" s="122">
        <f t="shared" si="14"/>
        <v>2928.1499876994367</v>
      </c>
      <c r="E109" s="121">
        <f t="shared" si="15"/>
        <v>25834.75720650491</v>
      </c>
      <c r="F109" s="121">
        <f t="shared" si="16"/>
        <v>1991.1419916356169</v>
      </c>
      <c r="G109" s="121">
        <f t="shared" si="17"/>
        <v>28762.907194204345</v>
      </c>
      <c r="H109" s="121">
        <f t="shared" si="18"/>
        <v>30754.049185839962</v>
      </c>
      <c r="I109" s="122">
        <f t="shared" si="25"/>
        <v>2178.543590848381</v>
      </c>
      <c r="J109" s="121">
        <f t="shared" si="19"/>
        <v>1481.409641776899</v>
      </c>
      <c r="K109" s="121">
        <f t="shared" si="20"/>
        <v>28013.300797353291</v>
      </c>
      <c r="L109" s="121">
        <f t="shared" si="21"/>
        <v>29494.710439130191</v>
      </c>
      <c r="M109" s="121">
        <f t="shared" si="22"/>
        <v>1145425.2378732697</v>
      </c>
    </row>
    <row r="110" spans="1:13" x14ac:dyDescent="0.25">
      <c r="A110" s="80">
        <f t="shared" si="23"/>
        <v>80</v>
      </c>
      <c r="B110" s="120">
        <f t="shared" si="13"/>
        <v>80</v>
      </c>
      <c r="C110" s="121">
        <f t="shared" si="24"/>
        <v>1145425.2378732697</v>
      </c>
      <c r="D110" s="122">
        <f t="shared" si="14"/>
        <v>2863.5630946831743</v>
      </c>
      <c r="E110" s="121">
        <f t="shared" si="15"/>
        <v>25899.344099521171</v>
      </c>
      <c r="F110" s="121">
        <f t="shared" si="16"/>
        <v>1947.2229043845587</v>
      </c>
      <c r="G110" s="121">
        <f t="shared" si="17"/>
        <v>28762.907194204345</v>
      </c>
      <c r="H110" s="121">
        <f t="shared" si="18"/>
        <v>30710.130098588903</v>
      </c>
      <c r="I110" s="122">
        <f t="shared" si="25"/>
        <v>2130.4909424442817</v>
      </c>
      <c r="J110" s="121">
        <f t="shared" si="19"/>
        <v>1448.7338408621117</v>
      </c>
      <c r="K110" s="121">
        <f t="shared" si="20"/>
        <v>28029.835041965453</v>
      </c>
      <c r="L110" s="121">
        <f t="shared" si="21"/>
        <v>29478.568882827563</v>
      </c>
      <c r="M110" s="121">
        <f t="shared" si="22"/>
        <v>1119525.8937737485</v>
      </c>
    </row>
    <row r="111" spans="1:13" x14ac:dyDescent="0.25">
      <c r="A111" s="80">
        <f t="shared" si="23"/>
        <v>81</v>
      </c>
      <c r="B111" s="120">
        <f t="shared" si="13"/>
        <v>81</v>
      </c>
      <c r="C111" s="121">
        <f t="shared" si="24"/>
        <v>1119525.8937737485</v>
      </c>
      <c r="D111" s="122">
        <f t="shared" si="14"/>
        <v>2798.8147344343715</v>
      </c>
      <c r="E111" s="121">
        <f t="shared" si="15"/>
        <v>25964.092459769974</v>
      </c>
      <c r="F111" s="121">
        <f t="shared" si="16"/>
        <v>1903.1940194153726</v>
      </c>
      <c r="G111" s="121">
        <f t="shared" si="17"/>
        <v>28762.907194204345</v>
      </c>
      <c r="H111" s="121">
        <f t="shared" si="18"/>
        <v>30666.101213619717</v>
      </c>
      <c r="I111" s="122">
        <f t="shared" si="25"/>
        <v>2082.3181624191725</v>
      </c>
      <c r="J111" s="121">
        <f t="shared" si="19"/>
        <v>1415.9763504450373</v>
      </c>
      <c r="K111" s="121">
        <f t="shared" si="20"/>
        <v>28046.410622189145</v>
      </c>
      <c r="L111" s="121">
        <f t="shared" si="21"/>
        <v>29462.386972634184</v>
      </c>
      <c r="M111" s="121">
        <f t="shared" si="22"/>
        <v>1093561.8013139786</v>
      </c>
    </row>
    <row r="112" spans="1:13" x14ac:dyDescent="0.25">
      <c r="A112" s="80">
        <f t="shared" si="23"/>
        <v>82</v>
      </c>
      <c r="B112" s="120">
        <f t="shared" si="13"/>
        <v>82</v>
      </c>
      <c r="C112" s="121">
        <f t="shared" si="24"/>
        <v>1093561.8013139786</v>
      </c>
      <c r="D112" s="122">
        <f t="shared" si="14"/>
        <v>2733.9045032849467</v>
      </c>
      <c r="E112" s="121">
        <f t="shared" si="15"/>
        <v>26029.002690919398</v>
      </c>
      <c r="F112" s="121">
        <f t="shared" si="16"/>
        <v>1859.0550622337637</v>
      </c>
      <c r="G112" s="121">
        <f t="shared" si="17"/>
        <v>28762.907194204345</v>
      </c>
      <c r="H112" s="121">
        <f t="shared" si="18"/>
        <v>30621.96225643811</v>
      </c>
      <c r="I112" s="122">
        <f t="shared" si="25"/>
        <v>2034.0249504440003</v>
      </c>
      <c r="J112" s="121">
        <f t="shared" si="19"/>
        <v>1383.1369663019202</v>
      </c>
      <c r="K112" s="121">
        <f t="shared" si="20"/>
        <v>28063.027641363398</v>
      </c>
      <c r="L112" s="121">
        <f t="shared" si="21"/>
        <v>29446.16460766532</v>
      </c>
      <c r="M112" s="121">
        <f t="shared" si="22"/>
        <v>1067532.7986230592</v>
      </c>
    </row>
    <row r="113" spans="1:13" x14ac:dyDescent="0.25">
      <c r="A113" s="80">
        <f t="shared" si="23"/>
        <v>83</v>
      </c>
      <c r="B113" s="120">
        <f t="shared" si="13"/>
        <v>83</v>
      </c>
      <c r="C113" s="121">
        <f t="shared" si="24"/>
        <v>1067532.7986230592</v>
      </c>
      <c r="D113" s="122">
        <f t="shared" si="14"/>
        <v>2668.8319965576479</v>
      </c>
      <c r="E113" s="121">
        <f t="shared" si="15"/>
        <v>26094.075197646696</v>
      </c>
      <c r="F113" s="121">
        <f t="shared" si="16"/>
        <v>1814.8057576592007</v>
      </c>
      <c r="G113" s="121">
        <f t="shared" si="17"/>
        <v>28762.907194204345</v>
      </c>
      <c r="H113" s="121">
        <f t="shared" si="18"/>
        <v>30577.712951863545</v>
      </c>
      <c r="I113" s="122">
        <f t="shared" si="25"/>
        <v>1985.6110054388901</v>
      </c>
      <c r="J113" s="121">
        <f t="shared" si="19"/>
        <v>1350.2154836984453</v>
      </c>
      <c r="K113" s="121">
        <f t="shared" si="20"/>
        <v>28079.686203085585</v>
      </c>
      <c r="L113" s="121">
        <f t="shared" si="21"/>
        <v>29429.901686784029</v>
      </c>
      <c r="M113" s="121">
        <f t="shared" si="22"/>
        <v>1041438.7234254124</v>
      </c>
    </row>
    <row r="114" spans="1:13" x14ac:dyDescent="0.25">
      <c r="A114" s="80">
        <f t="shared" si="23"/>
        <v>84</v>
      </c>
      <c r="B114" s="120">
        <f t="shared" si="13"/>
        <v>84</v>
      </c>
      <c r="C114" s="121">
        <f t="shared" si="24"/>
        <v>1041438.7234254124</v>
      </c>
      <c r="D114" s="122">
        <f t="shared" si="14"/>
        <v>2603.5968085635313</v>
      </c>
      <c r="E114" s="121">
        <f t="shared" si="15"/>
        <v>26159.310385640812</v>
      </c>
      <c r="F114" s="121">
        <f t="shared" si="16"/>
        <v>1770.4458298232012</v>
      </c>
      <c r="G114" s="121">
        <f t="shared" si="17"/>
        <v>28762.907194204345</v>
      </c>
      <c r="H114" s="121">
        <f t="shared" si="18"/>
        <v>30533.353024027547</v>
      </c>
      <c r="I114" s="122">
        <f t="shared" si="25"/>
        <v>1937.0760255712673</v>
      </c>
      <c r="J114" s="121">
        <f t="shared" si="19"/>
        <v>1317.2116973884617</v>
      </c>
      <c r="K114" s="121">
        <f t="shared" si="20"/>
        <v>28096.386411212079</v>
      </c>
      <c r="L114" s="121">
        <f t="shared" si="21"/>
        <v>29413.598108600541</v>
      </c>
      <c r="M114" s="121">
        <f t="shared" si="22"/>
        <v>1015279.4130397716</v>
      </c>
    </row>
    <row r="115" spans="1:13" x14ac:dyDescent="0.25">
      <c r="A115" s="80">
        <f t="shared" si="23"/>
        <v>85</v>
      </c>
      <c r="B115" s="120">
        <f t="shared" si="13"/>
        <v>85</v>
      </c>
      <c r="C115" s="121">
        <f t="shared" si="24"/>
        <v>1015279.4130397716</v>
      </c>
      <c r="D115" s="122">
        <f t="shared" si="14"/>
        <v>2538.1985325994292</v>
      </c>
      <c r="E115" s="121">
        <f t="shared" si="15"/>
        <v>26224.708661604916</v>
      </c>
      <c r="F115" s="121">
        <f t="shared" si="16"/>
        <v>1725.9750021676118</v>
      </c>
      <c r="G115" s="121">
        <f t="shared" si="17"/>
        <v>28762.907194204345</v>
      </c>
      <c r="H115" s="121">
        <f t="shared" si="18"/>
        <v>30488.882196371957</v>
      </c>
      <c r="I115" s="122">
        <f t="shared" si="25"/>
        <v>1888.4197082539754</v>
      </c>
      <c r="J115" s="121">
        <f t="shared" si="19"/>
        <v>1284.1254016127032</v>
      </c>
      <c r="K115" s="121">
        <f t="shared" si="20"/>
        <v>28113.128369858892</v>
      </c>
      <c r="L115" s="121">
        <f t="shared" si="21"/>
        <v>29397.253771471595</v>
      </c>
      <c r="M115" s="121">
        <f t="shared" si="22"/>
        <v>989054.7043781667</v>
      </c>
    </row>
    <row r="116" spans="1:13" x14ac:dyDescent="0.25">
      <c r="A116" s="80">
        <f t="shared" si="23"/>
        <v>86</v>
      </c>
      <c r="B116" s="120">
        <f t="shared" si="13"/>
        <v>86</v>
      </c>
      <c r="C116" s="121">
        <f t="shared" si="24"/>
        <v>989054.7043781667</v>
      </c>
      <c r="D116" s="122">
        <f t="shared" si="14"/>
        <v>2472.6367609454169</v>
      </c>
      <c r="E116" s="121">
        <f t="shared" si="15"/>
        <v>26290.270433258927</v>
      </c>
      <c r="F116" s="121">
        <f t="shared" si="16"/>
        <v>1681.3929974428836</v>
      </c>
      <c r="G116" s="121">
        <f t="shared" si="17"/>
        <v>28762.907194204345</v>
      </c>
      <c r="H116" s="121">
        <f t="shared" si="18"/>
        <v>30444.300191647228</v>
      </c>
      <c r="I116" s="122">
        <f t="shared" si="25"/>
        <v>1839.6417501433903</v>
      </c>
      <c r="J116" s="121">
        <f t="shared" si="19"/>
        <v>1250.9563900975054</v>
      </c>
      <c r="K116" s="121">
        <f t="shared" si="20"/>
        <v>28129.912183402317</v>
      </c>
      <c r="L116" s="121">
        <f t="shared" si="21"/>
        <v>29380.868573499822</v>
      </c>
      <c r="M116" s="121">
        <f t="shared" si="22"/>
        <v>962764.43394490774</v>
      </c>
    </row>
    <row r="117" spans="1:13" x14ac:dyDescent="0.25">
      <c r="A117" s="80">
        <f t="shared" si="23"/>
        <v>87</v>
      </c>
      <c r="B117" s="120">
        <f t="shared" si="13"/>
        <v>87</v>
      </c>
      <c r="C117" s="121">
        <f t="shared" si="24"/>
        <v>962764.43394490774</v>
      </c>
      <c r="D117" s="122">
        <f t="shared" si="14"/>
        <v>2406.9110848622695</v>
      </c>
      <c r="E117" s="121">
        <f t="shared" si="15"/>
        <v>26355.996109342075</v>
      </c>
      <c r="F117" s="121">
        <f t="shared" si="16"/>
        <v>1636.6995377063433</v>
      </c>
      <c r="G117" s="121">
        <f t="shared" si="17"/>
        <v>28762.907194204345</v>
      </c>
      <c r="H117" s="121">
        <f t="shared" si="18"/>
        <v>30399.606731910688</v>
      </c>
      <c r="I117" s="122">
        <f t="shared" si="25"/>
        <v>1790.7418471375286</v>
      </c>
      <c r="J117" s="121">
        <f t="shared" si="19"/>
        <v>1217.7044560535194</v>
      </c>
      <c r="K117" s="121">
        <f t="shared" si="20"/>
        <v>28146.737956479603</v>
      </c>
      <c r="L117" s="121">
        <f t="shared" si="21"/>
        <v>29364.442412533121</v>
      </c>
      <c r="M117" s="121">
        <f t="shared" si="22"/>
        <v>936408.43783556565</v>
      </c>
    </row>
    <row r="118" spans="1:13" x14ac:dyDescent="0.25">
      <c r="A118" s="80">
        <f t="shared" si="23"/>
        <v>88</v>
      </c>
      <c r="B118" s="120">
        <f t="shared" si="13"/>
        <v>88</v>
      </c>
      <c r="C118" s="121">
        <f t="shared" si="24"/>
        <v>936408.43783556565</v>
      </c>
      <c r="D118" s="122">
        <f t="shared" si="14"/>
        <v>2341.0210945889144</v>
      </c>
      <c r="E118" s="121">
        <f t="shared" si="15"/>
        <v>26421.886099615429</v>
      </c>
      <c r="F118" s="121">
        <f t="shared" si="16"/>
        <v>1591.8943443204616</v>
      </c>
      <c r="G118" s="121">
        <f t="shared" si="17"/>
        <v>28762.907194204345</v>
      </c>
      <c r="H118" s="121">
        <f t="shared" si="18"/>
        <v>30354.801538524807</v>
      </c>
      <c r="I118" s="122">
        <f t="shared" si="25"/>
        <v>1741.7196943741524</v>
      </c>
      <c r="J118" s="121">
        <f t="shared" si="19"/>
        <v>1184.3693921744234</v>
      </c>
      <c r="K118" s="121">
        <f t="shared" si="20"/>
        <v>28163.60579398958</v>
      </c>
      <c r="L118" s="121">
        <f t="shared" si="21"/>
        <v>29347.975186164003</v>
      </c>
      <c r="M118" s="121">
        <f t="shared" si="22"/>
        <v>909986.55173595017</v>
      </c>
    </row>
    <row r="119" spans="1:13" x14ac:dyDescent="0.25">
      <c r="A119" s="80">
        <f t="shared" si="23"/>
        <v>89</v>
      </c>
      <c r="B119" s="120">
        <f t="shared" si="13"/>
        <v>89</v>
      </c>
      <c r="C119" s="121">
        <f t="shared" si="24"/>
        <v>909986.55173595017</v>
      </c>
      <c r="D119" s="122">
        <f t="shared" si="14"/>
        <v>2274.9663793398754</v>
      </c>
      <c r="E119" s="121">
        <f t="shared" si="15"/>
        <v>26487.940814864469</v>
      </c>
      <c r="F119" s="121">
        <f t="shared" si="16"/>
        <v>1546.9771379511153</v>
      </c>
      <c r="G119" s="121">
        <f t="shared" si="17"/>
        <v>28762.907194204345</v>
      </c>
      <c r="H119" s="121">
        <f t="shared" si="18"/>
        <v>30309.88433215546</v>
      </c>
      <c r="I119" s="122">
        <f t="shared" si="25"/>
        <v>1692.5749862288674</v>
      </c>
      <c r="J119" s="121">
        <f t="shared" si="19"/>
        <v>1150.9509906356298</v>
      </c>
      <c r="K119" s="121">
        <f t="shared" si="20"/>
        <v>28180.515801093337</v>
      </c>
      <c r="L119" s="121">
        <f t="shared" si="21"/>
        <v>29331.466791728966</v>
      </c>
      <c r="M119" s="121">
        <f t="shared" si="22"/>
        <v>883498.6109210857</v>
      </c>
    </row>
    <row r="120" spans="1:13" x14ac:dyDescent="0.25">
      <c r="A120" s="80">
        <f t="shared" si="23"/>
        <v>90</v>
      </c>
      <c r="B120" s="120">
        <f t="shared" si="13"/>
        <v>90</v>
      </c>
      <c r="C120" s="121">
        <f t="shared" si="24"/>
        <v>883498.6109210857</v>
      </c>
      <c r="D120" s="122">
        <f t="shared" si="14"/>
        <v>2208.7465273027142</v>
      </c>
      <c r="E120" s="121">
        <f t="shared" si="15"/>
        <v>26554.160666901629</v>
      </c>
      <c r="F120" s="121">
        <f t="shared" si="16"/>
        <v>1501.9476385658459</v>
      </c>
      <c r="G120" s="121">
        <f t="shared" si="17"/>
        <v>28762.907194204345</v>
      </c>
      <c r="H120" s="121">
        <f t="shared" si="18"/>
        <v>30264.85483277019</v>
      </c>
      <c r="I120" s="122">
        <f t="shared" si="25"/>
        <v>1643.3074163132194</v>
      </c>
      <c r="J120" s="121">
        <f t="shared" si="19"/>
        <v>1117.4490430929893</v>
      </c>
      <c r="K120" s="121">
        <f t="shared" si="20"/>
        <v>28197.468083214848</v>
      </c>
      <c r="L120" s="121">
        <f t="shared" si="21"/>
        <v>29314.917126307839</v>
      </c>
      <c r="M120" s="121">
        <f t="shared" si="22"/>
        <v>856944.45025418408</v>
      </c>
    </row>
    <row r="121" spans="1:13" x14ac:dyDescent="0.25">
      <c r="A121" s="80">
        <f t="shared" si="23"/>
        <v>91</v>
      </c>
      <c r="B121" s="120">
        <f t="shared" si="13"/>
        <v>91</v>
      </c>
      <c r="C121" s="121">
        <f t="shared" si="24"/>
        <v>856944.45025418408</v>
      </c>
      <c r="D121" s="122">
        <f t="shared" si="14"/>
        <v>2142.3611256354602</v>
      </c>
      <c r="E121" s="121">
        <f t="shared" si="15"/>
        <v>26620.546068568885</v>
      </c>
      <c r="F121" s="121">
        <f t="shared" si="16"/>
        <v>1456.8055654321131</v>
      </c>
      <c r="G121" s="121">
        <f t="shared" si="17"/>
        <v>28762.907194204345</v>
      </c>
      <c r="H121" s="121">
        <f t="shared" si="18"/>
        <v>30219.712759636459</v>
      </c>
      <c r="I121" s="122">
        <f t="shared" si="25"/>
        <v>1593.9166774727823</v>
      </c>
      <c r="J121" s="121">
        <f t="shared" si="19"/>
        <v>1083.8633406814922</v>
      </c>
      <c r="K121" s="121">
        <f t="shared" si="20"/>
        <v>28214.462746041667</v>
      </c>
      <c r="L121" s="121">
        <f t="shared" si="21"/>
        <v>29298.326086723158</v>
      </c>
      <c r="M121" s="121">
        <f t="shared" si="22"/>
        <v>830323.90418561525</v>
      </c>
    </row>
    <row r="122" spans="1:13" x14ac:dyDescent="0.25">
      <c r="A122" s="80">
        <f t="shared" si="23"/>
        <v>92</v>
      </c>
      <c r="B122" s="120">
        <f t="shared" si="13"/>
        <v>92</v>
      </c>
      <c r="C122" s="121">
        <f t="shared" si="24"/>
        <v>830323.90418561525</v>
      </c>
      <c r="D122" s="122">
        <f t="shared" si="14"/>
        <v>2075.8097604640379</v>
      </c>
      <c r="E122" s="121">
        <f t="shared" si="15"/>
        <v>26687.097433740306</v>
      </c>
      <c r="F122" s="121">
        <f t="shared" si="16"/>
        <v>1411.5506371155461</v>
      </c>
      <c r="G122" s="121">
        <f t="shared" si="17"/>
        <v>28762.907194204345</v>
      </c>
      <c r="H122" s="121">
        <f t="shared" si="18"/>
        <v>30174.457831319891</v>
      </c>
      <c r="I122" s="122">
        <f t="shared" si="25"/>
        <v>1544.4024617852442</v>
      </c>
      <c r="J122" s="121">
        <f t="shared" si="19"/>
        <v>1050.1936740139663</v>
      </c>
      <c r="K122" s="121">
        <f t="shared" si="20"/>
        <v>28231.499895525551</v>
      </c>
      <c r="L122" s="121">
        <f t="shared" si="21"/>
        <v>29281.693569539515</v>
      </c>
      <c r="M122" s="121">
        <f t="shared" si="22"/>
        <v>803636.80675187497</v>
      </c>
    </row>
    <row r="123" spans="1:13" x14ac:dyDescent="0.25">
      <c r="A123" s="80">
        <f t="shared" si="23"/>
        <v>93</v>
      </c>
      <c r="B123" s="120">
        <f t="shared" si="13"/>
        <v>93</v>
      </c>
      <c r="C123" s="121">
        <f t="shared" si="24"/>
        <v>803636.80675187497</v>
      </c>
      <c r="D123" s="122">
        <f t="shared" si="14"/>
        <v>2009.0920168796874</v>
      </c>
      <c r="E123" s="121">
        <f t="shared" si="15"/>
        <v>26753.815177324657</v>
      </c>
      <c r="F123" s="121">
        <f t="shared" si="16"/>
        <v>1366.1825714781876</v>
      </c>
      <c r="G123" s="121">
        <f t="shared" si="17"/>
        <v>28762.907194204345</v>
      </c>
      <c r="H123" s="121">
        <f t="shared" si="18"/>
        <v>30129.089765682533</v>
      </c>
      <c r="I123" s="122">
        <f t="shared" si="25"/>
        <v>1494.7644605584874</v>
      </c>
      <c r="J123" s="121">
        <f t="shared" si="19"/>
        <v>1016.4398331797715</v>
      </c>
      <c r="K123" s="121">
        <f t="shared" si="20"/>
        <v>28248.579637883144</v>
      </c>
      <c r="L123" s="121">
        <f t="shared" si="21"/>
        <v>29265.019471062915</v>
      </c>
      <c r="M123" s="121">
        <f t="shared" si="22"/>
        <v>776882.99157455028</v>
      </c>
    </row>
    <row r="124" spans="1:13" x14ac:dyDescent="0.25">
      <c r="A124" s="80">
        <f t="shared" si="23"/>
        <v>94</v>
      </c>
      <c r="B124" s="120">
        <f t="shared" si="13"/>
        <v>94</v>
      </c>
      <c r="C124" s="121">
        <f t="shared" si="24"/>
        <v>776882.99157455028</v>
      </c>
      <c r="D124" s="122">
        <f t="shared" si="14"/>
        <v>1942.2074789363758</v>
      </c>
      <c r="E124" s="121">
        <f t="shared" si="15"/>
        <v>26820.699715267969</v>
      </c>
      <c r="F124" s="121">
        <f t="shared" si="16"/>
        <v>1320.7010856767356</v>
      </c>
      <c r="G124" s="121">
        <f t="shared" si="17"/>
        <v>28762.907194204345</v>
      </c>
      <c r="H124" s="121">
        <f t="shared" si="18"/>
        <v>30083.608279881082</v>
      </c>
      <c r="I124" s="122">
        <f t="shared" si="25"/>
        <v>1445.0023643286636</v>
      </c>
      <c r="J124" s="121">
        <f t="shared" si="19"/>
        <v>982.60160774349129</v>
      </c>
      <c r="K124" s="121">
        <f t="shared" si="20"/>
        <v>28265.702079596631</v>
      </c>
      <c r="L124" s="121">
        <f t="shared" si="21"/>
        <v>29248.303687340122</v>
      </c>
      <c r="M124" s="121">
        <f t="shared" si="22"/>
        <v>750062.2918592823</v>
      </c>
    </row>
    <row r="125" spans="1:13" x14ac:dyDescent="0.25">
      <c r="A125" s="80">
        <f t="shared" si="23"/>
        <v>95</v>
      </c>
      <c r="B125" s="120">
        <f t="shared" si="13"/>
        <v>95</v>
      </c>
      <c r="C125" s="121">
        <f t="shared" si="24"/>
        <v>750062.2918592823</v>
      </c>
      <c r="D125" s="122">
        <f t="shared" si="14"/>
        <v>1875.1557296482058</v>
      </c>
      <c r="E125" s="121">
        <f t="shared" si="15"/>
        <v>26887.751464556139</v>
      </c>
      <c r="F125" s="121">
        <f t="shared" si="16"/>
        <v>1275.10589616078</v>
      </c>
      <c r="G125" s="121">
        <f t="shared" si="17"/>
        <v>28762.907194204345</v>
      </c>
      <c r="H125" s="121">
        <f t="shared" si="18"/>
        <v>30038.013090365126</v>
      </c>
      <c r="I125" s="122">
        <f t="shared" si="25"/>
        <v>1395.115862858265</v>
      </c>
      <c r="J125" s="121">
        <f t="shared" si="19"/>
        <v>948.67878674362032</v>
      </c>
      <c r="K125" s="121">
        <f t="shared" si="20"/>
        <v>28282.867327414402</v>
      </c>
      <c r="L125" s="121">
        <f t="shared" si="21"/>
        <v>29231.546114158024</v>
      </c>
      <c r="M125" s="121">
        <f t="shared" si="22"/>
        <v>723174.54039472621</v>
      </c>
    </row>
    <row r="126" spans="1:13" x14ac:dyDescent="0.25">
      <c r="A126" s="80">
        <f t="shared" si="23"/>
        <v>96</v>
      </c>
      <c r="B126" s="120">
        <f t="shared" si="13"/>
        <v>96</v>
      </c>
      <c r="C126" s="121">
        <f t="shared" si="24"/>
        <v>723174.54039472621</v>
      </c>
      <c r="D126" s="122">
        <f t="shared" si="14"/>
        <v>1807.9363509868156</v>
      </c>
      <c r="E126" s="121">
        <f t="shared" si="15"/>
        <v>26954.970843217528</v>
      </c>
      <c r="F126" s="121">
        <f t="shared" si="16"/>
        <v>1229.3967186710347</v>
      </c>
      <c r="G126" s="121">
        <f t="shared" si="17"/>
        <v>28762.907194204345</v>
      </c>
      <c r="H126" s="121">
        <f t="shared" si="18"/>
        <v>29992.303912875381</v>
      </c>
      <c r="I126" s="122">
        <f t="shared" si="25"/>
        <v>1345.1046451341908</v>
      </c>
      <c r="J126" s="121">
        <f t="shared" si="19"/>
        <v>914.67115869124984</v>
      </c>
      <c r="K126" s="121">
        <f t="shared" si="20"/>
        <v>28300.075488351718</v>
      </c>
      <c r="L126" s="121">
        <f t="shared" si="21"/>
        <v>29214.746647042968</v>
      </c>
      <c r="M126" s="121">
        <f t="shared" si="22"/>
        <v>696219.56955150864</v>
      </c>
    </row>
    <row r="127" spans="1:13" x14ac:dyDescent="0.25">
      <c r="A127" s="80">
        <f t="shared" si="23"/>
        <v>97</v>
      </c>
      <c r="B127" s="120">
        <f t="shared" si="13"/>
        <v>97</v>
      </c>
      <c r="C127" s="121">
        <f t="shared" si="24"/>
        <v>696219.56955150864</v>
      </c>
      <c r="D127" s="122">
        <f t="shared" si="14"/>
        <v>1740.5489238787716</v>
      </c>
      <c r="E127" s="121">
        <f t="shared" si="15"/>
        <v>27022.358270325574</v>
      </c>
      <c r="F127" s="121">
        <f t="shared" si="16"/>
        <v>1183.5732682375647</v>
      </c>
      <c r="G127" s="121">
        <f t="shared" si="17"/>
        <v>28762.907194204345</v>
      </c>
      <c r="H127" s="121">
        <f t="shared" si="18"/>
        <v>29946.480462441908</v>
      </c>
      <c r="I127" s="122">
        <f t="shared" si="25"/>
        <v>1294.9683993658061</v>
      </c>
      <c r="J127" s="121">
        <f t="shared" si="19"/>
        <v>880.57851156874813</v>
      </c>
      <c r="K127" s="121">
        <f t="shared" si="20"/>
        <v>28317.326669691382</v>
      </c>
      <c r="L127" s="121">
        <f t="shared" si="21"/>
        <v>29197.905181260128</v>
      </c>
      <c r="M127" s="121">
        <f t="shared" si="22"/>
        <v>669197.21128118306</v>
      </c>
    </row>
    <row r="128" spans="1:13" x14ac:dyDescent="0.25">
      <c r="A128" s="80">
        <f t="shared" si="23"/>
        <v>98</v>
      </c>
      <c r="B128" s="120">
        <f t="shared" si="13"/>
        <v>98</v>
      </c>
      <c r="C128" s="121">
        <f t="shared" si="24"/>
        <v>669197.21128118306</v>
      </c>
      <c r="D128" s="122">
        <f t="shared" si="14"/>
        <v>1672.9930282029577</v>
      </c>
      <c r="E128" s="121">
        <f t="shared" si="15"/>
        <v>27089.914166001388</v>
      </c>
      <c r="F128" s="121">
        <f t="shared" si="16"/>
        <v>1137.6352591780112</v>
      </c>
      <c r="G128" s="121">
        <f t="shared" si="17"/>
        <v>28762.907194204345</v>
      </c>
      <c r="H128" s="121">
        <f t="shared" si="18"/>
        <v>29900.542453382357</v>
      </c>
      <c r="I128" s="122">
        <f t="shared" si="25"/>
        <v>1244.7068129830004</v>
      </c>
      <c r="J128" s="121">
        <f t="shared" si="19"/>
        <v>846.40063282844028</v>
      </c>
      <c r="K128" s="121">
        <f t="shared" si="20"/>
        <v>28334.620978984389</v>
      </c>
      <c r="L128" s="121">
        <f t="shared" si="21"/>
        <v>29181.02161181283</v>
      </c>
      <c r="M128" s="121">
        <f t="shared" si="22"/>
        <v>642107.29711518169</v>
      </c>
    </row>
    <row r="129" spans="1:13" x14ac:dyDescent="0.25">
      <c r="A129" s="80">
        <f t="shared" si="23"/>
        <v>99</v>
      </c>
      <c r="B129" s="120">
        <f t="shared" si="13"/>
        <v>99</v>
      </c>
      <c r="C129" s="121">
        <f t="shared" si="24"/>
        <v>642107.29711518169</v>
      </c>
      <c r="D129" s="122">
        <f t="shared" si="14"/>
        <v>1605.2682427879543</v>
      </c>
      <c r="E129" s="121">
        <f t="shared" si="15"/>
        <v>27157.638951416389</v>
      </c>
      <c r="F129" s="121">
        <f t="shared" si="16"/>
        <v>1091.582405095809</v>
      </c>
      <c r="G129" s="121">
        <f t="shared" si="17"/>
        <v>28762.907194204345</v>
      </c>
      <c r="H129" s="121">
        <f t="shared" si="18"/>
        <v>29854.489599300156</v>
      </c>
      <c r="I129" s="122">
        <f t="shared" si="25"/>
        <v>1194.3195726342381</v>
      </c>
      <c r="J129" s="121">
        <f t="shared" si="19"/>
        <v>812.13730939128186</v>
      </c>
      <c r="K129" s="121">
        <f t="shared" si="20"/>
        <v>28351.958524050628</v>
      </c>
      <c r="L129" s="121">
        <f t="shared" si="21"/>
        <v>29164.095833441908</v>
      </c>
      <c r="M129" s="121">
        <f t="shared" si="22"/>
        <v>614949.65816376533</v>
      </c>
    </row>
    <row r="130" spans="1:13" x14ac:dyDescent="0.25">
      <c r="A130" s="80">
        <f t="shared" si="23"/>
        <v>100</v>
      </c>
      <c r="B130" s="120">
        <f t="shared" si="13"/>
        <v>100</v>
      </c>
      <c r="C130" s="121">
        <f t="shared" si="24"/>
        <v>614949.65816376533</v>
      </c>
      <c r="D130" s="122">
        <f t="shared" si="14"/>
        <v>1537.3741454094134</v>
      </c>
      <c r="E130" s="121">
        <f t="shared" si="15"/>
        <v>27225.533048794932</v>
      </c>
      <c r="F130" s="121">
        <f t="shared" si="16"/>
        <v>1045.4144188784012</v>
      </c>
      <c r="G130" s="121">
        <f t="shared" si="17"/>
        <v>28762.907194204345</v>
      </c>
      <c r="H130" s="121">
        <f t="shared" si="18"/>
        <v>29808.321613082746</v>
      </c>
      <c r="I130" s="122">
        <f t="shared" si="25"/>
        <v>1143.8063641846036</v>
      </c>
      <c r="J130" s="121">
        <f t="shared" si="19"/>
        <v>777.78832764553044</v>
      </c>
      <c r="K130" s="121">
        <f t="shared" si="20"/>
        <v>28369.339412979534</v>
      </c>
      <c r="L130" s="121">
        <f t="shared" si="21"/>
        <v>29147.127740625067</v>
      </c>
      <c r="M130" s="121">
        <f t="shared" si="22"/>
        <v>587724.12511497037</v>
      </c>
    </row>
    <row r="131" spans="1:13" x14ac:dyDescent="0.25">
      <c r="A131" s="80">
        <f t="shared" si="23"/>
        <v>101</v>
      </c>
      <c r="B131" s="120">
        <f t="shared" si="13"/>
        <v>101</v>
      </c>
      <c r="C131" s="121">
        <f t="shared" si="24"/>
        <v>587724.12511497037</v>
      </c>
      <c r="D131" s="122">
        <f t="shared" si="14"/>
        <v>1469.310312787426</v>
      </c>
      <c r="E131" s="121">
        <f t="shared" si="15"/>
        <v>27293.596881416917</v>
      </c>
      <c r="F131" s="121">
        <f t="shared" si="16"/>
        <v>999.13101269544973</v>
      </c>
      <c r="G131" s="121">
        <f t="shared" si="17"/>
        <v>28762.907194204345</v>
      </c>
      <c r="H131" s="121">
        <f t="shared" si="18"/>
        <v>29762.038206899793</v>
      </c>
      <c r="I131" s="122">
        <f t="shared" si="25"/>
        <v>1093.1668727138449</v>
      </c>
      <c r="J131" s="121">
        <f t="shared" si="19"/>
        <v>743.35347344541458</v>
      </c>
      <c r="K131" s="121">
        <f t="shared" si="20"/>
        <v>28386.763754130763</v>
      </c>
      <c r="L131" s="121">
        <f t="shared" si="21"/>
        <v>29130.117227576178</v>
      </c>
      <c r="M131" s="121">
        <f t="shared" si="22"/>
        <v>560430.52823355352</v>
      </c>
    </row>
    <row r="132" spans="1:13" x14ac:dyDescent="0.25">
      <c r="A132" s="80">
        <f t="shared" si="23"/>
        <v>102</v>
      </c>
      <c r="B132" s="120">
        <f t="shared" si="13"/>
        <v>102</v>
      </c>
      <c r="C132" s="121">
        <f t="shared" si="24"/>
        <v>560430.52823355352</v>
      </c>
      <c r="D132" s="122">
        <f t="shared" si="14"/>
        <v>1401.0763205838839</v>
      </c>
      <c r="E132" s="121">
        <f t="shared" si="15"/>
        <v>27361.83087362046</v>
      </c>
      <c r="F132" s="121">
        <f t="shared" si="16"/>
        <v>952.73189799704107</v>
      </c>
      <c r="G132" s="121">
        <f t="shared" si="17"/>
        <v>28762.907194204345</v>
      </c>
      <c r="H132" s="121">
        <f t="shared" si="18"/>
        <v>29715.639092201385</v>
      </c>
      <c r="I132" s="122">
        <f t="shared" si="25"/>
        <v>1042.4007825144097</v>
      </c>
      <c r="J132" s="121">
        <f t="shared" si="19"/>
        <v>708.83253210979854</v>
      </c>
      <c r="K132" s="121">
        <f t="shared" si="20"/>
        <v>28404.231656134871</v>
      </c>
      <c r="L132" s="121">
        <f t="shared" si="21"/>
        <v>29113.064188244669</v>
      </c>
      <c r="M132" s="121">
        <f t="shared" si="22"/>
        <v>533068.69735993305</v>
      </c>
    </row>
    <row r="133" spans="1:13" x14ac:dyDescent="0.25">
      <c r="A133" s="80">
        <f t="shared" si="23"/>
        <v>103</v>
      </c>
      <c r="B133" s="120">
        <f t="shared" si="13"/>
        <v>103</v>
      </c>
      <c r="C133" s="121">
        <f t="shared" si="24"/>
        <v>533068.69735993305</v>
      </c>
      <c r="D133" s="122">
        <f t="shared" si="14"/>
        <v>1332.6717433998326</v>
      </c>
      <c r="E133" s="121">
        <f t="shared" si="15"/>
        <v>27430.235450804514</v>
      </c>
      <c r="F133" s="121">
        <f t="shared" si="16"/>
        <v>906.2167855118862</v>
      </c>
      <c r="G133" s="121">
        <f t="shared" si="17"/>
        <v>28762.907194204345</v>
      </c>
      <c r="H133" s="121">
        <f t="shared" si="18"/>
        <v>29669.123979716231</v>
      </c>
      <c r="I133" s="122">
        <f t="shared" si="25"/>
        <v>991.50777708947544</v>
      </c>
      <c r="J133" s="121">
        <f t="shared" si="19"/>
        <v>674.2252884208433</v>
      </c>
      <c r="K133" s="121">
        <f t="shared" si="20"/>
        <v>28421.743227893989</v>
      </c>
      <c r="L133" s="121">
        <f t="shared" si="21"/>
        <v>29095.968516314832</v>
      </c>
      <c r="M133" s="121">
        <f t="shared" si="22"/>
        <v>505638.46190912853</v>
      </c>
    </row>
    <row r="134" spans="1:13" x14ac:dyDescent="0.25">
      <c r="A134" s="80">
        <f t="shared" si="23"/>
        <v>104</v>
      </c>
      <c r="B134" s="120">
        <f t="shared" si="13"/>
        <v>104</v>
      </c>
      <c r="C134" s="121">
        <f t="shared" si="24"/>
        <v>505638.46190912853</v>
      </c>
      <c r="D134" s="122">
        <f t="shared" si="14"/>
        <v>1264.0961547728214</v>
      </c>
      <c r="E134" s="121">
        <f t="shared" si="15"/>
        <v>27498.811039431523</v>
      </c>
      <c r="F134" s="121">
        <f t="shared" si="16"/>
        <v>859.58538524551852</v>
      </c>
      <c r="G134" s="121">
        <f t="shared" si="17"/>
        <v>28762.907194204345</v>
      </c>
      <c r="H134" s="121">
        <f t="shared" si="18"/>
        <v>29622.492579449863</v>
      </c>
      <c r="I134" s="122">
        <f t="shared" si="25"/>
        <v>940.48753915097905</v>
      </c>
      <c r="J134" s="121">
        <f t="shared" si="19"/>
        <v>639.53152662266575</v>
      </c>
      <c r="K134" s="121">
        <f t="shared" si="20"/>
        <v>28439.2985785825</v>
      </c>
      <c r="L134" s="121">
        <f t="shared" si="21"/>
        <v>29078.830105205165</v>
      </c>
      <c r="M134" s="121">
        <f t="shared" si="22"/>
        <v>478139.65086969698</v>
      </c>
    </row>
    <row r="135" spans="1:13" x14ac:dyDescent="0.25">
      <c r="A135" s="80">
        <f t="shared" si="23"/>
        <v>105</v>
      </c>
      <c r="B135" s="120">
        <f t="shared" si="13"/>
        <v>105</v>
      </c>
      <c r="C135" s="121">
        <f t="shared" si="24"/>
        <v>478139.65086969698</v>
      </c>
      <c r="D135" s="122">
        <f t="shared" si="14"/>
        <v>1195.3491271742425</v>
      </c>
      <c r="E135" s="121">
        <f t="shared" si="15"/>
        <v>27567.558067030102</v>
      </c>
      <c r="F135" s="121">
        <f t="shared" si="16"/>
        <v>812.83740647848492</v>
      </c>
      <c r="G135" s="121">
        <f t="shared" si="17"/>
        <v>28762.907194204345</v>
      </c>
      <c r="H135" s="121">
        <f t="shared" si="18"/>
        <v>29575.744600682829</v>
      </c>
      <c r="I135" s="122">
        <f t="shared" si="25"/>
        <v>889.33975061763647</v>
      </c>
      <c r="J135" s="121">
        <f t="shared" si="19"/>
        <v>604.75103041999273</v>
      </c>
      <c r="K135" s="121">
        <f t="shared" si="20"/>
        <v>28456.897817647739</v>
      </c>
      <c r="L135" s="121">
        <f t="shared" si="21"/>
        <v>29061.648848067733</v>
      </c>
      <c r="M135" s="121">
        <f t="shared" si="22"/>
        <v>450572.09280266688</v>
      </c>
    </row>
    <row r="136" spans="1:13" x14ac:dyDescent="0.25">
      <c r="A136" s="80">
        <f t="shared" si="23"/>
        <v>106</v>
      </c>
      <c r="B136" s="120">
        <f t="shared" si="13"/>
        <v>106</v>
      </c>
      <c r="C136" s="121">
        <f t="shared" si="24"/>
        <v>450572.09280266688</v>
      </c>
      <c r="D136" s="122">
        <f t="shared" si="14"/>
        <v>1126.4302320066672</v>
      </c>
      <c r="E136" s="121">
        <f t="shared" si="15"/>
        <v>27636.476962197677</v>
      </c>
      <c r="F136" s="121">
        <f t="shared" si="16"/>
        <v>765.9725577645338</v>
      </c>
      <c r="G136" s="121">
        <f t="shared" si="17"/>
        <v>28762.907194204345</v>
      </c>
      <c r="H136" s="121">
        <f t="shared" si="18"/>
        <v>29528.879751968878</v>
      </c>
      <c r="I136" s="122">
        <f t="shared" si="25"/>
        <v>838.06409261296039</v>
      </c>
      <c r="J136" s="121">
        <f t="shared" si="19"/>
        <v>569.88358297681316</v>
      </c>
      <c r="K136" s="121">
        <f t="shared" si="20"/>
        <v>28474.541054810637</v>
      </c>
      <c r="L136" s="121">
        <f t="shared" si="21"/>
        <v>29044.424637787452</v>
      </c>
      <c r="M136" s="121">
        <f t="shared" si="22"/>
        <v>422935.6158404692</v>
      </c>
    </row>
    <row r="137" spans="1:13" x14ac:dyDescent="0.25">
      <c r="A137" s="80">
        <f t="shared" si="23"/>
        <v>107</v>
      </c>
      <c r="B137" s="120">
        <f t="shared" si="13"/>
        <v>107</v>
      </c>
      <c r="C137" s="121">
        <f t="shared" si="24"/>
        <v>422935.6158404692</v>
      </c>
      <c r="D137" s="122">
        <f t="shared" si="14"/>
        <v>1057.339039601173</v>
      </c>
      <c r="E137" s="121">
        <f t="shared" si="15"/>
        <v>27705.56815460317</v>
      </c>
      <c r="F137" s="121">
        <f t="shared" si="16"/>
        <v>718.9905469287977</v>
      </c>
      <c r="G137" s="121">
        <f t="shared" si="17"/>
        <v>28762.907194204345</v>
      </c>
      <c r="H137" s="121">
        <f t="shared" si="18"/>
        <v>29481.897741133143</v>
      </c>
      <c r="I137" s="122">
        <f t="shared" si="25"/>
        <v>786.66024546327276</v>
      </c>
      <c r="J137" s="121">
        <f t="shared" si="19"/>
        <v>534.92896691502551</v>
      </c>
      <c r="K137" s="121">
        <f t="shared" si="20"/>
        <v>28492.228400066444</v>
      </c>
      <c r="L137" s="121">
        <f t="shared" si="21"/>
        <v>29027.157366981468</v>
      </c>
      <c r="M137" s="121">
        <f t="shared" si="22"/>
        <v>395230.04768586601</v>
      </c>
    </row>
    <row r="138" spans="1:13" x14ac:dyDescent="0.25">
      <c r="A138" s="80">
        <f t="shared" si="23"/>
        <v>108</v>
      </c>
      <c r="B138" s="120">
        <f t="shared" si="13"/>
        <v>108</v>
      </c>
      <c r="C138" s="121">
        <f t="shared" si="24"/>
        <v>395230.04768586601</v>
      </c>
      <c r="D138" s="122">
        <f t="shared" si="14"/>
        <v>988.07511921466505</v>
      </c>
      <c r="E138" s="121">
        <f t="shared" si="15"/>
        <v>27774.832074989681</v>
      </c>
      <c r="F138" s="121">
        <f t="shared" si="16"/>
        <v>671.89108106597223</v>
      </c>
      <c r="G138" s="121">
        <f t="shared" si="17"/>
        <v>28762.907194204345</v>
      </c>
      <c r="H138" s="121">
        <f t="shared" si="18"/>
        <v>29434.798275270317</v>
      </c>
      <c r="I138" s="122">
        <f t="shared" si="25"/>
        <v>735.12788869571079</v>
      </c>
      <c r="J138" s="121">
        <f t="shared" si="19"/>
        <v>499.88696431308335</v>
      </c>
      <c r="K138" s="121">
        <f t="shared" si="20"/>
        <v>28509.959963685393</v>
      </c>
      <c r="L138" s="121">
        <f t="shared" si="21"/>
        <v>29009.846927998475</v>
      </c>
      <c r="M138" s="121">
        <f t="shared" si="22"/>
        <v>367455.21561087633</v>
      </c>
    </row>
    <row r="139" spans="1:13" x14ac:dyDescent="0.25">
      <c r="A139" s="80">
        <f t="shared" si="23"/>
        <v>109</v>
      </c>
      <c r="B139" s="120">
        <f t="shared" si="13"/>
        <v>109</v>
      </c>
      <c r="C139" s="121">
        <f t="shared" si="24"/>
        <v>367455.21561087633</v>
      </c>
      <c r="D139" s="122">
        <f t="shared" si="14"/>
        <v>918.63803902719087</v>
      </c>
      <c r="E139" s="121">
        <f t="shared" si="15"/>
        <v>27844.269155177153</v>
      </c>
      <c r="F139" s="121">
        <f t="shared" si="16"/>
        <v>624.67386653848985</v>
      </c>
      <c r="G139" s="121">
        <f t="shared" si="17"/>
        <v>28762.907194204345</v>
      </c>
      <c r="H139" s="121">
        <f t="shared" si="18"/>
        <v>29387.581060742836</v>
      </c>
      <c r="I139" s="122">
        <f t="shared" si="25"/>
        <v>683.46670103623001</v>
      </c>
      <c r="J139" s="121">
        <f t="shared" si="19"/>
        <v>464.75735670463644</v>
      </c>
      <c r="K139" s="121">
        <f t="shared" si="20"/>
        <v>28527.735856213381</v>
      </c>
      <c r="L139" s="121">
        <f t="shared" si="21"/>
        <v>28992.493212918016</v>
      </c>
      <c r="M139" s="121">
        <f t="shared" si="22"/>
        <v>339610.94645569916</v>
      </c>
    </row>
    <row r="140" spans="1:13" x14ac:dyDescent="0.25">
      <c r="A140" s="80">
        <f t="shared" si="23"/>
        <v>110</v>
      </c>
      <c r="B140" s="120">
        <f t="shared" si="13"/>
        <v>110</v>
      </c>
      <c r="C140" s="121">
        <f t="shared" si="24"/>
        <v>339610.94645569916</v>
      </c>
      <c r="D140" s="122">
        <f t="shared" si="14"/>
        <v>849.02736613924787</v>
      </c>
      <c r="E140" s="121">
        <f t="shared" si="15"/>
        <v>27913.879828065095</v>
      </c>
      <c r="F140" s="121">
        <f t="shared" si="16"/>
        <v>577.33860897468867</v>
      </c>
      <c r="G140" s="121">
        <f t="shared" si="17"/>
        <v>28762.907194204345</v>
      </c>
      <c r="H140" s="121">
        <f t="shared" si="18"/>
        <v>29340.245803179034</v>
      </c>
      <c r="I140" s="122">
        <f t="shared" si="25"/>
        <v>631.67636040760044</v>
      </c>
      <c r="J140" s="121">
        <f t="shared" si="19"/>
        <v>429.53992507716839</v>
      </c>
      <c r="K140" s="121">
        <f t="shared" si="20"/>
        <v>28545.556188472696</v>
      </c>
      <c r="L140" s="121">
        <f t="shared" si="21"/>
        <v>28975.096113549866</v>
      </c>
      <c r="M140" s="121">
        <f t="shared" si="22"/>
        <v>311697.06662763405</v>
      </c>
    </row>
    <row r="141" spans="1:13" x14ac:dyDescent="0.25">
      <c r="A141" s="80">
        <f t="shared" si="23"/>
        <v>111</v>
      </c>
      <c r="B141" s="120">
        <f t="shared" si="13"/>
        <v>111</v>
      </c>
      <c r="C141" s="121">
        <f t="shared" si="24"/>
        <v>311697.06662763405</v>
      </c>
      <c r="D141" s="122">
        <f t="shared" si="14"/>
        <v>779.24266656908515</v>
      </c>
      <c r="E141" s="121">
        <f t="shared" si="15"/>
        <v>27983.664527635261</v>
      </c>
      <c r="F141" s="121">
        <f t="shared" si="16"/>
        <v>529.88501326697792</v>
      </c>
      <c r="G141" s="121">
        <f t="shared" si="17"/>
        <v>28762.907194204345</v>
      </c>
      <c r="H141" s="121">
        <f t="shared" si="18"/>
        <v>29292.792207471324</v>
      </c>
      <c r="I141" s="122">
        <f t="shared" si="25"/>
        <v>579.75654392739932</v>
      </c>
      <c r="J141" s="121">
        <f t="shared" si="19"/>
        <v>394.23444987063158</v>
      </c>
      <c r="K141" s="121">
        <f t="shared" si="20"/>
        <v>28563.421071562661</v>
      </c>
      <c r="L141" s="121">
        <f t="shared" si="21"/>
        <v>28957.655521433291</v>
      </c>
      <c r="M141" s="121">
        <f t="shared" si="22"/>
        <v>283713.40209999878</v>
      </c>
    </row>
    <row r="142" spans="1:13" x14ac:dyDescent="0.25">
      <c r="A142" s="80">
        <f t="shared" si="23"/>
        <v>112</v>
      </c>
      <c r="B142" s="120">
        <f t="shared" si="13"/>
        <v>112</v>
      </c>
      <c r="C142" s="121">
        <f t="shared" si="24"/>
        <v>283713.40209999878</v>
      </c>
      <c r="D142" s="122">
        <f t="shared" si="14"/>
        <v>709.28350524999701</v>
      </c>
      <c r="E142" s="121">
        <f t="shared" si="15"/>
        <v>28053.623688954347</v>
      </c>
      <c r="F142" s="121">
        <f t="shared" si="16"/>
        <v>482.31278356999798</v>
      </c>
      <c r="G142" s="121">
        <f t="shared" si="17"/>
        <v>28762.907194204345</v>
      </c>
      <c r="H142" s="121">
        <f t="shared" si="18"/>
        <v>29245.219977774344</v>
      </c>
      <c r="I142" s="122">
        <f t="shared" si="25"/>
        <v>527.70692790599776</v>
      </c>
      <c r="J142" s="121">
        <f t="shared" si="19"/>
        <v>358.84071097607847</v>
      </c>
      <c r="K142" s="121">
        <f t="shared" si="20"/>
        <v>28581.330616860345</v>
      </c>
      <c r="L142" s="121">
        <f t="shared" si="21"/>
        <v>28940.171327836422</v>
      </c>
      <c r="M142" s="121">
        <f t="shared" si="22"/>
        <v>255659.77841104445</v>
      </c>
    </row>
    <row r="143" spans="1:13" x14ac:dyDescent="0.25">
      <c r="A143" s="80">
        <f t="shared" si="23"/>
        <v>113</v>
      </c>
      <c r="B143" s="120">
        <f t="shared" si="13"/>
        <v>113</v>
      </c>
      <c r="C143" s="121">
        <f t="shared" si="24"/>
        <v>255659.77841104445</v>
      </c>
      <c r="D143" s="122">
        <f t="shared" si="14"/>
        <v>639.14944602761113</v>
      </c>
      <c r="E143" s="121">
        <f t="shared" si="15"/>
        <v>28123.757748176733</v>
      </c>
      <c r="F143" s="121">
        <f t="shared" si="16"/>
        <v>434.6216232987756</v>
      </c>
      <c r="G143" s="121">
        <f t="shared" si="17"/>
        <v>28762.907194204345</v>
      </c>
      <c r="H143" s="121">
        <f t="shared" si="18"/>
        <v>29197.52881750312</v>
      </c>
      <c r="I143" s="122">
        <f t="shared" si="25"/>
        <v>475.52718784454265</v>
      </c>
      <c r="J143" s="121">
        <f t="shared" si="19"/>
        <v>323.35848773428904</v>
      </c>
      <c r="K143" s="121">
        <f t="shared" si="20"/>
        <v>28599.284936021275</v>
      </c>
      <c r="L143" s="121">
        <f t="shared" si="21"/>
        <v>28922.643423755562</v>
      </c>
      <c r="M143" s="121">
        <f t="shared" si="22"/>
        <v>227536.02066286773</v>
      </c>
    </row>
    <row r="144" spans="1:13" x14ac:dyDescent="0.25">
      <c r="A144" s="80">
        <f t="shared" si="23"/>
        <v>114</v>
      </c>
      <c r="B144" s="120">
        <f t="shared" si="13"/>
        <v>114</v>
      </c>
      <c r="C144" s="121">
        <f t="shared" si="24"/>
        <v>227536.02066286773</v>
      </c>
      <c r="D144" s="122">
        <f t="shared" si="14"/>
        <v>568.84005165716928</v>
      </c>
      <c r="E144" s="121">
        <f t="shared" si="15"/>
        <v>28194.067142547174</v>
      </c>
      <c r="F144" s="121">
        <f t="shared" si="16"/>
        <v>386.81123512687515</v>
      </c>
      <c r="G144" s="121">
        <f t="shared" si="17"/>
        <v>28762.907194204345</v>
      </c>
      <c r="H144" s="121">
        <f t="shared" si="18"/>
        <v>29149.71842933122</v>
      </c>
      <c r="I144" s="122">
        <f t="shared" si="25"/>
        <v>423.21699843293396</v>
      </c>
      <c r="J144" s="121">
        <f t="shared" si="19"/>
        <v>287.78755893439512</v>
      </c>
      <c r="K144" s="121">
        <f t="shared" si="20"/>
        <v>28617.284140980108</v>
      </c>
      <c r="L144" s="121">
        <f t="shared" si="21"/>
        <v>28905.071699914504</v>
      </c>
      <c r="M144" s="121">
        <f t="shared" si="22"/>
        <v>199341.95352032056</v>
      </c>
    </row>
    <row r="145" spans="1:13" x14ac:dyDescent="0.25">
      <c r="A145" s="80">
        <f t="shared" si="23"/>
        <v>115</v>
      </c>
      <c r="B145" s="120">
        <f t="shared" si="13"/>
        <v>115</v>
      </c>
      <c r="C145" s="121">
        <f t="shared" si="24"/>
        <v>199341.95352032056</v>
      </c>
      <c r="D145" s="122">
        <f t="shared" si="14"/>
        <v>498.35488380080142</v>
      </c>
      <c r="E145" s="121">
        <f t="shared" si="15"/>
        <v>28264.552310403542</v>
      </c>
      <c r="F145" s="121">
        <f t="shared" si="16"/>
        <v>338.88132098454497</v>
      </c>
      <c r="G145" s="121">
        <f t="shared" si="17"/>
        <v>28762.907194204345</v>
      </c>
      <c r="H145" s="121">
        <f t="shared" si="18"/>
        <v>29101.788515188891</v>
      </c>
      <c r="I145" s="122">
        <f t="shared" si="25"/>
        <v>370.77603354779626</v>
      </c>
      <c r="J145" s="121">
        <f t="shared" si="19"/>
        <v>252.12770281250147</v>
      </c>
      <c r="K145" s="121">
        <f t="shared" si="20"/>
        <v>28635.32834395134</v>
      </c>
      <c r="L145" s="121">
        <f t="shared" si="21"/>
        <v>28887.45604676384</v>
      </c>
      <c r="M145" s="121">
        <f t="shared" si="22"/>
        <v>171077.40120991701</v>
      </c>
    </row>
    <row r="146" spans="1:13" x14ac:dyDescent="0.25">
      <c r="A146" s="80">
        <f t="shared" si="23"/>
        <v>116</v>
      </c>
      <c r="B146" s="120">
        <f t="shared" si="13"/>
        <v>116</v>
      </c>
      <c r="C146" s="121">
        <f t="shared" si="24"/>
        <v>171077.40120991701</v>
      </c>
      <c r="D146" s="122">
        <f t="shared" si="14"/>
        <v>427.69350302479251</v>
      </c>
      <c r="E146" s="121">
        <f t="shared" si="15"/>
        <v>28335.213691179553</v>
      </c>
      <c r="F146" s="121">
        <f t="shared" si="16"/>
        <v>290.83158205685891</v>
      </c>
      <c r="G146" s="121">
        <f t="shared" si="17"/>
        <v>28762.907194204345</v>
      </c>
      <c r="H146" s="121">
        <f t="shared" si="18"/>
        <v>29053.738776261205</v>
      </c>
      <c r="I146" s="122">
        <f t="shared" si="25"/>
        <v>318.2039662504456</v>
      </c>
      <c r="J146" s="121">
        <f t="shared" si="19"/>
        <v>216.37869705030303</v>
      </c>
      <c r="K146" s="121">
        <f t="shared" si="20"/>
        <v>28653.41765743</v>
      </c>
      <c r="L146" s="121">
        <f t="shared" si="21"/>
        <v>28869.796354480302</v>
      </c>
      <c r="M146" s="121">
        <f t="shared" si="22"/>
        <v>142742.18751873745</v>
      </c>
    </row>
    <row r="147" spans="1:13" x14ac:dyDescent="0.25">
      <c r="A147" s="80">
        <f t="shared" si="23"/>
        <v>117</v>
      </c>
      <c r="B147" s="120">
        <f t="shared" si="13"/>
        <v>117</v>
      </c>
      <c r="C147" s="121">
        <f t="shared" si="24"/>
        <v>142742.18751873745</v>
      </c>
      <c r="D147" s="122">
        <f t="shared" si="14"/>
        <v>356.85546879684364</v>
      </c>
      <c r="E147" s="121">
        <f t="shared" si="15"/>
        <v>28406.051725407502</v>
      </c>
      <c r="F147" s="121">
        <f t="shared" si="16"/>
        <v>242.66171878185369</v>
      </c>
      <c r="G147" s="121">
        <f t="shared" si="17"/>
        <v>28762.907194204345</v>
      </c>
      <c r="H147" s="121">
        <f t="shared" si="18"/>
        <v>29005.568912986197</v>
      </c>
      <c r="I147" s="122">
        <f t="shared" si="25"/>
        <v>265.50046878485165</v>
      </c>
      <c r="J147" s="121">
        <f t="shared" si="19"/>
        <v>180.54031877369914</v>
      </c>
      <c r="K147" s="121">
        <f t="shared" si="20"/>
        <v>28671.552194192354</v>
      </c>
      <c r="L147" s="121">
        <f t="shared" si="21"/>
        <v>28852.092512966054</v>
      </c>
      <c r="M147" s="121">
        <f t="shared" si="22"/>
        <v>114336.13579332994</v>
      </c>
    </row>
    <row r="148" spans="1:13" x14ac:dyDescent="0.25">
      <c r="A148" s="80">
        <f t="shared" si="23"/>
        <v>118</v>
      </c>
      <c r="B148" s="120">
        <f t="shared" si="13"/>
        <v>118</v>
      </c>
      <c r="C148" s="121">
        <f t="shared" si="24"/>
        <v>114336.13579332994</v>
      </c>
      <c r="D148" s="122">
        <f t="shared" si="14"/>
        <v>285.84033948332484</v>
      </c>
      <c r="E148" s="121">
        <f t="shared" si="15"/>
        <v>28477.066854721019</v>
      </c>
      <c r="F148" s="121">
        <f t="shared" si="16"/>
        <v>194.37143084866091</v>
      </c>
      <c r="G148" s="121">
        <f t="shared" si="17"/>
        <v>28762.907194204345</v>
      </c>
      <c r="H148" s="121">
        <f t="shared" si="18"/>
        <v>28957.278625053004</v>
      </c>
      <c r="I148" s="122">
        <f t="shared" si="25"/>
        <v>212.66521257559367</v>
      </c>
      <c r="J148" s="121">
        <f t="shared" si="19"/>
        <v>144.61234455140371</v>
      </c>
      <c r="K148" s="121">
        <f t="shared" si="20"/>
        <v>28689.732067296613</v>
      </c>
      <c r="L148" s="121">
        <f t="shared" si="21"/>
        <v>28834.344411848015</v>
      </c>
      <c r="M148" s="121">
        <f t="shared" si="22"/>
        <v>85859.068938608922</v>
      </c>
    </row>
    <row r="149" spans="1:13" x14ac:dyDescent="0.25">
      <c r="A149" s="80">
        <f t="shared" si="23"/>
        <v>119</v>
      </c>
      <c r="B149" s="120">
        <f t="shared" si="13"/>
        <v>119</v>
      </c>
      <c r="C149" s="121">
        <f t="shared" si="24"/>
        <v>85859.068938608922</v>
      </c>
      <c r="D149" s="122">
        <f t="shared" si="14"/>
        <v>214.64767234652231</v>
      </c>
      <c r="E149" s="121">
        <f t="shared" si="15"/>
        <v>28548.259521857821</v>
      </c>
      <c r="F149" s="121">
        <f t="shared" si="16"/>
        <v>145.96041719563519</v>
      </c>
      <c r="G149" s="121">
        <f t="shared" si="17"/>
        <v>28762.907194204345</v>
      </c>
      <c r="H149" s="121">
        <f t="shared" si="18"/>
        <v>28908.867611399979</v>
      </c>
      <c r="I149" s="122">
        <f t="shared" si="25"/>
        <v>159.69786822581261</v>
      </c>
      <c r="J149" s="121">
        <f t="shared" si="19"/>
        <v>108.59455039355258</v>
      </c>
      <c r="K149" s="121">
        <f t="shared" si="20"/>
        <v>28707.957390083633</v>
      </c>
      <c r="L149" s="121">
        <f t="shared" si="21"/>
        <v>28816.551940477184</v>
      </c>
      <c r="M149" s="121">
        <f t="shared" si="22"/>
        <v>57310.809416751101</v>
      </c>
    </row>
    <row r="150" spans="1:13" x14ac:dyDescent="0.25">
      <c r="A150" s="80">
        <f t="shared" si="23"/>
        <v>120</v>
      </c>
      <c r="B150" s="120">
        <f t="shared" si="13"/>
        <v>120</v>
      </c>
      <c r="C150" s="121">
        <f t="shared" si="24"/>
        <v>57310.809416751101</v>
      </c>
      <c r="D150" s="122">
        <f t="shared" si="14"/>
        <v>143.27702354187775</v>
      </c>
      <c r="E150" s="121">
        <f t="shared" si="15"/>
        <v>28619.630170662465</v>
      </c>
      <c r="F150" s="121">
        <f t="shared" si="16"/>
        <v>97.428376008476874</v>
      </c>
      <c r="G150" s="121">
        <f t="shared" si="17"/>
        <v>28762.907194204345</v>
      </c>
      <c r="H150" s="121">
        <f t="shared" si="18"/>
        <v>28860.335570212821</v>
      </c>
      <c r="I150" s="122">
        <f t="shared" si="25"/>
        <v>106.59810551515704</v>
      </c>
      <c r="J150" s="121">
        <f t="shared" si="19"/>
        <v>72.486711750306796</v>
      </c>
      <c r="K150" s="121">
        <f t="shared" si="20"/>
        <v>28726.228276177622</v>
      </c>
      <c r="L150" s="121">
        <f t="shared" si="21"/>
        <v>28798.714987927928</v>
      </c>
      <c r="M150" s="121">
        <f t="shared" si="22"/>
        <v>28691.179246088635</v>
      </c>
    </row>
    <row r="151" spans="1:13" x14ac:dyDescent="0.25">
      <c r="A151" s="80">
        <f t="shared" si="23"/>
        <v>121</v>
      </c>
      <c r="B151" s="120">
        <f t="shared" si="13"/>
        <v>121</v>
      </c>
      <c r="C151" s="121">
        <f t="shared" si="24"/>
        <v>28691.179246088635</v>
      </c>
      <c r="D151" s="122">
        <f t="shared" si="14"/>
        <v>71.727948115221594</v>
      </c>
      <c r="E151" s="121">
        <f t="shared" si="15"/>
        <v>28691.179246089123</v>
      </c>
      <c r="F151" s="121">
        <f t="shared" si="16"/>
        <v>48.775004718350687</v>
      </c>
      <c r="G151" s="121">
        <f t="shared" si="17"/>
        <v>28762.907194204345</v>
      </c>
      <c r="H151" s="121">
        <f t="shared" si="18"/>
        <v>28811.682198922696</v>
      </c>
      <c r="I151" s="122">
        <f t="shared" si="25"/>
        <v>53.365593397724865</v>
      </c>
      <c r="J151" s="121">
        <f t="shared" si="19"/>
        <v>36.288603510452909</v>
      </c>
      <c r="K151" s="121">
        <f t="shared" si="20"/>
        <v>28744.544839486847</v>
      </c>
      <c r="L151" s="121">
        <f t="shared" si="21"/>
        <v>28780.8334429973</v>
      </c>
      <c r="M151" s="121">
        <f t="shared" si="22"/>
        <v>-4.8748916015028954E-10</v>
      </c>
    </row>
    <row r="152" spans="1:13" x14ac:dyDescent="0.25">
      <c r="A152" s="80">
        <f t="shared" si="23"/>
        <v>122</v>
      </c>
      <c r="B152" s="120" t="str">
        <f t="shared" si="13"/>
        <v/>
      </c>
      <c r="C152" s="121">
        <f t="shared" si="24"/>
        <v>-4.8748916015028954E-10</v>
      </c>
      <c r="D152" s="122" t="str">
        <f t="shared" si="14"/>
        <v/>
      </c>
      <c r="E152" s="121" t="str">
        <f t="shared" si="15"/>
        <v/>
      </c>
      <c r="F152" s="121" t="str">
        <f t="shared" si="16"/>
        <v/>
      </c>
      <c r="G152" s="121" t="str">
        <f t="shared" si="17"/>
        <v/>
      </c>
      <c r="H152" s="121" t="str">
        <f t="shared" si="18"/>
        <v/>
      </c>
      <c r="I152" s="122" t="str">
        <f t="shared" si="25"/>
        <v/>
      </c>
      <c r="J152" s="121" t="str">
        <f t="shared" si="19"/>
        <v/>
      </c>
      <c r="K152" s="121" t="str">
        <f t="shared" si="20"/>
        <v/>
      </c>
      <c r="L152" s="121" t="str">
        <f t="shared" si="21"/>
        <v/>
      </c>
      <c r="M152" s="121" t="str">
        <f t="shared" si="22"/>
        <v/>
      </c>
    </row>
    <row r="153" spans="1:13" x14ac:dyDescent="0.25">
      <c r="A153" s="80">
        <f t="shared" si="23"/>
        <v>123</v>
      </c>
      <c r="B153" s="120" t="str">
        <f t="shared" si="13"/>
        <v/>
      </c>
      <c r="C153" s="121" t="str">
        <f t="shared" si="24"/>
        <v/>
      </c>
      <c r="D153" s="122" t="str">
        <f t="shared" si="14"/>
        <v/>
      </c>
      <c r="E153" s="121" t="str">
        <f t="shared" si="15"/>
        <v/>
      </c>
      <c r="F153" s="121" t="str">
        <f t="shared" si="16"/>
        <v/>
      </c>
      <c r="G153" s="121" t="str">
        <f t="shared" si="17"/>
        <v/>
      </c>
      <c r="H153" s="121" t="str">
        <f t="shared" si="18"/>
        <v/>
      </c>
      <c r="I153" s="122" t="str">
        <f t="shared" si="25"/>
        <v/>
      </c>
      <c r="J153" s="121" t="str">
        <f t="shared" si="19"/>
        <v/>
      </c>
      <c r="K153" s="121" t="str">
        <f t="shared" si="20"/>
        <v/>
      </c>
      <c r="L153" s="121" t="str">
        <f t="shared" si="21"/>
        <v/>
      </c>
      <c r="M153" s="121" t="str">
        <f t="shared" si="22"/>
        <v/>
      </c>
    </row>
    <row r="154" spans="1:13" x14ac:dyDescent="0.25">
      <c r="A154" s="80">
        <f t="shared" si="23"/>
        <v>124</v>
      </c>
      <c r="B154" s="120" t="str">
        <f t="shared" si="13"/>
        <v/>
      </c>
      <c r="C154" s="121" t="str">
        <f t="shared" si="24"/>
        <v/>
      </c>
      <c r="D154" s="122" t="str">
        <f t="shared" si="14"/>
        <v/>
      </c>
      <c r="E154" s="121" t="str">
        <f t="shared" si="15"/>
        <v/>
      </c>
      <c r="F154" s="121" t="str">
        <f t="shared" si="16"/>
        <v/>
      </c>
      <c r="G154" s="121" t="str">
        <f t="shared" si="17"/>
        <v/>
      </c>
      <c r="H154" s="121" t="str">
        <f t="shared" si="18"/>
        <v/>
      </c>
      <c r="I154" s="122" t="str">
        <f t="shared" si="25"/>
        <v/>
      </c>
      <c r="J154" s="121" t="str">
        <f t="shared" si="19"/>
        <v/>
      </c>
      <c r="K154" s="121" t="str">
        <f t="shared" si="20"/>
        <v/>
      </c>
      <c r="L154" s="121" t="str">
        <f t="shared" si="21"/>
        <v/>
      </c>
      <c r="M154" s="121" t="str">
        <f t="shared" si="22"/>
        <v/>
      </c>
    </row>
    <row r="155" spans="1:13" x14ac:dyDescent="0.25">
      <c r="A155" s="80">
        <f t="shared" si="23"/>
        <v>125</v>
      </c>
      <c r="B155" s="120" t="str">
        <f t="shared" si="13"/>
        <v/>
      </c>
      <c r="C155" s="121" t="str">
        <f t="shared" si="24"/>
        <v/>
      </c>
      <c r="D155" s="122" t="str">
        <f t="shared" si="14"/>
        <v/>
      </c>
      <c r="E155" s="121" t="str">
        <f t="shared" si="15"/>
        <v/>
      </c>
      <c r="F155" s="121" t="str">
        <f t="shared" si="16"/>
        <v/>
      </c>
      <c r="G155" s="121" t="str">
        <f t="shared" si="17"/>
        <v/>
      </c>
      <c r="H155" s="121" t="str">
        <f t="shared" si="18"/>
        <v/>
      </c>
      <c r="I155" s="122" t="str">
        <f t="shared" si="25"/>
        <v/>
      </c>
      <c r="J155" s="121" t="str">
        <f t="shared" si="19"/>
        <v/>
      </c>
      <c r="K155" s="121" t="str">
        <f t="shared" si="20"/>
        <v/>
      </c>
      <c r="L155" s="121" t="str">
        <f t="shared" si="21"/>
        <v/>
      </c>
      <c r="M155" s="121" t="str">
        <f t="shared" si="22"/>
        <v/>
      </c>
    </row>
    <row r="156" spans="1:13" x14ac:dyDescent="0.25">
      <c r="A156" s="80">
        <f t="shared" si="23"/>
        <v>126</v>
      </c>
      <c r="B156" s="120" t="str">
        <f t="shared" si="13"/>
        <v/>
      </c>
      <c r="C156" s="121" t="str">
        <f t="shared" si="24"/>
        <v/>
      </c>
      <c r="D156" s="122" t="str">
        <f t="shared" si="14"/>
        <v/>
      </c>
      <c r="E156" s="121" t="str">
        <f t="shared" si="15"/>
        <v/>
      </c>
      <c r="F156" s="121" t="str">
        <f t="shared" si="16"/>
        <v/>
      </c>
      <c r="G156" s="121" t="str">
        <f t="shared" si="17"/>
        <v/>
      </c>
      <c r="H156" s="121" t="str">
        <f t="shared" si="18"/>
        <v/>
      </c>
      <c r="I156" s="122" t="str">
        <f t="shared" si="25"/>
        <v/>
      </c>
      <c r="J156" s="121" t="str">
        <f t="shared" si="19"/>
        <v/>
      </c>
      <c r="K156" s="121" t="str">
        <f t="shared" si="20"/>
        <v/>
      </c>
      <c r="L156" s="121" t="str">
        <f t="shared" si="21"/>
        <v/>
      </c>
      <c r="M156" s="121" t="str">
        <f t="shared" si="22"/>
        <v/>
      </c>
    </row>
    <row r="157" spans="1:13" x14ac:dyDescent="0.25">
      <c r="A157" s="80">
        <f t="shared" si="23"/>
        <v>127</v>
      </c>
      <c r="B157" s="120" t="str">
        <f t="shared" si="13"/>
        <v/>
      </c>
      <c r="C157" s="121" t="str">
        <f t="shared" si="24"/>
        <v/>
      </c>
      <c r="D157" s="122" t="str">
        <f t="shared" si="14"/>
        <v/>
      </c>
      <c r="E157" s="121" t="str">
        <f t="shared" si="15"/>
        <v/>
      </c>
      <c r="F157" s="121" t="str">
        <f t="shared" si="16"/>
        <v/>
      </c>
      <c r="G157" s="121" t="str">
        <f t="shared" si="17"/>
        <v/>
      </c>
      <c r="H157" s="121" t="str">
        <f t="shared" si="18"/>
        <v/>
      </c>
      <c r="I157" s="122" t="str">
        <f t="shared" si="25"/>
        <v/>
      </c>
      <c r="J157" s="121" t="str">
        <f t="shared" si="19"/>
        <v/>
      </c>
      <c r="K157" s="121" t="str">
        <f t="shared" si="20"/>
        <v/>
      </c>
      <c r="L157" s="121" t="str">
        <f t="shared" si="21"/>
        <v/>
      </c>
      <c r="M157" s="121" t="str">
        <f t="shared" si="22"/>
        <v/>
      </c>
    </row>
    <row r="158" spans="1:13" x14ac:dyDescent="0.25">
      <c r="A158" s="80">
        <f t="shared" si="23"/>
        <v>128</v>
      </c>
      <c r="B158" s="120" t="str">
        <f t="shared" si="13"/>
        <v/>
      </c>
      <c r="C158" s="121" t="str">
        <f t="shared" si="24"/>
        <v/>
      </c>
      <c r="D158" s="122" t="str">
        <f t="shared" si="14"/>
        <v/>
      </c>
      <c r="E158" s="121" t="str">
        <f t="shared" si="15"/>
        <v/>
      </c>
      <c r="F158" s="121" t="str">
        <f t="shared" si="16"/>
        <v/>
      </c>
      <c r="G158" s="121" t="str">
        <f t="shared" si="17"/>
        <v/>
      </c>
      <c r="H158" s="121" t="str">
        <f t="shared" si="18"/>
        <v/>
      </c>
      <c r="I158" s="122" t="str">
        <f t="shared" si="25"/>
        <v/>
      </c>
      <c r="J158" s="121" t="str">
        <f t="shared" si="19"/>
        <v/>
      </c>
      <c r="K158" s="121" t="str">
        <f t="shared" si="20"/>
        <v/>
      </c>
      <c r="L158" s="121" t="str">
        <f t="shared" si="21"/>
        <v/>
      </c>
      <c r="M158" s="121" t="str">
        <f t="shared" si="22"/>
        <v/>
      </c>
    </row>
    <row r="159" spans="1:13" x14ac:dyDescent="0.25">
      <c r="A159" s="80">
        <f t="shared" si="23"/>
        <v>129</v>
      </c>
      <c r="B159" s="120" t="str">
        <f t="shared" ref="B159:B222" si="26">IF(A159&lt;=$F$11,A159,"")</f>
        <v/>
      </c>
      <c r="C159" s="121" t="str">
        <f t="shared" si="24"/>
        <v/>
      </c>
      <c r="D159" s="122" t="str">
        <f t="shared" ref="D159:D222" si="27">IF(B159&lt;=$F$11,(C159*$F$13),"")</f>
        <v/>
      </c>
      <c r="E159" s="121" t="str">
        <f t="shared" ref="E159:E222" si="28">IF(B159&lt;=$F$12,0,IF(B159&lt;=$F$11,(-$F$16-D159),""))</f>
        <v/>
      </c>
      <c r="F159" s="121" t="str">
        <f t="shared" ref="F159:F222" si="29">IF(B159&lt;=$F$11,(($F$20*$F$2)+($F$19*$F$2)+(C159*$F$18)+($F$17*C159)),"")</f>
        <v/>
      </c>
      <c r="G159" s="121" t="str">
        <f t="shared" ref="G159:G222" si="30">IF(B159&lt;=$F$11,(D159+E159),"")</f>
        <v/>
      </c>
      <c r="H159" s="121" t="str">
        <f t="shared" ref="H159:H222" si="31">IF(B159&lt;=$F$11,(F159+G159),"")</f>
        <v/>
      </c>
      <c r="I159" s="122" t="str">
        <f t="shared" si="25"/>
        <v/>
      </c>
      <c r="J159" s="121" t="str">
        <f t="shared" ref="J159:J222" si="32">IF(B159&lt;=$F$11,(($F$20*$F$2*(1-$F$10))+($F$19*$F$2)+((C159*$F$18)*(1-$F$10))+(($F$17*C159))),"")</f>
        <v/>
      </c>
      <c r="K159" s="121" t="str">
        <f t="shared" ref="K159:K222" si="33">IF(B159&lt;=$F$11,(E159+I159),"")</f>
        <v/>
      </c>
      <c r="L159" s="121" t="str">
        <f t="shared" ref="L159:L222" si="34">IF(B159&lt;=$F$11,(J159+K159),"")</f>
        <v/>
      </c>
      <c r="M159" s="121" t="str">
        <f t="shared" ref="M159:M222" si="35">IF(B159&lt;=$F$11,(C159-E159),IF(B159&gt;$F$11,"",0))</f>
        <v/>
      </c>
    </row>
    <row r="160" spans="1:13" x14ac:dyDescent="0.25">
      <c r="A160" s="80">
        <f t="shared" ref="A160:A223" si="36">A159+1</f>
        <v>130</v>
      </c>
      <c r="B160" s="120" t="str">
        <f t="shared" si="26"/>
        <v/>
      </c>
      <c r="C160" s="121" t="str">
        <f t="shared" ref="C160:C223" si="37">IF(M159=0,"",M159)</f>
        <v/>
      </c>
      <c r="D160" s="122" t="str">
        <f t="shared" si="27"/>
        <v/>
      </c>
      <c r="E160" s="121" t="str">
        <f t="shared" si="28"/>
        <v/>
      </c>
      <c r="F160" s="121" t="str">
        <f t="shared" si="29"/>
        <v/>
      </c>
      <c r="G160" s="121" t="str">
        <f t="shared" si="30"/>
        <v/>
      </c>
      <c r="H160" s="121" t="str">
        <f t="shared" si="31"/>
        <v/>
      </c>
      <c r="I160" s="122" t="str">
        <f t="shared" ref="I160:I223" si="38">IF(B160&lt;=$F$11,(C160*$F$13)*(1-$F$10),"")</f>
        <v/>
      </c>
      <c r="J160" s="121" t="str">
        <f t="shared" si="32"/>
        <v/>
      </c>
      <c r="K160" s="121" t="str">
        <f t="shared" si="33"/>
        <v/>
      </c>
      <c r="L160" s="121" t="str">
        <f t="shared" si="34"/>
        <v/>
      </c>
      <c r="M160" s="121" t="str">
        <f t="shared" si="35"/>
        <v/>
      </c>
    </row>
    <row r="161" spans="1:13" x14ac:dyDescent="0.25">
      <c r="A161" s="80">
        <f t="shared" si="36"/>
        <v>131</v>
      </c>
      <c r="B161" s="120" t="str">
        <f t="shared" si="26"/>
        <v/>
      </c>
      <c r="C161" s="121" t="str">
        <f t="shared" si="37"/>
        <v/>
      </c>
      <c r="D161" s="122" t="str">
        <f t="shared" si="27"/>
        <v/>
      </c>
      <c r="E161" s="121" t="str">
        <f t="shared" si="28"/>
        <v/>
      </c>
      <c r="F161" s="121" t="str">
        <f t="shared" si="29"/>
        <v/>
      </c>
      <c r="G161" s="121" t="str">
        <f t="shared" si="30"/>
        <v/>
      </c>
      <c r="H161" s="121" t="str">
        <f t="shared" si="31"/>
        <v/>
      </c>
      <c r="I161" s="122" t="str">
        <f t="shared" si="38"/>
        <v/>
      </c>
      <c r="J161" s="121" t="str">
        <f t="shared" si="32"/>
        <v/>
      </c>
      <c r="K161" s="121" t="str">
        <f t="shared" si="33"/>
        <v/>
      </c>
      <c r="L161" s="121" t="str">
        <f t="shared" si="34"/>
        <v/>
      </c>
      <c r="M161" s="121" t="str">
        <f t="shared" si="35"/>
        <v/>
      </c>
    </row>
    <row r="162" spans="1:13" x14ac:dyDescent="0.25">
      <c r="A162" s="80">
        <f t="shared" si="36"/>
        <v>132</v>
      </c>
      <c r="B162" s="120" t="str">
        <f t="shared" si="26"/>
        <v/>
      </c>
      <c r="C162" s="121" t="str">
        <f t="shared" si="37"/>
        <v/>
      </c>
      <c r="D162" s="122" t="str">
        <f t="shared" si="27"/>
        <v/>
      </c>
      <c r="E162" s="121" t="str">
        <f t="shared" si="28"/>
        <v/>
      </c>
      <c r="F162" s="121" t="str">
        <f t="shared" si="29"/>
        <v/>
      </c>
      <c r="G162" s="121" t="str">
        <f t="shared" si="30"/>
        <v/>
      </c>
      <c r="H162" s="121" t="str">
        <f t="shared" si="31"/>
        <v/>
      </c>
      <c r="I162" s="122" t="str">
        <f t="shared" si="38"/>
        <v/>
      </c>
      <c r="J162" s="121" t="str">
        <f t="shared" si="32"/>
        <v/>
      </c>
      <c r="K162" s="121" t="str">
        <f t="shared" si="33"/>
        <v/>
      </c>
      <c r="L162" s="121" t="str">
        <f t="shared" si="34"/>
        <v/>
      </c>
      <c r="M162" s="121" t="str">
        <f t="shared" si="35"/>
        <v/>
      </c>
    </row>
    <row r="163" spans="1:13" x14ac:dyDescent="0.25">
      <c r="A163" s="80">
        <f t="shared" si="36"/>
        <v>133</v>
      </c>
      <c r="B163" s="120" t="str">
        <f t="shared" si="26"/>
        <v/>
      </c>
      <c r="C163" s="121" t="str">
        <f t="shared" si="37"/>
        <v/>
      </c>
      <c r="D163" s="122" t="str">
        <f t="shared" si="27"/>
        <v/>
      </c>
      <c r="E163" s="121" t="str">
        <f t="shared" si="28"/>
        <v/>
      </c>
      <c r="F163" s="121" t="str">
        <f t="shared" si="29"/>
        <v/>
      </c>
      <c r="G163" s="121" t="str">
        <f t="shared" si="30"/>
        <v/>
      </c>
      <c r="H163" s="121" t="str">
        <f t="shared" si="31"/>
        <v/>
      </c>
      <c r="I163" s="122" t="str">
        <f t="shared" si="38"/>
        <v/>
      </c>
      <c r="J163" s="121" t="str">
        <f t="shared" si="32"/>
        <v/>
      </c>
      <c r="K163" s="121" t="str">
        <f t="shared" si="33"/>
        <v/>
      </c>
      <c r="L163" s="121" t="str">
        <f t="shared" si="34"/>
        <v/>
      </c>
      <c r="M163" s="121" t="str">
        <f t="shared" si="35"/>
        <v/>
      </c>
    </row>
    <row r="164" spans="1:13" x14ac:dyDescent="0.25">
      <c r="A164" s="80">
        <f t="shared" si="36"/>
        <v>134</v>
      </c>
      <c r="B164" s="120" t="str">
        <f t="shared" si="26"/>
        <v/>
      </c>
      <c r="C164" s="121" t="str">
        <f t="shared" si="37"/>
        <v/>
      </c>
      <c r="D164" s="122" t="str">
        <f t="shared" si="27"/>
        <v/>
      </c>
      <c r="E164" s="121" t="str">
        <f t="shared" si="28"/>
        <v/>
      </c>
      <c r="F164" s="121" t="str">
        <f t="shared" si="29"/>
        <v/>
      </c>
      <c r="G164" s="121" t="str">
        <f t="shared" si="30"/>
        <v/>
      </c>
      <c r="H164" s="121" t="str">
        <f t="shared" si="31"/>
        <v/>
      </c>
      <c r="I164" s="122" t="str">
        <f t="shared" si="38"/>
        <v/>
      </c>
      <c r="J164" s="121" t="str">
        <f t="shared" si="32"/>
        <v/>
      </c>
      <c r="K164" s="121" t="str">
        <f t="shared" si="33"/>
        <v/>
      </c>
      <c r="L164" s="121" t="str">
        <f t="shared" si="34"/>
        <v/>
      </c>
      <c r="M164" s="121" t="str">
        <f t="shared" si="35"/>
        <v/>
      </c>
    </row>
    <row r="165" spans="1:13" x14ac:dyDescent="0.25">
      <c r="A165" s="80">
        <f t="shared" si="36"/>
        <v>135</v>
      </c>
      <c r="B165" s="120" t="str">
        <f t="shared" si="26"/>
        <v/>
      </c>
      <c r="C165" s="121" t="str">
        <f t="shared" si="37"/>
        <v/>
      </c>
      <c r="D165" s="122" t="str">
        <f t="shared" si="27"/>
        <v/>
      </c>
      <c r="E165" s="121" t="str">
        <f t="shared" si="28"/>
        <v/>
      </c>
      <c r="F165" s="121" t="str">
        <f t="shared" si="29"/>
        <v/>
      </c>
      <c r="G165" s="121" t="str">
        <f t="shared" si="30"/>
        <v/>
      </c>
      <c r="H165" s="121" t="str">
        <f t="shared" si="31"/>
        <v/>
      </c>
      <c r="I165" s="122" t="str">
        <f t="shared" si="38"/>
        <v/>
      </c>
      <c r="J165" s="121" t="str">
        <f t="shared" si="32"/>
        <v/>
      </c>
      <c r="K165" s="121" t="str">
        <f t="shared" si="33"/>
        <v/>
      </c>
      <c r="L165" s="121" t="str">
        <f t="shared" si="34"/>
        <v/>
      </c>
      <c r="M165" s="121" t="str">
        <f t="shared" si="35"/>
        <v/>
      </c>
    </row>
    <row r="166" spans="1:13" x14ac:dyDescent="0.25">
      <c r="A166" s="80">
        <f t="shared" si="36"/>
        <v>136</v>
      </c>
      <c r="B166" s="120" t="str">
        <f t="shared" si="26"/>
        <v/>
      </c>
      <c r="C166" s="121" t="str">
        <f t="shared" si="37"/>
        <v/>
      </c>
      <c r="D166" s="122" t="str">
        <f t="shared" si="27"/>
        <v/>
      </c>
      <c r="E166" s="121" t="str">
        <f t="shared" si="28"/>
        <v/>
      </c>
      <c r="F166" s="121" t="str">
        <f t="shared" si="29"/>
        <v/>
      </c>
      <c r="G166" s="121" t="str">
        <f t="shared" si="30"/>
        <v/>
      </c>
      <c r="H166" s="121" t="str">
        <f t="shared" si="31"/>
        <v/>
      </c>
      <c r="I166" s="122" t="str">
        <f t="shared" si="38"/>
        <v/>
      </c>
      <c r="J166" s="121" t="str">
        <f t="shared" si="32"/>
        <v/>
      </c>
      <c r="K166" s="121" t="str">
        <f t="shared" si="33"/>
        <v/>
      </c>
      <c r="L166" s="121" t="str">
        <f t="shared" si="34"/>
        <v/>
      </c>
      <c r="M166" s="121" t="str">
        <f t="shared" si="35"/>
        <v/>
      </c>
    </row>
    <row r="167" spans="1:13" x14ac:dyDescent="0.25">
      <c r="A167" s="80">
        <f t="shared" si="36"/>
        <v>137</v>
      </c>
      <c r="B167" s="120" t="str">
        <f t="shared" si="26"/>
        <v/>
      </c>
      <c r="C167" s="121" t="str">
        <f t="shared" si="37"/>
        <v/>
      </c>
      <c r="D167" s="122" t="str">
        <f t="shared" si="27"/>
        <v/>
      </c>
      <c r="E167" s="121" t="str">
        <f t="shared" si="28"/>
        <v/>
      </c>
      <c r="F167" s="121" t="str">
        <f t="shared" si="29"/>
        <v/>
      </c>
      <c r="G167" s="121" t="str">
        <f t="shared" si="30"/>
        <v/>
      </c>
      <c r="H167" s="121" t="str">
        <f t="shared" si="31"/>
        <v/>
      </c>
      <c r="I167" s="122" t="str">
        <f t="shared" si="38"/>
        <v/>
      </c>
      <c r="J167" s="121" t="str">
        <f t="shared" si="32"/>
        <v/>
      </c>
      <c r="K167" s="121" t="str">
        <f t="shared" si="33"/>
        <v/>
      </c>
      <c r="L167" s="121" t="str">
        <f t="shared" si="34"/>
        <v/>
      </c>
      <c r="M167" s="121" t="str">
        <f t="shared" si="35"/>
        <v/>
      </c>
    </row>
    <row r="168" spans="1:13" x14ac:dyDescent="0.25">
      <c r="A168" s="80">
        <f t="shared" si="36"/>
        <v>138</v>
      </c>
      <c r="B168" s="120" t="str">
        <f t="shared" si="26"/>
        <v/>
      </c>
      <c r="C168" s="121" t="str">
        <f t="shared" si="37"/>
        <v/>
      </c>
      <c r="D168" s="122" t="str">
        <f t="shared" si="27"/>
        <v/>
      </c>
      <c r="E168" s="121" t="str">
        <f t="shared" si="28"/>
        <v/>
      </c>
      <c r="F168" s="121" t="str">
        <f t="shared" si="29"/>
        <v/>
      </c>
      <c r="G168" s="121" t="str">
        <f t="shared" si="30"/>
        <v/>
      </c>
      <c r="H168" s="121" t="str">
        <f t="shared" si="31"/>
        <v/>
      </c>
      <c r="I168" s="122" t="str">
        <f t="shared" si="38"/>
        <v/>
      </c>
      <c r="J168" s="121" t="str">
        <f t="shared" si="32"/>
        <v/>
      </c>
      <c r="K168" s="121" t="str">
        <f t="shared" si="33"/>
        <v/>
      </c>
      <c r="L168" s="121" t="str">
        <f t="shared" si="34"/>
        <v/>
      </c>
      <c r="M168" s="121" t="str">
        <f t="shared" si="35"/>
        <v/>
      </c>
    </row>
    <row r="169" spans="1:13" x14ac:dyDescent="0.25">
      <c r="A169" s="80">
        <f t="shared" si="36"/>
        <v>139</v>
      </c>
      <c r="B169" s="120" t="str">
        <f t="shared" si="26"/>
        <v/>
      </c>
      <c r="C169" s="121" t="str">
        <f t="shared" si="37"/>
        <v/>
      </c>
      <c r="D169" s="122" t="str">
        <f t="shared" si="27"/>
        <v/>
      </c>
      <c r="E169" s="121" t="str">
        <f t="shared" si="28"/>
        <v/>
      </c>
      <c r="F169" s="121" t="str">
        <f t="shared" si="29"/>
        <v/>
      </c>
      <c r="G169" s="121" t="str">
        <f t="shared" si="30"/>
        <v/>
      </c>
      <c r="H169" s="121" t="str">
        <f t="shared" si="31"/>
        <v/>
      </c>
      <c r="I169" s="122" t="str">
        <f t="shared" si="38"/>
        <v/>
      </c>
      <c r="J169" s="121" t="str">
        <f t="shared" si="32"/>
        <v/>
      </c>
      <c r="K169" s="121" t="str">
        <f t="shared" si="33"/>
        <v/>
      </c>
      <c r="L169" s="121" t="str">
        <f t="shared" si="34"/>
        <v/>
      </c>
      <c r="M169" s="121" t="str">
        <f t="shared" si="35"/>
        <v/>
      </c>
    </row>
    <row r="170" spans="1:13" x14ac:dyDescent="0.25">
      <c r="A170" s="80">
        <f t="shared" si="36"/>
        <v>140</v>
      </c>
      <c r="B170" s="120" t="str">
        <f t="shared" si="26"/>
        <v/>
      </c>
      <c r="C170" s="121" t="str">
        <f t="shared" si="37"/>
        <v/>
      </c>
      <c r="D170" s="122" t="str">
        <f t="shared" si="27"/>
        <v/>
      </c>
      <c r="E170" s="121" t="str">
        <f t="shared" si="28"/>
        <v/>
      </c>
      <c r="F170" s="121" t="str">
        <f t="shared" si="29"/>
        <v/>
      </c>
      <c r="G170" s="121" t="str">
        <f t="shared" si="30"/>
        <v/>
      </c>
      <c r="H170" s="121" t="str">
        <f t="shared" si="31"/>
        <v/>
      </c>
      <c r="I170" s="122" t="str">
        <f t="shared" si="38"/>
        <v/>
      </c>
      <c r="J170" s="121" t="str">
        <f t="shared" si="32"/>
        <v/>
      </c>
      <c r="K170" s="121" t="str">
        <f t="shared" si="33"/>
        <v/>
      </c>
      <c r="L170" s="121" t="str">
        <f t="shared" si="34"/>
        <v/>
      </c>
      <c r="M170" s="121" t="str">
        <f t="shared" si="35"/>
        <v/>
      </c>
    </row>
    <row r="171" spans="1:13" x14ac:dyDescent="0.25">
      <c r="A171" s="80">
        <f t="shared" si="36"/>
        <v>141</v>
      </c>
      <c r="B171" s="120" t="str">
        <f t="shared" si="26"/>
        <v/>
      </c>
      <c r="C171" s="121" t="str">
        <f t="shared" si="37"/>
        <v/>
      </c>
      <c r="D171" s="122" t="str">
        <f t="shared" si="27"/>
        <v/>
      </c>
      <c r="E171" s="121" t="str">
        <f t="shared" si="28"/>
        <v/>
      </c>
      <c r="F171" s="121" t="str">
        <f t="shared" si="29"/>
        <v/>
      </c>
      <c r="G171" s="121" t="str">
        <f t="shared" si="30"/>
        <v/>
      </c>
      <c r="H171" s="121" t="str">
        <f t="shared" si="31"/>
        <v/>
      </c>
      <c r="I171" s="122" t="str">
        <f t="shared" si="38"/>
        <v/>
      </c>
      <c r="J171" s="121" t="str">
        <f t="shared" si="32"/>
        <v/>
      </c>
      <c r="K171" s="121" t="str">
        <f t="shared" si="33"/>
        <v/>
      </c>
      <c r="L171" s="121" t="str">
        <f t="shared" si="34"/>
        <v/>
      </c>
      <c r="M171" s="121" t="str">
        <f t="shared" si="35"/>
        <v/>
      </c>
    </row>
    <row r="172" spans="1:13" x14ac:dyDescent="0.25">
      <c r="A172" s="80">
        <f t="shared" si="36"/>
        <v>142</v>
      </c>
      <c r="B172" s="120" t="str">
        <f t="shared" si="26"/>
        <v/>
      </c>
      <c r="C172" s="121" t="str">
        <f t="shared" si="37"/>
        <v/>
      </c>
      <c r="D172" s="122" t="str">
        <f t="shared" si="27"/>
        <v/>
      </c>
      <c r="E172" s="121" t="str">
        <f t="shared" si="28"/>
        <v/>
      </c>
      <c r="F172" s="121" t="str">
        <f t="shared" si="29"/>
        <v/>
      </c>
      <c r="G172" s="121" t="str">
        <f t="shared" si="30"/>
        <v/>
      </c>
      <c r="H172" s="121" t="str">
        <f t="shared" si="31"/>
        <v/>
      </c>
      <c r="I172" s="122" t="str">
        <f t="shared" si="38"/>
        <v/>
      </c>
      <c r="J172" s="121" t="str">
        <f t="shared" si="32"/>
        <v/>
      </c>
      <c r="K172" s="121" t="str">
        <f t="shared" si="33"/>
        <v/>
      </c>
      <c r="L172" s="121" t="str">
        <f t="shared" si="34"/>
        <v/>
      </c>
      <c r="M172" s="121" t="str">
        <f t="shared" si="35"/>
        <v/>
      </c>
    </row>
    <row r="173" spans="1:13" x14ac:dyDescent="0.25">
      <c r="A173" s="80">
        <f t="shared" si="36"/>
        <v>143</v>
      </c>
      <c r="B173" s="120" t="str">
        <f t="shared" si="26"/>
        <v/>
      </c>
      <c r="C173" s="121" t="str">
        <f t="shared" si="37"/>
        <v/>
      </c>
      <c r="D173" s="122" t="str">
        <f t="shared" si="27"/>
        <v/>
      </c>
      <c r="E173" s="121" t="str">
        <f t="shared" si="28"/>
        <v/>
      </c>
      <c r="F173" s="121" t="str">
        <f t="shared" si="29"/>
        <v/>
      </c>
      <c r="G173" s="121" t="str">
        <f t="shared" si="30"/>
        <v/>
      </c>
      <c r="H173" s="121" t="str">
        <f t="shared" si="31"/>
        <v/>
      </c>
      <c r="I173" s="122" t="str">
        <f t="shared" si="38"/>
        <v/>
      </c>
      <c r="J173" s="121" t="str">
        <f t="shared" si="32"/>
        <v/>
      </c>
      <c r="K173" s="121" t="str">
        <f t="shared" si="33"/>
        <v/>
      </c>
      <c r="L173" s="121" t="str">
        <f t="shared" si="34"/>
        <v/>
      </c>
      <c r="M173" s="121" t="str">
        <f t="shared" si="35"/>
        <v/>
      </c>
    </row>
    <row r="174" spans="1:13" x14ac:dyDescent="0.25">
      <c r="A174" s="80">
        <f t="shared" si="36"/>
        <v>144</v>
      </c>
      <c r="B174" s="120" t="str">
        <f t="shared" si="26"/>
        <v/>
      </c>
      <c r="C174" s="121" t="str">
        <f t="shared" si="37"/>
        <v/>
      </c>
      <c r="D174" s="122" t="str">
        <f t="shared" si="27"/>
        <v/>
      </c>
      <c r="E174" s="121" t="str">
        <f t="shared" si="28"/>
        <v/>
      </c>
      <c r="F174" s="121" t="str">
        <f t="shared" si="29"/>
        <v/>
      </c>
      <c r="G174" s="121" t="str">
        <f t="shared" si="30"/>
        <v/>
      </c>
      <c r="H174" s="121" t="str">
        <f t="shared" si="31"/>
        <v/>
      </c>
      <c r="I174" s="122" t="str">
        <f t="shared" si="38"/>
        <v/>
      </c>
      <c r="J174" s="121" t="str">
        <f t="shared" si="32"/>
        <v/>
      </c>
      <c r="K174" s="121" t="str">
        <f t="shared" si="33"/>
        <v/>
      </c>
      <c r="L174" s="121" t="str">
        <f t="shared" si="34"/>
        <v/>
      </c>
      <c r="M174" s="121" t="str">
        <f t="shared" si="35"/>
        <v/>
      </c>
    </row>
    <row r="175" spans="1:13" x14ac:dyDescent="0.25">
      <c r="A175" s="80">
        <f t="shared" si="36"/>
        <v>145</v>
      </c>
      <c r="B175" s="120" t="str">
        <f t="shared" si="26"/>
        <v/>
      </c>
      <c r="C175" s="121" t="str">
        <f t="shared" si="37"/>
        <v/>
      </c>
      <c r="D175" s="122" t="str">
        <f t="shared" si="27"/>
        <v/>
      </c>
      <c r="E175" s="121" t="str">
        <f t="shared" si="28"/>
        <v/>
      </c>
      <c r="F175" s="121" t="str">
        <f t="shared" si="29"/>
        <v/>
      </c>
      <c r="G175" s="121" t="str">
        <f t="shared" si="30"/>
        <v/>
      </c>
      <c r="H175" s="121" t="str">
        <f t="shared" si="31"/>
        <v/>
      </c>
      <c r="I175" s="122" t="str">
        <f t="shared" si="38"/>
        <v/>
      </c>
      <c r="J175" s="121" t="str">
        <f t="shared" si="32"/>
        <v/>
      </c>
      <c r="K175" s="121" t="str">
        <f t="shared" si="33"/>
        <v/>
      </c>
      <c r="L175" s="121" t="str">
        <f t="shared" si="34"/>
        <v/>
      </c>
      <c r="M175" s="121" t="str">
        <f t="shared" si="35"/>
        <v/>
      </c>
    </row>
    <row r="176" spans="1:13" x14ac:dyDescent="0.25">
      <c r="A176" s="80">
        <f t="shared" si="36"/>
        <v>146</v>
      </c>
      <c r="B176" s="120" t="str">
        <f t="shared" si="26"/>
        <v/>
      </c>
      <c r="C176" s="121" t="str">
        <f t="shared" si="37"/>
        <v/>
      </c>
      <c r="D176" s="122" t="str">
        <f t="shared" si="27"/>
        <v/>
      </c>
      <c r="E176" s="121" t="str">
        <f t="shared" si="28"/>
        <v/>
      </c>
      <c r="F176" s="121" t="str">
        <f t="shared" si="29"/>
        <v/>
      </c>
      <c r="G176" s="121" t="str">
        <f t="shared" si="30"/>
        <v/>
      </c>
      <c r="H176" s="121" t="str">
        <f t="shared" si="31"/>
        <v/>
      </c>
      <c r="I176" s="122" t="str">
        <f t="shared" si="38"/>
        <v/>
      </c>
      <c r="J176" s="121" t="str">
        <f t="shared" si="32"/>
        <v/>
      </c>
      <c r="K176" s="121" t="str">
        <f t="shared" si="33"/>
        <v/>
      </c>
      <c r="L176" s="121" t="str">
        <f t="shared" si="34"/>
        <v/>
      </c>
      <c r="M176" s="121" t="str">
        <f t="shared" si="35"/>
        <v/>
      </c>
    </row>
    <row r="177" spans="1:13" x14ac:dyDescent="0.25">
      <c r="A177" s="80">
        <f t="shared" si="36"/>
        <v>147</v>
      </c>
      <c r="B177" s="120" t="str">
        <f t="shared" si="26"/>
        <v/>
      </c>
      <c r="C177" s="121" t="str">
        <f t="shared" si="37"/>
        <v/>
      </c>
      <c r="D177" s="122" t="str">
        <f t="shared" si="27"/>
        <v/>
      </c>
      <c r="E177" s="121" t="str">
        <f t="shared" si="28"/>
        <v/>
      </c>
      <c r="F177" s="121" t="str">
        <f t="shared" si="29"/>
        <v/>
      </c>
      <c r="G177" s="121" t="str">
        <f t="shared" si="30"/>
        <v/>
      </c>
      <c r="H177" s="121" t="str">
        <f t="shared" si="31"/>
        <v/>
      </c>
      <c r="I177" s="122" t="str">
        <f t="shared" si="38"/>
        <v/>
      </c>
      <c r="J177" s="121" t="str">
        <f t="shared" si="32"/>
        <v/>
      </c>
      <c r="K177" s="121" t="str">
        <f t="shared" si="33"/>
        <v/>
      </c>
      <c r="L177" s="121" t="str">
        <f t="shared" si="34"/>
        <v/>
      </c>
      <c r="M177" s="121" t="str">
        <f t="shared" si="35"/>
        <v/>
      </c>
    </row>
    <row r="178" spans="1:13" x14ac:dyDescent="0.25">
      <c r="A178" s="80">
        <f t="shared" si="36"/>
        <v>148</v>
      </c>
      <c r="B178" s="120" t="str">
        <f t="shared" si="26"/>
        <v/>
      </c>
      <c r="C178" s="121" t="str">
        <f t="shared" si="37"/>
        <v/>
      </c>
      <c r="D178" s="122" t="str">
        <f t="shared" si="27"/>
        <v/>
      </c>
      <c r="E178" s="121" t="str">
        <f t="shared" si="28"/>
        <v/>
      </c>
      <c r="F178" s="121" t="str">
        <f t="shared" si="29"/>
        <v/>
      </c>
      <c r="G178" s="121" t="str">
        <f t="shared" si="30"/>
        <v/>
      </c>
      <c r="H178" s="121" t="str">
        <f t="shared" si="31"/>
        <v/>
      </c>
      <c r="I178" s="122" t="str">
        <f t="shared" si="38"/>
        <v/>
      </c>
      <c r="J178" s="121" t="str">
        <f t="shared" si="32"/>
        <v/>
      </c>
      <c r="K178" s="121" t="str">
        <f t="shared" si="33"/>
        <v/>
      </c>
      <c r="L178" s="121" t="str">
        <f t="shared" si="34"/>
        <v/>
      </c>
      <c r="M178" s="121" t="str">
        <f t="shared" si="35"/>
        <v/>
      </c>
    </row>
    <row r="179" spans="1:13" x14ac:dyDescent="0.25">
      <c r="A179" s="80">
        <f t="shared" si="36"/>
        <v>149</v>
      </c>
      <c r="B179" s="120" t="str">
        <f t="shared" si="26"/>
        <v/>
      </c>
      <c r="C179" s="121" t="str">
        <f t="shared" si="37"/>
        <v/>
      </c>
      <c r="D179" s="122" t="str">
        <f t="shared" si="27"/>
        <v/>
      </c>
      <c r="E179" s="121" t="str">
        <f t="shared" si="28"/>
        <v/>
      </c>
      <c r="F179" s="121" t="str">
        <f t="shared" si="29"/>
        <v/>
      </c>
      <c r="G179" s="121" t="str">
        <f t="shared" si="30"/>
        <v/>
      </c>
      <c r="H179" s="121" t="str">
        <f t="shared" si="31"/>
        <v/>
      </c>
      <c r="I179" s="122" t="str">
        <f t="shared" si="38"/>
        <v/>
      </c>
      <c r="J179" s="121" t="str">
        <f t="shared" si="32"/>
        <v/>
      </c>
      <c r="K179" s="121" t="str">
        <f t="shared" si="33"/>
        <v/>
      </c>
      <c r="L179" s="121" t="str">
        <f t="shared" si="34"/>
        <v/>
      </c>
      <c r="M179" s="121" t="str">
        <f t="shared" si="35"/>
        <v/>
      </c>
    </row>
    <row r="180" spans="1:13" x14ac:dyDescent="0.25">
      <c r="A180" s="80">
        <f t="shared" si="36"/>
        <v>150</v>
      </c>
      <c r="B180" s="120" t="str">
        <f t="shared" si="26"/>
        <v/>
      </c>
      <c r="C180" s="121" t="str">
        <f t="shared" si="37"/>
        <v/>
      </c>
      <c r="D180" s="122" t="str">
        <f t="shared" si="27"/>
        <v/>
      </c>
      <c r="E180" s="121" t="str">
        <f t="shared" si="28"/>
        <v/>
      </c>
      <c r="F180" s="121" t="str">
        <f t="shared" si="29"/>
        <v/>
      </c>
      <c r="G180" s="121" t="str">
        <f t="shared" si="30"/>
        <v/>
      </c>
      <c r="H180" s="121" t="str">
        <f t="shared" si="31"/>
        <v/>
      </c>
      <c r="I180" s="122" t="str">
        <f t="shared" si="38"/>
        <v/>
      </c>
      <c r="J180" s="121" t="str">
        <f t="shared" si="32"/>
        <v/>
      </c>
      <c r="K180" s="121" t="str">
        <f t="shared" si="33"/>
        <v/>
      </c>
      <c r="L180" s="121" t="str">
        <f t="shared" si="34"/>
        <v/>
      </c>
      <c r="M180" s="121" t="str">
        <f t="shared" si="35"/>
        <v/>
      </c>
    </row>
    <row r="181" spans="1:13" x14ac:dyDescent="0.25">
      <c r="A181" s="80">
        <f t="shared" si="36"/>
        <v>151</v>
      </c>
      <c r="B181" s="120" t="str">
        <f t="shared" si="26"/>
        <v/>
      </c>
      <c r="C181" s="121" t="str">
        <f t="shared" si="37"/>
        <v/>
      </c>
      <c r="D181" s="122" t="str">
        <f t="shared" si="27"/>
        <v/>
      </c>
      <c r="E181" s="121" t="str">
        <f t="shared" si="28"/>
        <v/>
      </c>
      <c r="F181" s="121" t="str">
        <f t="shared" si="29"/>
        <v/>
      </c>
      <c r="G181" s="121" t="str">
        <f t="shared" si="30"/>
        <v/>
      </c>
      <c r="H181" s="121" t="str">
        <f t="shared" si="31"/>
        <v/>
      </c>
      <c r="I181" s="122" t="str">
        <f t="shared" si="38"/>
        <v/>
      </c>
      <c r="J181" s="121" t="str">
        <f t="shared" si="32"/>
        <v/>
      </c>
      <c r="K181" s="121" t="str">
        <f t="shared" si="33"/>
        <v/>
      </c>
      <c r="L181" s="121" t="str">
        <f t="shared" si="34"/>
        <v/>
      </c>
      <c r="M181" s="121" t="str">
        <f t="shared" si="35"/>
        <v/>
      </c>
    </row>
    <row r="182" spans="1:13" x14ac:dyDescent="0.25">
      <c r="A182" s="80">
        <f t="shared" si="36"/>
        <v>152</v>
      </c>
      <c r="B182" s="120" t="str">
        <f t="shared" si="26"/>
        <v/>
      </c>
      <c r="C182" s="121" t="str">
        <f t="shared" si="37"/>
        <v/>
      </c>
      <c r="D182" s="122" t="str">
        <f t="shared" si="27"/>
        <v/>
      </c>
      <c r="E182" s="121" t="str">
        <f t="shared" si="28"/>
        <v/>
      </c>
      <c r="F182" s="121" t="str">
        <f t="shared" si="29"/>
        <v/>
      </c>
      <c r="G182" s="121" t="str">
        <f t="shared" si="30"/>
        <v/>
      </c>
      <c r="H182" s="121" t="str">
        <f t="shared" si="31"/>
        <v/>
      </c>
      <c r="I182" s="122" t="str">
        <f t="shared" si="38"/>
        <v/>
      </c>
      <c r="J182" s="121" t="str">
        <f t="shared" si="32"/>
        <v/>
      </c>
      <c r="K182" s="121" t="str">
        <f t="shared" si="33"/>
        <v/>
      </c>
      <c r="L182" s="121" t="str">
        <f t="shared" si="34"/>
        <v/>
      </c>
      <c r="M182" s="121" t="str">
        <f t="shared" si="35"/>
        <v/>
      </c>
    </row>
    <row r="183" spans="1:13" x14ac:dyDescent="0.25">
      <c r="A183" s="80">
        <f t="shared" si="36"/>
        <v>153</v>
      </c>
      <c r="B183" s="120" t="str">
        <f t="shared" si="26"/>
        <v/>
      </c>
      <c r="C183" s="121" t="str">
        <f t="shared" si="37"/>
        <v/>
      </c>
      <c r="D183" s="122" t="str">
        <f t="shared" si="27"/>
        <v/>
      </c>
      <c r="E183" s="121" t="str">
        <f t="shared" si="28"/>
        <v/>
      </c>
      <c r="F183" s="121" t="str">
        <f t="shared" si="29"/>
        <v/>
      </c>
      <c r="G183" s="121" t="str">
        <f t="shared" si="30"/>
        <v/>
      </c>
      <c r="H183" s="121" t="str">
        <f t="shared" si="31"/>
        <v/>
      </c>
      <c r="I183" s="122" t="str">
        <f t="shared" si="38"/>
        <v/>
      </c>
      <c r="J183" s="121" t="str">
        <f t="shared" si="32"/>
        <v/>
      </c>
      <c r="K183" s="121" t="str">
        <f t="shared" si="33"/>
        <v/>
      </c>
      <c r="L183" s="121" t="str">
        <f t="shared" si="34"/>
        <v/>
      </c>
      <c r="M183" s="121" t="str">
        <f t="shared" si="35"/>
        <v/>
      </c>
    </row>
    <row r="184" spans="1:13" x14ac:dyDescent="0.25">
      <c r="A184" s="80">
        <f t="shared" si="36"/>
        <v>154</v>
      </c>
      <c r="B184" s="120" t="str">
        <f t="shared" si="26"/>
        <v/>
      </c>
      <c r="C184" s="121" t="str">
        <f t="shared" si="37"/>
        <v/>
      </c>
      <c r="D184" s="122" t="str">
        <f t="shared" si="27"/>
        <v/>
      </c>
      <c r="E184" s="121" t="str">
        <f t="shared" si="28"/>
        <v/>
      </c>
      <c r="F184" s="121" t="str">
        <f t="shared" si="29"/>
        <v/>
      </c>
      <c r="G184" s="121" t="str">
        <f t="shared" si="30"/>
        <v/>
      </c>
      <c r="H184" s="121" t="str">
        <f t="shared" si="31"/>
        <v/>
      </c>
      <c r="I184" s="122" t="str">
        <f t="shared" si="38"/>
        <v/>
      </c>
      <c r="J184" s="121" t="str">
        <f t="shared" si="32"/>
        <v/>
      </c>
      <c r="K184" s="121" t="str">
        <f t="shared" si="33"/>
        <v/>
      </c>
      <c r="L184" s="121" t="str">
        <f t="shared" si="34"/>
        <v/>
      </c>
      <c r="M184" s="121" t="str">
        <f t="shared" si="35"/>
        <v/>
      </c>
    </row>
    <row r="185" spans="1:13" x14ac:dyDescent="0.25">
      <c r="A185" s="80">
        <f t="shared" si="36"/>
        <v>155</v>
      </c>
      <c r="B185" s="120" t="str">
        <f t="shared" si="26"/>
        <v/>
      </c>
      <c r="C185" s="121" t="str">
        <f t="shared" si="37"/>
        <v/>
      </c>
      <c r="D185" s="122" t="str">
        <f t="shared" si="27"/>
        <v/>
      </c>
      <c r="E185" s="121" t="str">
        <f t="shared" si="28"/>
        <v/>
      </c>
      <c r="F185" s="121" t="str">
        <f t="shared" si="29"/>
        <v/>
      </c>
      <c r="G185" s="121" t="str">
        <f t="shared" si="30"/>
        <v/>
      </c>
      <c r="H185" s="121" t="str">
        <f t="shared" si="31"/>
        <v/>
      </c>
      <c r="I185" s="122" t="str">
        <f t="shared" si="38"/>
        <v/>
      </c>
      <c r="J185" s="121" t="str">
        <f t="shared" si="32"/>
        <v/>
      </c>
      <c r="K185" s="121" t="str">
        <f t="shared" si="33"/>
        <v/>
      </c>
      <c r="L185" s="121" t="str">
        <f t="shared" si="34"/>
        <v/>
      </c>
      <c r="M185" s="121" t="str">
        <f t="shared" si="35"/>
        <v/>
      </c>
    </row>
    <row r="186" spans="1:13" x14ac:dyDescent="0.25">
      <c r="A186" s="80">
        <f t="shared" si="36"/>
        <v>156</v>
      </c>
      <c r="B186" s="120" t="str">
        <f t="shared" si="26"/>
        <v/>
      </c>
      <c r="C186" s="121" t="str">
        <f t="shared" si="37"/>
        <v/>
      </c>
      <c r="D186" s="122" t="str">
        <f t="shared" si="27"/>
        <v/>
      </c>
      <c r="E186" s="121" t="str">
        <f t="shared" si="28"/>
        <v/>
      </c>
      <c r="F186" s="121" t="str">
        <f t="shared" si="29"/>
        <v/>
      </c>
      <c r="G186" s="121" t="str">
        <f t="shared" si="30"/>
        <v/>
      </c>
      <c r="H186" s="121" t="str">
        <f t="shared" si="31"/>
        <v/>
      </c>
      <c r="I186" s="122" t="str">
        <f t="shared" si="38"/>
        <v/>
      </c>
      <c r="J186" s="121" t="str">
        <f t="shared" si="32"/>
        <v/>
      </c>
      <c r="K186" s="121" t="str">
        <f t="shared" si="33"/>
        <v/>
      </c>
      <c r="L186" s="121" t="str">
        <f t="shared" si="34"/>
        <v/>
      </c>
      <c r="M186" s="121" t="str">
        <f t="shared" si="35"/>
        <v/>
      </c>
    </row>
    <row r="187" spans="1:13" x14ac:dyDescent="0.25">
      <c r="A187" s="80">
        <f t="shared" si="36"/>
        <v>157</v>
      </c>
      <c r="B187" s="120" t="str">
        <f t="shared" si="26"/>
        <v/>
      </c>
      <c r="C187" s="121" t="str">
        <f t="shared" si="37"/>
        <v/>
      </c>
      <c r="D187" s="122" t="str">
        <f t="shared" si="27"/>
        <v/>
      </c>
      <c r="E187" s="121" t="str">
        <f t="shared" si="28"/>
        <v/>
      </c>
      <c r="F187" s="121" t="str">
        <f t="shared" si="29"/>
        <v/>
      </c>
      <c r="G187" s="121" t="str">
        <f t="shared" si="30"/>
        <v/>
      </c>
      <c r="H187" s="121" t="str">
        <f t="shared" si="31"/>
        <v/>
      </c>
      <c r="I187" s="122" t="str">
        <f t="shared" si="38"/>
        <v/>
      </c>
      <c r="J187" s="121" t="str">
        <f t="shared" si="32"/>
        <v/>
      </c>
      <c r="K187" s="121" t="str">
        <f t="shared" si="33"/>
        <v/>
      </c>
      <c r="L187" s="121" t="str">
        <f t="shared" si="34"/>
        <v/>
      </c>
      <c r="M187" s="121" t="str">
        <f t="shared" si="35"/>
        <v/>
      </c>
    </row>
    <row r="188" spans="1:13" x14ac:dyDescent="0.25">
      <c r="A188" s="80">
        <f t="shared" si="36"/>
        <v>158</v>
      </c>
      <c r="B188" s="120" t="str">
        <f t="shared" si="26"/>
        <v/>
      </c>
      <c r="C188" s="121" t="str">
        <f t="shared" si="37"/>
        <v/>
      </c>
      <c r="D188" s="122" t="str">
        <f t="shared" si="27"/>
        <v/>
      </c>
      <c r="E188" s="121" t="str">
        <f t="shared" si="28"/>
        <v/>
      </c>
      <c r="F188" s="121" t="str">
        <f t="shared" si="29"/>
        <v/>
      </c>
      <c r="G188" s="121" t="str">
        <f t="shared" si="30"/>
        <v/>
      </c>
      <c r="H188" s="121" t="str">
        <f t="shared" si="31"/>
        <v/>
      </c>
      <c r="I188" s="122" t="str">
        <f t="shared" si="38"/>
        <v/>
      </c>
      <c r="J188" s="121" t="str">
        <f t="shared" si="32"/>
        <v/>
      </c>
      <c r="K188" s="121" t="str">
        <f t="shared" si="33"/>
        <v/>
      </c>
      <c r="L188" s="121" t="str">
        <f t="shared" si="34"/>
        <v/>
      </c>
      <c r="M188" s="121" t="str">
        <f t="shared" si="35"/>
        <v/>
      </c>
    </row>
    <row r="189" spans="1:13" x14ac:dyDescent="0.25">
      <c r="A189" s="80">
        <f t="shared" si="36"/>
        <v>159</v>
      </c>
      <c r="B189" s="120" t="str">
        <f t="shared" si="26"/>
        <v/>
      </c>
      <c r="C189" s="121" t="str">
        <f t="shared" si="37"/>
        <v/>
      </c>
      <c r="D189" s="122" t="str">
        <f t="shared" si="27"/>
        <v/>
      </c>
      <c r="E189" s="121" t="str">
        <f t="shared" si="28"/>
        <v/>
      </c>
      <c r="F189" s="121" t="str">
        <f t="shared" si="29"/>
        <v/>
      </c>
      <c r="G189" s="121" t="str">
        <f t="shared" si="30"/>
        <v/>
      </c>
      <c r="H189" s="121" t="str">
        <f t="shared" si="31"/>
        <v/>
      </c>
      <c r="I189" s="122" t="str">
        <f t="shared" si="38"/>
        <v/>
      </c>
      <c r="J189" s="121" t="str">
        <f t="shared" si="32"/>
        <v/>
      </c>
      <c r="K189" s="121" t="str">
        <f t="shared" si="33"/>
        <v/>
      </c>
      <c r="L189" s="121" t="str">
        <f t="shared" si="34"/>
        <v/>
      </c>
      <c r="M189" s="121" t="str">
        <f t="shared" si="35"/>
        <v/>
      </c>
    </row>
    <row r="190" spans="1:13" x14ac:dyDescent="0.25">
      <c r="A190" s="80">
        <f t="shared" si="36"/>
        <v>160</v>
      </c>
      <c r="B190" s="120" t="str">
        <f t="shared" si="26"/>
        <v/>
      </c>
      <c r="C190" s="121" t="str">
        <f t="shared" si="37"/>
        <v/>
      </c>
      <c r="D190" s="122" t="str">
        <f t="shared" si="27"/>
        <v/>
      </c>
      <c r="E190" s="121" t="str">
        <f t="shared" si="28"/>
        <v/>
      </c>
      <c r="F190" s="121" t="str">
        <f t="shared" si="29"/>
        <v/>
      </c>
      <c r="G190" s="121" t="str">
        <f t="shared" si="30"/>
        <v/>
      </c>
      <c r="H190" s="121" t="str">
        <f t="shared" si="31"/>
        <v/>
      </c>
      <c r="I190" s="122" t="str">
        <f t="shared" si="38"/>
        <v/>
      </c>
      <c r="J190" s="121" t="str">
        <f t="shared" si="32"/>
        <v/>
      </c>
      <c r="K190" s="121" t="str">
        <f t="shared" si="33"/>
        <v/>
      </c>
      <c r="L190" s="121" t="str">
        <f t="shared" si="34"/>
        <v/>
      </c>
      <c r="M190" s="121" t="str">
        <f t="shared" si="35"/>
        <v/>
      </c>
    </row>
    <row r="191" spans="1:13" x14ac:dyDescent="0.25">
      <c r="A191" s="80">
        <f t="shared" si="36"/>
        <v>161</v>
      </c>
      <c r="B191" s="120" t="str">
        <f t="shared" si="26"/>
        <v/>
      </c>
      <c r="C191" s="121" t="str">
        <f t="shared" si="37"/>
        <v/>
      </c>
      <c r="D191" s="122" t="str">
        <f t="shared" si="27"/>
        <v/>
      </c>
      <c r="E191" s="121" t="str">
        <f t="shared" si="28"/>
        <v/>
      </c>
      <c r="F191" s="121" t="str">
        <f t="shared" si="29"/>
        <v/>
      </c>
      <c r="G191" s="121" t="str">
        <f t="shared" si="30"/>
        <v/>
      </c>
      <c r="H191" s="121" t="str">
        <f t="shared" si="31"/>
        <v/>
      </c>
      <c r="I191" s="122" t="str">
        <f t="shared" si="38"/>
        <v/>
      </c>
      <c r="J191" s="121" t="str">
        <f t="shared" si="32"/>
        <v/>
      </c>
      <c r="K191" s="121" t="str">
        <f t="shared" si="33"/>
        <v/>
      </c>
      <c r="L191" s="121" t="str">
        <f t="shared" si="34"/>
        <v/>
      </c>
      <c r="M191" s="121" t="str">
        <f t="shared" si="35"/>
        <v/>
      </c>
    </row>
    <row r="192" spans="1:13" x14ac:dyDescent="0.25">
      <c r="A192" s="80">
        <f t="shared" si="36"/>
        <v>162</v>
      </c>
      <c r="B192" s="120" t="str">
        <f t="shared" si="26"/>
        <v/>
      </c>
      <c r="C192" s="121" t="str">
        <f t="shared" si="37"/>
        <v/>
      </c>
      <c r="D192" s="122" t="str">
        <f t="shared" si="27"/>
        <v/>
      </c>
      <c r="E192" s="121" t="str">
        <f t="shared" si="28"/>
        <v/>
      </c>
      <c r="F192" s="121" t="str">
        <f t="shared" si="29"/>
        <v/>
      </c>
      <c r="G192" s="121" t="str">
        <f t="shared" si="30"/>
        <v/>
      </c>
      <c r="H192" s="121" t="str">
        <f t="shared" si="31"/>
        <v/>
      </c>
      <c r="I192" s="122" t="str">
        <f t="shared" si="38"/>
        <v/>
      </c>
      <c r="J192" s="121" t="str">
        <f t="shared" si="32"/>
        <v/>
      </c>
      <c r="K192" s="121" t="str">
        <f t="shared" si="33"/>
        <v/>
      </c>
      <c r="L192" s="121" t="str">
        <f t="shared" si="34"/>
        <v/>
      </c>
      <c r="M192" s="121" t="str">
        <f t="shared" si="35"/>
        <v/>
      </c>
    </row>
    <row r="193" spans="1:13" x14ac:dyDescent="0.25">
      <c r="A193" s="80">
        <f t="shared" si="36"/>
        <v>163</v>
      </c>
      <c r="B193" s="120" t="str">
        <f t="shared" si="26"/>
        <v/>
      </c>
      <c r="C193" s="121" t="str">
        <f t="shared" si="37"/>
        <v/>
      </c>
      <c r="D193" s="122" t="str">
        <f t="shared" si="27"/>
        <v/>
      </c>
      <c r="E193" s="121" t="str">
        <f t="shared" si="28"/>
        <v/>
      </c>
      <c r="F193" s="121" t="str">
        <f t="shared" si="29"/>
        <v/>
      </c>
      <c r="G193" s="121" t="str">
        <f t="shared" si="30"/>
        <v/>
      </c>
      <c r="H193" s="121" t="str">
        <f t="shared" si="31"/>
        <v/>
      </c>
      <c r="I193" s="122" t="str">
        <f t="shared" si="38"/>
        <v/>
      </c>
      <c r="J193" s="121" t="str">
        <f t="shared" si="32"/>
        <v/>
      </c>
      <c r="K193" s="121" t="str">
        <f t="shared" si="33"/>
        <v/>
      </c>
      <c r="L193" s="121" t="str">
        <f t="shared" si="34"/>
        <v/>
      </c>
      <c r="M193" s="121" t="str">
        <f t="shared" si="35"/>
        <v/>
      </c>
    </row>
    <row r="194" spans="1:13" x14ac:dyDescent="0.25">
      <c r="A194" s="80">
        <f t="shared" si="36"/>
        <v>164</v>
      </c>
      <c r="B194" s="120" t="str">
        <f t="shared" si="26"/>
        <v/>
      </c>
      <c r="C194" s="121" t="str">
        <f t="shared" si="37"/>
        <v/>
      </c>
      <c r="D194" s="122" t="str">
        <f t="shared" si="27"/>
        <v/>
      </c>
      <c r="E194" s="121" t="str">
        <f t="shared" si="28"/>
        <v/>
      </c>
      <c r="F194" s="121" t="str">
        <f t="shared" si="29"/>
        <v/>
      </c>
      <c r="G194" s="121" t="str">
        <f t="shared" si="30"/>
        <v/>
      </c>
      <c r="H194" s="121" t="str">
        <f t="shared" si="31"/>
        <v/>
      </c>
      <c r="I194" s="122" t="str">
        <f t="shared" si="38"/>
        <v/>
      </c>
      <c r="J194" s="121" t="str">
        <f t="shared" si="32"/>
        <v/>
      </c>
      <c r="K194" s="121" t="str">
        <f t="shared" si="33"/>
        <v/>
      </c>
      <c r="L194" s="121" t="str">
        <f t="shared" si="34"/>
        <v/>
      </c>
      <c r="M194" s="121" t="str">
        <f t="shared" si="35"/>
        <v/>
      </c>
    </row>
    <row r="195" spans="1:13" x14ac:dyDescent="0.25">
      <c r="A195" s="80">
        <f t="shared" si="36"/>
        <v>165</v>
      </c>
      <c r="B195" s="120" t="str">
        <f t="shared" si="26"/>
        <v/>
      </c>
      <c r="C195" s="121" t="str">
        <f t="shared" si="37"/>
        <v/>
      </c>
      <c r="D195" s="122" t="str">
        <f t="shared" si="27"/>
        <v/>
      </c>
      <c r="E195" s="121" t="str">
        <f t="shared" si="28"/>
        <v/>
      </c>
      <c r="F195" s="121" t="str">
        <f t="shared" si="29"/>
        <v/>
      </c>
      <c r="G195" s="121" t="str">
        <f t="shared" si="30"/>
        <v/>
      </c>
      <c r="H195" s="121" t="str">
        <f t="shared" si="31"/>
        <v/>
      </c>
      <c r="I195" s="122" t="str">
        <f t="shared" si="38"/>
        <v/>
      </c>
      <c r="J195" s="121" t="str">
        <f t="shared" si="32"/>
        <v/>
      </c>
      <c r="K195" s="121" t="str">
        <f t="shared" si="33"/>
        <v/>
      </c>
      <c r="L195" s="121" t="str">
        <f t="shared" si="34"/>
        <v/>
      </c>
      <c r="M195" s="121" t="str">
        <f t="shared" si="35"/>
        <v/>
      </c>
    </row>
    <row r="196" spans="1:13" x14ac:dyDescent="0.25">
      <c r="A196" s="80">
        <f t="shared" si="36"/>
        <v>166</v>
      </c>
      <c r="B196" s="120" t="str">
        <f t="shared" si="26"/>
        <v/>
      </c>
      <c r="C196" s="121" t="str">
        <f t="shared" si="37"/>
        <v/>
      </c>
      <c r="D196" s="122" t="str">
        <f t="shared" si="27"/>
        <v/>
      </c>
      <c r="E196" s="121" t="str">
        <f t="shared" si="28"/>
        <v/>
      </c>
      <c r="F196" s="121" t="str">
        <f t="shared" si="29"/>
        <v/>
      </c>
      <c r="G196" s="121" t="str">
        <f t="shared" si="30"/>
        <v/>
      </c>
      <c r="H196" s="121" t="str">
        <f t="shared" si="31"/>
        <v/>
      </c>
      <c r="I196" s="122" t="str">
        <f t="shared" si="38"/>
        <v/>
      </c>
      <c r="J196" s="121" t="str">
        <f t="shared" si="32"/>
        <v/>
      </c>
      <c r="K196" s="121" t="str">
        <f t="shared" si="33"/>
        <v/>
      </c>
      <c r="L196" s="121" t="str">
        <f t="shared" si="34"/>
        <v/>
      </c>
      <c r="M196" s="121" t="str">
        <f t="shared" si="35"/>
        <v/>
      </c>
    </row>
    <row r="197" spans="1:13" x14ac:dyDescent="0.25">
      <c r="A197" s="80">
        <f t="shared" si="36"/>
        <v>167</v>
      </c>
      <c r="B197" s="120" t="str">
        <f t="shared" si="26"/>
        <v/>
      </c>
      <c r="C197" s="121" t="str">
        <f t="shared" si="37"/>
        <v/>
      </c>
      <c r="D197" s="122" t="str">
        <f t="shared" si="27"/>
        <v/>
      </c>
      <c r="E197" s="121" t="str">
        <f t="shared" si="28"/>
        <v/>
      </c>
      <c r="F197" s="121" t="str">
        <f t="shared" si="29"/>
        <v/>
      </c>
      <c r="G197" s="121" t="str">
        <f t="shared" si="30"/>
        <v/>
      </c>
      <c r="H197" s="121" t="str">
        <f t="shared" si="31"/>
        <v/>
      </c>
      <c r="I197" s="122" t="str">
        <f t="shared" si="38"/>
        <v/>
      </c>
      <c r="J197" s="121" t="str">
        <f t="shared" si="32"/>
        <v/>
      </c>
      <c r="K197" s="121" t="str">
        <f t="shared" si="33"/>
        <v/>
      </c>
      <c r="L197" s="121" t="str">
        <f t="shared" si="34"/>
        <v/>
      </c>
      <c r="M197" s="121" t="str">
        <f t="shared" si="35"/>
        <v/>
      </c>
    </row>
    <row r="198" spans="1:13" x14ac:dyDescent="0.25">
      <c r="A198" s="80">
        <f t="shared" si="36"/>
        <v>168</v>
      </c>
      <c r="B198" s="120" t="str">
        <f t="shared" si="26"/>
        <v/>
      </c>
      <c r="C198" s="121" t="str">
        <f t="shared" si="37"/>
        <v/>
      </c>
      <c r="D198" s="122" t="str">
        <f t="shared" si="27"/>
        <v/>
      </c>
      <c r="E198" s="121" t="str">
        <f t="shared" si="28"/>
        <v/>
      </c>
      <c r="F198" s="121" t="str">
        <f t="shared" si="29"/>
        <v/>
      </c>
      <c r="G198" s="121" t="str">
        <f t="shared" si="30"/>
        <v/>
      </c>
      <c r="H198" s="121" t="str">
        <f t="shared" si="31"/>
        <v/>
      </c>
      <c r="I198" s="122" t="str">
        <f t="shared" si="38"/>
        <v/>
      </c>
      <c r="J198" s="121" t="str">
        <f t="shared" si="32"/>
        <v/>
      </c>
      <c r="K198" s="121" t="str">
        <f t="shared" si="33"/>
        <v/>
      </c>
      <c r="L198" s="121" t="str">
        <f t="shared" si="34"/>
        <v/>
      </c>
      <c r="M198" s="121" t="str">
        <f t="shared" si="35"/>
        <v/>
      </c>
    </row>
    <row r="199" spans="1:13" x14ac:dyDescent="0.25">
      <c r="A199" s="80">
        <f t="shared" si="36"/>
        <v>169</v>
      </c>
      <c r="B199" s="120" t="str">
        <f t="shared" si="26"/>
        <v/>
      </c>
      <c r="C199" s="121" t="str">
        <f t="shared" si="37"/>
        <v/>
      </c>
      <c r="D199" s="122" t="str">
        <f t="shared" si="27"/>
        <v/>
      </c>
      <c r="E199" s="121" t="str">
        <f t="shared" si="28"/>
        <v/>
      </c>
      <c r="F199" s="121" t="str">
        <f t="shared" si="29"/>
        <v/>
      </c>
      <c r="G199" s="121" t="str">
        <f t="shared" si="30"/>
        <v/>
      </c>
      <c r="H199" s="121" t="str">
        <f t="shared" si="31"/>
        <v/>
      </c>
      <c r="I199" s="122" t="str">
        <f t="shared" si="38"/>
        <v/>
      </c>
      <c r="J199" s="121" t="str">
        <f t="shared" si="32"/>
        <v/>
      </c>
      <c r="K199" s="121" t="str">
        <f t="shared" si="33"/>
        <v/>
      </c>
      <c r="L199" s="121" t="str">
        <f t="shared" si="34"/>
        <v/>
      </c>
      <c r="M199" s="121" t="str">
        <f t="shared" si="35"/>
        <v/>
      </c>
    </row>
    <row r="200" spans="1:13" x14ac:dyDescent="0.25">
      <c r="A200" s="80">
        <f t="shared" si="36"/>
        <v>170</v>
      </c>
      <c r="B200" s="120" t="str">
        <f t="shared" si="26"/>
        <v/>
      </c>
      <c r="C200" s="121" t="str">
        <f t="shared" si="37"/>
        <v/>
      </c>
      <c r="D200" s="122" t="str">
        <f t="shared" si="27"/>
        <v/>
      </c>
      <c r="E200" s="121" t="str">
        <f t="shared" si="28"/>
        <v/>
      </c>
      <c r="F200" s="121" t="str">
        <f t="shared" si="29"/>
        <v/>
      </c>
      <c r="G200" s="121" t="str">
        <f t="shared" si="30"/>
        <v/>
      </c>
      <c r="H200" s="121" t="str">
        <f t="shared" si="31"/>
        <v/>
      </c>
      <c r="I200" s="122" t="str">
        <f t="shared" si="38"/>
        <v/>
      </c>
      <c r="J200" s="121" t="str">
        <f t="shared" si="32"/>
        <v/>
      </c>
      <c r="K200" s="121" t="str">
        <f t="shared" si="33"/>
        <v/>
      </c>
      <c r="L200" s="121" t="str">
        <f t="shared" si="34"/>
        <v/>
      </c>
      <c r="M200" s="121" t="str">
        <f t="shared" si="35"/>
        <v/>
      </c>
    </row>
    <row r="201" spans="1:13" x14ac:dyDescent="0.25">
      <c r="A201" s="80">
        <f t="shared" si="36"/>
        <v>171</v>
      </c>
      <c r="B201" s="120" t="str">
        <f t="shared" si="26"/>
        <v/>
      </c>
      <c r="C201" s="121" t="str">
        <f t="shared" si="37"/>
        <v/>
      </c>
      <c r="D201" s="122" t="str">
        <f t="shared" si="27"/>
        <v/>
      </c>
      <c r="E201" s="121" t="str">
        <f t="shared" si="28"/>
        <v/>
      </c>
      <c r="F201" s="121" t="str">
        <f t="shared" si="29"/>
        <v/>
      </c>
      <c r="G201" s="121" t="str">
        <f t="shared" si="30"/>
        <v/>
      </c>
      <c r="H201" s="121" t="str">
        <f t="shared" si="31"/>
        <v/>
      </c>
      <c r="I201" s="122" t="str">
        <f t="shared" si="38"/>
        <v/>
      </c>
      <c r="J201" s="121" t="str">
        <f t="shared" si="32"/>
        <v/>
      </c>
      <c r="K201" s="121" t="str">
        <f t="shared" si="33"/>
        <v/>
      </c>
      <c r="L201" s="121" t="str">
        <f t="shared" si="34"/>
        <v/>
      </c>
      <c r="M201" s="121" t="str">
        <f t="shared" si="35"/>
        <v/>
      </c>
    </row>
    <row r="202" spans="1:13" x14ac:dyDescent="0.25">
      <c r="A202" s="80">
        <f t="shared" si="36"/>
        <v>172</v>
      </c>
      <c r="B202" s="120" t="str">
        <f t="shared" si="26"/>
        <v/>
      </c>
      <c r="C202" s="121" t="str">
        <f t="shared" si="37"/>
        <v/>
      </c>
      <c r="D202" s="122" t="str">
        <f t="shared" si="27"/>
        <v/>
      </c>
      <c r="E202" s="121" t="str">
        <f t="shared" si="28"/>
        <v/>
      </c>
      <c r="F202" s="121" t="str">
        <f t="shared" si="29"/>
        <v/>
      </c>
      <c r="G202" s="121" t="str">
        <f t="shared" si="30"/>
        <v/>
      </c>
      <c r="H202" s="121" t="str">
        <f t="shared" si="31"/>
        <v/>
      </c>
      <c r="I202" s="122" t="str">
        <f t="shared" si="38"/>
        <v/>
      </c>
      <c r="J202" s="121" t="str">
        <f t="shared" si="32"/>
        <v/>
      </c>
      <c r="K202" s="121" t="str">
        <f t="shared" si="33"/>
        <v/>
      </c>
      <c r="L202" s="121" t="str">
        <f t="shared" si="34"/>
        <v/>
      </c>
      <c r="M202" s="121" t="str">
        <f t="shared" si="35"/>
        <v/>
      </c>
    </row>
    <row r="203" spans="1:13" x14ac:dyDescent="0.25">
      <c r="A203" s="80">
        <f t="shared" si="36"/>
        <v>173</v>
      </c>
      <c r="B203" s="120" t="str">
        <f t="shared" si="26"/>
        <v/>
      </c>
      <c r="C203" s="121" t="str">
        <f t="shared" si="37"/>
        <v/>
      </c>
      <c r="D203" s="122" t="str">
        <f t="shared" si="27"/>
        <v/>
      </c>
      <c r="E203" s="121" t="str">
        <f t="shared" si="28"/>
        <v/>
      </c>
      <c r="F203" s="121" t="str">
        <f t="shared" si="29"/>
        <v/>
      </c>
      <c r="G203" s="121" t="str">
        <f t="shared" si="30"/>
        <v/>
      </c>
      <c r="H203" s="121" t="str">
        <f t="shared" si="31"/>
        <v/>
      </c>
      <c r="I203" s="122" t="str">
        <f t="shared" si="38"/>
        <v/>
      </c>
      <c r="J203" s="121" t="str">
        <f t="shared" si="32"/>
        <v/>
      </c>
      <c r="K203" s="121" t="str">
        <f t="shared" si="33"/>
        <v/>
      </c>
      <c r="L203" s="121" t="str">
        <f t="shared" si="34"/>
        <v/>
      </c>
      <c r="M203" s="121" t="str">
        <f t="shared" si="35"/>
        <v/>
      </c>
    </row>
    <row r="204" spans="1:13" x14ac:dyDescent="0.25">
      <c r="A204" s="80">
        <f t="shared" si="36"/>
        <v>174</v>
      </c>
      <c r="B204" s="120" t="str">
        <f t="shared" si="26"/>
        <v/>
      </c>
      <c r="C204" s="121" t="str">
        <f t="shared" si="37"/>
        <v/>
      </c>
      <c r="D204" s="122" t="str">
        <f t="shared" si="27"/>
        <v/>
      </c>
      <c r="E204" s="121" t="str">
        <f t="shared" si="28"/>
        <v/>
      </c>
      <c r="F204" s="121" t="str">
        <f t="shared" si="29"/>
        <v/>
      </c>
      <c r="G204" s="121" t="str">
        <f t="shared" si="30"/>
        <v/>
      </c>
      <c r="H204" s="121" t="str">
        <f t="shared" si="31"/>
        <v/>
      </c>
      <c r="I204" s="122" t="str">
        <f t="shared" si="38"/>
        <v/>
      </c>
      <c r="J204" s="121" t="str">
        <f t="shared" si="32"/>
        <v/>
      </c>
      <c r="K204" s="121" t="str">
        <f t="shared" si="33"/>
        <v/>
      </c>
      <c r="L204" s="121" t="str">
        <f t="shared" si="34"/>
        <v/>
      </c>
      <c r="M204" s="121" t="str">
        <f t="shared" si="35"/>
        <v/>
      </c>
    </row>
    <row r="205" spans="1:13" x14ac:dyDescent="0.25">
      <c r="A205" s="80">
        <f t="shared" si="36"/>
        <v>175</v>
      </c>
      <c r="B205" s="120" t="str">
        <f t="shared" si="26"/>
        <v/>
      </c>
      <c r="C205" s="121" t="str">
        <f t="shared" si="37"/>
        <v/>
      </c>
      <c r="D205" s="122" t="str">
        <f t="shared" si="27"/>
        <v/>
      </c>
      <c r="E205" s="121" t="str">
        <f t="shared" si="28"/>
        <v/>
      </c>
      <c r="F205" s="121" t="str">
        <f t="shared" si="29"/>
        <v/>
      </c>
      <c r="G205" s="121" t="str">
        <f t="shared" si="30"/>
        <v/>
      </c>
      <c r="H205" s="121" t="str">
        <f t="shared" si="31"/>
        <v/>
      </c>
      <c r="I205" s="122" t="str">
        <f t="shared" si="38"/>
        <v/>
      </c>
      <c r="J205" s="121" t="str">
        <f t="shared" si="32"/>
        <v/>
      </c>
      <c r="K205" s="121" t="str">
        <f t="shared" si="33"/>
        <v/>
      </c>
      <c r="L205" s="121" t="str">
        <f t="shared" si="34"/>
        <v/>
      </c>
      <c r="M205" s="121" t="str">
        <f t="shared" si="35"/>
        <v/>
      </c>
    </row>
    <row r="206" spans="1:13" x14ac:dyDescent="0.25">
      <c r="A206" s="80">
        <f t="shared" si="36"/>
        <v>176</v>
      </c>
      <c r="B206" s="120" t="str">
        <f t="shared" si="26"/>
        <v/>
      </c>
      <c r="C206" s="121" t="str">
        <f t="shared" si="37"/>
        <v/>
      </c>
      <c r="D206" s="122" t="str">
        <f t="shared" si="27"/>
        <v/>
      </c>
      <c r="E206" s="121" t="str">
        <f t="shared" si="28"/>
        <v/>
      </c>
      <c r="F206" s="121" t="str">
        <f t="shared" si="29"/>
        <v/>
      </c>
      <c r="G206" s="121" t="str">
        <f t="shared" si="30"/>
        <v/>
      </c>
      <c r="H206" s="121" t="str">
        <f t="shared" si="31"/>
        <v/>
      </c>
      <c r="I206" s="122" t="str">
        <f t="shared" si="38"/>
        <v/>
      </c>
      <c r="J206" s="121" t="str">
        <f t="shared" si="32"/>
        <v/>
      </c>
      <c r="K206" s="121" t="str">
        <f t="shared" si="33"/>
        <v/>
      </c>
      <c r="L206" s="121" t="str">
        <f t="shared" si="34"/>
        <v/>
      </c>
      <c r="M206" s="121" t="str">
        <f t="shared" si="35"/>
        <v/>
      </c>
    </row>
    <row r="207" spans="1:13" x14ac:dyDescent="0.25">
      <c r="A207" s="80">
        <f t="shared" si="36"/>
        <v>177</v>
      </c>
      <c r="B207" s="120" t="str">
        <f t="shared" si="26"/>
        <v/>
      </c>
      <c r="C207" s="121" t="str">
        <f t="shared" si="37"/>
        <v/>
      </c>
      <c r="D207" s="122" t="str">
        <f t="shared" si="27"/>
        <v/>
      </c>
      <c r="E207" s="121" t="str">
        <f t="shared" si="28"/>
        <v/>
      </c>
      <c r="F207" s="121" t="str">
        <f t="shared" si="29"/>
        <v/>
      </c>
      <c r="G207" s="121" t="str">
        <f t="shared" si="30"/>
        <v/>
      </c>
      <c r="H207" s="121" t="str">
        <f t="shared" si="31"/>
        <v/>
      </c>
      <c r="I207" s="122" t="str">
        <f t="shared" si="38"/>
        <v/>
      </c>
      <c r="J207" s="121" t="str">
        <f t="shared" si="32"/>
        <v/>
      </c>
      <c r="K207" s="121" t="str">
        <f t="shared" si="33"/>
        <v/>
      </c>
      <c r="L207" s="121" t="str">
        <f t="shared" si="34"/>
        <v/>
      </c>
      <c r="M207" s="121" t="str">
        <f t="shared" si="35"/>
        <v/>
      </c>
    </row>
    <row r="208" spans="1:13" x14ac:dyDescent="0.25">
      <c r="A208" s="80">
        <f t="shared" si="36"/>
        <v>178</v>
      </c>
      <c r="B208" s="120" t="str">
        <f t="shared" si="26"/>
        <v/>
      </c>
      <c r="C208" s="121" t="str">
        <f t="shared" si="37"/>
        <v/>
      </c>
      <c r="D208" s="122" t="str">
        <f t="shared" si="27"/>
        <v/>
      </c>
      <c r="E208" s="121" t="str">
        <f t="shared" si="28"/>
        <v/>
      </c>
      <c r="F208" s="121" t="str">
        <f t="shared" si="29"/>
        <v/>
      </c>
      <c r="G208" s="121" t="str">
        <f t="shared" si="30"/>
        <v/>
      </c>
      <c r="H208" s="121" t="str">
        <f t="shared" si="31"/>
        <v/>
      </c>
      <c r="I208" s="122" t="str">
        <f t="shared" si="38"/>
        <v/>
      </c>
      <c r="J208" s="121" t="str">
        <f t="shared" si="32"/>
        <v/>
      </c>
      <c r="K208" s="121" t="str">
        <f t="shared" si="33"/>
        <v/>
      </c>
      <c r="L208" s="121" t="str">
        <f t="shared" si="34"/>
        <v/>
      </c>
      <c r="M208" s="121" t="str">
        <f t="shared" si="35"/>
        <v/>
      </c>
    </row>
    <row r="209" spans="1:13" x14ac:dyDescent="0.25">
      <c r="A209" s="80">
        <f t="shared" si="36"/>
        <v>179</v>
      </c>
      <c r="B209" s="120" t="str">
        <f t="shared" si="26"/>
        <v/>
      </c>
      <c r="C209" s="121" t="str">
        <f t="shared" si="37"/>
        <v/>
      </c>
      <c r="D209" s="122" t="str">
        <f t="shared" si="27"/>
        <v/>
      </c>
      <c r="E209" s="121" t="str">
        <f t="shared" si="28"/>
        <v/>
      </c>
      <c r="F209" s="121" t="str">
        <f t="shared" si="29"/>
        <v/>
      </c>
      <c r="G209" s="121" t="str">
        <f t="shared" si="30"/>
        <v/>
      </c>
      <c r="H209" s="121" t="str">
        <f t="shared" si="31"/>
        <v/>
      </c>
      <c r="I209" s="122" t="str">
        <f t="shared" si="38"/>
        <v/>
      </c>
      <c r="J209" s="121" t="str">
        <f t="shared" si="32"/>
        <v/>
      </c>
      <c r="K209" s="121" t="str">
        <f t="shared" si="33"/>
        <v/>
      </c>
      <c r="L209" s="121" t="str">
        <f t="shared" si="34"/>
        <v/>
      </c>
      <c r="M209" s="121" t="str">
        <f t="shared" si="35"/>
        <v/>
      </c>
    </row>
    <row r="210" spans="1:13" x14ac:dyDescent="0.25">
      <c r="A210" s="80">
        <f t="shared" si="36"/>
        <v>180</v>
      </c>
      <c r="B210" s="120" t="str">
        <f t="shared" si="26"/>
        <v/>
      </c>
      <c r="C210" s="121" t="str">
        <f t="shared" si="37"/>
        <v/>
      </c>
      <c r="D210" s="122" t="str">
        <f t="shared" si="27"/>
        <v/>
      </c>
      <c r="E210" s="121" t="str">
        <f t="shared" si="28"/>
        <v/>
      </c>
      <c r="F210" s="121" t="str">
        <f t="shared" si="29"/>
        <v/>
      </c>
      <c r="G210" s="121" t="str">
        <f t="shared" si="30"/>
        <v/>
      </c>
      <c r="H210" s="121" t="str">
        <f t="shared" si="31"/>
        <v/>
      </c>
      <c r="I210" s="122" t="str">
        <f t="shared" si="38"/>
        <v/>
      </c>
      <c r="J210" s="121" t="str">
        <f t="shared" si="32"/>
        <v/>
      </c>
      <c r="K210" s="121" t="str">
        <f t="shared" si="33"/>
        <v/>
      </c>
      <c r="L210" s="121" t="str">
        <f t="shared" si="34"/>
        <v/>
      </c>
      <c r="M210" s="121" t="str">
        <f t="shared" si="35"/>
        <v/>
      </c>
    </row>
    <row r="211" spans="1:13" x14ac:dyDescent="0.25">
      <c r="A211" s="80">
        <f t="shared" si="36"/>
        <v>181</v>
      </c>
      <c r="B211" s="120" t="str">
        <f t="shared" si="26"/>
        <v/>
      </c>
      <c r="C211" s="121" t="str">
        <f t="shared" si="37"/>
        <v/>
      </c>
      <c r="D211" s="122" t="str">
        <f t="shared" si="27"/>
        <v/>
      </c>
      <c r="E211" s="121" t="str">
        <f t="shared" si="28"/>
        <v/>
      </c>
      <c r="F211" s="121" t="str">
        <f t="shared" si="29"/>
        <v/>
      </c>
      <c r="G211" s="121" t="str">
        <f t="shared" si="30"/>
        <v/>
      </c>
      <c r="H211" s="121" t="str">
        <f t="shared" si="31"/>
        <v/>
      </c>
      <c r="I211" s="122" t="str">
        <f t="shared" si="38"/>
        <v/>
      </c>
      <c r="J211" s="121" t="str">
        <f t="shared" si="32"/>
        <v/>
      </c>
      <c r="K211" s="121" t="str">
        <f t="shared" si="33"/>
        <v/>
      </c>
      <c r="L211" s="121" t="str">
        <f t="shared" si="34"/>
        <v/>
      </c>
      <c r="M211" s="121" t="str">
        <f t="shared" si="35"/>
        <v/>
      </c>
    </row>
    <row r="212" spans="1:13" x14ac:dyDescent="0.25">
      <c r="A212" s="80">
        <f t="shared" si="36"/>
        <v>182</v>
      </c>
      <c r="B212" s="120" t="str">
        <f t="shared" si="26"/>
        <v/>
      </c>
      <c r="C212" s="121" t="str">
        <f t="shared" si="37"/>
        <v/>
      </c>
      <c r="D212" s="122" t="str">
        <f t="shared" si="27"/>
        <v/>
      </c>
      <c r="E212" s="121" t="str">
        <f t="shared" si="28"/>
        <v/>
      </c>
      <c r="F212" s="121" t="str">
        <f t="shared" si="29"/>
        <v/>
      </c>
      <c r="G212" s="121" t="str">
        <f t="shared" si="30"/>
        <v/>
      </c>
      <c r="H212" s="121" t="str">
        <f t="shared" si="31"/>
        <v/>
      </c>
      <c r="I212" s="122" t="str">
        <f t="shared" si="38"/>
        <v/>
      </c>
      <c r="J212" s="121" t="str">
        <f t="shared" si="32"/>
        <v/>
      </c>
      <c r="K212" s="121" t="str">
        <f t="shared" si="33"/>
        <v/>
      </c>
      <c r="L212" s="121" t="str">
        <f t="shared" si="34"/>
        <v/>
      </c>
      <c r="M212" s="121" t="str">
        <f t="shared" si="35"/>
        <v/>
      </c>
    </row>
    <row r="213" spans="1:13" x14ac:dyDescent="0.25">
      <c r="A213" s="80">
        <f t="shared" si="36"/>
        <v>183</v>
      </c>
      <c r="B213" s="120" t="str">
        <f t="shared" si="26"/>
        <v/>
      </c>
      <c r="C213" s="121" t="str">
        <f t="shared" si="37"/>
        <v/>
      </c>
      <c r="D213" s="122" t="str">
        <f t="shared" si="27"/>
        <v/>
      </c>
      <c r="E213" s="121" t="str">
        <f t="shared" si="28"/>
        <v/>
      </c>
      <c r="F213" s="121" t="str">
        <f t="shared" si="29"/>
        <v/>
      </c>
      <c r="G213" s="121" t="str">
        <f t="shared" si="30"/>
        <v/>
      </c>
      <c r="H213" s="121" t="str">
        <f t="shared" si="31"/>
        <v/>
      </c>
      <c r="I213" s="122" t="str">
        <f t="shared" si="38"/>
        <v/>
      </c>
      <c r="J213" s="121" t="str">
        <f t="shared" si="32"/>
        <v/>
      </c>
      <c r="K213" s="121" t="str">
        <f t="shared" si="33"/>
        <v/>
      </c>
      <c r="L213" s="121" t="str">
        <f t="shared" si="34"/>
        <v/>
      </c>
      <c r="M213" s="121" t="str">
        <f t="shared" si="35"/>
        <v/>
      </c>
    </row>
    <row r="214" spans="1:13" x14ac:dyDescent="0.25">
      <c r="A214" s="80">
        <f t="shared" si="36"/>
        <v>184</v>
      </c>
      <c r="B214" s="120" t="str">
        <f t="shared" si="26"/>
        <v/>
      </c>
      <c r="C214" s="121" t="str">
        <f t="shared" si="37"/>
        <v/>
      </c>
      <c r="D214" s="122" t="str">
        <f t="shared" si="27"/>
        <v/>
      </c>
      <c r="E214" s="121" t="str">
        <f t="shared" si="28"/>
        <v/>
      </c>
      <c r="F214" s="121" t="str">
        <f t="shared" si="29"/>
        <v/>
      </c>
      <c r="G214" s="121" t="str">
        <f t="shared" si="30"/>
        <v/>
      </c>
      <c r="H214" s="121" t="str">
        <f t="shared" si="31"/>
        <v/>
      </c>
      <c r="I214" s="122" t="str">
        <f t="shared" si="38"/>
        <v/>
      </c>
      <c r="J214" s="121" t="str">
        <f t="shared" si="32"/>
        <v/>
      </c>
      <c r="K214" s="121" t="str">
        <f t="shared" si="33"/>
        <v/>
      </c>
      <c r="L214" s="121" t="str">
        <f t="shared" si="34"/>
        <v/>
      </c>
      <c r="M214" s="121" t="str">
        <f t="shared" si="35"/>
        <v/>
      </c>
    </row>
    <row r="215" spans="1:13" x14ac:dyDescent="0.25">
      <c r="A215" s="80">
        <f t="shared" si="36"/>
        <v>185</v>
      </c>
      <c r="B215" s="120" t="str">
        <f t="shared" si="26"/>
        <v/>
      </c>
      <c r="C215" s="121" t="str">
        <f t="shared" si="37"/>
        <v/>
      </c>
      <c r="D215" s="122" t="str">
        <f t="shared" si="27"/>
        <v/>
      </c>
      <c r="E215" s="121" t="str">
        <f t="shared" si="28"/>
        <v/>
      </c>
      <c r="F215" s="121" t="str">
        <f t="shared" si="29"/>
        <v/>
      </c>
      <c r="G215" s="121" t="str">
        <f t="shared" si="30"/>
        <v/>
      </c>
      <c r="H215" s="121" t="str">
        <f t="shared" si="31"/>
        <v/>
      </c>
      <c r="I215" s="122" t="str">
        <f t="shared" si="38"/>
        <v/>
      </c>
      <c r="J215" s="121" t="str">
        <f t="shared" si="32"/>
        <v/>
      </c>
      <c r="K215" s="121" t="str">
        <f t="shared" si="33"/>
        <v/>
      </c>
      <c r="L215" s="121" t="str">
        <f t="shared" si="34"/>
        <v/>
      </c>
      <c r="M215" s="121" t="str">
        <f t="shared" si="35"/>
        <v/>
      </c>
    </row>
    <row r="216" spans="1:13" x14ac:dyDescent="0.25">
      <c r="A216" s="80">
        <f t="shared" si="36"/>
        <v>186</v>
      </c>
      <c r="B216" s="120" t="str">
        <f t="shared" si="26"/>
        <v/>
      </c>
      <c r="C216" s="121" t="str">
        <f t="shared" si="37"/>
        <v/>
      </c>
      <c r="D216" s="122" t="str">
        <f t="shared" si="27"/>
        <v/>
      </c>
      <c r="E216" s="121" t="str">
        <f t="shared" si="28"/>
        <v/>
      </c>
      <c r="F216" s="121" t="str">
        <f t="shared" si="29"/>
        <v/>
      </c>
      <c r="G216" s="121" t="str">
        <f t="shared" si="30"/>
        <v/>
      </c>
      <c r="H216" s="121" t="str">
        <f t="shared" si="31"/>
        <v/>
      </c>
      <c r="I216" s="122" t="str">
        <f t="shared" si="38"/>
        <v/>
      </c>
      <c r="J216" s="121" t="str">
        <f t="shared" si="32"/>
        <v/>
      </c>
      <c r="K216" s="121" t="str">
        <f t="shared" si="33"/>
        <v/>
      </c>
      <c r="L216" s="121" t="str">
        <f t="shared" si="34"/>
        <v/>
      </c>
      <c r="M216" s="121" t="str">
        <f t="shared" si="35"/>
        <v/>
      </c>
    </row>
    <row r="217" spans="1:13" x14ac:dyDescent="0.25">
      <c r="A217" s="80">
        <f t="shared" si="36"/>
        <v>187</v>
      </c>
      <c r="B217" s="120" t="str">
        <f t="shared" si="26"/>
        <v/>
      </c>
      <c r="C217" s="121" t="str">
        <f t="shared" si="37"/>
        <v/>
      </c>
      <c r="D217" s="122" t="str">
        <f t="shared" si="27"/>
        <v/>
      </c>
      <c r="E217" s="121" t="str">
        <f t="shared" si="28"/>
        <v/>
      </c>
      <c r="F217" s="121" t="str">
        <f t="shared" si="29"/>
        <v/>
      </c>
      <c r="G217" s="121" t="str">
        <f t="shared" si="30"/>
        <v/>
      </c>
      <c r="H217" s="121" t="str">
        <f t="shared" si="31"/>
        <v/>
      </c>
      <c r="I217" s="122" t="str">
        <f t="shared" si="38"/>
        <v/>
      </c>
      <c r="J217" s="121" t="str">
        <f t="shared" si="32"/>
        <v/>
      </c>
      <c r="K217" s="121" t="str">
        <f t="shared" si="33"/>
        <v/>
      </c>
      <c r="L217" s="121" t="str">
        <f t="shared" si="34"/>
        <v/>
      </c>
      <c r="M217" s="121" t="str">
        <f t="shared" si="35"/>
        <v/>
      </c>
    </row>
    <row r="218" spans="1:13" x14ac:dyDescent="0.25">
      <c r="A218" s="80">
        <f t="shared" si="36"/>
        <v>188</v>
      </c>
      <c r="B218" s="120" t="str">
        <f t="shared" si="26"/>
        <v/>
      </c>
      <c r="C218" s="121" t="str">
        <f t="shared" si="37"/>
        <v/>
      </c>
      <c r="D218" s="122" t="str">
        <f t="shared" si="27"/>
        <v/>
      </c>
      <c r="E218" s="121" t="str">
        <f t="shared" si="28"/>
        <v/>
      </c>
      <c r="F218" s="121" t="str">
        <f t="shared" si="29"/>
        <v/>
      </c>
      <c r="G218" s="121" t="str">
        <f t="shared" si="30"/>
        <v/>
      </c>
      <c r="H218" s="121" t="str">
        <f t="shared" si="31"/>
        <v/>
      </c>
      <c r="I218" s="122" t="str">
        <f t="shared" si="38"/>
        <v/>
      </c>
      <c r="J218" s="121" t="str">
        <f t="shared" si="32"/>
        <v/>
      </c>
      <c r="K218" s="121" t="str">
        <f t="shared" si="33"/>
        <v/>
      </c>
      <c r="L218" s="121" t="str">
        <f t="shared" si="34"/>
        <v/>
      </c>
      <c r="M218" s="121" t="str">
        <f t="shared" si="35"/>
        <v/>
      </c>
    </row>
    <row r="219" spans="1:13" x14ac:dyDescent="0.25">
      <c r="A219" s="80">
        <f t="shared" si="36"/>
        <v>189</v>
      </c>
      <c r="B219" s="120" t="str">
        <f t="shared" si="26"/>
        <v/>
      </c>
      <c r="C219" s="121" t="str">
        <f t="shared" si="37"/>
        <v/>
      </c>
      <c r="D219" s="122" t="str">
        <f t="shared" si="27"/>
        <v/>
      </c>
      <c r="E219" s="121" t="str">
        <f t="shared" si="28"/>
        <v/>
      </c>
      <c r="F219" s="121" t="str">
        <f t="shared" si="29"/>
        <v/>
      </c>
      <c r="G219" s="121" t="str">
        <f t="shared" si="30"/>
        <v/>
      </c>
      <c r="H219" s="121" t="str">
        <f t="shared" si="31"/>
        <v/>
      </c>
      <c r="I219" s="122" t="str">
        <f t="shared" si="38"/>
        <v/>
      </c>
      <c r="J219" s="121" t="str">
        <f t="shared" si="32"/>
        <v/>
      </c>
      <c r="K219" s="121" t="str">
        <f t="shared" si="33"/>
        <v/>
      </c>
      <c r="L219" s="121" t="str">
        <f t="shared" si="34"/>
        <v/>
      </c>
      <c r="M219" s="121" t="str">
        <f t="shared" si="35"/>
        <v/>
      </c>
    </row>
    <row r="220" spans="1:13" x14ac:dyDescent="0.25">
      <c r="A220" s="80">
        <f t="shared" si="36"/>
        <v>190</v>
      </c>
      <c r="B220" s="120" t="str">
        <f t="shared" si="26"/>
        <v/>
      </c>
      <c r="C220" s="121" t="str">
        <f t="shared" si="37"/>
        <v/>
      </c>
      <c r="D220" s="122" t="str">
        <f t="shared" si="27"/>
        <v/>
      </c>
      <c r="E220" s="121" t="str">
        <f t="shared" si="28"/>
        <v/>
      </c>
      <c r="F220" s="121" t="str">
        <f t="shared" si="29"/>
        <v/>
      </c>
      <c r="G220" s="121" t="str">
        <f t="shared" si="30"/>
        <v/>
      </c>
      <c r="H220" s="121" t="str">
        <f t="shared" si="31"/>
        <v/>
      </c>
      <c r="I220" s="122" t="str">
        <f t="shared" si="38"/>
        <v/>
      </c>
      <c r="J220" s="121" t="str">
        <f t="shared" si="32"/>
        <v/>
      </c>
      <c r="K220" s="121" t="str">
        <f t="shared" si="33"/>
        <v/>
      </c>
      <c r="L220" s="121" t="str">
        <f t="shared" si="34"/>
        <v/>
      </c>
      <c r="M220" s="121" t="str">
        <f t="shared" si="35"/>
        <v/>
      </c>
    </row>
    <row r="221" spans="1:13" x14ac:dyDescent="0.25">
      <c r="A221" s="80">
        <f t="shared" si="36"/>
        <v>191</v>
      </c>
      <c r="B221" s="120" t="str">
        <f t="shared" si="26"/>
        <v/>
      </c>
      <c r="C221" s="121" t="str">
        <f t="shared" si="37"/>
        <v/>
      </c>
      <c r="D221" s="122" t="str">
        <f t="shared" si="27"/>
        <v/>
      </c>
      <c r="E221" s="121" t="str">
        <f t="shared" si="28"/>
        <v/>
      </c>
      <c r="F221" s="121" t="str">
        <f t="shared" si="29"/>
        <v/>
      </c>
      <c r="G221" s="121" t="str">
        <f t="shared" si="30"/>
        <v/>
      </c>
      <c r="H221" s="121" t="str">
        <f t="shared" si="31"/>
        <v/>
      </c>
      <c r="I221" s="122" t="str">
        <f t="shared" si="38"/>
        <v/>
      </c>
      <c r="J221" s="121" t="str">
        <f t="shared" si="32"/>
        <v/>
      </c>
      <c r="K221" s="121" t="str">
        <f t="shared" si="33"/>
        <v/>
      </c>
      <c r="L221" s="121" t="str">
        <f t="shared" si="34"/>
        <v/>
      </c>
      <c r="M221" s="121" t="str">
        <f t="shared" si="35"/>
        <v/>
      </c>
    </row>
    <row r="222" spans="1:13" x14ac:dyDescent="0.25">
      <c r="A222" s="80">
        <f t="shared" si="36"/>
        <v>192</v>
      </c>
      <c r="B222" s="120" t="str">
        <f t="shared" si="26"/>
        <v/>
      </c>
      <c r="C222" s="121" t="str">
        <f t="shared" si="37"/>
        <v/>
      </c>
      <c r="D222" s="122" t="str">
        <f t="shared" si="27"/>
        <v/>
      </c>
      <c r="E222" s="121" t="str">
        <f t="shared" si="28"/>
        <v/>
      </c>
      <c r="F222" s="121" t="str">
        <f t="shared" si="29"/>
        <v/>
      </c>
      <c r="G222" s="121" t="str">
        <f t="shared" si="30"/>
        <v/>
      </c>
      <c r="H222" s="121" t="str">
        <f t="shared" si="31"/>
        <v/>
      </c>
      <c r="I222" s="122" t="str">
        <f t="shared" si="38"/>
        <v/>
      </c>
      <c r="J222" s="121" t="str">
        <f t="shared" si="32"/>
        <v/>
      </c>
      <c r="K222" s="121" t="str">
        <f t="shared" si="33"/>
        <v/>
      </c>
      <c r="L222" s="121" t="str">
        <f t="shared" si="34"/>
        <v/>
      </c>
      <c r="M222" s="121" t="str">
        <f t="shared" si="35"/>
        <v/>
      </c>
    </row>
    <row r="223" spans="1:13" x14ac:dyDescent="0.25">
      <c r="A223" s="80">
        <f t="shared" si="36"/>
        <v>193</v>
      </c>
      <c r="B223" s="120" t="str">
        <f t="shared" ref="B223:B286" si="39">IF(A223&lt;=$F$11,A223,"")</f>
        <v/>
      </c>
      <c r="C223" s="121" t="str">
        <f t="shared" si="37"/>
        <v/>
      </c>
      <c r="D223" s="122" t="str">
        <f t="shared" ref="D223:D286" si="40">IF(B223&lt;=$F$11,(C223*$F$13),"")</f>
        <v/>
      </c>
      <c r="E223" s="121" t="str">
        <f t="shared" ref="E223:E286" si="41">IF(B223&lt;=$F$12,0,IF(B223&lt;=$F$11,(-$F$16-D223),""))</f>
        <v/>
      </c>
      <c r="F223" s="121" t="str">
        <f t="shared" ref="F223:F286" si="42">IF(B223&lt;=$F$11,(($F$20*$F$2)+($F$19*$F$2)+(C223*$F$18)+($F$17*C223)),"")</f>
        <v/>
      </c>
      <c r="G223" s="121" t="str">
        <f t="shared" ref="G223:G286" si="43">IF(B223&lt;=$F$11,(D223+E223),"")</f>
        <v/>
      </c>
      <c r="H223" s="121" t="str">
        <f t="shared" ref="H223:H286" si="44">IF(B223&lt;=$F$11,(F223+G223),"")</f>
        <v/>
      </c>
      <c r="I223" s="122" t="str">
        <f t="shared" si="38"/>
        <v/>
      </c>
      <c r="J223" s="121" t="str">
        <f t="shared" ref="J223:J286" si="45">IF(B223&lt;=$F$11,(($F$20*$F$2*(1-$F$10))+($F$19*$F$2)+((C223*$F$18)*(1-$F$10))+(($F$17*C223))),"")</f>
        <v/>
      </c>
      <c r="K223" s="121" t="str">
        <f t="shared" ref="K223:K286" si="46">IF(B223&lt;=$F$11,(E223+I223),"")</f>
        <v/>
      </c>
      <c r="L223" s="121" t="str">
        <f t="shared" ref="L223:L286" si="47">IF(B223&lt;=$F$11,(J223+K223),"")</f>
        <v/>
      </c>
      <c r="M223" s="121" t="str">
        <f t="shared" ref="M223:M286" si="48">IF(B223&lt;=$F$11,(C223-E223),IF(B223&gt;$F$11,"",0))</f>
        <v/>
      </c>
    </row>
    <row r="224" spans="1:13" x14ac:dyDescent="0.25">
      <c r="A224" s="80">
        <f t="shared" ref="A224:A287" si="49">A223+1</f>
        <v>194</v>
      </c>
      <c r="B224" s="120" t="str">
        <f t="shared" si="39"/>
        <v/>
      </c>
      <c r="C224" s="121" t="str">
        <f t="shared" ref="C224:C287" si="50">IF(M223=0,"",M223)</f>
        <v/>
      </c>
      <c r="D224" s="122" t="str">
        <f t="shared" si="40"/>
        <v/>
      </c>
      <c r="E224" s="121" t="str">
        <f t="shared" si="41"/>
        <v/>
      </c>
      <c r="F224" s="121" t="str">
        <f t="shared" si="42"/>
        <v/>
      </c>
      <c r="G224" s="121" t="str">
        <f t="shared" si="43"/>
        <v/>
      </c>
      <c r="H224" s="121" t="str">
        <f t="shared" si="44"/>
        <v/>
      </c>
      <c r="I224" s="122" t="str">
        <f t="shared" ref="I224:I287" si="51">IF(B224&lt;=$F$11,(C224*$F$13)*(1-$F$10),"")</f>
        <v/>
      </c>
      <c r="J224" s="121" t="str">
        <f t="shared" si="45"/>
        <v/>
      </c>
      <c r="K224" s="121" t="str">
        <f t="shared" si="46"/>
        <v/>
      </c>
      <c r="L224" s="121" t="str">
        <f t="shared" si="47"/>
        <v/>
      </c>
      <c r="M224" s="121" t="str">
        <f t="shared" si="48"/>
        <v/>
      </c>
    </row>
    <row r="225" spans="1:13" x14ac:dyDescent="0.25">
      <c r="A225" s="80">
        <f t="shared" si="49"/>
        <v>195</v>
      </c>
      <c r="B225" s="120" t="str">
        <f t="shared" si="39"/>
        <v/>
      </c>
      <c r="C225" s="121" t="str">
        <f t="shared" si="50"/>
        <v/>
      </c>
      <c r="D225" s="122" t="str">
        <f t="shared" si="40"/>
        <v/>
      </c>
      <c r="E225" s="121" t="str">
        <f t="shared" si="41"/>
        <v/>
      </c>
      <c r="F225" s="121" t="str">
        <f t="shared" si="42"/>
        <v/>
      </c>
      <c r="G225" s="121" t="str">
        <f t="shared" si="43"/>
        <v/>
      </c>
      <c r="H225" s="121" t="str">
        <f t="shared" si="44"/>
        <v/>
      </c>
      <c r="I225" s="122" t="str">
        <f t="shared" si="51"/>
        <v/>
      </c>
      <c r="J225" s="121" t="str">
        <f t="shared" si="45"/>
        <v/>
      </c>
      <c r="K225" s="121" t="str">
        <f t="shared" si="46"/>
        <v/>
      </c>
      <c r="L225" s="121" t="str">
        <f t="shared" si="47"/>
        <v/>
      </c>
      <c r="M225" s="121" t="str">
        <f t="shared" si="48"/>
        <v/>
      </c>
    </row>
    <row r="226" spans="1:13" x14ac:dyDescent="0.25">
      <c r="A226" s="80">
        <f t="shared" si="49"/>
        <v>196</v>
      </c>
      <c r="B226" s="120" t="str">
        <f t="shared" si="39"/>
        <v/>
      </c>
      <c r="C226" s="121" t="str">
        <f t="shared" si="50"/>
        <v/>
      </c>
      <c r="D226" s="122" t="str">
        <f t="shared" si="40"/>
        <v/>
      </c>
      <c r="E226" s="121" t="str">
        <f t="shared" si="41"/>
        <v/>
      </c>
      <c r="F226" s="121" t="str">
        <f t="shared" si="42"/>
        <v/>
      </c>
      <c r="G226" s="121" t="str">
        <f t="shared" si="43"/>
        <v/>
      </c>
      <c r="H226" s="121" t="str">
        <f t="shared" si="44"/>
        <v/>
      </c>
      <c r="I226" s="122" t="str">
        <f t="shared" si="51"/>
        <v/>
      </c>
      <c r="J226" s="121" t="str">
        <f t="shared" si="45"/>
        <v/>
      </c>
      <c r="K226" s="121" t="str">
        <f t="shared" si="46"/>
        <v/>
      </c>
      <c r="L226" s="121" t="str">
        <f t="shared" si="47"/>
        <v/>
      </c>
      <c r="M226" s="121" t="str">
        <f t="shared" si="48"/>
        <v/>
      </c>
    </row>
    <row r="227" spans="1:13" x14ac:dyDescent="0.25">
      <c r="A227" s="80">
        <f t="shared" si="49"/>
        <v>197</v>
      </c>
      <c r="B227" s="120" t="str">
        <f t="shared" si="39"/>
        <v/>
      </c>
      <c r="C227" s="121" t="str">
        <f t="shared" si="50"/>
        <v/>
      </c>
      <c r="D227" s="122" t="str">
        <f t="shared" si="40"/>
        <v/>
      </c>
      <c r="E227" s="121" t="str">
        <f t="shared" si="41"/>
        <v/>
      </c>
      <c r="F227" s="121" t="str">
        <f t="shared" si="42"/>
        <v/>
      </c>
      <c r="G227" s="121" t="str">
        <f t="shared" si="43"/>
        <v/>
      </c>
      <c r="H227" s="121" t="str">
        <f t="shared" si="44"/>
        <v/>
      </c>
      <c r="I227" s="122" t="str">
        <f t="shared" si="51"/>
        <v/>
      </c>
      <c r="J227" s="121" t="str">
        <f t="shared" si="45"/>
        <v/>
      </c>
      <c r="K227" s="121" t="str">
        <f t="shared" si="46"/>
        <v/>
      </c>
      <c r="L227" s="121" t="str">
        <f t="shared" si="47"/>
        <v/>
      </c>
      <c r="M227" s="121" t="str">
        <f t="shared" si="48"/>
        <v/>
      </c>
    </row>
    <row r="228" spans="1:13" x14ac:dyDescent="0.25">
      <c r="A228" s="80">
        <f t="shared" si="49"/>
        <v>198</v>
      </c>
      <c r="B228" s="120" t="str">
        <f t="shared" si="39"/>
        <v/>
      </c>
      <c r="C228" s="121" t="str">
        <f t="shared" si="50"/>
        <v/>
      </c>
      <c r="D228" s="122" t="str">
        <f t="shared" si="40"/>
        <v/>
      </c>
      <c r="E228" s="121" t="str">
        <f t="shared" si="41"/>
        <v/>
      </c>
      <c r="F228" s="121" t="str">
        <f t="shared" si="42"/>
        <v/>
      </c>
      <c r="G228" s="121" t="str">
        <f t="shared" si="43"/>
        <v/>
      </c>
      <c r="H228" s="121" t="str">
        <f t="shared" si="44"/>
        <v/>
      </c>
      <c r="I228" s="122" t="str">
        <f t="shared" si="51"/>
        <v/>
      </c>
      <c r="J228" s="121" t="str">
        <f t="shared" si="45"/>
        <v/>
      </c>
      <c r="K228" s="121" t="str">
        <f t="shared" si="46"/>
        <v/>
      </c>
      <c r="L228" s="121" t="str">
        <f t="shared" si="47"/>
        <v/>
      </c>
      <c r="M228" s="121" t="str">
        <f t="shared" si="48"/>
        <v/>
      </c>
    </row>
    <row r="229" spans="1:13" x14ac:dyDescent="0.25">
      <c r="A229" s="80">
        <f t="shared" si="49"/>
        <v>199</v>
      </c>
      <c r="B229" s="120" t="str">
        <f t="shared" si="39"/>
        <v/>
      </c>
      <c r="C229" s="121" t="str">
        <f t="shared" si="50"/>
        <v/>
      </c>
      <c r="D229" s="122" t="str">
        <f t="shared" si="40"/>
        <v/>
      </c>
      <c r="E229" s="121" t="str">
        <f t="shared" si="41"/>
        <v/>
      </c>
      <c r="F229" s="121" t="str">
        <f t="shared" si="42"/>
        <v/>
      </c>
      <c r="G229" s="121" t="str">
        <f t="shared" si="43"/>
        <v/>
      </c>
      <c r="H229" s="121" t="str">
        <f t="shared" si="44"/>
        <v/>
      </c>
      <c r="I229" s="122" t="str">
        <f t="shared" si="51"/>
        <v/>
      </c>
      <c r="J229" s="121" t="str">
        <f t="shared" si="45"/>
        <v/>
      </c>
      <c r="K229" s="121" t="str">
        <f t="shared" si="46"/>
        <v/>
      </c>
      <c r="L229" s="121" t="str">
        <f t="shared" si="47"/>
        <v/>
      </c>
      <c r="M229" s="121" t="str">
        <f t="shared" si="48"/>
        <v/>
      </c>
    </row>
    <row r="230" spans="1:13" x14ac:dyDescent="0.25">
      <c r="A230" s="80">
        <f t="shared" si="49"/>
        <v>200</v>
      </c>
      <c r="B230" s="120" t="str">
        <f t="shared" si="39"/>
        <v/>
      </c>
      <c r="C230" s="121" t="str">
        <f t="shared" si="50"/>
        <v/>
      </c>
      <c r="D230" s="122" t="str">
        <f t="shared" si="40"/>
        <v/>
      </c>
      <c r="E230" s="121" t="str">
        <f t="shared" si="41"/>
        <v/>
      </c>
      <c r="F230" s="121" t="str">
        <f t="shared" si="42"/>
        <v/>
      </c>
      <c r="G230" s="121" t="str">
        <f t="shared" si="43"/>
        <v/>
      </c>
      <c r="H230" s="121" t="str">
        <f t="shared" si="44"/>
        <v/>
      </c>
      <c r="I230" s="122" t="str">
        <f t="shared" si="51"/>
        <v/>
      </c>
      <c r="J230" s="121" t="str">
        <f t="shared" si="45"/>
        <v/>
      </c>
      <c r="K230" s="121" t="str">
        <f t="shared" si="46"/>
        <v/>
      </c>
      <c r="L230" s="121" t="str">
        <f t="shared" si="47"/>
        <v/>
      </c>
      <c r="M230" s="121" t="str">
        <f t="shared" si="48"/>
        <v/>
      </c>
    </row>
    <row r="231" spans="1:13" x14ac:dyDescent="0.25">
      <c r="A231" s="80">
        <f t="shared" si="49"/>
        <v>201</v>
      </c>
      <c r="B231" s="120" t="str">
        <f t="shared" si="39"/>
        <v/>
      </c>
      <c r="C231" s="121" t="str">
        <f t="shared" si="50"/>
        <v/>
      </c>
      <c r="D231" s="122" t="str">
        <f t="shared" si="40"/>
        <v/>
      </c>
      <c r="E231" s="121" t="str">
        <f t="shared" si="41"/>
        <v/>
      </c>
      <c r="F231" s="121" t="str">
        <f t="shared" si="42"/>
        <v/>
      </c>
      <c r="G231" s="121" t="str">
        <f t="shared" si="43"/>
        <v/>
      </c>
      <c r="H231" s="121" t="str">
        <f t="shared" si="44"/>
        <v/>
      </c>
      <c r="I231" s="122" t="str">
        <f t="shared" si="51"/>
        <v/>
      </c>
      <c r="J231" s="121" t="str">
        <f t="shared" si="45"/>
        <v/>
      </c>
      <c r="K231" s="121" t="str">
        <f t="shared" si="46"/>
        <v/>
      </c>
      <c r="L231" s="121" t="str">
        <f t="shared" si="47"/>
        <v/>
      </c>
      <c r="M231" s="121" t="str">
        <f t="shared" si="48"/>
        <v/>
      </c>
    </row>
    <row r="232" spans="1:13" x14ac:dyDescent="0.25">
      <c r="A232" s="80">
        <f t="shared" si="49"/>
        <v>202</v>
      </c>
      <c r="B232" s="120" t="str">
        <f t="shared" si="39"/>
        <v/>
      </c>
      <c r="C232" s="121" t="str">
        <f t="shared" si="50"/>
        <v/>
      </c>
      <c r="D232" s="122" t="str">
        <f t="shared" si="40"/>
        <v/>
      </c>
      <c r="E232" s="121" t="str">
        <f t="shared" si="41"/>
        <v/>
      </c>
      <c r="F232" s="121" t="str">
        <f t="shared" si="42"/>
        <v/>
      </c>
      <c r="G232" s="121" t="str">
        <f t="shared" si="43"/>
        <v/>
      </c>
      <c r="H232" s="121" t="str">
        <f t="shared" si="44"/>
        <v/>
      </c>
      <c r="I232" s="122" t="str">
        <f t="shared" si="51"/>
        <v/>
      </c>
      <c r="J232" s="121" t="str">
        <f t="shared" si="45"/>
        <v/>
      </c>
      <c r="K232" s="121" t="str">
        <f t="shared" si="46"/>
        <v/>
      </c>
      <c r="L232" s="121" t="str">
        <f t="shared" si="47"/>
        <v/>
      </c>
      <c r="M232" s="121" t="str">
        <f t="shared" si="48"/>
        <v/>
      </c>
    </row>
    <row r="233" spans="1:13" x14ac:dyDescent="0.25">
      <c r="A233" s="80">
        <f t="shared" si="49"/>
        <v>203</v>
      </c>
      <c r="B233" s="120" t="str">
        <f t="shared" si="39"/>
        <v/>
      </c>
      <c r="C233" s="121" t="str">
        <f t="shared" si="50"/>
        <v/>
      </c>
      <c r="D233" s="122" t="str">
        <f t="shared" si="40"/>
        <v/>
      </c>
      <c r="E233" s="121" t="str">
        <f t="shared" si="41"/>
        <v/>
      </c>
      <c r="F233" s="121" t="str">
        <f t="shared" si="42"/>
        <v/>
      </c>
      <c r="G233" s="121" t="str">
        <f t="shared" si="43"/>
        <v/>
      </c>
      <c r="H233" s="121" t="str">
        <f t="shared" si="44"/>
        <v/>
      </c>
      <c r="I233" s="122" t="str">
        <f t="shared" si="51"/>
        <v/>
      </c>
      <c r="J233" s="121" t="str">
        <f t="shared" si="45"/>
        <v/>
      </c>
      <c r="K233" s="121" t="str">
        <f t="shared" si="46"/>
        <v/>
      </c>
      <c r="L233" s="121" t="str">
        <f t="shared" si="47"/>
        <v/>
      </c>
      <c r="M233" s="121" t="str">
        <f t="shared" si="48"/>
        <v/>
      </c>
    </row>
    <row r="234" spans="1:13" x14ac:dyDescent="0.25">
      <c r="A234" s="80">
        <f t="shared" si="49"/>
        <v>204</v>
      </c>
      <c r="B234" s="120" t="str">
        <f t="shared" si="39"/>
        <v/>
      </c>
      <c r="C234" s="121" t="str">
        <f t="shared" si="50"/>
        <v/>
      </c>
      <c r="D234" s="122" t="str">
        <f t="shared" si="40"/>
        <v/>
      </c>
      <c r="E234" s="121" t="str">
        <f t="shared" si="41"/>
        <v/>
      </c>
      <c r="F234" s="121" t="str">
        <f t="shared" si="42"/>
        <v/>
      </c>
      <c r="G234" s="121" t="str">
        <f t="shared" si="43"/>
        <v/>
      </c>
      <c r="H234" s="121" t="str">
        <f t="shared" si="44"/>
        <v/>
      </c>
      <c r="I234" s="122" t="str">
        <f t="shared" si="51"/>
        <v/>
      </c>
      <c r="J234" s="121" t="str">
        <f t="shared" si="45"/>
        <v/>
      </c>
      <c r="K234" s="121" t="str">
        <f t="shared" si="46"/>
        <v/>
      </c>
      <c r="L234" s="121" t="str">
        <f t="shared" si="47"/>
        <v/>
      </c>
      <c r="M234" s="121" t="str">
        <f t="shared" si="48"/>
        <v/>
      </c>
    </row>
    <row r="235" spans="1:13" x14ac:dyDescent="0.25">
      <c r="A235" s="80">
        <f t="shared" si="49"/>
        <v>205</v>
      </c>
      <c r="B235" s="120" t="str">
        <f t="shared" si="39"/>
        <v/>
      </c>
      <c r="C235" s="121" t="str">
        <f t="shared" si="50"/>
        <v/>
      </c>
      <c r="D235" s="122" t="str">
        <f t="shared" si="40"/>
        <v/>
      </c>
      <c r="E235" s="121" t="str">
        <f t="shared" si="41"/>
        <v/>
      </c>
      <c r="F235" s="121" t="str">
        <f t="shared" si="42"/>
        <v/>
      </c>
      <c r="G235" s="121" t="str">
        <f t="shared" si="43"/>
        <v/>
      </c>
      <c r="H235" s="121" t="str">
        <f t="shared" si="44"/>
        <v/>
      </c>
      <c r="I235" s="122" t="str">
        <f t="shared" si="51"/>
        <v/>
      </c>
      <c r="J235" s="121" t="str">
        <f t="shared" si="45"/>
        <v/>
      </c>
      <c r="K235" s="121" t="str">
        <f t="shared" si="46"/>
        <v/>
      </c>
      <c r="L235" s="121" t="str">
        <f t="shared" si="47"/>
        <v/>
      </c>
      <c r="M235" s="121" t="str">
        <f t="shared" si="48"/>
        <v/>
      </c>
    </row>
    <row r="236" spans="1:13" x14ac:dyDescent="0.25">
      <c r="A236" s="80">
        <f t="shared" si="49"/>
        <v>206</v>
      </c>
      <c r="B236" s="120" t="str">
        <f t="shared" si="39"/>
        <v/>
      </c>
      <c r="C236" s="121" t="str">
        <f t="shared" si="50"/>
        <v/>
      </c>
      <c r="D236" s="122" t="str">
        <f t="shared" si="40"/>
        <v/>
      </c>
      <c r="E236" s="121" t="str">
        <f t="shared" si="41"/>
        <v/>
      </c>
      <c r="F236" s="121" t="str">
        <f t="shared" si="42"/>
        <v/>
      </c>
      <c r="G236" s="121" t="str">
        <f t="shared" si="43"/>
        <v/>
      </c>
      <c r="H236" s="121" t="str">
        <f t="shared" si="44"/>
        <v/>
      </c>
      <c r="I236" s="122" t="str">
        <f t="shared" si="51"/>
        <v/>
      </c>
      <c r="J236" s="121" t="str">
        <f t="shared" si="45"/>
        <v/>
      </c>
      <c r="K236" s="121" t="str">
        <f t="shared" si="46"/>
        <v/>
      </c>
      <c r="L236" s="121" t="str">
        <f t="shared" si="47"/>
        <v/>
      </c>
      <c r="M236" s="121" t="str">
        <f t="shared" si="48"/>
        <v/>
      </c>
    </row>
    <row r="237" spans="1:13" x14ac:dyDescent="0.25">
      <c r="A237" s="80">
        <f t="shared" si="49"/>
        <v>207</v>
      </c>
      <c r="B237" s="120" t="str">
        <f t="shared" si="39"/>
        <v/>
      </c>
      <c r="C237" s="121" t="str">
        <f t="shared" si="50"/>
        <v/>
      </c>
      <c r="D237" s="122" t="str">
        <f t="shared" si="40"/>
        <v/>
      </c>
      <c r="E237" s="121" t="str">
        <f t="shared" si="41"/>
        <v/>
      </c>
      <c r="F237" s="121" t="str">
        <f t="shared" si="42"/>
        <v/>
      </c>
      <c r="G237" s="121" t="str">
        <f t="shared" si="43"/>
        <v/>
      </c>
      <c r="H237" s="121" t="str">
        <f t="shared" si="44"/>
        <v/>
      </c>
      <c r="I237" s="122" t="str">
        <f t="shared" si="51"/>
        <v/>
      </c>
      <c r="J237" s="121" t="str">
        <f t="shared" si="45"/>
        <v/>
      </c>
      <c r="K237" s="121" t="str">
        <f t="shared" si="46"/>
        <v/>
      </c>
      <c r="L237" s="121" t="str">
        <f t="shared" si="47"/>
        <v/>
      </c>
      <c r="M237" s="121" t="str">
        <f t="shared" si="48"/>
        <v/>
      </c>
    </row>
    <row r="238" spans="1:13" x14ac:dyDescent="0.25">
      <c r="A238" s="80">
        <f t="shared" si="49"/>
        <v>208</v>
      </c>
      <c r="B238" s="120" t="str">
        <f t="shared" si="39"/>
        <v/>
      </c>
      <c r="C238" s="121" t="str">
        <f t="shared" si="50"/>
        <v/>
      </c>
      <c r="D238" s="122" t="str">
        <f t="shared" si="40"/>
        <v/>
      </c>
      <c r="E238" s="121" t="str">
        <f t="shared" si="41"/>
        <v/>
      </c>
      <c r="F238" s="121" t="str">
        <f t="shared" si="42"/>
        <v/>
      </c>
      <c r="G238" s="121" t="str">
        <f t="shared" si="43"/>
        <v/>
      </c>
      <c r="H238" s="121" t="str">
        <f t="shared" si="44"/>
        <v/>
      </c>
      <c r="I238" s="122" t="str">
        <f t="shared" si="51"/>
        <v/>
      </c>
      <c r="J238" s="121" t="str">
        <f t="shared" si="45"/>
        <v/>
      </c>
      <c r="K238" s="121" t="str">
        <f t="shared" si="46"/>
        <v/>
      </c>
      <c r="L238" s="121" t="str">
        <f t="shared" si="47"/>
        <v/>
      </c>
      <c r="M238" s="121" t="str">
        <f t="shared" si="48"/>
        <v/>
      </c>
    </row>
    <row r="239" spans="1:13" x14ac:dyDescent="0.25">
      <c r="A239" s="80">
        <f t="shared" si="49"/>
        <v>209</v>
      </c>
      <c r="B239" s="120" t="str">
        <f t="shared" si="39"/>
        <v/>
      </c>
      <c r="C239" s="121" t="str">
        <f t="shared" si="50"/>
        <v/>
      </c>
      <c r="D239" s="122" t="str">
        <f t="shared" si="40"/>
        <v/>
      </c>
      <c r="E239" s="121" t="str">
        <f t="shared" si="41"/>
        <v/>
      </c>
      <c r="F239" s="121" t="str">
        <f t="shared" si="42"/>
        <v/>
      </c>
      <c r="G239" s="121" t="str">
        <f t="shared" si="43"/>
        <v/>
      </c>
      <c r="H239" s="121" t="str">
        <f t="shared" si="44"/>
        <v/>
      </c>
      <c r="I239" s="122" t="str">
        <f t="shared" si="51"/>
        <v/>
      </c>
      <c r="J239" s="121" t="str">
        <f t="shared" si="45"/>
        <v/>
      </c>
      <c r="K239" s="121" t="str">
        <f t="shared" si="46"/>
        <v/>
      </c>
      <c r="L239" s="121" t="str">
        <f t="shared" si="47"/>
        <v/>
      </c>
      <c r="M239" s="121" t="str">
        <f t="shared" si="48"/>
        <v/>
      </c>
    </row>
    <row r="240" spans="1:13" x14ac:dyDescent="0.25">
      <c r="A240" s="80">
        <f t="shared" si="49"/>
        <v>210</v>
      </c>
      <c r="B240" s="120" t="str">
        <f t="shared" si="39"/>
        <v/>
      </c>
      <c r="C240" s="121" t="str">
        <f t="shared" si="50"/>
        <v/>
      </c>
      <c r="D240" s="122" t="str">
        <f t="shared" si="40"/>
        <v/>
      </c>
      <c r="E240" s="121" t="str">
        <f t="shared" si="41"/>
        <v/>
      </c>
      <c r="F240" s="121" t="str">
        <f t="shared" si="42"/>
        <v/>
      </c>
      <c r="G240" s="121" t="str">
        <f t="shared" si="43"/>
        <v/>
      </c>
      <c r="H240" s="121" t="str">
        <f t="shared" si="44"/>
        <v/>
      </c>
      <c r="I240" s="122" t="str">
        <f t="shared" si="51"/>
        <v/>
      </c>
      <c r="J240" s="121" t="str">
        <f t="shared" si="45"/>
        <v/>
      </c>
      <c r="K240" s="121" t="str">
        <f t="shared" si="46"/>
        <v/>
      </c>
      <c r="L240" s="121" t="str">
        <f t="shared" si="47"/>
        <v/>
      </c>
      <c r="M240" s="121" t="str">
        <f t="shared" si="48"/>
        <v/>
      </c>
    </row>
    <row r="241" spans="1:13" x14ac:dyDescent="0.25">
      <c r="A241" s="80">
        <f t="shared" si="49"/>
        <v>211</v>
      </c>
      <c r="B241" s="120" t="str">
        <f t="shared" si="39"/>
        <v/>
      </c>
      <c r="C241" s="121" t="str">
        <f t="shared" si="50"/>
        <v/>
      </c>
      <c r="D241" s="122" t="str">
        <f t="shared" si="40"/>
        <v/>
      </c>
      <c r="E241" s="121" t="str">
        <f t="shared" si="41"/>
        <v/>
      </c>
      <c r="F241" s="121" t="str">
        <f t="shared" si="42"/>
        <v/>
      </c>
      <c r="G241" s="121" t="str">
        <f t="shared" si="43"/>
        <v/>
      </c>
      <c r="H241" s="121" t="str">
        <f t="shared" si="44"/>
        <v/>
      </c>
      <c r="I241" s="122" t="str">
        <f t="shared" si="51"/>
        <v/>
      </c>
      <c r="J241" s="121" t="str">
        <f t="shared" si="45"/>
        <v/>
      </c>
      <c r="K241" s="121" t="str">
        <f t="shared" si="46"/>
        <v/>
      </c>
      <c r="L241" s="121" t="str">
        <f t="shared" si="47"/>
        <v/>
      </c>
      <c r="M241" s="121" t="str">
        <f t="shared" si="48"/>
        <v/>
      </c>
    </row>
    <row r="242" spans="1:13" x14ac:dyDescent="0.25">
      <c r="A242" s="80">
        <f t="shared" si="49"/>
        <v>212</v>
      </c>
      <c r="B242" s="120" t="str">
        <f t="shared" si="39"/>
        <v/>
      </c>
      <c r="C242" s="121" t="str">
        <f t="shared" si="50"/>
        <v/>
      </c>
      <c r="D242" s="122" t="str">
        <f t="shared" si="40"/>
        <v/>
      </c>
      <c r="E242" s="121" t="str">
        <f t="shared" si="41"/>
        <v/>
      </c>
      <c r="F242" s="121" t="str">
        <f t="shared" si="42"/>
        <v/>
      </c>
      <c r="G242" s="121" t="str">
        <f t="shared" si="43"/>
        <v/>
      </c>
      <c r="H242" s="121" t="str">
        <f t="shared" si="44"/>
        <v/>
      </c>
      <c r="I242" s="122" t="str">
        <f t="shared" si="51"/>
        <v/>
      </c>
      <c r="J242" s="121" t="str">
        <f t="shared" si="45"/>
        <v/>
      </c>
      <c r="K242" s="121" t="str">
        <f t="shared" si="46"/>
        <v/>
      </c>
      <c r="L242" s="121" t="str">
        <f t="shared" si="47"/>
        <v/>
      </c>
      <c r="M242" s="121" t="str">
        <f t="shared" si="48"/>
        <v/>
      </c>
    </row>
    <row r="243" spans="1:13" x14ac:dyDescent="0.25">
      <c r="A243" s="80">
        <f t="shared" si="49"/>
        <v>213</v>
      </c>
      <c r="B243" s="120" t="str">
        <f t="shared" si="39"/>
        <v/>
      </c>
      <c r="C243" s="121" t="str">
        <f t="shared" si="50"/>
        <v/>
      </c>
      <c r="D243" s="122" t="str">
        <f t="shared" si="40"/>
        <v/>
      </c>
      <c r="E243" s="121" t="str">
        <f t="shared" si="41"/>
        <v/>
      </c>
      <c r="F243" s="121" t="str">
        <f t="shared" si="42"/>
        <v/>
      </c>
      <c r="G243" s="121" t="str">
        <f t="shared" si="43"/>
        <v/>
      </c>
      <c r="H243" s="121" t="str">
        <f t="shared" si="44"/>
        <v/>
      </c>
      <c r="I243" s="122" t="str">
        <f t="shared" si="51"/>
        <v/>
      </c>
      <c r="J243" s="121" t="str">
        <f t="shared" si="45"/>
        <v/>
      </c>
      <c r="K243" s="121" t="str">
        <f t="shared" si="46"/>
        <v/>
      </c>
      <c r="L243" s="121" t="str">
        <f t="shared" si="47"/>
        <v/>
      </c>
      <c r="M243" s="121" t="str">
        <f t="shared" si="48"/>
        <v/>
      </c>
    </row>
    <row r="244" spans="1:13" x14ac:dyDescent="0.25">
      <c r="A244" s="80">
        <f t="shared" si="49"/>
        <v>214</v>
      </c>
      <c r="B244" s="120" t="str">
        <f t="shared" si="39"/>
        <v/>
      </c>
      <c r="C244" s="121" t="str">
        <f t="shared" si="50"/>
        <v/>
      </c>
      <c r="D244" s="122" t="str">
        <f t="shared" si="40"/>
        <v/>
      </c>
      <c r="E244" s="121" t="str">
        <f t="shared" si="41"/>
        <v/>
      </c>
      <c r="F244" s="121" t="str">
        <f t="shared" si="42"/>
        <v/>
      </c>
      <c r="G244" s="121" t="str">
        <f t="shared" si="43"/>
        <v/>
      </c>
      <c r="H244" s="121" t="str">
        <f t="shared" si="44"/>
        <v/>
      </c>
      <c r="I244" s="122" t="str">
        <f t="shared" si="51"/>
        <v/>
      </c>
      <c r="J244" s="121" t="str">
        <f t="shared" si="45"/>
        <v/>
      </c>
      <c r="K244" s="121" t="str">
        <f t="shared" si="46"/>
        <v/>
      </c>
      <c r="L244" s="121" t="str">
        <f t="shared" si="47"/>
        <v/>
      </c>
      <c r="M244" s="121" t="str">
        <f t="shared" si="48"/>
        <v/>
      </c>
    </row>
    <row r="245" spans="1:13" x14ac:dyDescent="0.25">
      <c r="A245" s="80">
        <f t="shared" si="49"/>
        <v>215</v>
      </c>
      <c r="B245" s="120" t="str">
        <f t="shared" si="39"/>
        <v/>
      </c>
      <c r="C245" s="121" t="str">
        <f t="shared" si="50"/>
        <v/>
      </c>
      <c r="D245" s="122" t="str">
        <f t="shared" si="40"/>
        <v/>
      </c>
      <c r="E245" s="121" t="str">
        <f t="shared" si="41"/>
        <v/>
      </c>
      <c r="F245" s="121" t="str">
        <f t="shared" si="42"/>
        <v/>
      </c>
      <c r="G245" s="121" t="str">
        <f t="shared" si="43"/>
        <v/>
      </c>
      <c r="H245" s="121" t="str">
        <f t="shared" si="44"/>
        <v/>
      </c>
      <c r="I245" s="122" t="str">
        <f t="shared" si="51"/>
        <v/>
      </c>
      <c r="J245" s="121" t="str">
        <f t="shared" si="45"/>
        <v/>
      </c>
      <c r="K245" s="121" t="str">
        <f t="shared" si="46"/>
        <v/>
      </c>
      <c r="L245" s="121" t="str">
        <f t="shared" si="47"/>
        <v/>
      </c>
      <c r="M245" s="121" t="str">
        <f t="shared" si="48"/>
        <v/>
      </c>
    </row>
    <row r="246" spans="1:13" x14ac:dyDescent="0.25">
      <c r="A246" s="80">
        <f t="shared" si="49"/>
        <v>216</v>
      </c>
      <c r="B246" s="120" t="str">
        <f t="shared" si="39"/>
        <v/>
      </c>
      <c r="C246" s="121" t="str">
        <f t="shared" si="50"/>
        <v/>
      </c>
      <c r="D246" s="122" t="str">
        <f t="shared" si="40"/>
        <v/>
      </c>
      <c r="E246" s="121" t="str">
        <f t="shared" si="41"/>
        <v/>
      </c>
      <c r="F246" s="121" t="str">
        <f t="shared" si="42"/>
        <v/>
      </c>
      <c r="G246" s="121" t="str">
        <f t="shared" si="43"/>
        <v/>
      </c>
      <c r="H246" s="121" t="str">
        <f t="shared" si="44"/>
        <v/>
      </c>
      <c r="I246" s="122" t="str">
        <f t="shared" si="51"/>
        <v/>
      </c>
      <c r="J246" s="121" t="str">
        <f t="shared" si="45"/>
        <v/>
      </c>
      <c r="K246" s="121" t="str">
        <f t="shared" si="46"/>
        <v/>
      </c>
      <c r="L246" s="121" t="str">
        <f t="shared" si="47"/>
        <v/>
      </c>
      <c r="M246" s="121" t="str">
        <f t="shared" si="48"/>
        <v/>
      </c>
    </row>
    <row r="247" spans="1:13" x14ac:dyDescent="0.25">
      <c r="A247" s="80">
        <f t="shared" si="49"/>
        <v>217</v>
      </c>
      <c r="B247" s="120" t="str">
        <f t="shared" si="39"/>
        <v/>
      </c>
      <c r="C247" s="121" t="str">
        <f t="shared" si="50"/>
        <v/>
      </c>
      <c r="D247" s="122" t="str">
        <f t="shared" si="40"/>
        <v/>
      </c>
      <c r="E247" s="121" t="str">
        <f t="shared" si="41"/>
        <v/>
      </c>
      <c r="F247" s="121" t="str">
        <f t="shared" si="42"/>
        <v/>
      </c>
      <c r="G247" s="121" t="str">
        <f t="shared" si="43"/>
        <v/>
      </c>
      <c r="H247" s="121" t="str">
        <f t="shared" si="44"/>
        <v/>
      </c>
      <c r="I247" s="122" t="str">
        <f t="shared" si="51"/>
        <v/>
      </c>
      <c r="J247" s="121" t="str">
        <f t="shared" si="45"/>
        <v/>
      </c>
      <c r="K247" s="121" t="str">
        <f t="shared" si="46"/>
        <v/>
      </c>
      <c r="L247" s="121" t="str">
        <f t="shared" si="47"/>
        <v/>
      </c>
      <c r="M247" s="121" t="str">
        <f t="shared" si="48"/>
        <v/>
      </c>
    </row>
    <row r="248" spans="1:13" x14ac:dyDescent="0.25">
      <c r="A248" s="80">
        <f t="shared" si="49"/>
        <v>218</v>
      </c>
      <c r="B248" s="120" t="str">
        <f t="shared" si="39"/>
        <v/>
      </c>
      <c r="C248" s="121" t="str">
        <f t="shared" si="50"/>
        <v/>
      </c>
      <c r="D248" s="122" t="str">
        <f t="shared" si="40"/>
        <v/>
      </c>
      <c r="E248" s="121" t="str">
        <f t="shared" si="41"/>
        <v/>
      </c>
      <c r="F248" s="121" t="str">
        <f t="shared" si="42"/>
        <v/>
      </c>
      <c r="G248" s="121" t="str">
        <f t="shared" si="43"/>
        <v/>
      </c>
      <c r="H248" s="121" t="str">
        <f t="shared" si="44"/>
        <v/>
      </c>
      <c r="I248" s="122" t="str">
        <f t="shared" si="51"/>
        <v/>
      </c>
      <c r="J248" s="121" t="str">
        <f t="shared" si="45"/>
        <v/>
      </c>
      <c r="K248" s="121" t="str">
        <f t="shared" si="46"/>
        <v/>
      </c>
      <c r="L248" s="121" t="str">
        <f t="shared" si="47"/>
        <v/>
      </c>
      <c r="M248" s="121" t="str">
        <f t="shared" si="48"/>
        <v/>
      </c>
    </row>
    <row r="249" spans="1:13" x14ac:dyDescent="0.25">
      <c r="A249" s="80">
        <f t="shared" si="49"/>
        <v>219</v>
      </c>
      <c r="B249" s="120" t="str">
        <f t="shared" si="39"/>
        <v/>
      </c>
      <c r="C249" s="121" t="str">
        <f t="shared" si="50"/>
        <v/>
      </c>
      <c r="D249" s="122" t="str">
        <f t="shared" si="40"/>
        <v/>
      </c>
      <c r="E249" s="121" t="str">
        <f t="shared" si="41"/>
        <v/>
      </c>
      <c r="F249" s="121" t="str">
        <f t="shared" si="42"/>
        <v/>
      </c>
      <c r="G249" s="121" t="str">
        <f t="shared" si="43"/>
        <v/>
      </c>
      <c r="H249" s="121" t="str">
        <f t="shared" si="44"/>
        <v/>
      </c>
      <c r="I249" s="122" t="str">
        <f t="shared" si="51"/>
        <v/>
      </c>
      <c r="J249" s="121" t="str">
        <f t="shared" si="45"/>
        <v/>
      </c>
      <c r="K249" s="121" t="str">
        <f t="shared" si="46"/>
        <v/>
      </c>
      <c r="L249" s="121" t="str">
        <f t="shared" si="47"/>
        <v/>
      </c>
      <c r="M249" s="121" t="str">
        <f t="shared" si="48"/>
        <v/>
      </c>
    </row>
    <row r="250" spans="1:13" x14ac:dyDescent="0.25">
      <c r="A250" s="80">
        <f t="shared" si="49"/>
        <v>220</v>
      </c>
      <c r="B250" s="120" t="str">
        <f t="shared" si="39"/>
        <v/>
      </c>
      <c r="C250" s="121" t="str">
        <f t="shared" si="50"/>
        <v/>
      </c>
      <c r="D250" s="122" t="str">
        <f t="shared" si="40"/>
        <v/>
      </c>
      <c r="E250" s="121" t="str">
        <f t="shared" si="41"/>
        <v/>
      </c>
      <c r="F250" s="121" t="str">
        <f t="shared" si="42"/>
        <v/>
      </c>
      <c r="G250" s="121" t="str">
        <f t="shared" si="43"/>
        <v/>
      </c>
      <c r="H250" s="121" t="str">
        <f t="shared" si="44"/>
        <v/>
      </c>
      <c r="I250" s="122" t="str">
        <f t="shared" si="51"/>
        <v/>
      </c>
      <c r="J250" s="121" t="str">
        <f t="shared" si="45"/>
        <v/>
      </c>
      <c r="K250" s="121" t="str">
        <f t="shared" si="46"/>
        <v/>
      </c>
      <c r="L250" s="121" t="str">
        <f t="shared" si="47"/>
        <v/>
      </c>
      <c r="M250" s="121" t="str">
        <f t="shared" si="48"/>
        <v/>
      </c>
    </row>
    <row r="251" spans="1:13" x14ac:dyDescent="0.25">
      <c r="A251" s="80">
        <f t="shared" si="49"/>
        <v>221</v>
      </c>
      <c r="B251" s="120" t="str">
        <f t="shared" si="39"/>
        <v/>
      </c>
      <c r="C251" s="121" t="str">
        <f t="shared" si="50"/>
        <v/>
      </c>
      <c r="D251" s="122" t="str">
        <f t="shared" si="40"/>
        <v/>
      </c>
      <c r="E251" s="121" t="str">
        <f t="shared" si="41"/>
        <v/>
      </c>
      <c r="F251" s="121" t="str">
        <f t="shared" si="42"/>
        <v/>
      </c>
      <c r="G251" s="121" t="str">
        <f t="shared" si="43"/>
        <v/>
      </c>
      <c r="H251" s="121" t="str">
        <f t="shared" si="44"/>
        <v/>
      </c>
      <c r="I251" s="122" t="str">
        <f t="shared" si="51"/>
        <v/>
      </c>
      <c r="J251" s="121" t="str">
        <f t="shared" si="45"/>
        <v/>
      </c>
      <c r="K251" s="121" t="str">
        <f t="shared" si="46"/>
        <v/>
      </c>
      <c r="L251" s="121" t="str">
        <f t="shared" si="47"/>
        <v/>
      </c>
      <c r="M251" s="121" t="str">
        <f t="shared" si="48"/>
        <v/>
      </c>
    </row>
    <row r="252" spans="1:13" x14ac:dyDescent="0.25">
      <c r="A252" s="80">
        <f t="shared" si="49"/>
        <v>222</v>
      </c>
      <c r="B252" s="120" t="str">
        <f t="shared" si="39"/>
        <v/>
      </c>
      <c r="C252" s="121" t="str">
        <f t="shared" si="50"/>
        <v/>
      </c>
      <c r="D252" s="122" t="str">
        <f t="shared" si="40"/>
        <v/>
      </c>
      <c r="E252" s="121" t="str">
        <f t="shared" si="41"/>
        <v/>
      </c>
      <c r="F252" s="121" t="str">
        <f t="shared" si="42"/>
        <v/>
      </c>
      <c r="G252" s="121" t="str">
        <f t="shared" si="43"/>
        <v/>
      </c>
      <c r="H252" s="121" t="str">
        <f t="shared" si="44"/>
        <v/>
      </c>
      <c r="I252" s="122" t="str">
        <f t="shared" si="51"/>
        <v/>
      </c>
      <c r="J252" s="121" t="str">
        <f t="shared" si="45"/>
        <v/>
      </c>
      <c r="K252" s="121" t="str">
        <f t="shared" si="46"/>
        <v/>
      </c>
      <c r="L252" s="121" t="str">
        <f t="shared" si="47"/>
        <v/>
      </c>
      <c r="M252" s="121" t="str">
        <f t="shared" si="48"/>
        <v/>
      </c>
    </row>
    <row r="253" spans="1:13" x14ac:dyDescent="0.25">
      <c r="A253" s="80">
        <f t="shared" si="49"/>
        <v>223</v>
      </c>
      <c r="B253" s="120" t="str">
        <f t="shared" si="39"/>
        <v/>
      </c>
      <c r="C253" s="121" t="str">
        <f t="shared" si="50"/>
        <v/>
      </c>
      <c r="D253" s="122" t="str">
        <f t="shared" si="40"/>
        <v/>
      </c>
      <c r="E253" s="121" t="str">
        <f t="shared" si="41"/>
        <v/>
      </c>
      <c r="F253" s="121" t="str">
        <f t="shared" si="42"/>
        <v/>
      </c>
      <c r="G253" s="121" t="str">
        <f t="shared" si="43"/>
        <v/>
      </c>
      <c r="H253" s="121" t="str">
        <f t="shared" si="44"/>
        <v/>
      </c>
      <c r="I253" s="122" t="str">
        <f t="shared" si="51"/>
        <v/>
      </c>
      <c r="J253" s="121" t="str">
        <f t="shared" si="45"/>
        <v/>
      </c>
      <c r="K253" s="121" t="str">
        <f t="shared" si="46"/>
        <v/>
      </c>
      <c r="L253" s="121" t="str">
        <f t="shared" si="47"/>
        <v/>
      </c>
      <c r="M253" s="121" t="str">
        <f t="shared" si="48"/>
        <v/>
      </c>
    </row>
    <row r="254" spans="1:13" x14ac:dyDescent="0.25">
      <c r="A254" s="80">
        <f t="shared" si="49"/>
        <v>224</v>
      </c>
      <c r="B254" s="120" t="str">
        <f t="shared" si="39"/>
        <v/>
      </c>
      <c r="C254" s="121" t="str">
        <f t="shared" si="50"/>
        <v/>
      </c>
      <c r="D254" s="122" t="str">
        <f t="shared" si="40"/>
        <v/>
      </c>
      <c r="E254" s="121" t="str">
        <f t="shared" si="41"/>
        <v/>
      </c>
      <c r="F254" s="121" t="str">
        <f t="shared" si="42"/>
        <v/>
      </c>
      <c r="G254" s="121" t="str">
        <f t="shared" si="43"/>
        <v/>
      </c>
      <c r="H254" s="121" t="str">
        <f t="shared" si="44"/>
        <v/>
      </c>
      <c r="I254" s="122" t="str">
        <f t="shared" si="51"/>
        <v/>
      </c>
      <c r="J254" s="121" t="str">
        <f t="shared" si="45"/>
        <v/>
      </c>
      <c r="K254" s="121" t="str">
        <f t="shared" si="46"/>
        <v/>
      </c>
      <c r="L254" s="121" t="str">
        <f t="shared" si="47"/>
        <v/>
      </c>
      <c r="M254" s="121" t="str">
        <f t="shared" si="48"/>
        <v/>
      </c>
    </row>
    <row r="255" spans="1:13" x14ac:dyDescent="0.25">
      <c r="A255" s="80">
        <f t="shared" si="49"/>
        <v>225</v>
      </c>
      <c r="B255" s="120" t="str">
        <f t="shared" si="39"/>
        <v/>
      </c>
      <c r="C255" s="121" t="str">
        <f t="shared" si="50"/>
        <v/>
      </c>
      <c r="D255" s="122" t="str">
        <f t="shared" si="40"/>
        <v/>
      </c>
      <c r="E255" s="121" t="str">
        <f t="shared" si="41"/>
        <v/>
      </c>
      <c r="F255" s="121" t="str">
        <f t="shared" si="42"/>
        <v/>
      </c>
      <c r="G255" s="121" t="str">
        <f t="shared" si="43"/>
        <v/>
      </c>
      <c r="H255" s="121" t="str">
        <f t="shared" si="44"/>
        <v/>
      </c>
      <c r="I255" s="122" t="str">
        <f t="shared" si="51"/>
        <v/>
      </c>
      <c r="J255" s="121" t="str">
        <f t="shared" si="45"/>
        <v/>
      </c>
      <c r="K255" s="121" t="str">
        <f t="shared" si="46"/>
        <v/>
      </c>
      <c r="L255" s="121" t="str">
        <f t="shared" si="47"/>
        <v/>
      </c>
      <c r="M255" s="121" t="str">
        <f t="shared" si="48"/>
        <v/>
      </c>
    </row>
    <row r="256" spans="1:13" x14ac:dyDescent="0.25">
      <c r="A256" s="80">
        <f t="shared" si="49"/>
        <v>226</v>
      </c>
      <c r="B256" s="120" t="str">
        <f t="shared" si="39"/>
        <v/>
      </c>
      <c r="C256" s="121" t="str">
        <f t="shared" si="50"/>
        <v/>
      </c>
      <c r="D256" s="122" t="str">
        <f t="shared" si="40"/>
        <v/>
      </c>
      <c r="E256" s="121" t="str">
        <f t="shared" si="41"/>
        <v/>
      </c>
      <c r="F256" s="121" t="str">
        <f t="shared" si="42"/>
        <v/>
      </c>
      <c r="G256" s="121" t="str">
        <f t="shared" si="43"/>
        <v/>
      </c>
      <c r="H256" s="121" t="str">
        <f t="shared" si="44"/>
        <v/>
      </c>
      <c r="I256" s="122" t="str">
        <f t="shared" si="51"/>
        <v/>
      </c>
      <c r="J256" s="121" t="str">
        <f t="shared" si="45"/>
        <v/>
      </c>
      <c r="K256" s="121" t="str">
        <f t="shared" si="46"/>
        <v/>
      </c>
      <c r="L256" s="121" t="str">
        <f t="shared" si="47"/>
        <v/>
      </c>
      <c r="M256" s="121" t="str">
        <f t="shared" si="48"/>
        <v/>
      </c>
    </row>
    <row r="257" spans="1:13" x14ac:dyDescent="0.25">
      <c r="A257" s="80">
        <f t="shared" si="49"/>
        <v>227</v>
      </c>
      <c r="B257" s="120" t="str">
        <f t="shared" si="39"/>
        <v/>
      </c>
      <c r="C257" s="121" t="str">
        <f t="shared" si="50"/>
        <v/>
      </c>
      <c r="D257" s="122" t="str">
        <f t="shared" si="40"/>
        <v/>
      </c>
      <c r="E257" s="121" t="str">
        <f t="shared" si="41"/>
        <v/>
      </c>
      <c r="F257" s="121" t="str">
        <f t="shared" si="42"/>
        <v/>
      </c>
      <c r="G257" s="121" t="str">
        <f t="shared" si="43"/>
        <v/>
      </c>
      <c r="H257" s="121" t="str">
        <f t="shared" si="44"/>
        <v/>
      </c>
      <c r="I257" s="122" t="str">
        <f t="shared" si="51"/>
        <v/>
      </c>
      <c r="J257" s="121" t="str">
        <f t="shared" si="45"/>
        <v/>
      </c>
      <c r="K257" s="121" t="str">
        <f t="shared" si="46"/>
        <v/>
      </c>
      <c r="L257" s="121" t="str">
        <f t="shared" si="47"/>
        <v/>
      </c>
      <c r="M257" s="121" t="str">
        <f t="shared" si="48"/>
        <v/>
      </c>
    </row>
    <row r="258" spans="1:13" x14ac:dyDescent="0.25">
      <c r="A258" s="80">
        <f t="shared" si="49"/>
        <v>228</v>
      </c>
      <c r="B258" s="120" t="str">
        <f t="shared" si="39"/>
        <v/>
      </c>
      <c r="C258" s="121" t="str">
        <f t="shared" si="50"/>
        <v/>
      </c>
      <c r="D258" s="122" t="str">
        <f t="shared" si="40"/>
        <v/>
      </c>
      <c r="E258" s="121" t="str">
        <f t="shared" si="41"/>
        <v/>
      </c>
      <c r="F258" s="121" t="str">
        <f t="shared" si="42"/>
        <v/>
      </c>
      <c r="G258" s="121" t="str">
        <f t="shared" si="43"/>
        <v/>
      </c>
      <c r="H258" s="121" t="str">
        <f t="shared" si="44"/>
        <v/>
      </c>
      <c r="I258" s="122" t="str">
        <f t="shared" si="51"/>
        <v/>
      </c>
      <c r="J258" s="121" t="str">
        <f t="shared" si="45"/>
        <v/>
      </c>
      <c r="K258" s="121" t="str">
        <f t="shared" si="46"/>
        <v/>
      </c>
      <c r="L258" s="121" t="str">
        <f t="shared" si="47"/>
        <v/>
      </c>
      <c r="M258" s="121" t="str">
        <f t="shared" si="48"/>
        <v/>
      </c>
    </row>
    <row r="259" spans="1:13" x14ac:dyDescent="0.25">
      <c r="A259" s="80">
        <f t="shared" si="49"/>
        <v>229</v>
      </c>
      <c r="B259" s="120" t="str">
        <f t="shared" si="39"/>
        <v/>
      </c>
      <c r="C259" s="121" t="str">
        <f t="shared" si="50"/>
        <v/>
      </c>
      <c r="D259" s="122" t="str">
        <f t="shared" si="40"/>
        <v/>
      </c>
      <c r="E259" s="121" t="str">
        <f t="shared" si="41"/>
        <v/>
      </c>
      <c r="F259" s="121" t="str">
        <f t="shared" si="42"/>
        <v/>
      </c>
      <c r="G259" s="121" t="str">
        <f t="shared" si="43"/>
        <v/>
      </c>
      <c r="H259" s="121" t="str">
        <f t="shared" si="44"/>
        <v/>
      </c>
      <c r="I259" s="122" t="str">
        <f t="shared" si="51"/>
        <v/>
      </c>
      <c r="J259" s="121" t="str">
        <f t="shared" si="45"/>
        <v/>
      </c>
      <c r="K259" s="121" t="str">
        <f t="shared" si="46"/>
        <v/>
      </c>
      <c r="L259" s="121" t="str">
        <f t="shared" si="47"/>
        <v/>
      </c>
      <c r="M259" s="121" t="str">
        <f t="shared" si="48"/>
        <v/>
      </c>
    </row>
    <row r="260" spans="1:13" x14ac:dyDescent="0.25">
      <c r="A260" s="80">
        <f t="shared" si="49"/>
        <v>230</v>
      </c>
      <c r="B260" s="120" t="str">
        <f t="shared" si="39"/>
        <v/>
      </c>
      <c r="C260" s="121" t="str">
        <f t="shared" si="50"/>
        <v/>
      </c>
      <c r="D260" s="122" t="str">
        <f t="shared" si="40"/>
        <v/>
      </c>
      <c r="E260" s="121" t="str">
        <f t="shared" si="41"/>
        <v/>
      </c>
      <c r="F260" s="121" t="str">
        <f t="shared" si="42"/>
        <v/>
      </c>
      <c r="G260" s="121" t="str">
        <f t="shared" si="43"/>
        <v/>
      </c>
      <c r="H260" s="121" t="str">
        <f t="shared" si="44"/>
        <v/>
      </c>
      <c r="I260" s="122" t="str">
        <f t="shared" si="51"/>
        <v/>
      </c>
      <c r="J260" s="121" t="str">
        <f t="shared" si="45"/>
        <v/>
      </c>
      <c r="K260" s="121" t="str">
        <f t="shared" si="46"/>
        <v/>
      </c>
      <c r="L260" s="121" t="str">
        <f t="shared" si="47"/>
        <v/>
      </c>
      <c r="M260" s="121" t="str">
        <f t="shared" si="48"/>
        <v/>
      </c>
    </row>
    <row r="261" spans="1:13" x14ac:dyDescent="0.25">
      <c r="A261" s="80">
        <f t="shared" si="49"/>
        <v>231</v>
      </c>
      <c r="B261" s="120" t="str">
        <f t="shared" si="39"/>
        <v/>
      </c>
      <c r="C261" s="121" t="str">
        <f t="shared" si="50"/>
        <v/>
      </c>
      <c r="D261" s="122" t="str">
        <f t="shared" si="40"/>
        <v/>
      </c>
      <c r="E261" s="121" t="str">
        <f t="shared" si="41"/>
        <v/>
      </c>
      <c r="F261" s="121" t="str">
        <f t="shared" si="42"/>
        <v/>
      </c>
      <c r="G261" s="121" t="str">
        <f t="shared" si="43"/>
        <v/>
      </c>
      <c r="H261" s="121" t="str">
        <f t="shared" si="44"/>
        <v/>
      </c>
      <c r="I261" s="122" t="str">
        <f t="shared" si="51"/>
        <v/>
      </c>
      <c r="J261" s="121" t="str">
        <f t="shared" si="45"/>
        <v/>
      </c>
      <c r="K261" s="121" t="str">
        <f t="shared" si="46"/>
        <v/>
      </c>
      <c r="L261" s="121" t="str">
        <f t="shared" si="47"/>
        <v/>
      </c>
      <c r="M261" s="121" t="str">
        <f t="shared" si="48"/>
        <v/>
      </c>
    </row>
    <row r="262" spans="1:13" x14ac:dyDescent="0.25">
      <c r="A262" s="80">
        <f t="shared" si="49"/>
        <v>232</v>
      </c>
      <c r="B262" s="120" t="str">
        <f t="shared" si="39"/>
        <v/>
      </c>
      <c r="C262" s="121" t="str">
        <f t="shared" si="50"/>
        <v/>
      </c>
      <c r="D262" s="122" t="str">
        <f t="shared" si="40"/>
        <v/>
      </c>
      <c r="E262" s="121" t="str">
        <f t="shared" si="41"/>
        <v/>
      </c>
      <c r="F262" s="121" t="str">
        <f t="shared" si="42"/>
        <v/>
      </c>
      <c r="G262" s="121" t="str">
        <f t="shared" si="43"/>
        <v/>
      </c>
      <c r="H262" s="121" t="str">
        <f t="shared" si="44"/>
        <v/>
      </c>
      <c r="I262" s="122" t="str">
        <f t="shared" si="51"/>
        <v/>
      </c>
      <c r="J262" s="121" t="str">
        <f t="shared" si="45"/>
        <v/>
      </c>
      <c r="K262" s="121" t="str">
        <f t="shared" si="46"/>
        <v/>
      </c>
      <c r="L262" s="121" t="str">
        <f t="shared" si="47"/>
        <v/>
      </c>
      <c r="M262" s="121" t="str">
        <f t="shared" si="48"/>
        <v/>
      </c>
    </row>
    <row r="263" spans="1:13" x14ac:dyDescent="0.25">
      <c r="A263" s="80">
        <f t="shared" si="49"/>
        <v>233</v>
      </c>
      <c r="B263" s="120" t="str">
        <f t="shared" si="39"/>
        <v/>
      </c>
      <c r="C263" s="121" t="str">
        <f t="shared" si="50"/>
        <v/>
      </c>
      <c r="D263" s="122" t="str">
        <f t="shared" si="40"/>
        <v/>
      </c>
      <c r="E263" s="121" t="str">
        <f t="shared" si="41"/>
        <v/>
      </c>
      <c r="F263" s="121" t="str">
        <f t="shared" si="42"/>
        <v/>
      </c>
      <c r="G263" s="121" t="str">
        <f t="shared" si="43"/>
        <v/>
      </c>
      <c r="H263" s="121" t="str">
        <f t="shared" si="44"/>
        <v/>
      </c>
      <c r="I263" s="122" t="str">
        <f t="shared" si="51"/>
        <v/>
      </c>
      <c r="J263" s="121" t="str">
        <f t="shared" si="45"/>
        <v/>
      </c>
      <c r="K263" s="121" t="str">
        <f t="shared" si="46"/>
        <v/>
      </c>
      <c r="L263" s="121" t="str">
        <f t="shared" si="47"/>
        <v/>
      </c>
      <c r="M263" s="121" t="str">
        <f t="shared" si="48"/>
        <v/>
      </c>
    </row>
    <row r="264" spans="1:13" x14ac:dyDescent="0.25">
      <c r="A264" s="80">
        <f t="shared" si="49"/>
        <v>234</v>
      </c>
      <c r="B264" s="120" t="str">
        <f t="shared" si="39"/>
        <v/>
      </c>
      <c r="C264" s="121" t="str">
        <f t="shared" si="50"/>
        <v/>
      </c>
      <c r="D264" s="122" t="str">
        <f t="shared" si="40"/>
        <v/>
      </c>
      <c r="E264" s="121" t="str">
        <f t="shared" si="41"/>
        <v/>
      </c>
      <c r="F264" s="121" t="str">
        <f t="shared" si="42"/>
        <v/>
      </c>
      <c r="G264" s="121" t="str">
        <f t="shared" si="43"/>
        <v/>
      </c>
      <c r="H264" s="121" t="str">
        <f t="shared" si="44"/>
        <v/>
      </c>
      <c r="I264" s="122" t="str">
        <f t="shared" si="51"/>
        <v/>
      </c>
      <c r="J264" s="121" t="str">
        <f t="shared" si="45"/>
        <v/>
      </c>
      <c r="K264" s="121" t="str">
        <f t="shared" si="46"/>
        <v/>
      </c>
      <c r="L264" s="121" t="str">
        <f t="shared" si="47"/>
        <v/>
      </c>
      <c r="M264" s="121" t="str">
        <f t="shared" si="48"/>
        <v/>
      </c>
    </row>
    <row r="265" spans="1:13" x14ac:dyDescent="0.25">
      <c r="A265" s="80">
        <f t="shared" si="49"/>
        <v>235</v>
      </c>
      <c r="B265" s="120" t="str">
        <f t="shared" si="39"/>
        <v/>
      </c>
      <c r="C265" s="121" t="str">
        <f t="shared" si="50"/>
        <v/>
      </c>
      <c r="D265" s="122" t="str">
        <f t="shared" si="40"/>
        <v/>
      </c>
      <c r="E265" s="121" t="str">
        <f t="shared" si="41"/>
        <v/>
      </c>
      <c r="F265" s="121" t="str">
        <f t="shared" si="42"/>
        <v/>
      </c>
      <c r="G265" s="121" t="str">
        <f t="shared" si="43"/>
        <v/>
      </c>
      <c r="H265" s="121" t="str">
        <f t="shared" si="44"/>
        <v/>
      </c>
      <c r="I265" s="122" t="str">
        <f t="shared" si="51"/>
        <v/>
      </c>
      <c r="J265" s="121" t="str">
        <f t="shared" si="45"/>
        <v/>
      </c>
      <c r="K265" s="121" t="str">
        <f t="shared" si="46"/>
        <v/>
      </c>
      <c r="L265" s="121" t="str">
        <f t="shared" si="47"/>
        <v/>
      </c>
      <c r="M265" s="121" t="str">
        <f t="shared" si="48"/>
        <v/>
      </c>
    </row>
    <row r="266" spans="1:13" x14ac:dyDescent="0.25">
      <c r="A266" s="80">
        <f t="shared" si="49"/>
        <v>236</v>
      </c>
      <c r="B266" s="120" t="str">
        <f t="shared" si="39"/>
        <v/>
      </c>
      <c r="C266" s="121" t="str">
        <f t="shared" si="50"/>
        <v/>
      </c>
      <c r="D266" s="122" t="str">
        <f t="shared" si="40"/>
        <v/>
      </c>
      <c r="E266" s="121" t="str">
        <f t="shared" si="41"/>
        <v/>
      </c>
      <c r="F266" s="121" t="str">
        <f t="shared" si="42"/>
        <v/>
      </c>
      <c r="G266" s="121" t="str">
        <f t="shared" si="43"/>
        <v/>
      </c>
      <c r="H266" s="121" t="str">
        <f t="shared" si="44"/>
        <v/>
      </c>
      <c r="I266" s="122" t="str">
        <f t="shared" si="51"/>
        <v/>
      </c>
      <c r="J266" s="121" t="str">
        <f t="shared" si="45"/>
        <v/>
      </c>
      <c r="K266" s="121" t="str">
        <f t="shared" si="46"/>
        <v/>
      </c>
      <c r="L266" s="121" t="str">
        <f t="shared" si="47"/>
        <v/>
      </c>
      <c r="M266" s="121" t="str">
        <f t="shared" si="48"/>
        <v/>
      </c>
    </row>
    <row r="267" spans="1:13" x14ac:dyDescent="0.25">
      <c r="A267" s="80">
        <f t="shared" si="49"/>
        <v>237</v>
      </c>
      <c r="B267" s="120" t="str">
        <f t="shared" si="39"/>
        <v/>
      </c>
      <c r="C267" s="121" t="str">
        <f t="shared" si="50"/>
        <v/>
      </c>
      <c r="D267" s="122" t="str">
        <f t="shared" si="40"/>
        <v/>
      </c>
      <c r="E267" s="121" t="str">
        <f t="shared" si="41"/>
        <v/>
      </c>
      <c r="F267" s="121" t="str">
        <f t="shared" si="42"/>
        <v/>
      </c>
      <c r="G267" s="121" t="str">
        <f t="shared" si="43"/>
        <v/>
      </c>
      <c r="H267" s="121" t="str">
        <f t="shared" si="44"/>
        <v/>
      </c>
      <c r="I267" s="122" t="str">
        <f t="shared" si="51"/>
        <v/>
      </c>
      <c r="J267" s="121" t="str">
        <f t="shared" si="45"/>
        <v/>
      </c>
      <c r="K267" s="121" t="str">
        <f t="shared" si="46"/>
        <v/>
      </c>
      <c r="L267" s="121" t="str">
        <f t="shared" si="47"/>
        <v/>
      </c>
      <c r="M267" s="121" t="str">
        <f t="shared" si="48"/>
        <v/>
      </c>
    </row>
    <row r="268" spans="1:13" x14ac:dyDescent="0.25">
      <c r="A268" s="80">
        <f t="shared" si="49"/>
        <v>238</v>
      </c>
      <c r="B268" s="120" t="str">
        <f t="shared" si="39"/>
        <v/>
      </c>
      <c r="C268" s="121" t="str">
        <f t="shared" si="50"/>
        <v/>
      </c>
      <c r="D268" s="122" t="str">
        <f t="shared" si="40"/>
        <v/>
      </c>
      <c r="E268" s="121" t="str">
        <f t="shared" si="41"/>
        <v/>
      </c>
      <c r="F268" s="121" t="str">
        <f t="shared" si="42"/>
        <v/>
      </c>
      <c r="G268" s="121" t="str">
        <f t="shared" si="43"/>
        <v/>
      </c>
      <c r="H268" s="121" t="str">
        <f t="shared" si="44"/>
        <v/>
      </c>
      <c r="I268" s="122" t="str">
        <f t="shared" si="51"/>
        <v/>
      </c>
      <c r="J268" s="121" t="str">
        <f t="shared" si="45"/>
        <v/>
      </c>
      <c r="K268" s="121" t="str">
        <f t="shared" si="46"/>
        <v/>
      </c>
      <c r="L268" s="121" t="str">
        <f t="shared" si="47"/>
        <v/>
      </c>
      <c r="M268" s="121" t="str">
        <f t="shared" si="48"/>
        <v/>
      </c>
    </row>
    <row r="269" spans="1:13" x14ac:dyDescent="0.25">
      <c r="A269" s="80">
        <f t="shared" si="49"/>
        <v>239</v>
      </c>
      <c r="B269" s="120" t="str">
        <f t="shared" si="39"/>
        <v/>
      </c>
      <c r="C269" s="121" t="str">
        <f t="shared" si="50"/>
        <v/>
      </c>
      <c r="D269" s="122" t="str">
        <f t="shared" si="40"/>
        <v/>
      </c>
      <c r="E269" s="121" t="str">
        <f t="shared" si="41"/>
        <v/>
      </c>
      <c r="F269" s="121" t="str">
        <f t="shared" si="42"/>
        <v/>
      </c>
      <c r="G269" s="121" t="str">
        <f t="shared" si="43"/>
        <v/>
      </c>
      <c r="H269" s="121" t="str">
        <f t="shared" si="44"/>
        <v/>
      </c>
      <c r="I269" s="122" t="str">
        <f t="shared" si="51"/>
        <v/>
      </c>
      <c r="J269" s="121" t="str">
        <f t="shared" si="45"/>
        <v/>
      </c>
      <c r="K269" s="121" t="str">
        <f t="shared" si="46"/>
        <v/>
      </c>
      <c r="L269" s="121" t="str">
        <f t="shared" si="47"/>
        <v/>
      </c>
      <c r="M269" s="121" t="str">
        <f t="shared" si="48"/>
        <v/>
      </c>
    </row>
    <row r="270" spans="1:13" x14ac:dyDescent="0.25">
      <c r="A270" s="80">
        <f t="shared" si="49"/>
        <v>240</v>
      </c>
      <c r="B270" s="120" t="str">
        <f t="shared" si="39"/>
        <v/>
      </c>
      <c r="C270" s="121" t="str">
        <f t="shared" si="50"/>
        <v/>
      </c>
      <c r="D270" s="122" t="str">
        <f t="shared" si="40"/>
        <v/>
      </c>
      <c r="E270" s="121" t="str">
        <f t="shared" si="41"/>
        <v/>
      </c>
      <c r="F270" s="121" t="str">
        <f t="shared" si="42"/>
        <v/>
      </c>
      <c r="G270" s="121" t="str">
        <f t="shared" si="43"/>
        <v/>
      </c>
      <c r="H270" s="121" t="str">
        <f t="shared" si="44"/>
        <v/>
      </c>
      <c r="I270" s="122" t="str">
        <f t="shared" si="51"/>
        <v/>
      </c>
      <c r="J270" s="121" t="str">
        <f t="shared" si="45"/>
        <v/>
      </c>
      <c r="K270" s="121" t="str">
        <f t="shared" si="46"/>
        <v/>
      </c>
      <c r="L270" s="121" t="str">
        <f t="shared" si="47"/>
        <v/>
      </c>
      <c r="M270" s="121" t="str">
        <f t="shared" si="48"/>
        <v/>
      </c>
    </row>
    <row r="271" spans="1:13" x14ac:dyDescent="0.25">
      <c r="A271" s="80">
        <f t="shared" si="49"/>
        <v>241</v>
      </c>
      <c r="B271" s="120" t="str">
        <f t="shared" si="39"/>
        <v/>
      </c>
      <c r="C271" s="121" t="str">
        <f t="shared" si="50"/>
        <v/>
      </c>
      <c r="D271" s="122" t="str">
        <f t="shared" si="40"/>
        <v/>
      </c>
      <c r="E271" s="121" t="str">
        <f t="shared" si="41"/>
        <v/>
      </c>
      <c r="F271" s="121" t="str">
        <f t="shared" si="42"/>
        <v/>
      </c>
      <c r="G271" s="121" t="str">
        <f t="shared" si="43"/>
        <v/>
      </c>
      <c r="H271" s="121" t="str">
        <f t="shared" si="44"/>
        <v/>
      </c>
      <c r="I271" s="122" t="str">
        <f t="shared" si="51"/>
        <v/>
      </c>
      <c r="J271" s="121" t="str">
        <f t="shared" si="45"/>
        <v/>
      </c>
      <c r="K271" s="121" t="str">
        <f t="shared" si="46"/>
        <v/>
      </c>
      <c r="L271" s="121" t="str">
        <f t="shared" si="47"/>
        <v/>
      </c>
      <c r="M271" s="121" t="str">
        <f t="shared" si="48"/>
        <v/>
      </c>
    </row>
    <row r="272" spans="1:13" x14ac:dyDescent="0.25">
      <c r="A272" s="80">
        <f t="shared" si="49"/>
        <v>242</v>
      </c>
      <c r="B272" s="120" t="str">
        <f t="shared" si="39"/>
        <v/>
      </c>
      <c r="C272" s="121" t="str">
        <f t="shared" si="50"/>
        <v/>
      </c>
      <c r="D272" s="122" t="str">
        <f t="shared" si="40"/>
        <v/>
      </c>
      <c r="E272" s="121" t="str">
        <f t="shared" si="41"/>
        <v/>
      </c>
      <c r="F272" s="121" t="str">
        <f t="shared" si="42"/>
        <v/>
      </c>
      <c r="G272" s="121" t="str">
        <f t="shared" si="43"/>
        <v/>
      </c>
      <c r="H272" s="121" t="str">
        <f t="shared" si="44"/>
        <v/>
      </c>
      <c r="I272" s="122" t="str">
        <f t="shared" si="51"/>
        <v/>
      </c>
      <c r="J272" s="121" t="str">
        <f t="shared" si="45"/>
        <v/>
      </c>
      <c r="K272" s="121" t="str">
        <f t="shared" si="46"/>
        <v/>
      </c>
      <c r="L272" s="121" t="str">
        <f t="shared" si="47"/>
        <v/>
      </c>
      <c r="M272" s="121" t="str">
        <f t="shared" si="48"/>
        <v/>
      </c>
    </row>
    <row r="273" spans="1:13" x14ac:dyDescent="0.25">
      <c r="A273" s="80">
        <f t="shared" si="49"/>
        <v>243</v>
      </c>
      <c r="B273" s="120" t="str">
        <f t="shared" si="39"/>
        <v/>
      </c>
      <c r="C273" s="121" t="str">
        <f t="shared" si="50"/>
        <v/>
      </c>
      <c r="D273" s="122" t="str">
        <f t="shared" si="40"/>
        <v/>
      </c>
      <c r="E273" s="121" t="str">
        <f t="shared" si="41"/>
        <v/>
      </c>
      <c r="F273" s="121" t="str">
        <f t="shared" si="42"/>
        <v/>
      </c>
      <c r="G273" s="121" t="str">
        <f t="shared" si="43"/>
        <v/>
      </c>
      <c r="H273" s="121" t="str">
        <f t="shared" si="44"/>
        <v/>
      </c>
      <c r="I273" s="122" t="str">
        <f t="shared" si="51"/>
        <v/>
      </c>
      <c r="J273" s="121" t="str">
        <f t="shared" si="45"/>
        <v/>
      </c>
      <c r="K273" s="121" t="str">
        <f t="shared" si="46"/>
        <v/>
      </c>
      <c r="L273" s="121" t="str">
        <f t="shared" si="47"/>
        <v/>
      </c>
      <c r="M273" s="121" t="str">
        <f t="shared" si="48"/>
        <v/>
      </c>
    </row>
    <row r="274" spans="1:13" x14ac:dyDescent="0.25">
      <c r="A274" s="80">
        <f t="shared" si="49"/>
        <v>244</v>
      </c>
      <c r="B274" s="120" t="str">
        <f t="shared" si="39"/>
        <v/>
      </c>
      <c r="C274" s="121" t="str">
        <f t="shared" si="50"/>
        <v/>
      </c>
      <c r="D274" s="122" t="str">
        <f t="shared" si="40"/>
        <v/>
      </c>
      <c r="E274" s="121" t="str">
        <f t="shared" si="41"/>
        <v/>
      </c>
      <c r="F274" s="121" t="str">
        <f t="shared" si="42"/>
        <v/>
      </c>
      <c r="G274" s="121" t="str">
        <f t="shared" si="43"/>
        <v/>
      </c>
      <c r="H274" s="121" t="str">
        <f t="shared" si="44"/>
        <v/>
      </c>
      <c r="I274" s="122" t="str">
        <f t="shared" si="51"/>
        <v/>
      </c>
      <c r="J274" s="121" t="str">
        <f t="shared" si="45"/>
        <v/>
      </c>
      <c r="K274" s="121" t="str">
        <f t="shared" si="46"/>
        <v/>
      </c>
      <c r="L274" s="121" t="str">
        <f t="shared" si="47"/>
        <v/>
      </c>
      <c r="M274" s="121" t="str">
        <f t="shared" si="48"/>
        <v/>
      </c>
    </row>
    <row r="275" spans="1:13" x14ac:dyDescent="0.25">
      <c r="A275" s="80">
        <f t="shared" si="49"/>
        <v>245</v>
      </c>
      <c r="B275" s="120" t="str">
        <f t="shared" si="39"/>
        <v/>
      </c>
      <c r="C275" s="121" t="str">
        <f t="shared" si="50"/>
        <v/>
      </c>
      <c r="D275" s="122" t="str">
        <f t="shared" si="40"/>
        <v/>
      </c>
      <c r="E275" s="121" t="str">
        <f t="shared" si="41"/>
        <v/>
      </c>
      <c r="F275" s="121" t="str">
        <f t="shared" si="42"/>
        <v/>
      </c>
      <c r="G275" s="121" t="str">
        <f t="shared" si="43"/>
        <v/>
      </c>
      <c r="H275" s="121" t="str">
        <f t="shared" si="44"/>
        <v/>
      </c>
      <c r="I275" s="122" t="str">
        <f t="shared" si="51"/>
        <v/>
      </c>
      <c r="J275" s="121" t="str">
        <f t="shared" si="45"/>
        <v/>
      </c>
      <c r="K275" s="121" t="str">
        <f t="shared" si="46"/>
        <v/>
      </c>
      <c r="L275" s="121" t="str">
        <f t="shared" si="47"/>
        <v/>
      </c>
      <c r="M275" s="121" t="str">
        <f t="shared" si="48"/>
        <v/>
      </c>
    </row>
    <row r="276" spans="1:13" x14ac:dyDescent="0.25">
      <c r="A276" s="80">
        <f t="shared" si="49"/>
        <v>246</v>
      </c>
      <c r="B276" s="120" t="str">
        <f t="shared" si="39"/>
        <v/>
      </c>
      <c r="C276" s="121" t="str">
        <f t="shared" si="50"/>
        <v/>
      </c>
      <c r="D276" s="122" t="str">
        <f t="shared" si="40"/>
        <v/>
      </c>
      <c r="E276" s="121" t="str">
        <f t="shared" si="41"/>
        <v/>
      </c>
      <c r="F276" s="121" t="str">
        <f t="shared" si="42"/>
        <v/>
      </c>
      <c r="G276" s="121" t="str">
        <f t="shared" si="43"/>
        <v/>
      </c>
      <c r="H276" s="121" t="str">
        <f t="shared" si="44"/>
        <v/>
      </c>
      <c r="I276" s="122" t="str">
        <f t="shared" si="51"/>
        <v/>
      </c>
      <c r="J276" s="121" t="str">
        <f t="shared" si="45"/>
        <v/>
      </c>
      <c r="K276" s="121" t="str">
        <f t="shared" si="46"/>
        <v/>
      </c>
      <c r="L276" s="121" t="str">
        <f t="shared" si="47"/>
        <v/>
      </c>
      <c r="M276" s="121" t="str">
        <f t="shared" si="48"/>
        <v/>
      </c>
    </row>
    <row r="277" spans="1:13" x14ac:dyDescent="0.25">
      <c r="A277" s="80">
        <f t="shared" si="49"/>
        <v>247</v>
      </c>
      <c r="B277" s="120" t="str">
        <f t="shared" si="39"/>
        <v/>
      </c>
      <c r="C277" s="121" t="str">
        <f t="shared" si="50"/>
        <v/>
      </c>
      <c r="D277" s="122" t="str">
        <f t="shared" si="40"/>
        <v/>
      </c>
      <c r="E277" s="121" t="str">
        <f t="shared" si="41"/>
        <v/>
      </c>
      <c r="F277" s="121" t="str">
        <f t="shared" si="42"/>
        <v/>
      </c>
      <c r="G277" s="121" t="str">
        <f t="shared" si="43"/>
        <v/>
      </c>
      <c r="H277" s="121" t="str">
        <f t="shared" si="44"/>
        <v/>
      </c>
      <c r="I277" s="122" t="str">
        <f t="shared" si="51"/>
        <v/>
      </c>
      <c r="J277" s="121" t="str">
        <f t="shared" si="45"/>
        <v/>
      </c>
      <c r="K277" s="121" t="str">
        <f t="shared" si="46"/>
        <v/>
      </c>
      <c r="L277" s="121" t="str">
        <f t="shared" si="47"/>
        <v/>
      </c>
      <c r="M277" s="121" t="str">
        <f t="shared" si="48"/>
        <v/>
      </c>
    </row>
    <row r="278" spans="1:13" x14ac:dyDescent="0.25">
      <c r="A278" s="80">
        <f t="shared" si="49"/>
        <v>248</v>
      </c>
      <c r="B278" s="120" t="str">
        <f t="shared" si="39"/>
        <v/>
      </c>
      <c r="C278" s="121" t="str">
        <f t="shared" si="50"/>
        <v/>
      </c>
      <c r="D278" s="122" t="str">
        <f t="shared" si="40"/>
        <v/>
      </c>
      <c r="E278" s="121" t="str">
        <f t="shared" si="41"/>
        <v/>
      </c>
      <c r="F278" s="121" t="str">
        <f t="shared" si="42"/>
        <v/>
      </c>
      <c r="G278" s="121" t="str">
        <f t="shared" si="43"/>
        <v/>
      </c>
      <c r="H278" s="121" t="str">
        <f t="shared" si="44"/>
        <v/>
      </c>
      <c r="I278" s="122" t="str">
        <f t="shared" si="51"/>
        <v/>
      </c>
      <c r="J278" s="121" t="str">
        <f t="shared" si="45"/>
        <v/>
      </c>
      <c r="K278" s="121" t="str">
        <f t="shared" si="46"/>
        <v/>
      </c>
      <c r="L278" s="121" t="str">
        <f t="shared" si="47"/>
        <v/>
      </c>
      <c r="M278" s="121" t="str">
        <f t="shared" si="48"/>
        <v/>
      </c>
    </row>
    <row r="279" spans="1:13" x14ac:dyDescent="0.25">
      <c r="A279" s="80">
        <f t="shared" si="49"/>
        <v>249</v>
      </c>
      <c r="B279" s="120" t="str">
        <f t="shared" si="39"/>
        <v/>
      </c>
      <c r="C279" s="121" t="str">
        <f t="shared" si="50"/>
        <v/>
      </c>
      <c r="D279" s="122" t="str">
        <f t="shared" si="40"/>
        <v/>
      </c>
      <c r="E279" s="121" t="str">
        <f t="shared" si="41"/>
        <v/>
      </c>
      <c r="F279" s="121" t="str">
        <f t="shared" si="42"/>
        <v/>
      </c>
      <c r="G279" s="121" t="str">
        <f t="shared" si="43"/>
        <v/>
      </c>
      <c r="H279" s="121" t="str">
        <f t="shared" si="44"/>
        <v/>
      </c>
      <c r="I279" s="122" t="str">
        <f t="shared" si="51"/>
        <v/>
      </c>
      <c r="J279" s="121" t="str">
        <f t="shared" si="45"/>
        <v/>
      </c>
      <c r="K279" s="121" t="str">
        <f t="shared" si="46"/>
        <v/>
      </c>
      <c r="L279" s="121" t="str">
        <f t="shared" si="47"/>
        <v/>
      </c>
      <c r="M279" s="121" t="str">
        <f t="shared" si="48"/>
        <v/>
      </c>
    </row>
    <row r="280" spans="1:13" x14ac:dyDescent="0.25">
      <c r="A280" s="80">
        <f t="shared" si="49"/>
        <v>250</v>
      </c>
      <c r="B280" s="120" t="str">
        <f t="shared" si="39"/>
        <v/>
      </c>
      <c r="C280" s="121" t="str">
        <f t="shared" si="50"/>
        <v/>
      </c>
      <c r="D280" s="122" t="str">
        <f t="shared" si="40"/>
        <v/>
      </c>
      <c r="E280" s="121" t="str">
        <f t="shared" si="41"/>
        <v/>
      </c>
      <c r="F280" s="121" t="str">
        <f t="shared" si="42"/>
        <v/>
      </c>
      <c r="G280" s="121" t="str">
        <f t="shared" si="43"/>
        <v/>
      </c>
      <c r="H280" s="121" t="str">
        <f t="shared" si="44"/>
        <v/>
      </c>
      <c r="I280" s="122" t="str">
        <f t="shared" si="51"/>
        <v/>
      </c>
      <c r="J280" s="121" t="str">
        <f t="shared" si="45"/>
        <v/>
      </c>
      <c r="K280" s="121" t="str">
        <f t="shared" si="46"/>
        <v/>
      </c>
      <c r="L280" s="121" t="str">
        <f t="shared" si="47"/>
        <v/>
      </c>
      <c r="M280" s="121" t="str">
        <f t="shared" si="48"/>
        <v/>
      </c>
    </row>
    <row r="281" spans="1:13" x14ac:dyDescent="0.25">
      <c r="A281" s="80">
        <f t="shared" si="49"/>
        <v>251</v>
      </c>
      <c r="B281" s="120" t="str">
        <f t="shared" si="39"/>
        <v/>
      </c>
      <c r="C281" s="121" t="str">
        <f t="shared" si="50"/>
        <v/>
      </c>
      <c r="D281" s="122" t="str">
        <f t="shared" si="40"/>
        <v/>
      </c>
      <c r="E281" s="121" t="str">
        <f t="shared" si="41"/>
        <v/>
      </c>
      <c r="F281" s="121" t="str">
        <f t="shared" si="42"/>
        <v/>
      </c>
      <c r="G281" s="121" t="str">
        <f t="shared" si="43"/>
        <v/>
      </c>
      <c r="H281" s="121" t="str">
        <f t="shared" si="44"/>
        <v/>
      </c>
      <c r="I281" s="122" t="str">
        <f t="shared" si="51"/>
        <v/>
      </c>
      <c r="J281" s="121" t="str">
        <f t="shared" si="45"/>
        <v/>
      </c>
      <c r="K281" s="121" t="str">
        <f t="shared" si="46"/>
        <v/>
      </c>
      <c r="L281" s="121" t="str">
        <f t="shared" si="47"/>
        <v/>
      </c>
      <c r="M281" s="121" t="str">
        <f t="shared" si="48"/>
        <v/>
      </c>
    </row>
    <row r="282" spans="1:13" x14ac:dyDescent="0.25">
      <c r="A282" s="80">
        <f t="shared" si="49"/>
        <v>252</v>
      </c>
      <c r="B282" s="120" t="str">
        <f t="shared" si="39"/>
        <v/>
      </c>
      <c r="C282" s="121" t="str">
        <f t="shared" si="50"/>
        <v/>
      </c>
      <c r="D282" s="122" t="str">
        <f t="shared" si="40"/>
        <v/>
      </c>
      <c r="E282" s="121" t="str">
        <f t="shared" si="41"/>
        <v/>
      </c>
      <c r="F282" s="121" t="str">
        <f t="shared" si="42"/>
        <v/>
      </c>
      <c r="G282" s="121" t="str">
        <f t="shared" si="43"/>
        <v/>
      </c>
      <c r="H282" s="121" t="str">
        <f t="shared" si="44"/>
        <v/>
      </c>
      <c r="I282" s="122" t="str">
        <f t="shared" si="51"/>
        <v/>
      </c>
      <c r="J282" s="121" t="str">
        <f t="shared" si="45"/>
        <v/>
      </c>
      <c r="K282" s="121" t="str">
        <f t="shared" si="46"/>
        <v/>
      </c>
      <c r="L282" s="121" t="str">
        <f t="shared" si="47"/>
        <v/>
      </c>
      <c r="M282" s="121" t="str">
        <f t="shared" si="48"/>
        <v/>
      </c>
    </row>
    <row r="283" spans="1:13" x14ac:dyDescent="0.25">
      <c r="A283" s="80">
        <f t="shared" si="49"/>
        <v>253</v>
      </c>
      <c r="B283" s="120" t="str">
        <f t="shared" si="39"/>
        <v/>
      </c>
      <c r="C283" s="121" t="str">
        <f t="shared" si="50"/>
        <v/>
      </c>
      <c r="D283" s="122" t="str">
        <f t="shared" si="40"/>
        <v/>
      </c>
      <c r="E283" s="121" t="str">
        <f t="shared" si="41"/>
        <v/>
      </c>
      <c r="F283" s="121" t="str">
        <f t="shared" si="42"/>
        <v/>
      </c>
      <c r="G283" s="121" t="str">
        <f t="shared" si="43"/>
        <v/>
      </c>
      <c r="H283" s="121" t="str">
        <f t="shared" si="44"/>
        <v/>
      </c>
      <c r="I283" s="122" t="str">
        <f t="shared" si="51"/>
        <v/>
      </c>
      <c r="J283" s="121" t="str">
        <f t="shared" si="45"/>
        <v/>
      </c>
      <c r="K283" s="121" t="str">
        <f t="shared" si="46"/>
        <v/>
      </c>
      <c r="L283" s="121" t="str">
        <f t="shared" si="47"/>
        <v/>
      </c>
      <c r="M283" s="121" t="str">
        <f t="shared" si="48"/>
        <v/>
      </c>
    </row>
    <row r="284" spans="1:13" x14ac:dyDescent="0.25">
      <c r="A284" s="80">
        <f t="shared" si="49"/>
        <v>254</v>
      </c>
      <c r="B284" s="120" t="str">
        <f t="shared" si="39"/>
        <v/>
      </c>
      <c r="C284" s="121" t="str">
        <f t="shared" si="50"/>
        <v/>
      </c>
      <c r="D284" s="122" t="str">
        <f t="shared" si="40"/>
        <v/>
      </c>
      <c r="E284" s="121" t="str">
        <f t="shared" si="41"/>
        <v/>
      </c>
      <c r="F284" s="121" t="str">
        <f t="shared" si="42"/>
        <v/>
      </c>
      <c r="G284" s="121" t="str">
        <f t="shared" si="43"/>
        <v/>
      </c>
      <c r="H284" s="121" t="str">
        <f t="shared" si="44"/>
        <v/>
      </c>
      <c r="I284" s="122" t="str">
        <f t="shared" si="51"/>
        <v/>
      </c>
      <c r="J284" s="121" t="str">
        <f t="shared" si="45"/>
        <v/>
      </c>
      <c r="K284" s="121" t="str">
        <f t="shared" si="46"/>
        <v/>
      </c>
      <c r="L284" s="121" t="str">
        <f t="shared" si="47"/>
        <v/>
      </c>
      <c r="M284" s="121" t="str">
        <f t="shared" si="48"/>
        <v/>
      </c>
    </row>
    <row r="285" spans="1:13" x14ac:dyDescent="0.25">
      <c r="A285" s="80">
        <f t="shared" si="49"/>
        <v>255</v>
      </c>
      <c r="B285" s="120" t="str">
        <f t="shared" si="39"/>
        <v/>
      </c>
      <c r="C285" s="121" t="str">
        <f t="shared" si="50"/>
        <v/>
      </c>
      <c r="D285" s="122" t="str">
        <f t="shared" si="40"/>
        <v/>
      </c>
      <c r="E285" s="121" t="str">
        <f t="shared" si="41"/>
        <v/>
      </c>
      <c r="F285" s="121" t="str">
        <f t="shared" si="42"/>
        <v/>
      </c>
      <c r="G285" s="121" t="str">
        <f t="shared" si="43"/>
        <v/>
      </c>
      <c r="H285" s="121" t="str">
        <f t="shared" si="44"/>
        <v/>
      </c>
      <c r="I285" s="122" t="str">
        <f t="shared" si="51"/>
        <v/>
      </c>
      <c r="J285" s="121" t="str">
        <f t="shared" si="45"/>
        <v/>
      </c>
      <c r="K285" s="121" t="str">
        <f t="shared" si="46"/>
        <v/>
      </c>
      <c r="L285" s="121" t="str">
        <f t="shared" si="47"/>
        <v/>
      </c>
      <c r="M285" s="121" t="str">
        <f t="shared" si="48"/>
        <v/>
      </c>
    </row>
    <row r="286" spans="1:13" x14ac:dyDescent="0.25">
      <c r="A286" s="80">
        <f t="shared" si="49"/>
        <v>256</v>
      </c>
      <c r="B286" s="120" t="str">
        <f t="shared" si="39"/>
        <v/>
      </c>
      <c r="C286" s="121" t="str">
        <f t="shared" si="50"/>
        <v/>
      </c>
      <c r="D286" s="122" t="str">
        <f t="shared" si="40"/>
        <v/>
      </c>
      <c r="E286" s="121" t="str">
        <f t="shared" si="41"/>
        <v/>
      </c>
      <c r="F286" s="121" t="str">
        <f t="shared" si="42"/>
        <v/>
      </c>
      <c r="G286" s="121" t="str">
        <f t="shared" si="43"/>
        <v/>
      </c>
      <c r="H286" s="121" t="str">
        <f t="shared" si="44"/>
        <v/>
      </c>
      <c r="I286" s="122" t="str">
        <f t="shared" si="51"/>
        <v/>
      </c>
      <c r="J286" s="121" t="str">
        <f t="shared" si="45"/>
        <v/>
      </c>
      <c r="K286" s="121" t="str">
        <f t="shared" si="46"/>
        <v/>
      </c>
      <c r="L286" s="121" t="str">
        <f t="shared" si="47"/>
        <v/>
      </c>
      <c r="M286" s="121" t="str">
        <f t="shared" si="48"/>
        <v/>
      </c>
    </row>
    <row r="287" spans="1:13" x14ac:dyDescent="0.25">
      <c r="A287" s="80">
        <f t="shared" si="49"/>
        <v>257</v>
      </c>
      <c r="B287" s="120" t="str">
        <f t="shared" ref="B287:B350" si="52">IF(A287&lt;=$F$11,A287,"")</f>
        <v/>
      </c>
      <c r="C287" s="121" t="str">
        <f t="shared" si="50"/>
        <v/>
      </c>
      <c r="D287" s="122" t="str">
        <f t="shared" ref="D287:D350" si="53">IF(B287&lt;=$F$11,(C287*$F$13),"")</f>
        <v/>
      </c>
      <c r="E287" s="121" t="str">
        <f t="shared" ref="E287:E350" si="54">IF(B287&lt;=$F$12,0,IF(B287&lt;=$F$11,(-$F$16-D287),""))</f>
        <v/>
      </c>
      <c r="F287" s="121" t="str">
        <f t="shared" ref="F287:F350" si="55">IF(B287&lt;=$F$11,(($F$20*$F$2)+($F$19*$F$2)+(C287*$F$18)+($F$17*C287)),"")</f>
        <v/>
      </c>
      <c r="G287" s="121" t="str">
        <f t="shared" ref="G287:G350" si="56">IF(B287&lt;=$F$11,(D287+E287),"")</f>
        <v/>
      </c>
      <c r="H287" s="121" t="str">
        <f t="shared" ref="H287:H350" si="57">IF(B287&lt;=$F$11,(F287+G287),"")</f>
        <v/>
      </c>
      <c r="I287" s="122" t="str">
        <f t="shared" si="51"/>
        <v/>
      </c>
      <c r="J287" s="121" t="str">
        <f t="shared" ref="J287:J350" si="58">IF(B287&lt;=$F$11,(($F$20*$F$2*(1-$F$10))+($F$19*$F$2)+((C287*$F$18)*(1-$F$10))+(($F$17*C287))),"")</f>
        <v/>
      </c>
      <c r="K287" s="121" t="str">
        <f t="shared" ref="K287:K350" si="59">IF(B287&lt;=$F$11,(E287+I287),"")</f>
        <v/>
      </c>
      <c r="L287" s="121" t="str">
        <f t="shared" ref="L287:L350" si="60">IF(B287&lt;=$F$11,(J287+K287),"")</f>
        <v/>
      </c>
      <c r="M287" s="121" t="str">
        <f t="shared" ref="M287:M350" si="61">IF(B287&lt;=$F$11,(C287-E287),IF(B287&gt;$F$11,"",0))</f>
        <v/>
      </c>
    </row>
    <row r="288" spans="1:13" x14ac:dyDescent="0.25">
      <c r="A288" s="80">
        <f t="shared" ref="A288:A351" si="62">A287+1</f>
        <v>258</v>
      </c>
      <c r="B288" s="120" t="str">
        <f t="shared" si="52"/>
        <v/>
      </c>
      <c r="C288" s="121" t="str">
        <f t="shared" ref="C288:C351" si="63">IF(M287=0,"",M287)</f>
        <v/>
      </c>
      <c r="D288" s="122" t="str">
        <f t="shared" si="53"/>
        <v/>
      </c>
      <c r="E288" s="121" t="str">
        <f t="shared" si="54"/>
        <v/>
      </c>
      <c r="F288" s="121" t="str">
        <f t="shared" si="55"/>
        <v/>
      </c>
      <c r="G288" s="121" t="str">
        <f t="shared" si="56"/>
        <v/>
      </c>
      <c r="H288" s="121" t="str">
        <f t="shared" si="57"/>
        <v/>
      </c>
      <c r="I288" s="122" t="str">
        <f t="shared" ref="I288:I351" si="64">IF(B288&lt;=$F$11,(C288*$F$13)*(1-$F$10),"")</f>
        <v/>
      </c>
      <c r="J288" s="121" t="str">
        <f t="shared" si="58"/>
        <v/>
      </c>
      <c r="K288" s="121" t="str">
        <f t="shared" si="59"/>
        <v/>
      </c>
      <c r="L288" s="121" t="str">
        <f t="shared" si="60"/>
        <v/>
      </c>
      <c r="M288" s="121" t="str">
        <f t="shared" si="61"/>
        <v/>
      </c>
    </row>
    <row r="289" spans="1:13" x14ac:dyDescent="0.25">
      <c r="A289" s="80">
        <f t="shared" si="62"/>
        <v>259</v>
      </c>
      <c r="B289" s="120" t="str">
        <f t="shared" si="52"/>
        <v/>
      </c>
      <c r="C289" s="121" t="str">
        <f t="shared" si="63"/>
        <v/>
      </c>
      <c r="D289" s="122" t="str">
        <f t="shared" si="53"/>
        <v/>
      </c>
      <c r="E289" s="121" t="str">
        <f t="shared" si="54"/>
        <v/>
      </c>
      <c r="F289" s="121" t="str">
        <f t="shared" si="55"/>
        <v/>
      </c>
      <c r="G289" s="121" t="str">
        <f t="shared" si="56"/>
        <v/>
      </c>
      <c r="H289" s="121" t="str">
        <f t="shared" si="57"/>
        <v/>
      </c>
      <c r="I289" s="122" t="str">
        <f t="shared" si="64"/>
        <v/>
      </c>
      <c r="J289" s="121" t="str">
        <f t="shared" si="58"/>
        <v/>
      </c>
      <c r="K289" s="121" t="str">
        <f t="shared" si="59"/>
        <v/>
      </c>
      <c r="L289" s="121" t="str">
        <f t="shared" si="60"/>
        <v/>
      </c>
      <c r="M289" s="121" t="str">
        <f t="shared" si="61"/>
        <v/>
      </c>
    </row>
    <row r="290" spans="1:13" x14ac:dyDescent="0.25">
      <c r="A290" s="80">
        <f t="shared" si="62"/>
        <v>260</v>
      </c>
      <c r="B290" s="120" t="str">
        <f t="shared" si="52"/>
        <v/>
      </c>
      <c r="C290" s="121" t="str">
        <f t="shared" si="63"/>
        <v/>
      </c>
      <c r="D290" s="122" t="str">
        <f t="shared" si="53"/>
        <v/>
      </c>
      <c r="E290" s="121" t="str">
        <f t="shared" si="54"/>
        <v/>
      </c>
      <c r="F290" s="121" t="str">
        <f t="shared" si="55"/>
        <v/>
      </c>
      <c r="G290" s="121" t="str">
        <f t="shared" si="56"/>
        <v/>
      </c>
      <c r="H290" s="121" t="str">
        <f t="shared" si="57"/>
        <v/>
      </c>
      <c r="I290" s="122" t="str">
        <f t="shared" si="64"/>
        <v/>
      </c>
      <c r="J290" s="121" t="str">
        <f t="shared" si="58"/>
        <v/>
      </c>
      <c r="K290" s="121" t="str">
        <f t="shared" si="59"/>
        <v/>
      </c>
      <c r="L290" s="121" t="str">
        <f t="shared" si="60"/>
        <v/>
      </c>
      <c r="M290" s="121" t="str">
        <f t="shared" si="61"/>
        <v/>
      </c>
    </row>
    <row r="291" spans="1:13" x14ac:dyDescent="0.25">
      <c r="A291" s="80">
        <f t="shared" si="62"/>
        <v>261</v>
      </c>
      <c r="B291" s="120" t="str">
        <f t="shared" si="52"/>
        <v/>
      </c>
      <c r="C291" s="121" t="str">
        <f t="shared" si="63"/>
        <v/>
      </c>
      <c r="D291" s="122" t="str">
        <f t="shared" si="53"/>
        <v/>
      </c>
      <c r="E291" s="121" t="str">
        <f t="shared" si="54"/>
        <v/>
      </c>
      <c r="F291" s="121" t="str">
        <f t="shared" si="55"/>
        <v/>
      </c>
      <c r="G291" s="121" t="str">
        <f t="shared" si="56"/>
        <v/>
      </c>
      <c r="H291" s="121" t="str">
        <f t="shared" si="57"/>
        <v/>
      </c>
      <c r="I291" s="122" t="str">
        <f t="shared" si="64"/>
        <v/>
      </c>
      <c r="J291" s="121" t="str">
        <f t="shared" si="58"/>
        <v/>
      </c>
      <c r="K291" s="121" t="str">
        <f t="shared" si="59"/>
        <v/>
      </c>
      <c r="L291" s="121" t="str">
        <f t="shared" si="60"/>
        <v/>
      </c>
      <c r="M291" s="121" t="str">
        <f t="shared" si="61"/>
        <v/>
      </c>
    </row>
    <row r="292" spans="1:13" x14ac:dyDescent="0.25">
      <c r="A292" s="80">
        <f t="shared" si="62"/>
        <v>262</v>
      </c>
      <c r="B292" s="120" t="str">
        <f t="shared" si="52"/>
        <v/>
      </c>
      <c r="C292" s="121" t="str">
        <f t="shared" si="63"/>
        <v/>
      </c>
      <c r="D292" s="122" t="str">
        <f t="shared" si="53"/>
        <v/>
      </c>
      <c r="E292" s="121" t="str">
        <f t="shared" si="54"/>
        <v/>
      </c>
      <c r="F292" s="121" t="str">
        <f t="shared" si="55"/>
        <v/>
      </c>
      <c r="G292" s="121" t="str">
        <f t="shared" si="56"/>
        <v/>
      </c>
      <c r="H292" s="121" t="str">
        <f t="shared" si="57"/>
        <v/>
      </c>
      <c r="I292" s="122" t="str">
        <f t="shared" si="64"/>
        <v/>
      </c>
      <c r="J292" s="121" t="str">
        <f t="shared" si="58"/>
        <v/>
      </c>
      <c r="K292" s="121" t="str">
        <f t="shared" si="59"/>
        <v/>
      </c>
      <c r="L292" s="121" t="str">
        <f t="shared" si="60"/>
        <v/>
      </c>
      <c r="M292" s="121" t="str">
        <f t="shared" si="61"/>
        <v/>
      </c>
    </row>
    <row r="293" spans="1:13" x14ac:dyDescent="0.25">
      <c r="A293" s="80">
        <f t="shared" si="62"/>
        <v>263</v>
      </c>
      <c r="B293" s="120" t="str">
        <f t="shared" si="52"/>
        <v/>
      </c>
      <c r="C293" s="121" t="str">
        <f t="shared" si="63"/>
        <v/>
      </c>
      <c r="D293" s="122" t="str">
        <f t="shared" si="53"/>
        <v/>
      </c>
      <c r="E293" s="121" t="str">
        <f t="shared" si="54"/>
        <v/>
      </c>
      <c r="F293" s="121" t="str">
        <f t="shared" si="55"/>
        <v/>
      </c>
      <c r="G293" s="121" t="str">
        <f t="shared" si="56"/>
        <v/>
      </c>
      <c r="H293" s="121" t="str">
        <f t="shared" si="57"/>
        <v/>
      </c>
      <c r="I293" s="122" t="str">
        <f t="shared" si="64"/>
        <v/>
      </c>
      <c r="J293" s="121" t="str">
        <f t="shared" si="58"/>
        <v/>
      </c>
      <c r="K293" s="121" t="str">
        <f t="shared" si="59"/>
        <v/>
      </c>
      <c r="L293" s="121" t="str">
        <f t="shared" si="60"/>
        <v/>
      </c>
      <c r="M293" s="121" t="str">
        <f t="shared" si="61"/>
        <v/>
      </c>
    </row>
    <row r="294" spans="1:13" x14ac:dyDescent="0.25">
      <c r="A294" s="80">
        <f t="shared" si="62"/>
        <v>264</v>
      </c>
      <c r="B294" s="120" t="str">
        <f t="shared" si="52"/>
        <v/>
      </c>
      <c r="C294" s="121" t="str">
        <f t="shared" si="63"/>
        <v/>
      </c>
      <c r="D294" s="122" t="str">
        <f t="shared" si="53"/>
        <v/>
      </c>
      <c r="E294" s="121" t="str">
        <f t="shared" si="54"/>
        <v/>
      </c>
      <c r="F294" s="121" t="str">
        <f t="shared" si="55"/>
        <v/>
      </c>
      <c r="G294" s="121" t="str">
        <f t="shared" si="56"/>
        <v/>
      </c>
      <c r="H294" s="121" t="str">
        <f t="shared" si="57"/>
        <v/>
      </c>
      <c r="I294" s="122" t="str">
        <f t="shared" si="64"/>
        <v/>
      </c>
      <c r="J294" s="121" t="str">
        <f t="shared" si="58"/>
        <v/>
      </c>
      <c r="K294" s="121" t="str">
        <f t="shared" si="59"/>
        <v/>
      </c>
      <c r="L294" s="121" t="str">
        <f t="shared" si="60"/>
        <v/>
      </c>
      <c r="M294" s="121" t="str">
        <f t="shared" si="61"/>
        <v/>
      </c>
    </row>
    <row r="295" spans="1:13" x14ac:dyDescent="0.25">
      <c r="A295" s="80">
        <f t="shared" si="62"/>
        <v>265</v>
      </c>
      <c r="B295" s="120" t="str">
        <f t="shared" si="52"/>
        <v/>
      </c>
      <c r="C295" s="121" t="str">
        <f t="shared" si="63"/>
        <v/>
      </c>
      <c r="D295" s="122" t="str">
        <f t="shared" si="53"/>
        <v/>
      </c>
      <c r="E295" s="121" t="str">
        <f t="shared" si="54"/>
        <v/>
      </c>
      <c r="F295" s="121" t="str">
        <f t="shared" si="55"/>
        <v/>
      </c>
      <c r="G295" s="121" t="str">
        <f t="shared" si="56"/>
        <v/>
      </c>
      <c r="H295" s="121" t="str">
        <f t="shared" si="57"/>
        <v/>
      </c>
      <c r="I295" s="122" t="str">
        <f t="shared" si="64"/>
        <v/>
      </c>
      <c r="J295" s="121" t="str">
        <f t="shared" si="58"/>
        <v/>
      </c>
      <c r="K295" s="121" t="str">
        <f t="shared" si="59"/>
        <v/>
      </c>
      <c r="L295" s="121" t="str">
        <f t="shared" si="60"/>
        <v/>
      </c>
      <c r="M295" s="121" t="str">
        <f t="shared" si="61"/>
        <v/>
      </c>
    </row>
    <row r="296" spans="1:13" x14ac:dyDescent="0.25">
      <c r="A296" s="80">
        <f t="shared" si="62"/>
        <v>266</v>
      </c>
      <c r="B296" s="120" t="str">
        <f t="shared" si="52"/>
        <v/>
      </c>
      <c r="C296" s="121" t="str">
        <f t="shared" si="63"/>
        <v/>
      </c>
      <c r="D296" s="122" t="str">
        <f t="shared" si="53"/>
        <v/>
      </c>
      <c r="E296" s="121" t="str">
        <f t="shared" si="54"/>
        <v/>
      </c>
      <c r="F296" s="121" t="str">
        <f t="shared" si="55"/>
        <v/>
      </c>
      <c r="G296" s="121" t="str">
        <f t="shared" si="56"/>
        <v/>
      </c>
      <c r="H296" s="121" t="str">
        <f t="shared" si="57"/>
        <v/>
      </c>
      <c r="I296" s="122" t="str">
        <f t="shared" si="64"/>
        <v/>
      </c>
      <c r="J296" s="121" t="str">
        <f t="shared" si="58"/>
        <v/>
      </c>
      <c r="K296" s="121" t="str">
        <f t="shared" si="59"/>
        <v/>
      </c>
      <c r="L296" s="121" t="str">
        <f t="shared" si="60"/>
        <v/>
      </c>
      <c r="M296" s="121" t="str">
        <f t="shared" si="61"/>
        <v/>
      </c>
    </row>
    <row r="297" spans="1:13" x14ac:dyDescent="0.25">
      <c r="A297" s="80">
        <f t="shared" si="62"/>
        <v>267</v>
      </c>
      <c r="B297" s="120" t="str">
        <f t="shared" si="52"/>
        <v/>
      </c>
      <c r="C297" s="121" t="str">
        <f t="shared" si="63"/>
        <v/>
      </c>
      <c r="D297" s="122" t="str">
        <f t="shared" si="53"/>
        <v/>
      </c>
      <c r="E297" s="121" t="str">
        <f t="shared" si="54"/>
        <v/>
      </c>
      <c r="F297" s="121" t="str">
        <f t="shared" si="55"/>
        <v/>
      </c>
      <c r="G297" s="121" t="str">
        <f t="shared" si="56"/>
        <v/>
      </c>
      <c r="H297" s="121" t="str">
        <f t="shared" si="57"/>
        <v/>
      </c>
      <c r="I297" s="122" t="str">
        <f t="shared" si="64"/>
        <v/>
      </c>
      <c r="J297" s="121" t="str">
        <f t="shared" si="58"/>
        <v/>
      </c>
      <c r="K297" s="121" t="str">
        <f t="shared" si="59"/>
        <v/>
      </c>
      <c r="L297" s="121" t="str">
        <f t="shared" si="60"/>
        <v/>
      </c>
      <c r="M297" s="121" t="str">
        <f t="shared" si="61"/>
        <v/>
      </c>
    </row>
    <row r="298" spans="1:13" x14ac:dyDescent="0.25">
      <c r="A298" s="80">
        <f t="shared" si="62"/>
        <v>268</v>
      </c>
      <c r="B298" s="120" t="str">
        <f t="shared" si="52"/>
        <v/>
      </c>
      <c r="C298" s="121" t="str">
        <f t="shared" si="63"/>
        <v/>
      </c>
      <c r="D298" s="122" t="str">
        <f t="shared" si="53"/>
        <v/>
      </c>
      <c r="E298" s="121" t="str">
        <f t="shared" si="54"/>
        <v/>
      </c>
      <c r="F298" s="121" t="str">
        <f t="shared" si="55"/>
        <v/>
      </c>
      <c r="G298" s="121" t="str">
        <f t="shared" si="56"/>
        <v/>
      </c>
      <c r="H298" s="121" t="str">
        <f t="shared" si="57"/>
        <v/>
      </c>
      <c r="I298" s="122" t="str">
        <f t="shared" si="64"/>
        <v/>
      </c>
      <c r="J298" s="121" t="str">
        <f t="shared" si="58"/>
        <v/>
      </c>
      <c r="K298" s="121" t="str">
        <f t="shared" si="59"/>
        <v/>
      </c>
      <c r="L298" s="121" t="str">
        <f t="shared" si="60"/>
        <v/>
      </c>
      <c r="M298" s="121" t="str">
        <f t="shared" si="61"/>
        <v/>
      </c>
    </row>
    <row r="299" spans="1:13" x14ac:dyDescent="0.25">
      <c r="A299" s="80">
        <f t="shared" si="62"/>
        <v>269</v>
      </c>
      <c r="B299" s="120" t="str">
        <f t="shared" si="52"/>
        <v/>
      </c>
      <c r="C299" s="121" t="str">
        <f t="shared" si="63"/>
        <v/>
      </c>
      <c r="D299" s="122" t="str">
        <f t="shared" si="53"/>
        <v/>
      </c>
      <c r="E299" s="121" t="str">
        <f t="shared" si="54"/>
        <v/>
      </c>
      <c r="F299" s="121" t="str">
        <f t="shared" si="55"/>
        <v/>
      </c>
      <c r="G299" s="121" t="str">
        <f t="shared" si="56"/>
        <v/>
      </c>
      <c r="H299" s="121" t="str">
        <f t="shared" si="57"/>
        <v/>
      </c>
      <c r="I299" s="122" t="str">
        <f t="shared" si="64"/>
        <v/>
      </c>
      <c r="J299" s="121" t="str">
        <f t="shared" si="58"/>
        <v/>
      </c>
      <c r="K299" s="121" t="str">
        <f t="shared" si="59"/>
        <v/>
      </c>
      <c r="L299" s="121" t="str">
        <f t="shared" si="60"/>
        <v/>
      </c>
      <c r="M299" s="121" t="str">
        <f t="shared" si="61"/>
        <v/>
      </c>
    </row>
    <row r="300" spans="1:13" x14ac:dyDescent="0.25">
      <c r="A300" s="80">
        <f t="shared" si="62"/>
        <v>270</v>
      </c>
      <c r="B300" s="120" t="str">
        <f t="shared" si="52"/>
        <v/>
      </c>
      <c r="C300" s="121" t="str">
        <f t="shared" si="63"/>
        <v/>
      </c>
      <c r="D300" s="122" t="str">
        <f t="shared" si="53"/>
        <v/>
      </c>
      <c r="E300" s="121" t="str">
        <f t="shared" si="54"/>
        <v/>
      </c>
      <c r="F300" s="121" t="str">
        <f t="shared" si="55"/>
        <v/>
      </c>
      <c r="G300" s="121" t="str">
        <f t="shared" si="56"/>
        <v/>
      </c>
      <c r="H300" s="121" t="str">
        <f t="shared" si="57"/>
        <v/>
      </c>
      <c r="I300" s="122" t="str">
        <f t="shared" si="64"/>
        <v/>
      </c>
      <c r="J300" s="121" t="str">
        <f t="shared" si="58"/>
        <v/>
      </c>
      <c r="K300" s="121" t="str">
        <f t="shared" si="59"/>
        <v/>
      </c>
      <c r="L300" s="121" t="str">
        <f t="shared" si="60"/>
        <v/>
      </c>
      <c r="M300" s="121" t="str">
        <f t="shared" si="61"/>
        <v/>
      </c>
    </row>
    <row r="301" spans="1:13" x14ac:dyDescent="0.25">
      <c r="A301" s="80">
        <f t="shared" si="62"/>
        <v>271</v>
      </c>
      <c r="B301" s="120" t="str">
        <f t="shared" si="52"/>
        <v/>
      </c>
      <c r="C301" s="121" t="str">
        <f t="shared" si="63"/>
        <v/>
      </c>
      <c r="D301" s="122" t="str">
        <f t="shared" si="53"/>
        <v/>
      </c>
      <c r="E301" s="121" t="str">
        <f t="shared" si="54"/>
        <v/>
      </c>
      <c r="F301" s="121" t="str">
        <f t="shared" si="55"/>
        <v/>
      </c>
      <c r="G301" s="121" t="str">
        <f t="shared" si="56"/>
        <v/>
      </c>
      <c r="H301" s="121" t="str">
        <f t="shared" si="57"/>
        <v/>
      </c>
      <c r="I301" s="122" t="str">
        <f t="shared" si="64"/>
        <v/>
      </c>
      <c r="J301" s="121" t="str">
        <f t="shared" si="58"/>
        <v/>
      </c>
      <c r="K301" s="121" t="str">
        <f t="shared" si="59"/>
        <v/>
      </c>
      <c r="L301" s="121" t="str">
        <f t="shared" si="60"/>
        <v/>
      </c>
      <c r="M301" s="121" t="str">
        <f t="shared" si="61"/>
        <v/>
      </c>
    </row>
    <row r="302" spans="1:13" x14ac:dyDescent="0.25">
      <c r="A302" s="80">
        <f t="shared" si="62"/>
        <v>272</v>
      </c>
      <c r="B302" s="120" t="str">
        <f t="shared" si="52"/>
        <v/>
      </c>
      <c r="C302" s="121" t="str">
        <f t="shared" si="63"/>
        <v/>
      </c>
      <c r="D302" s="122" t="str">
        <f t="shared" si="53"/>
        <v/>
      </c>
      <c r="E302" s="121" t="str">
        <f t="shared" si="54"/>
        <v/>
      </c>
      <c r="F302" s="121" t="str">
        <f t="shared" si="55"/>
        <v/>
      </c>
      <c r="G302" s="121" t="str">
        <f t="shared" si="56"/>
        <v/>
      </c>
      <c r="H302" s="121" t="str">
        <f t="shared" si="57"/>
        <v/>
      </c>
      <c r="I302" s="122" t="str">
        <f t="shared" si="64"/>
        <v/>
      </c>
      <c r="J302" s="121" t="str">
        <f t="shared" si="58"/>
        <v/>
      </c>
      <c r="K302" s="121" t="str">
        <f t="shared" si="59"/>
        <v/>
      </c>
      <c r="L302" s="121" t="str">
        <f t="shared" si="60"/>
        <v/>
      </c>
      <c r="M302" s="121" t="str">
        <f t="shared" si="61"/>
        <v/>
      </c>
    </row>
    <row r="303" spans="1:13" x14ac:dyDescent="0.25">
      <c r="A303" s="80">
        <f t="shared" si="62"/>
        <v>273</v>
      </c>
      <c r="B303" s="120" t="str">
        <f t="shared" si="52"/>
        <v/>
      </c>
      <c r="C303" s="121" t="str">
        <f t="shared" si="63"/>
        <v/>
      </c>
      <c r="D303" s="122" t="str">
        <f t="shared" si="53"/>
        <v/>
      </c>
      <c r="E303" s="121" t="str">
        <f t="shared" si="54"/>
        <v/>
      </c>
      <c r="F303" s="121" t="str">
        <f t="shared" si="55"/>
        <v/>
      </c>
      <c r="G303" s="121" t="str">
        <f t="shared" si="56"/>
        <v/>
      </c>
      <c r="H303" s="121" t="str">
        <f t="shared" si="57"/>
        <v/>
      </c>
      <c r="I303" s="122" t="str">
        <f t="shared" si="64"/>
        <v/>
      </c>
      <c r="J303" s="121" t="str">
        <f t="shared" si="58"/>
        <v/>
      </c>
      <c r="K303" s="121" t="str">
        <f t="shared" si="59"/>
        <v/>
      </c>
      <c r="L303" s="121" t="str">
        <f t="shared" si="60"/>
        <v/>
      </c>
      <c r="M303" s="121" t="str">
        <f t="shared" si="61"/>
        <v/>
      </c>
    </row>
    <row r="304" spans="1:13" x14ac:dyDescent="0.25">
      <c r="A304" s="80">
        <f t="shared" si="62"/>
        <v>274</v>
      </c>
      <c r="B304" s="120" t="str">
        <f t="shared" si="52"/>
        <v/>
      </c>
      <c r="C304" s="121" t="str">
        <f t="shared" si="63"/>
        <v/>
      </c>
      <c r="D304" s="122" t="str">
        <f t="shared" si="53"/>
        <v/>
      </c>
      <c r="E304" s="121" t="str">
        <f t="shared" si="54"/>
        <v/>
      </c>
      <c r="F304" s="121" t="str">
        <f t="shared" si="55"/>
        <v/>
      </c>
      <c r="G304" s="121" t="str">
        <f t="shared" si="56"/>
        <v/>
      </c>
      <c r="H304" s="121" t="str">
        <f t="shared" si="57"/>
        <v/>
      </c>
      <c r="I304" s="122" t="str">
        <f t="shared" si="64"/>
        <v/>
      </c>
      <c r="J304" s="121" t="str">
        <f t="shared" si="58"/>
        <v/>
      </c>
      <c r="K304" s="121" t="str">
        <f t="shared" si="59"/>
        <v/>
      </c>
      <c r="L304" s="121" t="str">
        <f t="shared" si="60"/>
        <v/>
      </c>
      <c r="M304" s="121" t="str">
        <f t="shared" si="61"/>
        <v/>
      </c>
    </row>
    <row r="305" spans="1:13" x14ac:dyDescent="0.25">
      <c r="A305" s="80">
        <f t="shared" si="62"/>
        <v>275</v>
      </c>
      <c r="B305" s="120" t="str">
        <f t="shared" si="52"/>
        <v/>
      </c>
      <c r="C305" s="121" t="str">
        <f t="shared" si="63"/>
        <v/>
      </c>
      <c r="D305" s="122" t="str">
        <f t="shared" si="53"/>
        <v/>
      </c>
      <c r="E305" s="121" t="str">
        <f t="shared" si="54"/>
        <v/>
      </c>
      <c r="F305" s="121" t="str">
        <f t="shared" si="55"/>
        <v/>
      </c>
      <c r="G305" s="121" t="str">
        <f t="shared" si="56"/>
        <v/>
      </c>
      <c r="H305" s="121" t="str">
        <f t="shared" si="57"/>
        <v/>
      </c>
      <c r="I305" s="122" t="str">
        <f t="shared" si="64"/>
        <v/>
      </c>
      <c r="J305" s="121" t="str">
        <f t="shared" si="58"/>
        <v/>
      </c>
      <c r="K305" s="121" t="str">
        <f t="shared" si="59"/>
        <v/>
      </c>
      <c r="L305" s="121" t="str">
        <f t="shared" si="60"/>
        <v/>
      </c>
      <c r="M305" s="121" t="str">
        <f t="shared" si="61"/>
        <v/>
      </c>
    </row>
    <row r="306" spans="1:13" x14ac:dyDescent="0.25">
      <c r="A306" s="80">
        <f t="shared" si="62"/>
        <v>276</v>
      </c>
      <c r="B306" s="120" t="str">
        <f t="shared" si="52"/>
        <v/>
      </c>
      <c r="C306" s="121" t="str">
        <f t="shared" si="63"/>
        <v/>
      </c>
      <c r="D306" s="122" t="str">
        <f t="shared" si="53"/>
        <v/>
      </c>
      <c r="E306" s="121" t="str">
        <f t="shared" si="54"/>
        <v/>
      </c>
      <c r="F306" s="121" t="str">
        <f t="shared" si="55"/>
        <v/>
      </c>
      <c r="G306" s="121" t="str">
        <f t="shared" si="56"/>
        <v/>
      </c>
      <c r="H306" s="121" t="str">
        <f t="shared" si="57"/>
        <v/>
      </c>
      <c r="I306" s="122" t="str">
        <f t="shared" si="64"/>
        <v/>
      </c>
      <c r="J306" s="121" t="str">
        <f t="shared" si="58"/>
        <v/>
      </c>
      <c r="K306" s="121" t="str">
        <f t="shared" si="59"/>
        <v/>
      </c>
      <c r="L306" s="121" t="str">
        <f t="shared" si="60"/>
        <v/>
      </c>
      <c r="M306" s="121" t="str">
        <f t="shared" si="61"/>
        <v/>
      </c>
    </row>
    <row r="307" spans="1:13" x14ac:dyDescent="0.25">
      <c r="A307" s="80">
        <f t="shared" si="62"/>
        <v>277</v>
      </c>
      <c r="B307" s="120" t="str">
        <f t="shared" si="52"/>
        <v/>
      </c>
      <c r="C307" s="121" t="str">
        <f t="shared" si="63"/>
        <v/>
      </c>
      <c r="D307" s="122" t="str">
        <f t="shared" si="53"/>
        <v/>
      </c>
      <c r="E307" s="121" t="str">
        <f t="shared" si="54"/>
        <v/>
      </c>
      <c r="F307" s="121" t="str">
        <f t="shared" si="55"/>
        <v/>
      </c>
      <c r="G307" s="121" t="str">
        <f t="shared" si="56"/>
        <v/>
      </c>
      <c r="H307" s="121" t="str">
        <f t="shared" si="57"/>
        <v/>
      </c>
      <c r="I307" s="122" t="str">
        <f t="shared" si="64"/>
        <v/>
      </c>
      <c r="J307" s="121" t="str">
        <f t="shared" si="58"/>
        <v/>
      </c>
      <c r="K307" s="121" t="str">
        <f t="shared" si="59"/>
        <v/>
      </c>
      <c r="L307" s="121" t="str">
        <f t="shared" si="60"/>
        <v/>
      </c>
      <c r="M307" s="121" t="str">
        <f t="shared" si="61"/>
        <v/>
      </c>
    </row>
    <row r="308" spans="1:13" x14ac:dyDescent="0.25">
      <c r="A308" s="80">
        <f t="shared" si="62"/>
        <v>278</v>
      </c>
      <c r="B308" s="120" t="str">
        <f t="shared" si="52"/>
        <v/>
      </c>
      <c r="C308" s="121" t="str">
        <f t="shared" si="63"/>
        <v/>
      </c>
      <c r="D308" s="122" t="str">
        <f t="shared" si="53"/>
        <v/>
      </c>
      <c r="E308" s="121" t="str">
        <f t="shared" si="54"/>
        <v/>
      </c>
      <c r="F308" s="121" t="str">
        <f t="shared" si="55"/>
        <v/>
      </c>
      <c r="G308" s="121" t="str">
        <f t="shared" si="56"/>
        <v/>
      </c>
      <c r="H308" s="121" t="str">
        <f t="shared" si="57"/>
        <v/>
      </c>
      <c r="I308" s="122" t="str">
        <f t="shared" si="64"/>
        <v/>
      </c>
      <c r="J308" s="121" t="str">
        <f t="shared" si="58"/>
        <v/>
      </c>
      <c r="K308" s="121" t="str">
        <f t="shared" si="59"/>
        <v/>
      </c>
      <c r="L308" s="121" t="str">
        <f t="shared" si="60"/>
        <v/>
      </c>
      <c r="M308" s="121" t="str">
        <f t="shared" si="61"/>
        <v/>
      </c>
    </row>
    <row r="309" spans="1:13" x14ac:dyDescent="0.25">
      <c r="A309" s="80">
        <f t="shared" si="62"/>
        <v>279</v>
      </c>
      <c r="B309" s="120" t="str">
        <f t="shared" si="52"/>
        <v/>
      </c>
      <c r="C309" s="121" t="str">
        <f t="shared" si="63"/>
        <v/>
      </c>
      <c r="D309" s="122" t="str">
        <f t="shared" si="53"/>
        <v/>
      </c>
      <c r="E309" s="121" t="str">
        <f t="shared" si="54"/>
        <v/>
      </c>
      <c r="F309" s="121" t="str">
        <f t="shared" si="55"/>
        <v/>
      </c>
      <c r="G309" s="121" t="str">
        <f t="shared" si="56"/>
        <v/>
      </c>
      <c r="H309" s="121" t="str">
        <f t="shared" si="57"/>
        <v/>
      </c>
      <c r="I309" s="122" t="str">
        <f t="shared" si="64"/>
        <v/>
      </c>
      <c r="J309" s="121" t="str">
        <f t="shared" si="58"/>
        <v/>
      </c>
      <c r="K309" s="121" t="str">
        <f t="shared" si="59"/>
        <v/>
      </c>
      <c r="L309" s="121" t="str">
        <f t="shared" si="60"/>
        <v/>
      </c>
      <c r="M309" s="121" t="str">
        <f t="shared" si="61"/>
        <v/>
      </c>
    </row>
    <row r="310" spans="1:13" x14ac:dyDescent="0.25">
      <c r="A310" s="80">
        <f t="shared" si="62"/>
        <v>280</v>
      </c>
      <c r="B310" s="120" t="str">
        <f t="shared" si="52"/>
        <v/>
      </c>
      <c r="C310" s="121" t="str">
        <f t="shared" si="63"/>
        <v/>
      </c>
      <c r="D310" s="122" t="str">
        <f t="shared" si="53"/>
        <v/>
      </c>
      <c r="E310" s="121" t="str">
        <f t="shared" si="54"/>
        <v/>
      </c>
      <c r="F310" s="121" t="str">
        <f t="shared" si="55"/>
        <v/>
      </c>
      <c r="G310" s="121" t="str">
        <f t="shared" si="56"/>
        <v/>
      </c>
      <c r="H310" s="121" t="str">
        <f t="shared" si="57"/>
        <v/>
      </c>
      <c r="I310" s="122" t="str">
        <f t="shared" si="64"/>
        <v/>
      </c>
      <c r="J310" s="121" t="str">
        <f t="shared" si="58"/>
        <v/>
      </c>
      <c r="K310" s="121" t="str">
        <f t="shared" si="59"/>
        <v/>
      </c>
      <c r="L310" s="121" t="str">
        <f t="shared" si="60"/>
        <v/>
      </c>
      <c r="M310" s="121" t="str">
        <f t="shared" si="61"/>
        <v/>
      </c>
    </row>
    <row r="311" spans="1:13" x14ac:dyDescent="0.25">
      <c r="A311" s="80">
        <f t="shared" si="62"/>
        <v>281</v>
      </c>
      <c r="B311" s="120" t="str">
        <f t="shared" si="52"/>
        <v/>
      </c>
      <c r="C311" s="121" t="str">
        <f t="shared" si="63"/>
        <v/>
      </c>
      <c r="D311" s="122" t="str">
        <f t="shared" si="53"/>
        <v/>
      </c>
      <c r="E311" s="121" t="str">
        <f t="shared" si="54"/>
        <v/>
      </c>
      <c r="F311" s="121" t="str">
        <f t="shared" si="55"/>
        <v/>
      </c>
      <c r="G311" s="121" t="str">
        <f t="shared" si="56"/>
        <v/>
      </c>
      <c r="H311" s="121" t="str">
        <f t="shared" si="57"/>
        <v/>
      </c>
      <c r="I311" s="122" t="str">
        <f t="shared" si="64"/>
        <v/>
      </c>
      <c r="J311" s="121" t="str">
        <f t="shared" si="58"/>
        <v/>
      </c>
      <c r="K311" s="121" t="str">
        <f t="shared" si="59"/>
        <v/>
      </c>
      <c r="L311" s="121" t="str">
        <f t="shared" si="60"/>
        <v/>
      </c>
      <c r="M311" s="121" t="str">
        <f t="shared" si="61"/>
        <v/>
      </c>
    </row>
    <row r="312" spans="1:13" x14ac:dyDescent="0.25">
      <c r="A312" s="80">
        <f t="shared" si="62"/>
        <v>282</v>
      </c>
      <c r="B312" s="120" t="str">
        <f t="shared" si="52"/>
        <v/>
      </c>
      <c r="C312" s="121" t="str">
        <f t="shared" si="63"/>
        <v/>
      </c>
      <c r="D312" s="122" t="str">
        <f t="shared" si="53"/>
        <v/>
      </c>
      <c r="E312" s="121" t="str">
        <f t="shared" si="54"/>
        <v/>
      </c>
      <c r="F312" s="121" t="str">
        <f t="shared" si="55"/>
        <v/>
      </c>
      <c r="G312" s="121" t="str">
        <f t="shared" si="56"/>
        <v/>
      </c>
      <c r="H312" s="121" t="str">
        <f t="shared" si="57"/>
        <v/>
      </c>
      <c r="I312" s="122" t="str">
        <f t="shared" si="64"/>
        <v/>
      </c>
      <c r="J312" s="121" t="str">
        <f t="shared" si="58"/>
        <v/>
      </c>
      <c r="K312" s="121" t="str">
        <f t="shared" si="59"/>
        <v/>
      </c>
      <c r="L312" s="121" t="str">
        <f t="shared" si="60"/>
        <v/>
      </c>
      <c r="M312" s="121" t="str">
        <f t="shared" si="61"/>
        <v/>
      </c>
    </row>
    <row r="313" spans="1:13" x14ac:dyDescent="0.25">
      <c r="A313" s="80">
        <f t="shared" si="62"/>
        <v>283</v>
      </c>
      <c r="B313" s="120" t="str">
        <f t="shared" si="52"/>
        <v/>
      </c>
      <c r="C313" s="121" t="str">
        <f t="shared" si="63"/>
        <v/>
      </c>
      <c r="D313" s="122" t="str">
        <f t="shared" si="53"/>
        <v/>
      </c>
      <c r="E313" s="121" t="str">
        <f t="shared" si="54"/>
        <v/>
      </c>
      <c r="F313" s="121" t="str">
        <f t="shared" si="55"/>
        <v/>
      </c>
      <c r="G313" s="121" t="str">
        <f t="shared" si="56"/>
        <v/>
      </c>
      <c r="H313" s="121" t="str">
        <f t="shared" si="57"/>
        <v/>
      </c>
      <c r="I313" s="122" t="str">
        <f t="shared" si="64"/>
        <v/>
      </c>
      <c r="J313" s="121" t="str">
        <f t="shared" si="58"/>
        <v/>
      </c>
      <c r="K313" s="121" t="str">
        <f t="shared" si="59"/>
        <v/>
      </c>
      <c r="L313" s="121" t="str">
        <f t="shared" si="60"/>
        <v/>
      </c>
      <c r="M313" s="121" t="str">
        <f t="shared" si="61"/>
        <v/>
      </c>
    </row>
    <row r="314" spans="1:13" x14ac:dyDescent="0.25">
      <c r="A314" s="80">
        <f t="shared" si="62"/>
        <v>284</v>
      </c>
      <c r="B314" s="120" t="str">
        <f t="shared" si="52"/>
        <v/>
      </c>
      <c r="C314" s="121" t="str">
        <f t="shared" si="63"/>
        <v/>
      </c>
      <c r="D314" s="122" t="str">
        <f t="shared" si="53"/>
        <v/>
      </c>
      <c r="E314" s="121" t="str">
        <f t="shared" si="54"/>
        <v/>
      </c>
      <c r="F314" s="121" t="str">
        <f t="shared" si="55"/>
        <v/>
      </c>
      <c r="G314" s="121" t="str">
        <f t="shared" si="56"/>
        <v/>
      </c>
      <c r="H314" s="121" t="str">
        <f t="shared" si="57"/>
        <v/>
      </c>
      <c r="I314" s="122" t="str">
        <f t="shared" si="64"/>
        <v/>
      </c>
      <c r="J314" s="121" t="str">
        <f t="shared" si="58"/>
        <v/>
      </c>
      <c r="K314" s="121" t="str">
        <f t="shared" si="59"/>
        <v/>
      </c>
      <c r="L314" s="121" t="str">
        <f t="shared" si="60"/>
        <v/>
      </c>
      <c r="M314" s="121" t="str">
        <f t="shared" si="61"/>
        <v/>
      </c>
    </row>
    <row r="315" spans="1:13" x14ac:dyDescent="0.25">
      <c r="A315" s="80">
        <f t="shared" si="62"/>
        <v>285</v>
      </c>
      <c r="B315" s="120" t="str">
        <f t="shared" si="52"/>
        <v/>
      </c>
      <c r="C315" s="121" t="str">
        <f t="shared" si="63"/>
        <v/>
      </c>
      <c r="D315" s="122" t="str">
        <f t="shared" si="53"/>
        <v/>
      </c>
      <c r="E315" s="121" t="str">
        <f t="shared" si="54"/>
        <v/>
      </c>
      <c r="F315" s="121" t="str">
        <f t="shared" si="55"/>
        <v/>
      </c>
      <c r="G315" s="121" t="str">
        <f t="shared" si="56"/>
        <v/>
      </c>
      <c r="H315" s="121" t="str">
        <f t="shared" si="57"/>
        <v/>
      </c>
      <c r="I315" s="122" t="str">
        <f t="shared" si="64"/>
        <v/>
      </c>
      <c r="J315" s="121" t="str">
        <f t="shared" si="58"/>
        <v/>
      </c>
      <c r="K315" s="121" t="str">
        <f t="shared" si="59"/>
        <v/>
      </c>
      <c r="L315" s="121" t="str">
        <f t="shared" si="60"/>
        <v/>
      </c>
      <c r="M315" s="121" t="str">
        <f t="shared" si="61"/>
        <v/>
      </c>
    </row>
    <row r="316" spans="1:13" x14ac:dyDescent="0.25">
      <c r="A316" s="80">
        <f t="shared" si="62"/>
        <v>286</v>
      </c>
      <c r="B316" s="120" t="str">
        <f t="shared" si="52"/>
        <v/>
      </c>
      <c r="C316" s="121" t="str">
        <f t="shared" si="63"/>
        <v/>
      </c>
      <c r="D316" s="122" t="str">
        <f t="shared" si="53"/>
        <v/>
      </c>
      <c r="E316" s="121" t="str">
        <f t="shared" si="54"/>
        <v/>
      </c>
      <c r="F316" s="121" t="str">
        <f t="shared" si="55"/>
        <v/>
      </c>
      <c r="G316" s="121" t="str">
        <f t="shared" si="56"/>
        <v/>
      </c>
      <c r="H316" s="121" t="str">
        <f t="shared" si="57"/>
        <v/>
      </c>
      <c r="I316" s="122" t="str">
        <f t="shared" si="64"/>
        <v/>
      </c>
      <c r="J316" s="121" t="str">
        <f t="shared" si="58"/>
        <v/>
      </c>
      <c r="K316" s="121" t="str">
        <f t="shared" si="59"/>
        <v/>
      </c>
      <c r="L316" s="121" t="str">
        <f t="shared" si="60"/>
        <v/>
      </c>
      <c r="M316" s="121" t="str">
        <f t="shared" si="61"/>
        <v/>
      </c>
    </row>
    <row r="317" spans="1:13" x14ac:dyDescent="0.25">
      <c r="A317" s="80">
        <f t="shared" si="62"/>
        <v>287</v>
      </c>
      <c r="B317" s="120" t="str">
        <f t="shared" si="52"/>
        <v/>
      </c>
      <c r="C317" s="121" t="str">
        <f t="shared" si="63"/>
        <v/>
      </c>
      <c r="D317" s="122" t="str">
        <f t="shared" si="53"/>
        <v/>
      </c>
      <c r="E317" s="121" t="str">
        <f t="shared" si="54"/>
        <v/>
      </c>
      <c r="F317" s="121" t="str">
        <f t="shared" si="55"/>
        <v/>
      </c>
      <c r="G317" s="121" t="str">
        <f t="shared" si="56"/>
        <v/>
      </c>
      <c r="H317" s="121" t="str">
        <f t="shared" si="57"/>
        <v/>
      </c>
      <c r="I317" s="122" t="str">
        <f t="shared" si="64"/>
        <v/>
      </c>
      <c r="J317" s="121" t="str">
        <f t="shared" si="58"/>
        <v/>
      </c>
      <c r="K317" s="121" t="str">
        <f t="shared" si="59"/>
        <v/>
      </c>
      <c r="L317" s="121" t="str">
        <f t="shared" si="60"/>
        <v/>
      </c>
      <c r="M317" s="121" t="str">
        <f t="shared" si="61"/>
        <v/>
      </c>
    </row>
    <row r="318" spans="1:13" x14ac:dyDescent="0.25">
      <c r="A318" s="80">
        <f t="shared" si="62"/>
        <v>288</v>
      </c>
      <c r="B318" s="120" t="str">
        <f t="shared" si="52"/>
        <v/>
      </c>
      <c r="C318" s="121" t="str">
        <f t="shared" si="63"/>
        <v/>
      </c>
      <c r="D318" s="122" t="str">
        <f t="shared" si="53"/>
        <v/>
      </c>
      <c r="E318" s="121" t="str">
        <f t="shared" si="54"/>
        <v/>
      </c>
      <c r="F318" s="121" t="str">
        <f t="shared" si="55"/>
        <v/>
      </c>
      <c r="G318" s="121" t="str">
        <f t="shared" si="56"/>
        <v/>
      </c>
      <c r="H318" s="121" t="str">
        <f t="shared" si="57"/>
        <v/>
      </c>
      <c r="I318" s="122" t="str">
        <f t="shared" si="64"/>
        <v/>
      </c>
      <c r="J318" s="121" t="str">
        <f t="shared" si="58"/>
        <v/>
      </c>
      <c r="K318" s="121" t="str">
        <f t="shared" si="59"/>
        <v/>
      </c>
      <c r="L318" s="121" t="str">
        <f t="shared" si="60"/>
        <v/>
      </c>
      <c r="M318" s="121" t="str">
        <f t="shared" si="61"/>
        <v/>
      </c>
    </row>
    <row r="319" spans="1:13" x14ac:dyDescent="0.25">
      <c r="A319" s="80">
        <f t="shared" si="62"/>
        <v>289</v>
      </c>
      <c r="B319" s="120" t="str">
        <f t="shared" si="52"/>
        <v/>
      </c>
      <c r="C319" s="121" t="str">
        <f t="shared" si="63"/>
        <v/>
      </c>
      <c r="D319" s="122" t="str">
        <f t="shared" si="53"/>
        <v/>
      </c>
      <c r="E319" s="121" t="str">
        <f t="shared" si="54"/>
        <v/>
      </c>
      <c r="F319" s="121" t="str">
        <f t="shared" si="55"/>
        <v/>
      </c>
      <c r="G319" s="121" t="str">
        <f t="shared" si="56"/>
        <v/>
      </c>
      <c r="H319" s="121" t="str">
        <f t="shared" si="57"/>
        <v/>
      </c>
      <c r="I319" s="122" t="str">
        <f t="shared" si="64"/>
        <v/>
      </c>
      <c r="J319" s="121" t="str">
        <f t="shared" si="58"/>
        <v/>
      </c>
      <c r="K319" s="121" t="str">
        <f t="shared" si="59"/>
        <v/>
      </c>
      <c r="L319" s="121" t="str">
        <f t="shared" si="60"/>
        <v/>
      </c>
      <c r="M319" s="121" t="str">
        <f t="shared" si="61"/>
        <v/>
      </c>
    </row>
    <row r="320" spans="1:13" x14ac:dyDescent="0.25">
      <c r="A320" s="80">
        <f t="shared" si="62"/>
        <v>290</v>
      </c>
      <c r="B320" s="120" t="str">
        <f t="shared" si="52"/>
        <v/>
      </c>
      <c r="C320" s="121" t="str">
        <f t="shared" si="63"/>
        <v/>
      </c>
      <c r="D320" s="122" t="str">
        <f t="shared" si="53"/>
        <v/>
      </c>
      <c r="E320" s="121" t="str">
        <f t="shared" si="54"/>
        <v/>
      </c>
      <c r="F320" s="121" t="str">
        <f t="shared" si="55"/>
        <v/>
      </c>
      <c r="G320" s="121" t="str">
        <f t="shared" si="56"/>
        <v/>
      </c>
      <c r="H320" s="121" t="str">
        <f t="shared" si="57"/>
        <v/>
      </c>
      <c r="I320" s="122" t="str">
        <f t="shared" si="64"/>
        <v/>
      </c>
      <c r="J320" s="121" t="str">
        <f t="shared" si="58"/>
        <v/>
      </c>
      <c r="K320" s="121" t="str">
        <f t="shared" si="59"/>
        <v/>
      </c>
      <c r="L320" s="121" t="str">
        <f t="shared" si="60"/>
        <v/>
      </c>
      <c r="M320" s="121" t="str">
        <f t="shared" si="61"/>
        <v/>
      </c>
    </row>
    <row r="321" spans="1:13" x14ac:dyDescent="0.25">
      <c r="A321" s="80">
        <f t="shared" si="62"/>
        <v>291</v>
      </c>
      <c r="B321" s="120" t="str">
        <f t="shared" si="52"/>
        <v/>
      </c>
      <c r="C321" s="121" t="str">
        <f t="shared" si="63"/>
        <v/>
      </c>
      <c r="D321" s="122" t="str">
        <f t="shared" si="53"/>
        <v/>
      </c>
      <c r="E321" s="121" t="str">
        <f t="shared" si="54"/>
        <v/>
      </c>
      <c r="F321" s="121" t="str">
        <f t="shared" si="55"/>
        <v/>
      </c>
      <c r="G321" s="121" t="str">
        <f t="shared" si="56"/>
        <v/>
      </c>
      <c r="H321" s="121" t="str">
        <f t="shared" si="57"/>
        <v/>
      </c>
      <c r="I321" s="122" t="str">
        <f t="shared" si="64"/>
        <v/>
      </c>
      <c r="J321" s="121" t="str">
        <f t="shared" si="58"/>
        <v/>
      </c>
      <c r="K321" s="121" t="str">
        <f t="shared" si="59"/>
        <v/>
      </c>
      <c r="L321" s="121" t="str">
        <f t="shared" si="60"/>
        <v/>
      </c>
      <c r="M321" s="121" t="str">
        <f t="shared" si="61"/>
        <v/>
      </c>
    </row>
    <row r="322" spans="1:13" x14ac:dyDescent="0.25">
      <c r="A322" s="80">
        <f t="shared" si="62"/>
        <v>292</v>
      </c>
      <c r="B322" s="120" t="str">
        <f t="shared" si="52"/>
        <v/>
      </c>
      <c r="C322" s="121" t="str">
        <f t="shared" si="63"/>
        <v/>
      </c>
      <c r="D322" s="122" t="str">
        <f t="shared" si="53"/>
        <v/>
      </c>
      <c r="E322" s="121" t="str">
        <f t="shared" si="54"/>
        <v/>
      </c>
      <c r="F322" s="121" t="str">
        <f t="shared" si="55"/>
        <v/>
      </c>
      <c r="G322" s="121" t="str">
        <f t="shared" si="56"/>
        <v/>
      </c>
      <c r="H322" s="121" t="str">
        <f t="shared" si="57"/>
        <v/>
      </c>
      <c r="I322" s="122" t="str">
        <f t="shared" si="64"/>
        <v/>
      </c>
      <c r="J322" s="121" t="str">
        <f t="shared" si="58"/>
        <v/>
      </c>
      <c r="K322" s="121" t="str">
        <f t="shared" si="59"/>
        <v/>
      </c>
      <c r="L322" s="121" t="str">
        <f t="shared" si="60"/>
        <v/>
      </c>
      <c r="M322" s="121" t="str">
        <f t="shared" si="61"/>
        <v/>
      </c>
    </row>
    <row r="323" spans="1:13" x14ac:dyDescent="0.25">
      <c r="A323" s="80">
        <f t="shared" si="62"/>
        <v>293</v>
      </c>
      <c r="B323" s="120" t="str">
        <f t="shared" si="52"/>
        <v/>
      </c>
      <c r="C323" s="121" t="str">
        <f t="shared" si="63"/>
        <v/>
      </c>
      <c r="D323" s="122" t="str">
        <f t="shared" si="53"/>
        <v/>
      </c>
      <c r="E323" s="121" t="str">
        <f t="shared" si="54"/>
        <v/>
      </c>
      <c r="F323" s="121" t="str">
        <f t="shared" si="55"/>
        <v/>
      </c>
      <c r="G323" s="121" t="str">
        <f t="shared" si="56"/>
        <v/>
      </c>
      <c r="H323" s="121" t="str">
        <f t="shared" si="57"/>
        <v/>
      </c>
      <c r="I323" s="122" t="str">
        <f t="shared" si="64"/>
        <v/>
      </c>
      <c r="J323" s="121" t="str">
        <f t="shared" si="58"/>
        <v/>
      </c>
      <c r="K323" s="121" t="str">
        <f t="shared" si="59"/>
        <v/>
      </c>
      <c r="L323" s="121" t="str">
        <f t="shared" si="60"/>
        <v/>
      </c>
      <c r="M323" s="121" t="str">
        <f t="shared" si="61"/>
        <v/>
      </c>
    </row>
    <row r="324" spans="1:13" x14ac:dyDescent="0.25">
      <c r="A324" s="80">
        <f t="shared" si="62"/>
        <v>294</v>
      </c>
      <c r="B324" s="120" t="str">
        <f t="shared" si="52"/>
        <v/>
      </c>
      <c r="C324" s="121" t="str">
        <f t="shared" si="63"/>
        <v/>
      </c>
      <c r="D324" s="122" t="str">
        <f t="shared" si="53"/>
        <v/>
      </c>
      <c r="E324" s="121" t="str">
        <f t="shared" si="54"/>
        <v/>
      </c>
      <c r="F324" s="121" t="str">
        <f t="shared" si="55"/>
        <v/>
      </c>
      <c r="G324" s="121" t="str">
        <f t="shared" si="56"/>
        <v/>
      </c>
      <c r="H324" s="121" t="str">
        <f t="shared" si="57"/>
        <v/>
      </c>
      <c r="I324" s="122" t="str">
        <f t="shared" si="64"/>
        <v/>
      </c>
      <c r="J324" s="121" t="str">
        <f t="shared" si="58"/>
        <v/>
      </c>
      <c r="K324" s="121" t="str">
        <f t="shared" si="59"/>
        <v/>
      </c>
      <c r="L324" s="121" t="str">
        <f t="shared" si="60"/>
        <v/>
      </c>
      <c r="M324" s="121" t="str">
        <f t="shared" si="61"/>
        <v/>
      </c>
    </row>
    <row r="325" spans="1:13" x14ac:dyDescent="0.25">
      <c r="A325" s="80">
        <f t="shared" si="62"/>
        <v>295</v>
      </c>
      <c r="B325" s="120" t="str">
        <f t="shared" si="52"/>
        <v/>
      </c>
      <c r="C325" s="121" t="str">
        <f t="shared" si="63"/>
        <v/>
      </c>
      <c r="D325" s="122" t="str">
        <f t="shared" si="53"/>
        <v/>
      </c>
      <c r="E325" s="121" t="str">
        <f t="shared" si="54"/>
        <v/>
      </c>
      <c r="F325" s="121" t="str">
        <f t="shared" si="55"/>
        <v/>
      </c>
      <c r="G325" s="121" t="str">
        <f t="shared" si="56"/>
        <v/>
      </c>
      <c r="H325" s="121" t="str">
        <f t="shared" si="57"/>
        <v/>
      </c>
      <c r="I325" s="122" t="str">
        <f t="shared" si="64"/>
        <v/>
      </c>
      <c r="J325" s="121" t="str">
        <f t="shared" si="58"/>
        <v/>
      </c>
      <c r="K325" s="121" t="str">
        <f t="shared" si="59"/>
        <v/>
      </c>
      <c r="L325" s="121" t="str">
        <f t="shared" si="60"/>
        <v/>
      </c>
      <c r="M325" s="121" t="str">
        <f t="shared" si="61"/>
        <v/>
      </c>
    </row>
    <row r="326" spans="1:13" x14ac:dyDescent="0.25">
      <c r="A326" s="80">
        <f t="shared" si="62"/>
        <v>296</v>
      </c>
      <c r="B326" s="120" t="str">
        <f t="shared" si="52"/>
        <v/>
      </c>
      <c r="C326" s="121" t="str">
        <f t="shared" si="63"/>
        <v/>
      </c>
      <c r="D326" s="122" t="str">
        <f t="shared" si="53"/>
        <v/>
      </c>
      <c r="E326" s="121" t="str">
        <f t="shared" si="54"/>
        <v/>
      </c>
      <c r="F326" s="121" t="str">
        <f t="shared" si="55"/>
        <v/>
      </c>
      <c r="G326" s="121" t="str">
        <f t="shared" si="56"/>
        <v/>
      </c>
      <c r="H326" s="121" t="str">
        <f t="shared" si="57"/>
        <v/>
      </c>
      <c r="I326" s="122" t="str">
        <f t="shared" si="64"/>
        <v/>
      </c>
      <c r="J326" s="121" t="str">
        <f t="shared" si="58"/>
        <v/>
      </c>
      <c r="K326" s="121" t="str">
        <f t="shared" si="59"/>
        <v/>
      </c>
      <c r="L326" s="121" t="str">
        <f t="shared" si="60"/>
        <v/>
      </c>
      <c r="M326" s="121" t="str">
        <f t="shared" si="61"/>
        <v/>
      </c>
    </row>
    <row r="327" spans="1:13" x14ac:dyDescent="0.25">
      <c r="A327" s="80">
        <f t="shared" si="62"/>
        <v>297</v>
      </c>
      <c r="B327" s="120" t="str">
        <f t="shared" si="52"/>
        <v/>
      </c>
      <c r="C327" s="121" t="str">
        <f t="shared" si="63"/>
        <v/>
      </c>
      <c r="D327" s="122" t="str">
        <f t="shared" si="53"/>
        <v/>
      </c>
      <c r="E327" s="121" t="str">
        <f t="shared" si="54"/>
        <v/>
      </c>
      <c r="F327" s="121" t="str">
        <f t="shared" si="55"/>
        <v/>
      </c>
      <c r="G327" s="121" t="str">
        <f t="shared" si="56"/>
        <v/>
      </c>
      <c r="H327" s="121" t="str">
        <f t="shared" si="57"/>
        <v/>
      </c>
      <c r="I327" s="122" t="str">
        <f t="shared" si="64"/>
        <v/>
      </c>
      <c r="J327" s="121" t="str">
        <f t="shared" si="58"/>
        <v/>
      </c>
      <c r="K327" s="121" t="str">
        <f t="shared" si="59"/>
        <v/>
      </c>
      <c r="L327" s="121" t="str">
        <f t="shared" si="60"/>
        <v/>
      </c>
      <c r="M327" s="121" t="str">
        <f t="shared" si="61"/>
        <v/>
      </c>
    </row>
    <row r="328" spans="1:13" x14ac:dyDescent="0.25">
      <c r="A328" s="80">
        <f t="shared" si="62"/>
        <v>298</v>
      </c>
      <c r="B328" s="120" t="str">
        <f t="shared" si="52"/>
        <v/>
      </c>
      <c r="C328" s="121" t="str">
        <f t="shared" si="63"/>
        <v/>
      </c>
      <c r="D328" s="122" t="str">
        <f t="shared" si="53"/>
        <v/>
      </c>
      <c r="E328" s="121" t="str">
        <f t="shared" si="54"/>
        <v/>
      </c>
      <c r="F328" s="121" t="str">
        <f t="shared" si="55"/>
        <v/>
      </c>
      <c r="G328" s="121" t="str">
        <f t="shared" si="56"/>
        <v/>
      </c>
      <c r="H328" s="121" t="str">
        <f t="shared" si="57"/>
        <v/>
      </c>
      <c r="I328" s="122" t="str">
        <f t="shared" si="64"/>
        <v/>
      </c>
      <c r="J328" s="121" t="str">
        <f t="shared" si="58"/>
        <v/>
      </c>
      <c r="K328" s="121" t="str">
        <f t="shared" si="59"/>
        <v/>
      </c>
      <c r="L328" s="121" t="str">
        <f t="shared" si="60"/>
        <v/>
      </c>
      <c r="M328" s="121" t="str">
        <f t="shared" si="61"/>
        <v/>
      </c>
    </row>
    <row r="329" spans="1:13" x14ac:dyDescent="0.25">
      <c r="A329" s="80">
        <f t="shared" si="62"/>
        <v>299</v>
      </c>
      <c r="B329" s="120" t="str">
        <f t="shared" si="52"/>
        <v/>
      </c>
      <c r="C329" s="121" t="str">
        <f t="shared" si="63"/>
        <v/>
      </c>
      <c r="D329" s="122" t="str">
        <f t="shared" si="53"/>
        <v/>
      </c>
      <c r="E329" s="121" t="str">
        <f t="shared" si="54"/>
        <v/>
      </c>
      <c r="F329" s="121" t="str">
        <f t="shared" si="55"/>
        <v/>
      </c>
      <c r="G329" s="121" t="str">
        <f t="shared" si="56"/>
        <v/>
      </c>
      <c r="H329" s="121" t="str">
        <f t="shared" si="57"/>
        <v/>
      </c>
      <c r="I329" s="122" t="str">
        <f t="shared" si="64"/>
        <v/>
      </c>
      <c r="J329" s="121" t="str">
        <f t="shared" si="58"/>
        <v/>
      </c>
      <c r="K329" s="121" t="str">
        <f t="shared" si="59"/>
        <v/>
      </c>
      <c r="L329" s="121" t="str">
        <f t="shared" si="60"/>
        <v/>
      </c>
      <c r="M329" s="121" t="str">
        <f t="shared" si="61"/>
        <v/>
      </c>
    </row>
    <row r="330" spans="1:13" x14ac:dyDescent="0.25">
      <c r="A330" s="80">
        <f t="shared" si="62"/>
        <v>300</v>
      </c>
      <c r="B330" s="120" t="str">
        <f t="shared" si="52"/>
        <v/>
      </c>
      <c r="C330" s="121" t="str">
        <f t="shared" si="63"/>
        <v/>
      </c>
      <c r="D330" s="122" t="str">
        <f t="shared" si="53"/>
        <v/>
      </c>
      <c r="E330" s="121" t="str">
        <f t="shared" si="54"/>
        <v/>
      </c>
      <c r="F330" s="121" t="str">
        <f t="shared" si="55"/>
        <v/>
      </c>
      <c r="G330" s="121" t="str">
        <f t="shared" si="56"/>
        <v/>
      </c>
      <c r="H330" s="121" t="str">
        <f t="shared" si="57"/>
        <v/>
      </c>
      <c r="I330" s="122" t="str">
        <f t="shared" si="64"/>
        <v/>
      </c>
      <c r="J330" s="121" t="str">
        <f t="shared" si="58"/>
        <v/>
      </c>
      <c r="K330" s="121" t="str">
        <f t="shared" si="59"/>
        <v/>
      </c>
      <c r="L330" s="121" t="str">
        <f t="shared" si="60"/>
        <v/>
      </c>
      <c r="M330" s="121" t="str">
        <f t="shared" si="61"/>
        <v/>
      </c>
    </row>
    <row r="331" spans="1:13" x14ac:dyDescent="0.25">
      <c r="A331" s="80">
        <f t="shared" si="62"/>
        <v>301</v>
      </c>
      <c r="B331" s="120" t="str">
        <f t="shared" si="52"/>
        <v/>
      </c>
      <c r="C331" s="121" t="str">
        <f t="shared" si="63"/>
        <v/>
      </c>
      <c r="D331" s="122" t="str">
        <f t="shared" si="53"/>
        <v/>
      </c>
      <c r="E331" s="121" t="str">
        <f t="shared" si="54"/>
        <v/>
      </c>
      <c r="F331" s="121" t="str">
        <f t="shared" si="55"/>
        <v/>
      </c>
      <c r="G331" s="121" t="str">
        <f t="shared" si="56"/>
        <v/>
      </c>
      <c r="H331" s="121" t="str">
        <f t="shared" si="57"/>
        <v/>
      </c>
      <c r="I331" s="122" t="str">
        <f t="shared" si="64"/>
        <v/>
      </c>
      <c r="J331" s="121" t="str">
        <f t="shared" si="58"/>
        <v/>
      </c>
      <c r="K331" s="121" t="str">
        <f t="shared" si="59"/>
        <v/>
      </c>
      <c r="L331" s="121" t="str">
        <f t="shared" si="60"/>
        <v/>
      </c>
      <c r="M331" s="121" t="str">
        <f t="shared" si="61"/>
        <v/>
      </c>
    </row>
    <row r="332" spans="1:13" x14ac:dyDescent="0.25">
      <c r="A332" s="80">
        <f t="shared" si="62"/>
        <v>302</v>
      </c>
      <c r="B332" s="120" t="str">
        <f t="shared" si="52"/>
        <v/>
      </c>
      <c r="C332" s="121" t="str">
        <f t="shared" si="63"/>
        <v/>
      </c>
      <c r="D332" s="122" t="str">
        <f t="shared" si="53"/>
        <v/>
      </c>
      <c r="E332" s="121" t="str">
        <f t="shared" si="54"/>
        <v/>
      </c>
      <c r="F332" s="121" t="str">
        <f t="shared" si="55"/>
        <v/>
      </c>
      <c r="G332" s="121" t="str">
        <f t="shared" si="56"/>
        <v/>
      </c>
      <c r="H332" s="121" t="str">
        <f t="shared" si="57"/>
        <v/>
      </c>
      <c r="I332" s="122" t="str">
        <f t="shared" si="64"/>
        <v/>
      </c>
      <c r="J332" s="121" t="str">
        <f t="shared" si="58"/>
        <v/>
      </c>
      <c r="K332" s="121" t="str">
        <f t="shared" si="59"/>
        <v/>
      </c>
      <c r="L332" s="121" t="str">
        <f t="shared" si="60"/>
        <v/>
      </c>
      <c r="M332" s="121" t="str">
        <f t="shared" si="61"/>
        <v/>
      </c>
    </row>
    <row r="333" spans="1:13" x14ac:dyDescent="0.25">
      <c r="A333" s="80">
        <f t="shared" si="62"/>
        <v>303</v>
      </c>
      <c r="B333" s="120" t="str">
        <f t="shared" si="52"/>
        <v/>
      </c>
      <c r="C333" s="121" t="str">
        <f t="shared" si="63"/>
        <v/>
      </c>
      <c r="D333" s="122" t="str">
        <f t="shared" si="53"/>
        <v/>
      </c>
      <c r="E333" s="121" t="str">
        <f t="shared" si="54"/>
        <v/>
      </c>
      <c r="F333" s="121" t="str">
        <f t="shared" si="55"/>
        <v/>
      </c>
      <c r="G333" s="121" t="str">
        <f t="shared" si="56"/>
        <v/>
      </c>
      <c r="H333" s="121" t="str">
        <f t="shared" si="57"/>
        <v/>
      </c>
      <c r="I333" s="122" t="str">
        <f t="shared" si="64"/>
        <v/>
      </c>
      <c r="J333" s="121" t="str">
        <f t="shared" si="58"/>
        <v/>
      </c>
      <c r="K333" s="121" t="str">
        <f t="shared" si="59"/>
        <v/>
      </c>
      <c r="L333" s="121" t="str">
        <f t="shared" si="60"/>
        <v/>
      </c>
      <c r="M333" s="121" t="str">
        <f t="shared" si="61"/>
        <v/>
      </c>
    </row>
    <row r="334" spans="1:13" x14ac:dyDescent="0.25">
      <c r="A334" s="80">
        <f t="shared" si="62"/>
        <v>304</v>
      </c>
      <c r="B334" s="120" t="str">
        <f t="shared" si="52"/>
        <v/>
      </c>
      <c r="C334" s="121" t="str">
        <f t="shared" si="63"/>
        <v/>
      </c>
      <c r="D334" s="122" t="str">
        <f t="shared" si="53"/>
        <v/>
      </c>
      <c r="E334" s="121" t="str">
        <f t="shared" si="54"/>
        <v/>
      </c>
      <c r="F334" s="121" t="str">
        <f t="shared" si="55"/>
        <v/>
      </c>
      <c r="G334" s="121" t="str">
        <f t="shared" si="56"/>
        <v/>
      </c>
      <c r="H334" s="121" t="str">
        <f t="shared" si="57"/>
        <v/>
      </c>
      <c r="I334" s="122" t="str">
        <f t="shared" si="64"/>
        <v/>
      </c>
      <c r="J334" s="121" t="str">
        <f t="shared" si="58"/>
        <v/>
      </c>
      <c r="K334" s="121" t="str">
        <f t="shared" si="59"/>
        <v/>
      </c>
      <c r="L334" s="121" t="str">
        <f t="shared" si="60"/>
        <v/>
      </c>
      <c r="M334" s="121" t="str">
        <f t="shared" si="61"/>
        <v/>
      </c>
    </row>
    <row r="335" spans="1:13" x14ac:dyDescent="0.25">
      <c r="A335" s="80">
        <f t="shared" si="62"/>
        <v>305</v>
      </c>
      <c r="B335" s="120" t="str">
        <f t="shared" si="52"/>
        <v/>
      </c>
      <c r="C335" s="121" t="str">
        <f t="shared" si="63"/>
        <v/>
      </c>
      <c r="D335" s="122" t="str">
        <f t="shared" si="53"/>
        <v/>
      </c>
      <c r="E335" s="121" t="str">
        <f t="shared" si="54"/>
        <v/>
      </c>
      <c r="F335" s="121" t="str">
        <f t="shared" si="55"/>
        <v/>
      </c>
      <c r="G335" s="121" t="str">
        <f t="shared" si="56"/>
        <v/>
      </c>
      <c r="H335" s="121" t="str">
        <f t="shared" si="57"/>
        <v/>
      </c>
      <c r="I335" s="122" t="str">
        <f t="shared" si="64"/>
        <v/>
      </c>
      <c r="J335" s="121" t="str">
        <f t="shared" si="58"/>
        <v/>
      </c>
      <c r="K335" s="121" t="str">
        <f t="shared" si="59"/>
        <v/>
      </c>
      <c r="L335" s="121" t="str">
        <f t="shared" si="60"/>
        <v/>
      </c>
      <c r="M335" s="121" t="str">
        <f t="shared" si="61"/>
        <v/>
      </c>
    </row>
    <row r="336" spans="1:13" x14ac:dyDescent="0.25">
      <c r="A336" s="80">
        <f t="shared" si="62"/>
        <v>306</v>
      </c>
      <c r="B336" s="120" t="str">
        <f t="shared" si="52"/>
        <v/>
      </c>
      <c r="C336" s="121" t="str">
        <f t="shared" si="63"/>
        <v/>
      </c>
      <c r="D336" s="122" t="str">
        <f t="shared" si="53"/>
        <v/>
      </c>
      <c r="E336" s="121" t="str">
        <f t="shared" si="54"/>
        <v/>
      </c>
      <c r="F336" s="121" t="str">
        <f t="shared" si="55"/>
        <v/>
      </c>
      <c r="G336" s="121" t="str">
        <f t="shared" si="56"/>
        <v/>
      </c>
      <c r="H336" s="121" t="str">
        <f t="shared" si="57"/>
        <v/>
      </c>
      <c r="I336" s="122" t="str">
        <f t="shared" si="64"/>
        <v/>
      </c>
      <c r="J336" s="121" t="str">
        <f t="shared" si="58"/>
        <v/>
      </c>
      <c r="K336" s="121" t="str">
        <f t="shared" si="59"/>
        <v/>
      </c>
      <c r="L336" s="121" t="str">
        <f t="shared" si="60"/>
        <v/>
      </c>
      <c r="M336" s="121" t="str">
        <f t="shared" si="61"/>
        <v/>
      </c>
    </row>
    <row r="337" spans="1:13" x14ac:dyDescent="0.25">
      <c r="A337" s="80">
        <f t="shared" si="62"/>
        <v>307</v>
      </c>
      <c r="B337" s="120" t="str">
        <f t="shared" si="52"/>
        <v/>
      </c>
      <c r="C337" s="121" t="str">
        <f t="shared" si="63"/>
        <v/>
      </c>
      <c r="D337" s="122" t="str">
        <f t="shared" si="53"/>
        <v/>
      </c>
      <c r="E337" s="121" t="str">
        <f t="shared" si="54"/>
        <v/>
      </c>
      <c r="F337" s="121" t="str">
        <f t="shared" si="55"/>
        <v/>
      </c>
      <c r="G337" s="121" t="str">
        <f t="shared" si="56"/>
        <v/>
      </c>
      <c r="H337" s="121" t="str">
        <f t="shared" si="57"/>
        <v/>
      </c>
      <c r="I337" s="122" t="str">
        <f t="shared" si="64"/>
        <v/>
      </c>
      <c r="J337" s="121" t="str">
        <f t="shared" si="58"/>
        <v/>
      </c>
      <c r="K337" s="121" t="str">
        <f t="shared" si="59"/>
        <v/>
      </c>
      <c r="L337" s="121" t="str">
        <f t="shared" si="60"/>
        <v/>
      </c>
      <c r="M337" s="121" t="str">
        <f t="shared" si="61"/>
        <v/>
      </c>
    </row>
    <row r="338" spans="1:13" x14ac:dyDescent="0.25">
      <c r="A338" s="80">
        <f t="shared" si="62"/>
        <v>308</v>
      </c>
      <c r="B338" s="120" t="str">
        <f t="shared" si="52"/>
        <v/>
      </c>
      <c r="C338" s="121" t="str">
        <f t="shared" si="63"/>
        <v/>
      </c>
      <c r="D338" s="122" t="str">
        <f t="shared" si="53"/>
        <v/>
      </c>
      <c r="E338" s="121" t="str">
        <f t="shared" si="54"/>
        <v/>
      </c>
      <c r="F338" s="121" t="str">
        <f t="shared" si="55"/>
        <v/>
      </c>
      <c r="G338" s="121" t="str">
        <f t="shared" si="56"/>
        <v/>
      </c>
      <c r="H338" s="121" t="str">
        <f t="shared" si="57"/>
        <v/>
      </c>
      <c r="I338" s="122" t="str">
        <f t="shared" si="64"/>
        <v/>
      </c>
      <c r="J338" s="121" t="str">
        <f t="shared" si="58"/>
        <v/>
      </c>
      <c r="K338" s="121" t="str">
        <f t="shared" si="59"/>
        <v/>
      </c>
      <c r="L338" s="121" t="str">
        <f t="shared" si="60"/>
        <v/>
      </c>
      <c r="M338" s="121" t="str">
        <f t="shared" si="61"/>
        <v/>
      </c>
    </row>
    <row r="339" spans="1:13" x14ac:dyDescent="0.25">
      <c r="A339" s="80">
        <f t="shared" si="62"/>
        <v>309</v>
      </c>
      <c r="B339" s="120" t="str">
        <f t="shared" si="52"/>
        <v/>
      </c>
      <c r="C339" s="121" t="str">
        <f t="shared" si="63"/>
        <v/>
      </c>
      <c r="D339" s="122" t="str">
        <f t="shared" si="53"/>
        <v/>
      </c>
      <c r="E339" s="121" t="str">
        <f t="shared" si="54"/>
        <v/>
      </c>
      <c r="F339" s="121" t="str">
        <f t="shared" si="55"/>
        <v/>
      </c>
      <c r="G339" s="121" t="str">
        <f t="shared" si="56"/>
        <v/>
      </c>
      <c r="H339" s="121" t="str">
        <f t="shared" si="57"/>
        <v/>
      </c>
      <c r="I339" s="122" t="str">
        <f t="shared" si="64"/>
        <v/>
      </c>
      <c r="J339" s="121" t="str">
        <f t="shared" si="58"/>
        <v/>
      </c>
      <c r="K339" s="121" t="str">
        <f t="shared" si="59"/>
        <v/>
      </c>
      <c r="L339" s="121" t="str">
        <f t="shared" si="60"/>
        <v/>
      </c>
      <c r="M339" s="121" t="str">
        <f t="shared" si="61"/>
        <v/>
      </c>
    </row>
    <row r="340" spans="1:13" x14ac:dyDescent="0.25">
      <c r="A340" s="80">
        <f t="shared" si="62"/>
        <v>310</v>
      </c>
      <c r="B340" s="120" t="str">
        <f t="shared" si="52"/>
        <v/>
      </c>
      <c r="C340" s="121" t="str">
        <f t="shared" si="63"/>
        <v/>
      </c>
      <c r="D340" s="122" t="str">
        <f t="shared" si="53"/>
        <v/>
      </c>
      <c r="E340" s="121" t="str">
        <f t="shared" si="54"/>
        <v/>
      </c>
      <c r="F340" s="121" t="str">
        <f t="shared" si="55"/>
        <v/>
      </c>
      <c r="G340" s="121" t="str">
        <f t="shared" si="56"/>
        <v/>
      </c>
      <c r="H340" s="121" t="str">
        <f t="shared" si="57"/>
        <v/>
      </c>
      <c r="I340" s="122" t="str">
        <f t="shared" si="64"/>
        <v/>
      </c>
      <c r="J340" s="121" t="str">
        <f t="shared" si="58"/>
        <v/>
      </c>
      <c r="K340" s="121" t="str">
        <f t="shared" si="59"/>
        <v/>
      </c>
      <c r="L340" s="121" t="str">
        <f t="shared" si="60"/>
        <v/>
      </c>
      <c r="M340" s="121" t="str">
        <f t="shared" si="61"/>
        <v/>
      </c>
    </row>
    <row r="341" spans="1:13" x14ac:dyDescent="0.25">
      <c r="A341" s="80">
        <f t="shared" si="62"/>
        <v>311</v>
      </c>
      <c r="B341" s="120" t="str">
        <f t="shared" si="52"/>
        <v/>
      </c>
      <c r="C341" s="121" t="str">
        <f t="shared" si="63"/>
        <v/>
      </c>
      <c r="D341" s="122" t="str">
        <f t="shared" si="53"/>
        <v/>
      </c>
      <c r="E341" s="121" t="str">
        <f t="shared" si="54"/>
        <v/>
      </c>
      <c r="F341" s="121" t="str">
        <f t="shared" si="55"/>
        <v/>
      </c>
      <c r="G341" s="121" t="str">
        <f t="shared" si="56"/>
        <v/>
      </c>
      <c r="H341" s="121" t="str">
        <f t="shared" si="57"/>
        <v/>
      </c>
      <c r="I341" s="122" t="str">
        <f t="shared" si="64"/>
        <v/>
      </c>
      <c r="J341" s="121" t="str">
        <f t="shared" si="58"/>
        <v/>
      </c>
      <c r="K341" s="121" t="str">
        <f t="shared" si="59"/>
        <v/>
      </c>
      <c r="L341" s="121" t="str">
        <f t="shared" si="60"/>
        <v/>
      </c>
      <c r="M341" s="121" t="str">
        <f t="shared" si="61"/>
        <v/>
      </c>
    </row>
    <row r="342" spans="1:13" x14ac:dyDescent="0.25">
      <c r="A342" s="80">
        <f t="shared" si="62"/>
        <v>312</v>
      </c>
      <c r="B342" s="120" t="str">
        <f t="shared" si="52"/>
        <v/>
      </c>
      <c r="C342" s="121" t="str">
        <f t="shared" si="63"/>
        <v/>
      </c>
      <c r="D342" s="122" t="str">
        <f t="shared" si="53"/>
        <v/>
      </c>
      <c r="E342" s="121" t="str">
        <f t="shared" si="54"/>
        <v/>
      </c>
      <c r="F342" s="121" t="str">
        <f t="shared" si="55"/>
        <v/>
      </c>
      <c r="G342" s="121" t="str">
        <f t="shared" si="56"/>
        <v/>
      </c>
      <c r="H342" s="121" t="str">
        <f t="shared" si="57"/>
        <v/>
      </c>
      <c r="I342" s="122" t="str">
        <f t="shared" si="64"/>
        <v/>
      </c>
      <c r="J342" s="121" t="str">
        <f t="shared" si="58"/>
        <v/>
      </c>
      <c r="K342" s="121" t="str">
        <f t="shared" si="59"/>
        <v/>
      </c>
      <c r="L342" s="121" t="str">
        <f t="shared" si="60"/>
        <v/>
      </c>
      <c r="M342" s="121" t="str">
        <f t="shared" si="61"/>
        <v/>
      </c>
    </row>
    <row r="343" spans="1:13" x14ac:dyDescent="0.25">
      <c r="A343" s="80">
        <f t="shared" si="62"/>
        <v>313</v>
      </c>
      <c r="B343" s="120" t="str">
        <f t="shared" si="52"/>
        <v/>
      </c>
      <c r="C343" s="121" t="str">
        <f t="shared" si="63"/>
        <v/>
      </c>
      <c r="D343" s="122" t="str">
        <f t="shared" si="53"/>
        <v/>
      </c>
      <c r="E343" s="121" t="str">
        <f t="shared" si="54"/>
        <v/>
      </c>
      <c r="F343" s="121" t="str">
        <f t="shared" si="55"/>
        <v/>
      </c>
      <c r="G343" s="121" t="str">
        <f t="shared" si="56"/>
        <v/>
      </c>
      <c r="H343" s="121" t="str">
        <f t="shared" si="57"/>
        <v/>
      </c>
      <c r="I343" s="122" t="str">
        <f t="shared" si="64"/>
        <v/>
      </c>
      <c r="J343" s="121" t="str">
        <f t="shared" si="58"/>
        <v/>
      </c>
      <c r="K343" s="121" t="str">
        <f t="shared" si="59"/>
        <v/>
      </c>
      <c r="L343" s="121" t="str">
        <f t="shared" si="60"/>
        <v/>
      </c>
      <c r="M343" s="121" t="str">
        <f t="shared" si="61"/>
        <v/>
      </c>
    </row>
    <row r="344" spans="1:13" x14ac:dyDescent="0.25">
      <c r="A344" s="80">
        <f t="shared" si="62"/>
        <v>314</v>
      </c>
      <c r="B344" s="120" t="str">
        <f t="shared" si="52"/>
        <v/>
      </c>
      <c r="C344" s="121" t="str">
        <f t="shared" si="63"/>
        <v/>
      </c>
      <c r="D344" s="122" t="str">
        <f t="shared" si="53"/>
        <v/>
      </c>
      <c r="E344" s="121" t="str">
        <f t="shared" si="54"/>
        <v/>
      </c>
      <c r="F344" s="121" t="str">
        <f t="shared" si="55"/>
        <v/>
      </c>
      <c r="G344" s="121" t="str">
        <f t="shared" si="56"/>
        <v/>
      </c>
      <c r="H344" s="121" t="str">
        <f t="shared" si="57"/>
        <v/>
      </c>
      <c r="I344" s="122" t="str">
        <f t="shared" si="64"/>
        <v/>
      </c>
      <c r="J344" s="121" t="str">
        <f t="shared" si="58"/>
        <v/>
      </c>
      <c r="K344" s="121" t="str">
        <f t="shared" si="59"/>
        <v/>
      </c>
      <c r="L344" s="121" t="str">
        <f t="shared" si="60"/>
        <v/>
      </c>
      <c r="M344" s="121" t="str">
        <f t="shared" si="61"/>
        <v/>
      </c>
    </row>
    <row r="345" spans="1:13" x14ac:dyDescent="0.25">
      <c r="A345" s="80">
        <f t="shared" si="62"/>
        <v>315</v>
      </c>
      <c r="B345" s="120" t="str">
        <f t="shared" si="52"/>
        <v/>
      </c>
      <c r="C345" s="121" t="str">
        <f t="shared" si="63"/>
        <v/>
      </c>
      <c r="D345" s="122" t="str">
        <f t="shared" si="53"/>
        <v/>
      </c>
      <c r="E345" s="121" t="str">
        <f t="shared" si="54"/>
        <v/>
      </c>
      <c r="F345" s="121" t="str">
        <f t="shared" si="55"/>
        <v/>
      </c>
      <c r="G345" s="121" t="str">
        <f t="shared" si="56"/>
        <v/>
      </c>
      <c r="H345" s="121" t="str">
        <f t="shared" si="57"/>
        <v/>
      </c>
      <c r="I345" s="122" t="str">
        <f t="shared" si="64"/>
        <v/>
      </c>
      <c r="J345" s="121" t="str">
        <f t="shared" si="58"/>
        <v/>
      </c>
      <c r="K345" s="121" t="str">
        <f t="shared" si="59"/>
        <v/>
      </c>
      <c r="L345" s="121" t="str">
        <f t="shared" si="60"/>
        <v/>
      </c>
      <c r="M345" s="121" t="str">
        <f t="shared" si="61"/>
        <v/>
      </c>
    </row>
    <row r="346" spans="1:13" x14ac:dyDescent="0.25">
      <c r="A346" s="80">
        <f t="shared" si="62"/>
        <v>316</v>
      </c>
      <c r="B346" s="120" t="str">
        <f t="shared" si="52"/>
        <v/>
      </c>
      <c r="C346" s="121" t="str">
        <f t="shared" si="63"/>
        <v/>
      </c>
      <c r="D346" s="122" t="str">
        <f t="shared" si="53"/>
        <v/>
      </c>
      <c r="E346" s="121" t="str">
        <f t="shared" si="54"/>
        <v/>
      </c>
      <c r="F346" s="121" t="str">
        <f t="shared" si="55"/>
        <v/>
      </c>
      <c r="G346" s="121" t="str">
        <f t="shared" si="56"/>
        <v/>
      </c>
      <c r="H346" s="121" t="str">
        <f t="shared" si="57"/>
        <v/>
      </c>
      <c r="I346" s="122" t="str">
        <f t="shared" si="64"/>
        <v/>
      </c>
      <c r="J346" s="121" t="str">
        <f t="shared" si="58"/>
        <v/>
      </c>
      <c r="K346" s="121" t="str">
        <f t="shared" si="59"/>
        <v/>
      </c>
      <c r="L346" s="121" t="str">
        <f t="shared" si="60"/>
        <v/>
      </c>
      <c r="M346" s="121" t="str">
        <f t="shared" si="61"/>
        <v/>
      </c>
    </row>
    <row r="347" spans="1:13" x14ac:dyDescent="0.25">
      <c r="A347" s="80">
        <f t="shared" si="62"/>
        <v>317</v>
      </c>
      <c r="B347" s="120" t="str">
        <f t="shared" si="52"/>
        <v/>
      </c>
      <c r="C347" s="121" t="str">
        <f t="shared" si="63"/>
        <v/>
      </c>
      <c r="D347" s="122" t="str">
        <f t="shared" si="53"/>
        <v/>
      </c>
      <c r="E347" s="121" t="str">
        <f t="shared" si="54"/>
        <v/>
      </c>
      <c r="F347" s="121" t="str">
        <f t="shared" si="55"/>
        <v/>
      </c>
      <c r="G347" s="121" t="str">
        <f t="shared" si="56"/>
        <v/>
      </c>
      <c r="H347" s="121" t="str">
        <f t="shared" si="57"/>
        <v/>
      </c>
      <c r="I347" s="122" t="str">
        <f t="shared" si="64"/>
        <v/>
      </c>
      <c r="J347" s="121" t="str">
        <f t="shared" si="58"/>
        <v/>
      </c>
      <c r="K347" s="121" t="str">
        <f t="shared" si="59"/>
        <v/>
      </c>
      <c r="L347" s="121" t="str">
        <f t="shared" si="60"/>
        <v/>
      </c>
      <c r="M347" s="121" t="str">
        <f t="shared" si="61"/>
        <v/>
      </c>
    </row>
    <row r="348" spans="1:13" x14ac:dyDescent="0.25">
      <c r="A348" s="80">
        <f t="shared" si="62"/>
        <v>318</v>
      </c>
      <c r="B348" s="120" t="str">
        <f t="shared" si="52"/>
        <v/>
      </c>
      <c r="C348" s="121" t="str">
        <f t="shared" si="63"/>
        <v/>
      </c>
      <c r="D348" s="122" t="str">
        <f t="shared" si="53"/>
        <v/>
      </c>
      <c r="E348" s="121" t="str">
        <f t="shared" si="54"/>
        <v/>
      </c>
      <c r="F348" s="121" t="str">
        <f t="shared" si="55"/>
        <v/>
      </c>
      <c r="G348" s="121" t="str">
        <f t="shared" si="56"/>
        <v/>
      </c>
      <c r="H348" s="121" t="str">
        <f t="shared" si="57"/>
        <v/>
      </c>
      <c r="I348" s="122" t="str">
        <f t="shared" si="64"/>
        <v/>
      </c>
      <c r="J348" s="121" t="str">
        <f t="shared" si="58"/>
        <v/>
      </c>
      <c r="K348" s="121" t="str">
        <f t="shared" si="59"/>
        <v/>
      </c>
      <c r="L348" s="121" t="str">
        <f t="shared" si="60"/>
        <v/>
      </c>
      <c r="M348" s="121" t="str">
        <f t="shared" si="61"/>
        <v/>
      </c>
    </row>
    <row r="349" spans="1:13" x14ac:dyDescent="0.25">
      <c r="A349" s="80">
        <f t="shared" si="62"/>
        <v>319</v>
      </c>
      <c r="B349" s="120" t="str">
        <f t="shared" si="52"/>
        <v/>
      </c>
      <c r="C349" s="121" t="str">
        <f t="shared" si="63"/>
        <v/>
      </c>
      <c r="D349" s="122" t="str">
        <f t="shared" si="53"/>
        <v/>
      </c>
      <c r="E349" s="121" t="str">
        <f t="shared" si="54"/>
        <v/>
      </c>
      <c r="F349" s="121" t="str">
        <f t="shared" si="55"/>
        <v/>
      </c>
      <c r="G349" s="121" t="str">
        <f t="shared" si="56"/>
        <v/>
      </c>
      <c r="H349" s="121" t="str">
        <f t="shared" si="57"/>
        <v/>
      </c>
      <c r="I349" s="122" t="str">
        <f t="shared" si="64"/>
        <v/>
      </c>
      <c r="J349" s="121" t="str">
        <f t="shared" si="58"/>
        <v/>
      </c>
      <c r="K349" s="121" t="str">
        <f t="shared" si="59"/>
        <v/>
      </c>
      <c r="L349" s="121" t="str">
        <f t="shared" si="60"/>
        <v/>
      </c>
      <c r="M349" s="121" t="str">
        <f t="shared" si="61"/>
        <v/>
      </c>
    </row>
    <row r="350" spans="1:13" x14ac:dyDescent="0.25">
      <c r="A350" s="80">
        <f t="shared" si="62"/>
        <v>320</v>
      </c>
      <c r="B350" s="120" t="str">
        <f t="shared" si="52"/>
        <v/>
      </c>
      <c r="C350" s="121" t="str">
        <f t="shared" si="63"/>
        <v/>
      </c>
      <c r="D350" s="122" t="str">
        <f t="shared" si="53"/>
        <v/>
      </c>
      <c r="E350" s="121" t="str">
        <f t="shared" si="54"/>
        <v/>
      </c>
      <c r="F350" s="121" t="str">
        <f t="shared" si="55"/>
        <v/>
      </c>
      <c r="G350" s="121" t="str">
        <f t="shared" si="56"/>
        <v/>
      </c>
      <c r="H350" s="121" t="str">
        <f t="shared" si="57"/>
        <v/>
      </c>
      <c r="I350" s="122" t="str">
        <f t="shared" si="64"/>
        <v/>
      </c>
      <c r="J350" s="121" t="str">
        <f t="shared" si="58"/>
        <v/>
      </c>
      <c r="K350" s="121" t="str">
        <f t="shared" si="59"/>
        <v/>
      </c>
      <c r="L350" s="121" t="str">
        <f t="shared" si="60"/>
        <v/>
      </c>
      <c r="M350" s="121" t="str">
        <f t="shared" si="61"/>
        <v/>
      </c>
    </row>
    <row r="351" spans="1:13" x14ac:dyDescent="0.25">
      <c r="A351" s="80">
        <f t="shared" si="62"/>
        <v>321</v>
      </c>
      <c r="B351" s="120" t="str">
        <f t="shared" ref="B351:B390" si="65">IF(A351&lt;=$F$11,A351,"")</f>
        <v/>
      </c>
      <c r="C351" s="121" t="str">
        <f t="shared" si="63"/>
        <v/>
      </c>
      <c r="D351" s="122" t="str">
        <f t="shared" ref="D351:D390" si="66">IF(B351&lt;=$F$11,(C351*$F$13),"")</f>
        <v/>
      </c>
      <c r="E351" s="121" t="str">
        <f t="shared" ref="E351:E390" si="67">IF(B351&lt;=$F$12,0,IF(B351&lt;=$F$11,(-$F$16-D351),""))</f>
        <v/>
      </c>
      <c r="F351" s="121" t="str">
        <f t="shared" ref="F351:F390" si="68">IF(B351&lt;=$F$11,(($F$20*$F$2)+($F$19*$F$2)+(C351*$F$18)+($F$17*C351)),"")</f>
        <v/>
      </c>
      <c r="G351" s="121" t="str">
        <f t="shared" ref="G351:G390" si="69">IF(B351&lt;=$F$11,(D351+E351),"")</f>
        <v/>
      </c>
      <c r="H351" s="121" t="str">
        <f t="shared" ref="H351:H390" si="70">IF(B351&lt;=$F$11,(F351+G351),"")</f>
        <v/>
      </c>
      <c r="I351" s="122" t="str">
        <f t="shared" si="64"/>
        <v/>
      </c>
      <c r="J351" s="121" t="str">
        <f t="shared" ref="J351:J390" si="71">IF(B351&lt;=$F$11,(($F$20*$F$2*(1-$F$10))+($F$19*$F$2)+((C351*$F$18)*(1-$F$10))+(($F$17*C351))),"")</f>
        <v/>
      </c>
      <c r="K351" s="121" t="str">
        <f t="shared" ref="K351:K390" si="72">IF(B351&lt;=$F$11,(E351+I351),"")</f>
        <v/>
      </c>
      <c r="L351" s="121" t="str">
        <f t="shared" ref="L351:L390" si="73">IF(B351&lt;=$F$11,(J351+K351),"")</f>
        <v/>
      </c>
      <c r="M351" s="121" t="str">
        <f t="shared" ref="M351:M390" si="74">IF(B351&lt;=$F$11,(C351-E351),IF(B351&gt;$F$11,"",0))</f>
        <v/>
      </c>
    </row>
    <row r="352" spans="1:13" x14ac:dyDescent="0.25">
      <c r="A352" s="80">
        <f t="shared" ref="A352:A390" si="75">A351+1</f>
        <v>322</v>
      </c>
      <c r="B352" s="120" t="str">
        <f t="shared" si="65"/>
        <v/>
      </c>
      <c r="C352" s="121" t="str">
        <f t="shared" ref="C352:C390" si="76">IF(M351=0,"",M351)</f>
        <v/>
      </c>
      <c r="D352" s="122" t="str">
        <f t="shared" si="66"/>
        <v/>
      </c>
      <c r="E352" s="121" t="str">
        <f t="shared" si="67"/>
        <v/>
      </c>
      <c r="F352" s="121" t="str">
        <f t="shared" si="68"/>
        <v/>
      </c>
      <c r="G352" s="121" t="str">
        <f t="shared" si="69"/>
        <v/>
      </c>
      <c r="H352" s="121" t="str">
        <f t="shared" si="70"/>
        <v/>
      </c>
      <c r="I352" s="122" t="str">
        <f t="shared" ref="I352:I390" si="77">IF(B352&lt;=$F$11,(C352*$F$13)*(1-$F$10),"")</f>
        <v/>
      </c>
      <c r="J352" s="121" t="str">
        <f t="shared" si="71"/>
        <v/>
      </c>
      <c r="K352" s="121" t="str">
        <f t="shared" si="72"/>
        <v/>
      </c>
      <c r="L352" s="121" t="str">
        <f t="shared" si="73"/>
        <v/>
      </c>
      <c r="M352" s="121" t="str">
        <f t="shared" si="74"/>
        <v/>
      </c>
    </row>
    <row r="353" spans="1:13" x14ac:dyDescent="0.25">
      <c r="A353" s="80">
        <f t="shared" si="75"/>
        <v>323</v>
      </c>
      <c r="B353" s="120" t="str">
        <f t="shared" si="65"/>
        <v/>
      </c>
      <c r="C353" s="121" t="str">
        <f t="shared" si="76"/>
        <v/>
      </c>
      <c r="D353" s="122" t="str">
        <f t="shared" si="66"/>
        <v/>
      </c>
      <c r="E353" s="121" t="str">
        <f t="shared" si="67"/>
        <v/>
      </c>
      <c r="F353" s="121" t="str">
        <f t="shared" si="68"/>
        <v/>
      </c>
      <c r="G353" s="121" t="str">
        <f t="shared" si="69"/>
        <v/>
      </c>
      <c r="H353" s="121" t="str">
        <f t="shared" si="70"/>
        <v/>
      </c>
      <c r="I353" s="122" t="str">
        <f t="shared" si="77"/>
        <v/>
      </c>
      <c r="J353" s="121" t="str">
        <f t="shared" si="71"/>
        <v/>
      </c>
      <c r="K353" s="121" t="str">
        <f t="shared" si="72"/>
        <v/>
      </c>
      <c r="L353" s="121" t="str">
        <f t="shared" si="73"/>
        <v/>
      </c>
      <c r="M353" s="121" t="str">
        <f t="shared" si="74"/>
        <v/>
      </c>
    </row>
    <row r="354" spans="1:13" x14ac:dyDescent="0.25">
      <c r="A354" s="80">
        <f t="shared" si="75"/>
        <v>324</v>
      </c>
      <c r="B354" s="120" t="str">
        <f t="shared" si="65"/>
        <v/>
      </c>
      <c r="C354" s="121" t="str">
        <f t="shared" si="76"/>
        <v/>
      </c>
      <c r="D354" s="122" t="str">
        <f t="shared" si="66"/>
        <v/>
      </c>
      <c r="E354" s="121" t="str">
        <f t="shared" si="67"/>
        <v/>
      </c>
      <c r="F354" s="121" t="str">
        <f t="shared" si="68"/>
        <v/>
      </c>
      <c r="G354" s="121" t="str">
        <f t="shared" si="69"/>
        <v/>
      </c>
      <c r="H354" s="121" t="str">
        <f t="shared" si="70"/>
        <v/>
      </c>
      <c r="I354" s="122" t="str">
        <f t="shared" si="77"/>
        <v/>
      </c>
      <c r="J354" s="121" t="str">
        <f t="shared" si="71"/>
        <v/>
      </c>
      <c r="K354" s="121" t="str">
        <f t="shared" si="72"/>
        <v/>
      </c>
      <c r="L354" s="121" t="str">
        <f t="shared" si="73"/>
        <v/>
      </c>
      <c r="M354" s="121" t="str">
        <f t="shared" si="74"/>
        <v/>
      </c>
    </row>
    <row r="355" spans="1:13" x14ac:dyDescent="0.25">
      <c r="A355" s="80">
        <f t="shared" si="75"/>
        <v>325</v>
      </c>
      <c r="B355" s="120" t="str">
        <f t="shared" si="65"/>
        <v/>
      </c>
      <c r="C355" s="121" t="str">
        <f t="shared" si="76"/>
        <v/>
      </c>
      <c r="D355" s="122" t="str">
        <f t="shared" si="66"/>
        <v/>
      </c>
      <c r="E355" s="121" t="str">
        <f t="shared" si="67"/>
        <v/>
      </c>
      <c r="F355" s="121" t="str">
        <f t="shared" si="68"/>
        <v/>
      </c>
      <c r="G355" s="121" t="str">
        <f t="shared" si="69"/>
        <v/>
      </c>
      <c r="H355" s="121" t="str">
        <f t="shared" si="70"/>
        <v/>
      </c>
      <c r="I355" s="122" t="str">
        <f t="shared" si="77"/>
        <v/>
      </c>
      <c r="J355" s="121" t="str">
        <f t="shared" si="71"/>
        <v/>
      </c>
      <c r="K355" s="121" t="str">
        <f t="shared" si="72"/>
        <v/>
      </c>
      <c r="L355" s="121" t="str">
        <f t="shared" si="73"/>
        <v/>
      </c>
      <c r="M355" s="121" t="str">
        <f t="shared" si="74"/>
        <v/>
      </c>
    </row>
    <row r="356" spans="1:13" x14ac:dyDescent="0.25">
      <c r="A356" s="80">
        <f t="shared" si="75"/>
        <v>326</v>
      </c>
      <c r="B356" s="120" t="str">
        <f t="shared" si="65"/>
        <v/>
      </c>
      <c r="C356" s="121" t="str">
        <f t="shared" si="76"/>
        <v/>
      </c>
      <c r="D356" s="122" t="str">
        <f t="shared" si="66"/>
        <v/>
      </c>
      <c r="E356" s="121" t="str">
        <f t="shared" si="67"/>
        <v/>
      </c>
      <c r="F356" s="121" t="str">
        <f t="shared" si="68"/>
        <v/>
      </c>
      <c r="G356" s="121" t="str">
        <f t="shared" si="69"/>
        <v/>
      </c>
      <c r="H356" s="121" t="str">
        <f t="shared" si="70"/>
        <v/>
      </c>
      <c r="I356" s="122" t="str">
        <f t="shared" si="77"/>
        <v/>
      </c>
      <c r="J356" s="121" t="str">
        <f t="shared" si="71"/>
        <v/>
      </c>
      <c r="K356" s="121" t="str">
        <f t="shared" si="72"/>
        <v/>
      </c>
      <c r="L356" s="121" t="str">
        <f t="shared" si="73"/>
        <v/>
      </c>
      <c r="M356" s="121" t="str">
        <f t="shared" si="74"/>
        <v/>
      </c>
    </row>
    <row r="357" spans="1:13" x14ac:dyDescent="0.25">
      <c r="A357" s="80">
        <f t="shared" si="75"/>
        <v>327</v>
      </c>
      <c r="B357" s="120" t="str">
        <f t="shared" si="65"/>
        <v/>
      </c>
      <c r="C357" s="121" t="str">
        <f t="shared" si="76"/>
        <v/>
      </c>
      <c r="D357" s="122" t="str">
        <f t="shared" si="66"/>
        <v/>
      </c>
      <c r="E357" s="121" t="str">
        <f t="shared" si="67"/>
        <v/>
      </c>
      <c r="F357" s="121" t="str">
        <f t="shared" si="68"/>
        <v/>
      </c>
      <c r="G357" s="121" t="str">
        <f t="shared" si="69"/>
        <v/>
      </c>
      <c r="H357" s="121" t="str">
        <f t="shared" si="70"/>
        <v/>
      </c>
      <c r="I357" s="122" t="str">
        <f t="shared" si="77"/>
        <v/>
      </c>
      <c r="J357" s="121" t="str">
        <f t="shared" si="71"/>
        <v/>
      </c>
      <c r="K357" s="121" t="str">
        <f t="shared" si="72"/>
        <v/>
      </c>
      <c r="L357" s="121" t="str">
        <f t="shared" si="73"/>
        <v/>
      </c>
      <c r="M357" s="121" t="str">
        <f t="shared" si="74"/>
        <v/>
      </c>
    </row>
    <row r="358" spans="1:13" x14ac:dyDescent="0.25">
      <c r="A358" s="80">
        <f t="shared" si="75"/>
        <v>328</v>
      </c>
      <c r="B358" s="120" t="str">
        <f t="shared" si="65"/>
        <v/>
      </c>
      <c r="C358" s="121" t="str">
        <f t="shared" si="76"/>
        <v/>
      </c>
      <c r="D358" s="122" t="str">
        <f t="shared" si="66"/>
        <v/>
      </c>
      <c r="E358" s="121" t="str">
        <f t="shared" si="67"/>
        <v/>
      </c>
      <c r="F358" s="121" t="str">
        <f t="shared" si="68"/>
        <v/>
      </c>
      <c r="G358" s="121" t="str">
        <f t="shared" si="69"/>
        <v/>
      </c>
      <c r="H358" s="121" t="str">
        <f t="shared" si="70"/>
        <v/>
      </c>
      <c r="I358" s="122" t="str">
        <f t="shared" si="77"/>
        <v/>
      </c>
      <c r="J358" s="121" t="str">
        <f t="shared" si="71"/>
        <v/>
      </c>
      <c r="K358" s="121" t="str">
        <f t="shared" si="72"/>
        <v/>
      </c>
      <c r="L358" s="121" t="str">
        <f t="shared" si="73"/>
        <v/>
      </c>
      <c r="M358" s="121" t="str">
        <f t="shared" si="74"/>
        <v/>
      </c>
    </row>
    <row r="359" spans="1:13" x14ac:dyDescent="0.25">
      <c r="A359" s="80">
        <f t="shared" si="75"/>
        <v>329</v>
      </c>
      <c r="B359" s="120" t="str">
        <f t="shared" si="65"/>
        <v/>
      </c>
      <c r="C359" s="121" t="str">
        <f t="shared" si="76"/>
        <v/>
      </c>
      <c r="D359" s="122" t="str">
        <f t="shared" si="66"/>
        <v/>
      </c>
      <c r="E359" s="121" t="str">
        <f t="shared" si="67"/>
        <v/>
      </c>
      <c r="F359" s="121" t="str">
        <f t="shared" si="68"/>
        <v/>
      </c>
      <c r="G359" s="121" t="str">
        <f t="shared" si="69"/>
        <v/>
      </c>
      <c r="H359" s="121" t="str">
        <f t="shared" si="70"/>
        <v/>
      </c>
      <c r="I359" s="122" t="str">
        <f t="shared" si="77"/>
        <v/>
      </c>
      <c r="J359" s="121" t="str">
        <f t="shared" si="71"/>
        <v/>
      </c>
      <c r="K359" s="121" t="str">
        <f t="shared" si="72"/>
        <v/>
      </c>
      <c r="L359" s="121" t="str">
        <f t="shared" si="73"/>
        <v/>
      </c>
      <c r="M359" s="121" t="str">
        <f t="shared" si="74"/>
        <v/>
      </c>
    </row>
    <row r="360" spans="1:13" x14ac:dyDescent="0.25">
      <c r="A360" s="80">
        <f t="shared" si="75"/>
        <v>330</v>
      </c>
      <c r="B360" s="120" t="str">
        <f t="shared" si="65"/>
        <v/>
      </c>
      <c r="C360" s="121" t="str">
        <f t="shared" si="76"/>
        <v/>
      </c>
      <c r="D360" s="122" t="str">
        <f t="shared" si="66"/>
        <v/>
      </c>
      <c r="E360" s="121" t="str">
        <f t="shared" si="67"/>
        <v/>
      </c>
      <c r="F360" s="121" t="str">
        <f t="shared" si="68"/>
        <v/>
      </c>
      <c r="G360" s="121" t="str">
        <f t="shared" si="69"/>
        <v/>
      </c>
      <c r="H360" s="121" t="str">
        <f t="shared" si="70"/>
        <v/>
      </c>
      <c r="I360" s="122" t="str">
        <f t="shared" si="77"/>
        <v/>
      </c>
      <c r="J360" s="121" t="str">
        <f t="shared" si="71"/>
        <v/>
      </c>
      <c r="K360" s="121" t="str">
        <f t="shared" si="72"/>
        <v/>
      </c>
      <c r="L360" s="121" t="str">
        <f t="shared" si="73"/>
        <v/>
      </c>
      <c r="M360" s="121" t="str">
        <f t="shared" si="74"/>
        <v/>
      </c>
    </row>
    <row r="361" spans="1:13" x14ac:dyDescent="0.25">
      <c r="A361" s="80">
        <f t="shared" si="75"/>
        <v>331</v>
      </c>
      <c r="B361" s="120" t="str">
        <f t="shared" si="65"/>
        <v/>
      </c>
      <c r="C361" s="121" t="str">
        <f t="shared" si="76"/>
        <v/>
      </c>
      <c r="D361" s="122" t="str">
        <f t="shared" si="66"/>
        <v/>
      </c>
      <c r="E361" s="121" t="str">
        <f t="shared" si="67"/>
        <v/>
      </c>
      <c r="F361" s="121" t="str">
        <f t="shared" si="68"/>
        <v/>
      </c>
      <c r="G361" s="121" t="str">
        <f t="shared" si="69"/>
        <v/>
      </c>
      <c r="H361" s="121" t="str">
        <f t="shared" si="70"/>
        <v/>
      </c>
      <c r="I361" s="122" t="str">
        <f t="shared" si="77"/>
        <v/>
      </c>
      <c r="J361" s="121" t="str">
        <f t="shared" si="71"/>
        <v/>
      </c>
      <c r="K361" s="121" t="str">
        <f t="shared" si="72"/>
        <v/>
      </c>
      <c r="L361" s="121" t="str">
        <f t="shared" si="73"/>
        <v/>
      </c>
      <c r="M361" s="121" t="str">
        <f t="shared" si="74"/>
        <v/>
      </c>
    </row>
    <row r="362" spans="1:13" x14ac:dyDescent="0.25">
      <c r="A362" s="80">
        <f t="shared" si="75"/>
        <v>332</v>
      </c>
      <c r="B362" s="120" t="str">
        <f t="shared" si="65"/>
        <v/>
      </c>
      <c r="C362" s="121" t="str">
        <f t="shared" si="76"/>
        <v/>
      </c>
      <c r="D362" s="122" t="str">
        <f t="shared" si="66"/>
        <v/>
      </c>
      <c r="E362" s="121" t="str">
        <f t="shared" si="67"/>
        <v/>
      </c>
      <c r="F362" s="121" t="str">
        <f t="shared" si="68"/>
        <v/>
      </c>
      <c r="G362" s="121" t="str">
        <f t="shared" si="69"/>
        <v/>
      </c>
      <c r="H362" s="121" t="str">
        <f t="shared" si="70"/>
        <v/>
      </c>
      <c r="I362" s="122" t="str">
        <f t="shared" si="77"/>
        <v/>
      </c>
      <c r="J362" s="121" t="str">
        <f t="shared" si="71"/>
        <v/>
      </c>
      <c r="K362" s="121" t="str">
        <f t="shared" si="72"/>
        <v/>
      </c>
      <c r="L362" s="121" t="str">
        <f t="shared" si="73"/>
        <v/>
      </c>
      <c r="M362" s="121" t="str">
        <f t="shared" si="74"/>
        <v/>
      </c>
    </row>
    <row r="363" spans="1:13" x14ac:dyDescent="0.25">
      <c r="A363" s="80">
        <f t="shared" si="75"/>
        <v>333</v>
      </c>
      <c r="B363" s="120" t="str">
        <f t="shared" si="65"/>
        <v/>
      </c>
      <c r="C363" s="121" t="str">
        <f t="shared" si="76"/>
        <v/>
      </c>
      <c r="D363" s="122" t="str">
        <f t="shared" si="66"/>
        <v/>
      </c>
      <c r="E363" s="121" t="str">
        <f t="shared" si="67"/>
        <v/>
      </c>
      <c r="F363" s="121" t="str">
        <f t="shared" si="68"/>
        <v/>
      </c>
      <c r="G363" s="121" t="str">
        <f t="shared" si="69"/>
        <v/>
      </c>
      <c r="H363" s="121" t="str">
        <f t="shared" si="70"/>
        <v/>
      </c>
      <c r="I363" s="122" t="str">
        <f t="shared" si="77"/>
        <v/>
      </c>
      <c r="J363" s="121" t="str">
        <f t="shared" si="71"/>
        <v/>
      </c>
      <c r="K363" s="121" t="str">
        <f t="shared" si="72"/>
        <v/>
      </c>
      <c r="L363" s="121" t="str">
        <f t="shared" si="73"/>
        <v/>
      </c>
      <c r="M363" s="121" t="str">
        <f t="shared" si="74"/>
        <v/>
      </c>
    </row>
    <row r="364" spans="1:13" x14ac:dyDescent="0.25">
      <c r="A364" s="80">
        <f t="shared" si="75"/>
        <v>334</v>
      </c>
      <c r="B364" s="120" t="str">
        <f t="shared" si="65"/>
        <v/>
      </c>
      <c r="C364" s="121" t="str">
        <f t="shared" si="76"/>
        <v/>
      </c>
      <c r="D364" s="122" t="str">
        <f t="shared" si="66"/>
        <v/>
      </c>
      <c r="E364" s="121" t="str">
        <f t="shared" si="67"/>
        <v/>
      </c>
      <c r="F364" s="121" t="str">
        <f t="shared" si="68"/>
        <v/>
      </c>
      <c r="G364" s="121" t="str">
        <f t="shared" si="69"/>
        <v/>
      </c>
      <c r="H364" s="121" t="str">
        <f t="shared" si="70"/>
        <v/>
      </c>
      <c r="I364" s="122" t="str">
        <f t="shared" si="77"/>
        <v/>
      </c>
      <c r="J364" s="121" t="str">
        <f t="shared" si="71"/>
        <v/>
      </c>
      <c r="K364" s="121" t="str">
        <f t="shared" si="72"/>
        <v/>
      </c>
      <c r="L364" s="121" t="str">
        <f t="shared" si="73"/>
        <v/>
      </c>
      <c r="M364" s="121" t="str">
        <f t="shared" si="74"/>
        <v/>
      </c>
    </row>
    <row r="365" spans="1:13" x14ac:dyDescent="0.25">
      <c r="A365" s="80">
        <f t="shared" si="75"/>
        <v>335</v>
      </c>
      <c r="B365" s="120" t="str">
        <f t="shared" si="65"/>
        <v/>
      </c>
      <c r="C365" s="121" t="str">
        <f t="shared" si="76"/>
        <v/>
      </c>
      <c r="D365" s="122" t="str">
        <f t="shared" si="66"/>
        <v/>
      </c>
      <c r="E365" s="121" t="str">
        <f t="shared" si="67"/>
        <v/>
      </c>
      <c r="F365" s="121" t="str">
        <f t="shared" si="68"/>
        <v/>
      </c>
      <c r="G365" s="121" t="str">
        <f t="shared" si="69"/>
        <v/>
      </c>
      <c r="H365" s="121" t="str">
        <f t="shared" si="70"/>
        <v/>
      </c>
      <c r="I365" s="122" t="str">
        <f t="shared" si="77"/>
        <v/>
      </c>
      <c r="J365" s="121" t="str">
        <f t="shared" si="71"/>
        <v/>
      </c>
      <c r="K365" s="121" t="str">
        <f t="shared" si="72"/>
        <v/>
      </c>
      <c r="L365" s="121" t="str">
        <f t="shared" si="73"/>
        <v/>
      </c>
      <c r="M365" s="121" t="str">
        <f t="shared" si="74"/>
        <v/>
      </c>
    </row>
    <row r="366" spans="1:13" x14ac:dyDescent="0.25">
      <c r="A366" s="80">
        <f t="shared" si="75"/>
        <v>336</v>
      </c>
      <c r="B366" s="120" t="str">
        <f t="shared" si="65"/>
        <v/>
      </c>
      <c r="C366" s="121" t="str">
        <f t="shared" si="76"/>
        <v/>
      </c>
      <c r="D366" s="122" t="str">
        <f t="shared" si="66"/>
        <v/>
      </c>
      <c r="E366" s="121" t="str">
        <f t="shared" si="67"/>
        <v/>
      </c>
      <c r="F366" s="121" t="str">
        <f t="shared" si="68"/>
        <v/>
      </c>
      <c r="G366" s="121" t="str">
        <f t="shared" si="69"/>
        <v/>
      </c>
      <c r="H366" s="121" t="str">
        <f t="shared" si="70"/>
        <v/>
      </c>
      <c r="I366" s="122" t="str">
        <f t="shared" si="77"/>
        <v/>
      </c>
      <c r="J366" s="121" t="str">
        <f t="shared" si="71"/>
        <v/>
      </c>
      <c r="K366" s="121" t="str">
        <f t="shared" si="72"/>
        <v/>
      </c>
      <c r="L366" s="121" t="str">
        <f t="shared" si="73"/>
        <v/>
      </c>
      <c r="M366" s="121" t="str">
        <f t="shared" si="74"/>
        <v/>
      </c>
    </row>
    <row r="367" spans="1:13" x14ac:dyDescent="0.25">
      <c r="A367" s="80">
        <f t="shared" si="75"/>
        <v>337</v>
      </c>
      <c r="B367" s="120" t="str">
        <f t="shared" si="65"/>
        <v/>
      </c>
      <c r="C367" s="121" t="str">
        <f t="shared" si="76"/>
        <v/>
      </c>
      <c r="D367" s="122" t="str">
        <f t="shared" si="66"/>
        <v/>
      </c>
      <c r="E367" s="121" t="str">
        <f t="shared" si="67"/>
        <v/>
      </c>
      <c r="F367" s="121" t="str">
        <f t="shared" si="68"/>
        <v/>
      </c>
      <c r="G367" s="121" t="str">
        <f t="shared" si="69"/>
        <v/>
      </c>
      <c r="H367" s="121" t="str">
        <f t="shared" si="70"/>
        <v/>
      </c>
      <c r="I367" s="122" t="str">
        <f t="shared" si="77"/>
        <v/>
      </c>
      <c r="J367" s="121" t="str">
        <f t="shared" si="71"/>
        <v/>
      </c>
      <c r="K367" s="121" t="str">
        <f t="shared" si="72"/>
        <v/>
      </c>
      <c r="L367" s="121" t="str">
        <f t="shared" si="73"/>
        <v/>
      </c>
      <c r="M367" s="121" t="str">
        <f t="shared" si="74"/>
        <v/>
      </c>
    </row>
    <row r="368" spans="1:13" x14ac:dyDescent="0.25">
      <c r="A368" s="80">
        <f t="shared" si="75"/>
        <v>338</v>
      </c>
      <c r="B368" s="120" t="str">
        <f t="shared" si="65"/>
        <v/>
      </c>
      <c r="C368" s="121" t="str">
        <f t="shared" si="76"/>
        <v/>
      </c>
      <c r="D368" s="122" t="str">
        <f t="shared" si="66"/>
        <v/>
      </c>
      <c r="E368" s="121" t="str">
        <f t="shared" si="67"/>
        <v/>
      </c>
      <c r="F368" s="121" t="str">
        <f t="shared" si="68"/>
        <v/>
      </c>
      <c r="G368" s="121" t="str">
        <f t="shared" si="69"/>
        <v/>
      </c>
      <c r="H368" s="121" t="str">
        <f t="shared" si="70"/>
        <v/>
      </c>
      <c r="I368" s="122" t="str">
        <f t="shared" si="77"/>
        <v/>
      </c>
      <c r="J368" s="121" t="str">
        <f t="shared" si="71"/>
        <v/>
      </c>
      <c r="K368" s="121" t="str">
        <f t="shared" si="72"/>
        <v/>
      </c>
      <c r="L368" s="121" t="str">
        <f t="shared" si="73"/>
        <v/>
      </c>
      <c r="M368" s="121" t="str">
        <f t="shared" si="74"/>
        <v/>
      </c>
    </row>
    <row r="369" spans="1:13" x14ac:dyDescent="0.25">
      <c r="A369" s="80">
        <f t="shared" si="75"/>
        <v>339</v>
      </c>
      <c r="B369" s="120" t="str">
        <f t="shared" si="65"/>
        <v/>
      </c>
      <c r="C369" s="121" t="str">
        <f t="shared" si="76"/>
        <v/>
      </c>
      <c r="D369" s="122" t="str">
        <f t="shared" si="66"/>
        <v/>
      </c>
      <c r="E369" s="121" t="str">
        <f t="shared" si="67"/>
        <v/>
      </c>
      <c r="F369" s="121" t="str">
        <f t="shared" si="68"/>
        <v/>
      </c>
      <c r="G369" s="121" t="str">
        <f t="shared" si="69"/>
        <v/>
      </c>
      <c r="H369" s="121" t="str">
        <f t="shared" si="70"/>
        <v/>
      </c>
      <c r="I369" s="122" t="str">
        <f t="shared" si="77"/>
        <v/>
      </c>
      <c r="J369" s="121" t="str">
        <f t="shared" si="71"/>
        <v/>
      </c>
      <c r="K369" s="121" t="str">
        <f t="shared" si="72"/>
        <v/>
      </c>
      <c r="L369" s="121" t="str">
        <f t="shared" si="73"/>
        <v/>
      </c>
      <c r="M369" s="121" t="str">
        <f t="shared" si="74"/>
        <v/>
      </c>
    </row>
    <row r="370" spans="1:13" x14ac:dyDescent="0.25">
      <c r="A370" s="80">
        <f t="shared" si="75"/>
        <v>340</v>
      </c>
      <c r="B370" s="120" t="str">
        <f t="shared" si="65"/>
        <v/>
      </c>
      <c r="C370" s="121" t="str">
        <f t="shared" si="76"/>
        <v/>
      </c>
      <c r="D370" s="122" t="str">
        <f t="shared" si="66"/>
        <v/>
      </c>
      <c r="E370" s="121" t="str">
        <f t="shared" si="67"/>
        <v/>
      </c>
      <c r="F370" s="121" t="str">
        <f t="shared" si="68"/>
        <v/>
      </c>
      <c r="G370" s="121" t="str">
        <f t="shared" si="69"/>
        <v/>
      </c>
      <c r="H370" s="121" t="str">
        <f t="shared" si="70"/>
        <v/>
      </c>
      <c r="I370" s="122" t="str">
        <f t="shared" si="77"/>
        <v/>
      </c>
      <c r="J370" s="121" t="str">
        <f t="shared" si="71"/>
        <v/>
      </c>
      <c r="K370" s="121" t="str">
        <f t="shared" si="72"/>
        <v/>
      </c>
      <c r="L370" s="121" t="str">
        <f t="shared" si="73"/>
        <v/>
      </c>
      <c r="M370" s="121" t="str">
        <f t="shared" si="74"/>
        <v/>
      </c>
    </row>
    <row r="371" spans="1:13" x14ac:dyDescent="0.25">
      <c r="A371" s="80">
        <f t="shared" si="75"/>
        <v>341</v>
      </c>
      <c r="B371" s="120" t="str">
        <f t="shared" si="65"/>
        <v/>
      </c>
      <c r="C371" s="121" t="str">
        <f t="shared" si="76"/>
        <v/>
      </c>
      <c r="D371" s="122" t="str">
        <f t="shared" si="66"/>
        <v/>
      </c>
      <c r="E371" s="121" t="str">
        <f t="shared" si="67"/>
        <v/>
      </c>
      <c r="F371" s="121" t="str">
        <f t="shared" si="68"/>
        <v/>
      </c>
      <c r="G371" s="121" t="str">
        <f t="shared" si="69"/>
        <v/>
      </c>
      <c r="H371" s="121" t="str">
        <f t="shared" si="70"/>
        <v/>
      </c>
      <c r="I371" s="122" t="str">
        <f t="shared" si="77"/>
        <v/>
      </c>
      <c r="J371" s="121" t="str">
        <f t="shared" si="71"/>
        <v/>
      </c>
      <c r="K371" s="121" t="str">
        <f t="shared" si="72"/>
        <v/>
      </c>
      <c r="L371" s="121" t="str">
        <f t="shared" si="73"/>
        <v/>
      </c>
      <c r="M371" s="121" t="str">
        <f t="shared" si="74"/>
        <v/>
      </c>
    </row>
    <row r="372" spans="1:13" x14ac:dyDescent="0.25">
      <c r="A372" s="80">
        <f t="shared" si="75"/>
        <v>342</v>
      </c>
      <c r="B372" s="120" t="str">
        <f t="shared" si="65"/>
        <v/>
      </c>
      <c r="C372" s="121" t="str">
        <f t="shared" si="76"/>
        <v/>
      </c>
      <c r="D372" s="122" t="str">
        <f t="shared" si="66"/>
        <v/>
      </c>
      <c r="E372" s="121" t="str">
        <f t="shared" si="67"/>
        <v/>
      </c>
      <c r="F372" s="121" t="str">
        <f t="shared" si="68"/>
        <v/>
      </c>
      <c r="G372" s="121" t="str">
        <f t="shared" si="69"/>
        <v/>
      </c>
      <c r="H372" s="121" t="str">
        <f t="shared" si="70"/>
        <v/>
      </c>
      <c r="I372" s="122" t="str">
        <f t="shared" si="77"/>
        <v/>
      </c>
      <c r="J372" s="121" t="str">
        <f t="shared" si="71"/>
        <v/>
      </c>
      <c r="K372" s="121" t="str">
        <f t="shared" si="72"/>
        <v/>
      </c>
      <c r="L372" s="121" t="str">
        <f t="shared" si="73"/>
        <v/>
      </c>
      <c r="M372" s="121" t="str">
        <f t="shared" si="74"/>
        <v/>
      </c>
    </row>
    <row r="373" spans="1:13" x14ac:dyDescent="0.25">
      <c r="A373" s="80">
        <f t="shared" si="75"/>
        <v>343</v>
      </c>
      <c r="B373" s="120" t="str">
        <f t="shared" si="65"/>
        <v/>
      </c>
      <c r="C373" s="121" t="str">
        <f t="shared" si="76"/>
        <v/>
      </c>
      <c r="D373" s="122" t="str">
        <f t="shared" si="66"/>
        <v/>
      </c>
      <c r="E373" s="121" t="str">
        <f t="shared" si="67"/>
        <v/>
      </c>
      <c r="F373" s="121" t="str">
        <f t="shared" si="68"/>
        <v/>
      </c>
      <c r="G373" s="121" t="str">
        <f t="shared" si="69"/>
        <v/>
      </c>
      <c r="H373" s="121" t="str">
        <f t="shared" si="70"/>
        <v/>
      </c>
      <c r="I373" s="122" t="str">
        <f t="shared" si="77"/>
        <v/>
      </c>
      <c r="J373" s="121" t="str">
        <f t="shared" si="71"/>
        <v/>
      </c>
      <c r="K373" s="121" t="str">
        <f t="shared" si="72"/>
        <v/>
      </c>
      <c r="L373" s="121" t="str">
        <f t="shared" si="73"/>
        <v/>
      </c>
      <c r="M373" s="121" t="str">
        <f t="shared" si="74"/>
        <v/>
      </c>
    </row>
    <row r="374" spans="1:13" x14ac:dyDescent="0.25">
      <c r="A374" s="80">
        <f t="shared" si="75"/>
        <v>344</v>
      </c>
      <c r="B374" s="120" t="str">
        <f t="shared" si="65"/>
        <v/>
      </c>
      <c r="C374" s="121" t="str">
        <f t="shared" si="76"/>
        <v/>
      </c>
      <c r="D374" s="122" t="str">
        <f t="shared" si="66"/>
        <v/>
      </c>
      <c r="E374" s="121" t="str">
        <f t="shared" si="67"/>
        <v/>
      </c>
      <c r="F374" s="121" t="str">
        <f t="shared" si="68"/>
        <v/>
      </c>
      <c r="G374" s="121" t="str">
        <f t="shared" si="69"/>
        <v/>
      </c>
      <c r="H374" s="121" t="str">
        <f t="shared" si="70"/>
        <v/>
      </c>
      <c r="I374" s="122" t="str">
        <f t="shared" si="77"/>
        <v/>
      </c>
      <c r="J374" s="121" t="str">
        <f t="shared" si="71"/>
        <v/>
      </c>
      <c r="K374" s="121" t="str">
        <f t="shared" si="72"/>
        <v/>
      </c>
      <c r="L374" s="121" t="str">
        <f t="shared" si="73"/>
        <v/>
      </c>
      <c r="M374" s="121" t="str">
        <f t="shared" si="74"/>
        <v/>
      </c>
    </row>
    <row r="375" spans="1:13" x14ac:dyDescent="0.25">
      <c r="A375" s="80">
        <f t="shared" si="75"/>
        <v>345</v>
      </c>
      <c r="B375" s="120" t="str">
        <f t="shared" si="65"/>
        <v/>
      </c>
      <c r="C375" s="121" t="str">
        <f t="shared" si="76"/>
        <v/>
      </c>
      <c r="D375" s="122" t="str">
        <f t="shared" si="66"/>
        <v/>
      </c>
      <c r="E375" s="121" t="str">
        <f t="shared" si="67"/>
        <v/>
      </c>
      <c r="F375" s="121" t="str">
        <f t="shared" si="68"/>
        <v/>
      </c>
      <c r="G375" s="121" t="str">
        <f t="shared" si="69"/>
        <v/>
      </c>
      <c r="H375" s="121" t="str">
        <f t="shared" si="70"/>
        <v/>
      </c>
      <c r="I375" s="122" t="str">
        <f t="shared" si="77"/>
        <v/>
      </c>
      <c r="J375" s="121" t="str">
        <f t="shared" si="71"/>
        <v/>
      </c>
      <c r="K375" s="121" t="str">
        <f t="shared" si="72"/>
        <v/>
      </c>
      <c r="L375" s="121" t="str">
        <f t="shared" si="73"/>
        <v/>
      </c>
      <c r="M375" s="121" t="str">
        <f t="shared" si="74"/>
        <v/>
      </c>
    </row>
    <row r="376" spans="1:13" x14ac:dyDescent="0.25">
      <c r="A376" s="80">
        <f t="shared" si="75"/>
        <v>346</v>
      </c>
      <c r="B376" s="120" t="str">
        <f t="shared" si="65"/>
        <v/>
      </c>
      <c r="C376" s="121" t="str">
        <f t="shared" si="76"/>
        <v/>
      </c>
      <c r="D376" s="122" t="str">
        <f t="shared" si="66"/>
        <v/>
      </c>
      <c r="E376" s="121" t="str">
        <f t="shared" si="67"/>
        <v/>
      </c>
      <c r="F376" s="121" t="str">
        <f t="shared" si="68"/>
        <v/>
      </c>
      <c r="G376" s="121" t="str">
        <f t="shared" si="69"/>
        <v/>
      </c>
      <c r="H376" s="121" t="str">
        <f t="shared" si="70"/>
        <v/>
      </c>
      <c r="I376" s="122" t="str">
        <f t="shared" si="77"/>
        <v/>
      </c>
      <c r="J376" s="121" t="str">
        <f t="shared" si="71"/>
        <v/>
      </c>
      <c r="K376" s="121" t="str">
        <f t="shared" si="72"/>
        <v/>
      </c>
      <c r="L376" s="121" t="str">
        <f t="shared" si="73"/>
        <v/>
      </c>
      <c r="M376" s="121" t="str">
        <f t="shared" si="74"/>
        <v/>
      </c>
    </row>
    <row r="377" spans="1:13" x14ac:dyDescent="0.25">
      <c r="A377" s="80">
        <f t="shared" si="75"/>
        <v>347</v>
      </c>
      <c r="B377" s="120" t="str">
        <f t="shared" si="65"/>
        <v/>
      </c>
      <c r="C377" s="121" t="str">
        <f t="shared" si="76"/>
        <v/>
      </c>
      <c r="D377" s="122" t="str">
        <f t="shared" si="66"/>
        <v/>
      </c>
      <c r="E377" s="121" t="str">
        <f t="shared" si="67"/>
        <v/>
      </c>
      <c r="F377" s="121" t="str">
        <f t="shared" si="68"/>
        <v/>
      </c>
      <c r="G377" s="121" t="str">
        <f t="shared" si="69"/>
        <v/>
      </c>
      <c r="H377" s="121" t="str">
        <f t="shared" si="70"/>
        <v/>
      </c>
      <c r="I377" s="122" t="str">
        <f t="shared" si="77"/>
        <v/>
      </c>
      <c r="J377" s="121" t="str">
        <f t="shared" si="71"/>
        <v/>
      </c>
      <c r="K377" s="121" t="str">
        <f t="shared" si="72"/>
        <v/>
      </c>
      <c r="L377" s="121" t="str">
        <f t="shared" si="73"/>
        <v/>
      </c>
      <c r="M377" s="121" t="str">
        <f t="shared" si="74"/>
        <v/>
      </c>
    </row>
    <row r="378" spans="1:13" x14ac:dyDescent="0.25">
      <c r="A378" s="80">
        <f t="shared" si="75"/>
        <v>348</v>
      </c>
      <c r="B378" s="120" t="str">
        <f t="shared" si="65"/>
        <v/>
      </c>
      <c r="C378" s="121" t="str">
        <f t="shared" si="76"/>
        <v/>
      </c>
      <c r="D378" s="122" t="str">
        <f t="shared" si="66"/>
        <v/>
      </c>
      <c r="E378" s="121" t="str">
        <f t="shared" si="67"/>
        <v/>
      </c>
      <c r="F378" s="121" t="str">
        <f t="shared" si="68"/>
        <v/>
      </c>
      <c r="G378" s="121" t="str">
        <f t="shared" si="69"/>
        <v/>
      </c>
      <c r="H378" s="121" t="str">
        <f t="shared" si="70"/>
        <v/>
      </c>
      <c r="I378" s="122" t="str">
        <f t="shared" si="77"/>
        <v/>
      </c>
      <c r="J378" s="121" t="str">
        <f t="shared" si="71"/>
        <v/>
      </c>
      <c r="K378" s="121" t="str">
        <f t="shared" si="72"/>
        <v/>
      </c>
      <c r="L378" s="121" t="str">
        <f t="shared" si="73"/>
        <v/>
      </c>
      <c r="M378" s="121" t="str">
        <f t="shared" si="74"/>
        <v/>
      </c>
    </row>
    <row r="379" spans="1:13" x14ac:dyDescent="0.25">
      <c r="A379" s="80">
        <f t="shared" si="75"/>
        <v>349</v>
      </c>
      <c r="B379" s="120" t="str">
        <f t="shared" si="65"/>
        <v/>
      </c>
      <c r="C379" s="121" t="str">
        <f t="shared" si="76"/>
        <v/>
      </c>
      <c r="D379" s="122" t="str">
        <f t="shared" si="66"/>
        <v/>
      </c>
      <c r="E379" s="121" t="str">
        <f t="shared" si="67"/>
        <v/>
      </c>
      <c r="F379" s="121" t="str">
        <f t="shared" si="68"/>
        <v/>
      </c>
      <c r="G379" s="121" t="str">
        <f t="shared" si="69"/>
        <v/>
      </c>
      <c r="H379" s="121" t="str">
        <f t="shared" si="70"/>
        <v/>
      </c>
      <c r="I379" s="122" t="str">
        <f t="shared" si="77"/>
        <v/>
      </c>
      <c r="J379" s="121" t="str">
        <f t="shared" si="71"/>
        <v/>
      </c>
      <c r="K379" s="121" t="str">
        <f t="shared" si="72"/>
        <v/>
      </c>
      <c r="L379" s="121" t="str">
        <f t="shared" si="73"/>
        <v/>
      </c>
      <c r="M379" s="121" t="str">
        <f t="shared" si="74"/>
        <v/>
      </c>
    </row>
    <row r="380" spans="1:13" x14ac:dyDescent="0.25">
      <c r="A380" s="80">
        <f t="shared" si="75"/>
        <v>350</v>
      </c>
      <c r="B380" s="120" t="str">
        <f t="shared" si="65"/>
        <v/>
      </c>
      <c r="C380" s="121" t="str">
        <f t="shared" si="76"/>
        <v/>
      </c>
      <c r="D380" s="122" t="str">
        <f t="shared" si="66"/>
        <v/>
      </c>
      <c r="E380" s="121" t="str">
        <f t="shared" si="67"/>
        <v/>
      </c>
      <c r="F380" s="121" t="str">
        <f t="shared" si="68"/>
        <v/>
      </c>
      <c r="G380" s="121" t="str">
        <f t="shared" si="69"/>
        <v/>
      </c>
      <c r="H380" s="121" t="str">
        <f t="shared" si="70"/>
        <v/>
      </c>
      <c r="I380" s="122" t="str">
        <f t="shared" si="77"/>
        <v/>
      </c>
      <c r="J380" s="121" t="str">
        <f t="shared" si="71"/>
        <v/>
      </c>
      <c r="K380" s="121" t="str">
        <f t="shared" si="72"/>
        <v/>
      </c>
      <c r="L380" s="121" t="str">
        <f t="shared" si="73"/>
        <v/>
      </c>
      <c r="M380" s="121" t="str">
        <f t="shared" si="74"/>
        <v/>
      </c>
    </row>
    <row r="381" spans="1:13" x14ac:dyDescent="0.25">
      <c r="A381" s="80">
        <f t="shared" si="75"/>
        <v>351</v>
      </c>
      <c r="B381" s="120" t="str">
        <f t="shared" si="65"/>
        <v/>
      </c>
      <c r="C381" s="121" t="str">
        <f t="shared" si="76"/>
        <v/>
      </c>
      <c r="D381" s="122" t="str">
        <f t="shared" si="66"/>
        <v/>
      </c>
      <c r="E381" s="121" t="str">
        <f t="shared" si="67"/>
        <v/>
      </c>
      <c r="F381" s="121" t="str">
        <f t="shared" si="68"/>
        <v/>
      </c>
      <c r="G381" s="121" t="str">
        <f t="shared" si="69"/>
        <v/>
      </c>
      <c r="H381" s="121" t="str">
        <f t="shared" si="70"/>
        <v/>
      </c>
      <c r="I381" s="122" t="str">
        <f t="shared" si="77"/>
        <v/>
      </c>
      <c r="J381" s="121" t="str">
        <f t="shared" si="71"/>
        <v/>
      </c>
      <c r="K381" s="121" t="str">
        <f t="shared" si="72"/>
        <v/>
      </c>
      <c r="L381" s="121" t="str">
        <f t="shared" si="73"/>
        <v/>
      </c>
      <c r="M381" s="121" t="str">
        <f t="shared" si="74"/>
        <v/>
      </c>
    </row>
    <row r="382" spans="1:13" x14ac:dyDescent="0.25">
      <c r="A382" s="80">
        <f t="shared" si="75"/>
        <v>352</v>
      </c>
      <c r="B382" s="120" t="str">
        <f t="shared" si="65"/>
        <v/>
      </c>
      <c r="C382" s="121" t="str">
        <f t="shared" si="76"/>
        <v/>
      </c>
      <c r="D382" s="122" t="str">
        <f t="shared" si="66"/>
        <v/>
      </c>
      <c r="E382" s="121" t="str">
        <f t="shared" si="67"/>
        <v/>
      </c>
      <c r="F382" s="121" t="str">
        <f t="shared" si="68"/>
        <v/>
      </c>
      <c r="G382" s="121" t="str">
        <f t="shared" si="69"/>
        <v/>
      </c>
      <c r="H382" s="121" t="str">
        <f t="shared" si="70"/>
        <v/>
      </c>
      <c r="I382" s="122" t="str">
        <f t="shared" si="77"/>
        <v/>
      </c>
      <c r="J382" s="121" t="str">
        <f t="shared" si="71"/>
        <v/>
      </c>
      <c r="K382" s="121" t="str">
        <f t="shared" si="72"/>
        <v/>
      </c>
      <c r="L382" s="121" t="str">
        <f t="shared" si="73"/>
        <v/>
      </c>
      <c r="M382" s="121" t="str">
        <f t="shared" si="74"/>
        <v/>
      </c>
    </row>
    <row r="383" spans="1:13" x14ac:dyDescent="0.25">
      <c r="A383" s="80">
        <f t="shared" si="75"/>
        <v>353</v>
      </c>
      <c r="B383" s="120" t="str">
        <f t="shared" si="65"/>
        <v/>
      </c>
      <c r="C383" s="121" t="str">
        <f t="shared" si="76"/>
        <v/>
      </c>
      <c r="D383" s="122" t="str">
        <f t="shared" si="66"/>
        <v/>
      </c>
      <c r="E383" s="121" t="str">
        <f t="shared" si="67"/>
        <v/>
      </c>
      <c r="F383" s="121" t="str">
        <f t="shared" si="68"/>
        <v/>
      </c>
      <c r="G383" s="121" t="str">
        <f t="shared" si="69"/>
        <v/>
      </c>
      <c r="H383" s="121" t="str">
        <f t="shared" si="70"/>
        <v/>
      </c>
      <c r="I383" s="122" t="str">
        <f t="shared" si="77"/>
        <v/>
      </c>
      <c r="J383" s="121" t="str">
        <f t="shared" si="71"/>
        <v/>
      </c>
      <c r="K383" s="121" t="str">
        <f t="shared" si="72"/>
        <v/>
      </c>
      <c r="L383" s="121" t="str">
        <f t="shared" si="73"/>
        <v/>
      </c>
      <c r="M383" s="121" t="str">
        <f t="shared" si="74"/>
        <v/>
      </c>
    </row>
    <row r="384" spans="1:13" x14ac:dyDescent="0.25">
      <c r="A384" s="80">
        <f t="shared" si="75"/>
        <v>354</v>
      </c>
      <c r="B384" s="120" t="str">
        <f t="shared" si="65"/>
        <v/>
      </c>
      <c r="C384" s="121" t="str">
        <f t="shared" si="76"/>
        <v/>
      </c>
      <c r="D384" s="122" t="str">
        <f t="shared" si="66"/>
        <v/>
      </c>
      <c r="E384" s="121" t="str">
        <f t="shared" si="67"/>
        <v/>
      </c>
      <c r="F384" s="121" t="str">
        <f t="shared" si="68"/>
        <v/>
      </c>
      <c r="G384" s="121" t="str">
        <f t="shared" si="69"/>
        <v/>
      </c>
      <c r="H384" s="121" t="str">
        <f t="shared" si="70"/>
        <v/>
      </c>
      <c r="I384" s="122" t="str">
        <f t="shared" si="77"/>
        <v/>
      </c>
      <c r="J384" s="121" t="str">
        <f t="shared" si="71"/>
        <v/>
      </c>
      <c r="K384" s="121" t="str">
        <f t="shared" si="72"/>
        <v/>
      </c>
      <c r="L384" s="121" t="str">
        <f t="shared" si="73"/>
        <v/>
      </c>
      <c r="M384" s="121" t="str">
        <f t="shared" si="74"/>
        <v/>
      </c>
    </row>
    <row r="385" spans="1:15" x14ac:dyDescent="0.25">
      <c r="A385" s="80">
        <f t="shared" si="75"/>
        <v>355</v>
      </c>
      <c r="B385" s="120" t="str">
        <f t="shared" si="65"/>
        <v/>
      </c>
      <c r="C385" s="121" t="str">
        <f t="shared" si="76"/>
        <v/>
      </c>
      <c r="D385" s="122" t="str">
        <f t="shared" si="66"/>
        <v/>
      </c>
      <c r="E385" s="121" t="str">
        <f t="shared" si="67"/>
        <v/>
      </c>
      <c r="F385" s="121" t="str">
        <f t="shared" si="68"/>
        <v/>
      </c>
      <c r="G385" s="121" t="str">
        <f t="shared" si="69"/>
        <v/>
      </c>
      <c r="H385" s="121" t="str">
        <f t="shared" si="70"/>
        <v/>
      </c>
      <c r="I385" s="122" t="str">
        <f t="shared" si="77"/>
        <v/>
      </c>
      <c r="J385" s="121" t="str">
        <f t="shared" si="71"/>
        <v/>
      </c>
      <c r="K385" s="121" t="str">
        <f t="shared" si="72"/>
        <v/>
      </c>
      <c r="L385" s="121" t="str">
        <f t="shared" si="73"/>
        <v/>
      </c>
      <c r="M385" s="121" t="str">
        <f t="shared" si="74"/>
        <v/>
      </c>
    </row>
    <row r="386" spans="1:15" x14ac:dyDescent="0.25">
      <c r="A386" s="80">
        <f t="shared" si="75"/>
        <v>356</v>
      </c>
      <c r="B386" s="120" t="str">
        <f t="shared" si="65"/>
        <v/>
      </c>
      <c r="C386" s="121" t="str">
        <f t="shared" si="76"/>
        <v/>
      </c>
      <c r="D386" s="122" t="str">
        <f t="shared" si="66"/>
        <v/>
      </c>
      <c r="E386" s="121" t="str">
        <f t="shared" si="67"/>
        <v/>
      </c>
      <c r="F386" s="121" t="str">
        <f t="shared" si="68"/>
        <v/>
      </c>
      <c r="G386" s="121" t="str">
        <f t="shared" si="69"/>
        <v/>
      </c>
      <c r="H386" s="121" t="str">
        <f t="shared" si="70"/>
        <v/>
      </c>
      <c r="I386" s="122" t="str">
        <f t="shared" si="77"/>
        <v/>
      </c>
      <c r="J386" s="121" t="str">
        <f t="shared" si="71"/>
        <v/>
      </c>
      <c r="K386" s="121" t="str">
        <f t="shared" si="72"/>
        <v/>
      </c>
      <c r="L386" s="121" t="str">
        <f t="shared" si="73"/>
        <v/>
      </c>
      <c r="M386" s="121" t="str">
        <f t="shared" si="74"/>
        <v/>
      </c>
    </row>
    <row r="387" spans="1:15" x14ac:dyDescent="0.25">
      <c r="A387" s="80">
        <f t="shared" si="75"/>
        <v>357</v>
      </c>
      <c r="B387" s="120" t="str">
        <f t="shared" si="65"/>
        <v/>
      </c>
      <c r="C387" s="121" t="str">
        <f t="shared" si="76"/>
        <v/>
      </c>
      <c r="D387" s="122" t="str">
        <f t="shared" si="66"/>
        <v/>
      </c>
      <c r="E387" s="121" t="str">
        <f t="shared" si="67"/>
        <v/>
      </c>
      <c r="F387" s="121" t="str">
        <f t="shared" si="68"/>
        <v/>
      </c>
      <c r="G387" s="121" t="str">
        <f t="shared" si="69"/>
        <v/>
      </c>
      <c r="H387" s="121" t="str">
        <f t="shared" si="70"/>
        <v/>
      </c>
      <c r="I387" s="122" t="str">
        <f t="shared" si="77"/>
        <v/>
      </c>
      <c r="J387" s="121" t="str">
        <f t="shared" si="71"/>
        <v/>
      </c>
      <c r="K387" s="121" t="str">
        <f t="shared" si="72"/>
        <v/>
      </c>
      <c r="L387" s="121" t="str">
        <f t="shared" si="73"/>
        <v/>
      </c>
      <c r="M387" s="121" t="str">
        <f t="shared" si="74"/>
        <v/>
      </c>
    </row>
    <row r="388" spans="1:15" x14ac:dyDescent="0.25">
      <c r="A388" s="80">
        <f t="shared" si="75"/>
        <v>358</v>
      </c>
      <c r="B388" s="120" t="str">
        <f t="shared" si="65"/>
        <v/>
      </c>
      <c r="C388" s="121" t="str">
        <f t="shared" si="76"/>
        <v/>
      </c>
      <c r="D388" s="122" t="str">
        <f t="shared" si="66"/>
        <v/>
      </c>
      <c r="E388" s="121" t="str">
        <f t="shared" si="67"/>
        <v/>
      </c>
      <c r="F388" s="121" t="str">
        <f t="shared" si="68"/>
        <v/>
      </c>
      <c r="G388" s="121" t="str">
        <f t="shared" si="69"/>
        <v/>
      </c>
      <c r="H388" s="121" t="str">
        <f t="shared" si="70"/>
        <v/>
      </c>
      <c r="I388" s="122" t="str">
        <f t="shared" si="77"/>
        <v/>
      </c>
      <c r="J388" s="121" t="str">
        <f t="shared" si="71"/>
        <v/>
      </c>
      <c r="K388" s="121" t="str">
        <f t="shared" si="72"/>
        <v/>
      </c>
      <c r="L388" s="121" t="str">
        <f t="shared" si="73"/>
        <v/>
      </c>
      <c r="M388" s="121" t="str">
        <f t="shared" si="74"/>
        <v/>
      </c>
    </row>
    <row r="389" spans="1:15" x14ac:dyDescent="0.25">
      <c r="A389" s="80">
        <f t="shared" si="75"/>
        <v>359</v>
      </c>
      <c r="B389" s="120" t="str">
        <f t="shared" si="65"/>
        <v/>
      </c>
      <c r="C389" s="121" t="str">
        <f t="shared" si="76"/>
        <v/>
      </c>
      <c r="D389" s="122" t="str">
        <f t="shared" si="66"/>
        <v/>
      </c>
      <c r="E389" s="121" t="str">
        <f t="shared" si="67"/>
        <v/>
      </c>
      <c r="F389" s="121" t="str">
        <f t="shared" si="68"/>
        <v/>
      </c>
      <c r="G389" s="121" t="str">
        <f t="shared" si="69"/>
        <v/>
      </c>
      <c r="H389" s="121" t="str">
        <f t="shared" si="70"/>
        <v/>
      </c>
      <c r="I389" s="122" t="str">
        <f t="shared" si="77"/>
        <v/>
      </c>
      <c r="J389" s="121" t="str">
        <f t="shared" si="71"/>
        <v/>
      </c>
      <c r="K389" s="121" t="str">
        <f t="shared" si="72"/>
        <v/>
      </c>
      <c r="L389" s="121" t="str">
        <f t="shared" si="73"/>
        <v/>
      </c>
      <c r="M389" s="121" t="str">
        <f t="shared" si="74"/>
        <v/>
      </c>
    </row>
    <row r="390" spans="1:15" x14ac:dyDescent="0.25">
      <c r="A390" s="80">
        <f t="shared" si="75"/>
        <v>360</v>
      </c>
      <c r="B390" s="120" t="str">
        <f t="shared" si="65"/>
        <v/>
      </c>
      <c r="C390" s="121" t="str">
        <f t="shared" si="76"/>
        <v/>
      </c>
      <c r="D390" s="122" t="str">
        <f t="shared" si="66"/>
        <v/>
      </c>
      <c r="E390" s="121" t="str">
        <f t="shared" si="67"/>
        <v/>
      </c>
      <c r="F390" s="121" t="str">
        <f t="shared" si="68"/>
        <v/>
      </c>
      <c r="G390" s="121" t="str">
        <f t="shared" si="69"/>
        <v/>
      </c>
      <c r="H390" s="121" t="str">
        <f t="shared" si="70"/>
        <v/>
      </c>
      <c r="I390" s="122" t="str">
        <f t="shared" si="77"/>
        <v/>
      </c>
      <c r="J390" s="121" t="str">
        <f t="shared" si="71"/>
        <v/>
      </c>
      <c r="K390" s="121" t="str">
        <f t="shared" si="72"/>
        <v/>
      </c>
      <c r="L390" s="121" t="str">
        <f t="shared" si="73"/>
        <v/>
      </c>
      <c r="M390" s="121" t="str">
        <f t="shared" si="74"/>
        <v/>
      </c>
    </row>
    <row r="391" spans="1:15" x14ac:dyDescent="0.25">
      <c r="B391" s="123" t="s">
        <v>313</v>
      </c>
      <c r="C391" s="123"/>
      <c r="D391" s="124">
        <f t="shared" ref="D391:L391" si="78">SUM(D31:D390)</f>
        <v>480311.77049872547</v>
      </c>
      <c r="E391" s="124">
        <f t="shared" si="78"/>
        <v>3000000</v>
      </c>
      <c r="F391" s="124">
        <f t="shared" si="78"/>
        <v>326612.00393913331</v>
      </c>
      <c r="G391" s="124">
        <f t="shared" si="78"/>
        <v>3480311.7704987195</v>
      </c>
      <c r="H391" s="124">
        <f t="shared" si="78"/>
        <v>3806923.7744378578</v>
      </c>
      <c r="I391" s="124">
        <f t="shared" si="78"/>
        <v>357351.95725105173</v>
      </c>
      <c r="J391" s="124">
        <f t="shared" si="78"/>
        <v>242999.33093071525</v>
      </c>
      <c r="K391" s="124">
        <f t="shared" si="78"/>
        <v>3357351.9572510528</v>
      </c>
      <c r="L391" s="124">
        <f t="shared" si="78"/>
        <v>3600351.2881817673</v>
      </c>
      <c r="M391" s="123"/>
    </row>
    <row r="392" spans="1:15" x14ac:dyDescent="0.25">
      <c r="C392" s="94"/>
      <c r="D392" s="94"/>
      <c r="E392" s="94"/>
      <c r="F392" s="94"/>
      <c r="G392" s="94"/>
      <c r="H392" s="94"/>
      <c r="I392" s="94"/>
      <c r="J392" s="125"/>
      <c r="K392" s="125"/>
      <c r="L392" s="94"/>
      <c r="M392" s="94"/>
      <c r="N392" s="94"/>
      <c r="O392" s="94"/>
    </row>
  </sheetData>
  <mergeCells count="5">
    <mergeCell ref="B22:E22"/>
    <mergeCell ref="B23:E23"/>
    <mergeCell ref="B24:E24"/>
    <mergeCell ref="B25:E25"/>
    <mergeCell ref="B26:I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0984D-ED9E-4B0A-BBAD-0FB7FC773987}">
  <dimension ref="A1:J130"/>
  <sheetViews>
    <sheetView workbookViewId="0">
      <selection activeCell="G8" sqref="G8"/>
    </sheetView>
  </sheetViews>
  <sheetFormatPr defaultColWidth="12" defaultRowHeight="12.75" x14ac:dyDescent="0.2"/>
  <cols>
    <col min="1" max="1" width="18.140625" customWidth="1"/>
    <col min="2" max="2" width="15.85546875" customWidth="1"/>
    <col min="3" max="3" width="13.85546875" customWidth="1"/>
    <col min="4" max="4" width="17" customWidth="1"/>
    <col min="6" max="6" width="15.85546875" customWidth="1"/>
    <col min="7" max="7" width="13.42578125" customWidth="1"/>
    <col min="10" max="10" width="12.85546875" customWidth="1"/>
  </cols>
  <sheetData>
    <row r="1" spans="1:10" ht="15.75" x14ac:dyDescent="0.25">
      <c r="A1" s="60" t="s">
        <v>248</v>
      </c>
      <c r="B1" s="62">
        <v>150000</v>
      </c>
    </row>
    <row r="2" spans="1:10" ht="15.75" x14ac:dyDescent="0.25">
      <c r="A2" s="60" t="s">
        <v>249</v>
      </c>
      <c r="B2" s="62"/>
      <c r="D2" s="63"/>
    </row>
    <row r="3" spans="1:10" ht="15.75" x14ac:dyDescent="0.25">
      <c r="A3" s="60" t="s">
        <v>250</v>
      </c>
      <c r="B3" s="64">
        <f>B1-B2</f>
        <v>150000</v>
      </c>
    </row>
    <row r="4" spans="1:10" ht="15.75" x14ac:dyDescent="0.25">
      <c r="A4" s="60" t="s">
        <v>251</v>
      </c>
      <c r="B4" s="65">
        <v>0.06</v>
      </c>
      <c r="F4" s="60" t="s">
        <v>252</v>
      </c>
      <c r="G4" s="60"/>
    </row>
    <row r="5" spans="1:10" ht="15.75" x14ac:dyDescent="0.25">
      <c r="A5" s="60" t="s">
        <v>253</v>
      </c>
      <c r="B5" s="66">
        <v>8</v>
      </c>
      <c r="D5" s="67"/>
      <c r="F5" s="60" t="s">
        <v>254</v>
      </c>
      <c r="G5" s="60"/>
      <c r="H5" s="60" t="s">
        <v>123</v>
      </c>
      <c r="I5" s="60"/>
      <c r="J5">
        <f>7.22/12</f>
        <v>0.60166666666666668</v>
      </c>
    </row>
    <row r="6" spans="1:10" ht="15.75" x14ac:dyDescent="0.25">
      <c r="A6" s="60" t="s">
        <v>255</v>
      </c>
      <c r="B6" s="66">
        <v>12</v>
      </c>
      <c r="F6" s="68" t="s">
        <v>256</v>
      </c>
      <c r="G6" s="69">
        <f>SUM(B11:B22)</f>
        <v>8590.2063539829978</v>
      </c>
      <c r="H6" s="70"/>
      <c r="I6" s="60"/>
      <c r="J6">
        <f t="shared" ref="J6:J16" si="0">7.22/12</f>
        <v>0.60166666666666668</v>
      </c>
    </row>
    <row r="7" spans="1:10" ht="15.75" x14ac:dyDescent="0.25">
      <c r="A7" s="60" t="s">
        <v>257</v>
      </c>
      <c r="B7" s="71">
        <f>B5*B6</f>
        <v>96</v>
      </c>
      <c r="F7" s="68" t="s">
        <v>258</v>
      </c>
      <c r="G7" s="69">
        <f>SUM(B23:B34)</f>
        <v>7661.0690971246395</v>
      </c>
      <c r="H7" s="60"/>
      <c r="I7" s="60"/>
      <c r="J7">
        <f t="shared" si="0"/>
        <v>0.60166666666666668</v>
      </c>
    </row>
    <row r="8" spans="1:10" ht="15.75" x14ac:dyDescent="0.25">
      <c r="A8" s="60" t="s">
        <v>259</v>
      </c>
      <c r="B8" s="72">
        <f>PMT(B4/B6,B7,-B1)</f>
        <v>1971.2145315208807</v>
      </c>
      <c r="D8" s="73"/>
      <c r="F8" s="68" t="s">
        <v>260</v>
      </c>
      <c r="G8" s="69">
        <f>SUM(B35:B46)</f>
        <v>6674.6246873414739</v>
      </c>
      <c r="H8" s="60"/>
      <c r="I8" s="60"/>
      <c r="J8">
        <f t="shared" si="0"/>
        <v>0.60166666666666668</v>
      </c>
    </row>
    <row r="9" spans="1:10" ht="15.75" x14ac:dyDescent="0.25">
      <c r="F9" s="68" t="s">
        <v>261</v>
      </c>
      <c r="G9" s="69">
        <f>SUM(B47:B58)</f>
        <v>5627.3385448369163</v>
      </c>
      <c r="H9" s="60"/>
      <c r="I9" s="60"/>
      <c r="J9">
        <f t="shared" si="0"/>
        <v>0.60166666666666668</v>
      </c>
    </row>
    <row r="10" spans="1:10" ht="15.75" x14ac:dyDescent="0.25">
      <c r="A10" s="60" t="s">
        <v>262</v>
      </c>
      <c r="B10" s="60" t="s">
        <v>263</v>
      </c>
      <c r="C10" s="60" t="s">
        <v>264</v>
      </c>
      <c r="D10" s="60" t="s">
        <v>265</v>
      </c>
      <c r="F10" s="68" t="s">
        <v>266</v>
      </c>
      <c r="G10" s="69">
        <f>SUM(B59:B70)</f>
        <v>4515.458084666664</v>
      </c>
      <c r="H10" s="60"/>
      <c r="I10" s="60"/>
      <c r="J10">
        <f t="shared" si="0"/>
        <v>0.60166666666666668</v>
      </c>
    </row>
    <row r="11" spans="1:10" ht="15.75" x14ac:dyDescent="0.25">
      <c r="A11" s="74">
        <v>1</v>
      </c>
      <c r="B11" s="75">
        <f>B1*B4/B6</f>
        <v>750</v>
      </c>
      <c r="C11" s="75">
        <f>$B$8-B11</f>
        <v>1221.2145315208807</v>
      </c>
      <c r="D11" s="75">
        <f>B1-C11</f>
        <v>148778.78546847912</v>
      </c>
      <c r="F11" s="68" t="s">
        <v>267</v>
      </c>
      <c r="G11" s="69">
        <f>SUM(B71:B82)</f>
        <v>3334.9992706582184</v>
      </c>
      <c r="H11" s="60"/>
      <c r="I11" s="60"/>
      <c r="J11">
        <f t="shared" si="0"/>
        <v>0.60166666666666668</v>
      </c>
    </row>
    <row r="12" spans="1:10" ht="15.75" x14ac:dyDescent="0.25">
      <c r="A12" s="74">
        <f>IF(D11&lt;0.1,0,A11+1)</f>
        <v>2</v>
      </c>
      <c r="B12" s="75">
        <f>IF(D11&lt;0.1,0,D11*$B$4/$B$6)</f>
        <v>743.89392734239561</v>
      </c>
      <c r="C12" s="75">
        <f>IF(D11&lt;0.1,0,$B$8-B12)</f>
        <v>1227.3206041784852</v>
      </c>
      <c r="D12" s="75">
        <f>IF(D11&lt;0.1,0,D11-C12)</f>
        <v>147551.46486430065</v>
      </c>
      <c r="F12" s="68" t="s">
        <v>268</v>
      </c>
      <c r="G12" s="69">
        <f>SUM(B83:B94)</f>
        <v>2081.7323400055693</v>
      </c>
      <c r="H12" s="60"/>
      <c r="I12" s="60"/>
      <c r="J12">
        <f t="shared" si="0"/>
        <v>0.60166666666666668</v>
      </c>
    </row>
    <row r="13" spans="1:10" ht="15.75" x14ac:dyDescent="0.25">
      <c r="A13" s="74">
        <f t="shared" ref="A13:A76" si="1">IF(D12&lt;0.1,0,A12+1)</f>
        <v>3</v>
      </c>
      <c r="B13" s="75">
        <f t="shared" ref="B13:B76" si="2">IF(D12&lt;0.1,0,D12*$B$4/$B$6)</f>
        <v>737.75732432150323</v>
      </c>
      <c r="C13" s="75">
        <f t="shared" ref="C13:C76" si="3">IF(D12&lt;0.1,0,$B$8-B13)</f>
        <v>1233.4572071993775</v>
      </c>
      <c r="D13" s="75">
        <f t="shared" ref="D13:D76" si="4">IF(D12&lt;0.1,0,D12-C13)</f>
        <v>146318.00765710126</v>
      </c>
      <c r="F13" s="60"/>
      <c r="G13" s="60"/>
      <c r="H13" s="60"/>
      <c r="I13" s="60"/>
      <c r="J13">
        <f t="shared" si="0"/>
        <v>0.60166666666666668</v>
      </c>
    </row>
    <row r="14" spans="1:10" ht="15.75" x14ac:dyDescent="0.25">
      <c r="A14" s="74">
        <f t="shared" si="1"/>
        <v>4</v>
      </c>
      <c r="B14" s="75">
        <f t="shared" si="2"/>
        <v>731.59003828550624</v>
      </c>
      <c r="C14" s="75">
        <f t="shared" si="3"/>
        <v>1239.6244932353743</v>
      </c>
      <c r="D14" s="75">
        <f t="shared" si="4"/>
        <v>145078.38316386589</v>
      </c>
      <c r="F14" s="76" t="s">
        <v>269</v>
      </c>
      <c r="G14" s="77">
        <f>B6*B8</f>
        <v>23654.574378250567</v>
      </c>
      <c r="J14">
        <f t="shared" si="0"/>
        <v>0.60166666666666668</v>
      </c>
    </row>
    <row r="15" spans="1:10" x14ac:dyDescent="0.2">
      <c r="A15" s="74">
        <f t="shared" si="1"/>
        <v>5</v>
      </c>
      <c r="B15" s="75">
        <f t="shared" si="2"/>
        <v>725.39191581932937</v>
      </c>
      <c r="C15" s="75">
        <f t="shared" si="3"/>
        <v>1245.8226157015513</v>
      </c>
      <c r="D15" s="75">
        <f t="shared" si="4"/>
        <v>143832.56054816433</v>
      </c>
      <c r="J15">
        <f t="shared" si="0"/>
        <v>0.60166666666666668</v>
      </c>
    </row>
    <row r="16" spans="1:10" x14ac:dyDescent="0.2">
      <c r="A16" s="74">
        <f t="shared" si="1"/>
        <v>6</v>
      </c>
      <c r="B16" s="75">
        <f t="shared" si="2"/>
        <v>719.16280274082158</v>
      </c>
      <c r="C16" s="75">
        <f t="shared" si="3"/>
        <v>1252.051728780059</v>
      </c>
      <c r="D16" s="75">
        <f t="shared" si="4"/>
        <v>142580.50881938427</v>
      </c>
      <c r="F16" t="s">
        <v>270</v>
      </c>
      <c r="H16" s="78">
        <f>RATE(B7,-B8,B3)</f>
        <v>5.0000000000001181E-3</v>
      </c>
      <c r="J16">
        <f t="shared" si="0"/>
        <v>0.60166666666666668</v>
      </c>
    </row>
    <row r="17" spans="1:7" ht="15.75" x14ac:dyDescent="0.25">
      <c r="A17" s="74">
        <f t="shared" si="1"/>
        <v>7</v>
      </c>
      <c r="B17" s="75">
        <f t="shared" si="2"/>
        <v>712.90254409692125</v>
      </c>
      <c r="C17" s="75">
        <f t="shared" si="3"/>
        <v>1258.3119874239594</v>
      </c>
      <c r="D17" s="75">
        <f t="shared" si="4"/>
        <v>141322.19683196032</v>
      </c>
      <c r="F17" s="76" t="s">
        <v>271</v>
      </c>
      <c r="G17" s="79">
        <f>(1+H16)^B6-1</f>
        <v>6.1677811864500942E-2</v>
      </c>
    </row>
    <row r="18" spans="1:7" x14ac:dyDescent="0.2">
      <c r="A18" s="74">
        <f t="shared" si="1"/>
        <v>8</v>
      </c>
      <c r="B18" s="75">
        <f t="shared" si="2"/>
        <v>706.61098415980166</v>
      </c>
      <c r="C18" s="75">
        <f t="shared" si="3"/>
        <v>1264.6035473610791</v>
      </c>
      <c r="D18" s="75">
        <f t="shared" si="4"/>
        <v>140057.59328459925</v>
      </c>
    </row>
    <row r="19" spans="1:7" x14ac:dyDescent="0.2">
      <c r="A19" s="74">
        <f t="shared" si="1"/>
        <v>9</v>
      </c>
      <c r="B19" s="75">
        <f t="shared" si="2"/>
        <v>700.28796642299619</v>
      </c>
      <c r="C19" s="75">
        <f t="shared" si="3"/>
        <v>1270.9265650978846</v>
      </c>
      <c r="D19" s="75">
        <f t="shared" si="4"/>
        <v>138786.66671950137</v>
      </c>
    </row>
    <row r="20" spans="1:7" x14ac:dyDescent="0.2">
      <c r="A20" s="74">
        <f t="shared" si="1"/>
        <v>10</v>
      </c>
      <c r="B20" s="75">
        <f t="shared" si="2"/>
        <v>693.93333359750693</v>
      </c>
      <c r="C20" s="75">
        <f t="shared" si="3"/>
        <v>1277.2811979233738</v>
      </c>
      <c r="D20" s="75">
        <f t="shared" si="4"/>
        <v>137509.38552157799</v>
      </c>
      <c r="F20" t="s">
        <v>123</v>
      </c>
      <c r="G20" t="s">
        <v>123</v>
      </c>
    </row>
    <row r="21" spans="1:7" x14ac:dyDescent="0.2">
      <c r="A21" s="74">
        <f t="shared" si="1"/>
        <v>11</v>
      </c>
      <c r="B21" s="75">
        <f t="shared" si="2"/>
        <v>687.54692760788987</v>
      </c>
      <c r="C21" s="75">
        <f t="shared" si="3"/>
        <v>1283.6676039129907</v>
      </c>
      <c r="D21" s="75">
        <f t="shared" si="4"/>
        <v>136225.717917665</v>
      </c>
    </row>
    <row r="22" spans="1:7" x14ac:dyDescent="0.2">
      <c r="A22" s="74">
        <f t="shared" si="1"/>
        <v>12</v>
      </c>
      <c r="B22" s="75">
        <f t="shared" si="2"/>
        <v>681.12858958832499</v>
      </c>
      <c r="C22" s="75">
        <f t="shared" si="3"/>
        <v>1290.0859419325557</v>
      </c>
      <c r="D22" s="75">
        <f t="shared" si="4"/>
        <v>134935.63197573245</v>
      </c>
    </row>
    <row r="23" spans="1:7" x14ac:dyDescent="0.2">
      <c r="A23" s="74">
        <f t="shared" si="1"/>
        <v>13</v>
      </c>
      <c r="B23" s="75">
        <f t="shared" si="2"/>
        <v>674.67815987866231</v>
      </c>
      <c r="C23" s="75">
        <f t="shared" si="3"/>
        <v>1296.5363716422185</v>
      </c>
      <c r="D23" s="75">
        <f t="shared" si="4"/>
        <v>133639.09560409022</v>
      </c>
    </row>
    <row r="24" spans="1:7" x14ac:dyDescent="0.2">
      <c r="A24" s="74">
        <f t="shared" si="1"/>
        <v>14</v>
      </c>
      <c r="B24" s="75">
        <f t="shared" si="2"/>
        <v>668.19547802045111</v>
      </c>
      <c r="C24" s="75">
        <f t="shared" si="3"/>
        <v>1303.0190535004294</v>
      </c>
      <c r="D24" s="75">
        <f t="shared" si="4"/>
        <v>132336.07655058979</v>
      </c>
    </row>
    <row r="25" spans="1:7" x14ac:dyDescent="0.2">
      <c r="A25" s="74">
        <f t="shared" si="1"/>
        <v>15</v>
      </c>
      <c r="B25" s="75">
        <f t="shared" si="2"/>
        <v>661.68038275294896</v>
      </c>
      <c r="C25" s="75">
        <f t="shared" si="3"/>
        <v>1309.5341487679316</v>
      </c>
      <c r="D25" s="75">
        <f t="shared" si="4"/>
        <v>131026.54240182186</v>
      </c>
    </row>
    <row r="26" spans="1:7" x14ac:dyDescent="0.2">
      <c r="A26" s="74">
        <f t="shared" si="1"/>
        <v>16</v>
      </c>
      <c r="B26" s="75">
        <f t="shared" si="2"/>
        <v>655.13271200910924</v>
      </c>
      <c r="C26" s="75">
        <f t="shared" si="3"/>
        <v>1316.0818195117713</v>
      </c>
      <c r="D26" s="75">
        <f t="shared" si="4"/>
        <v>129710.46058231009</v>
      </c>
    </row>
    <row r="27" spans="1:7" x14ac:dyDescent="0.2">
      <c r="A27" s="74">
        <f t="shared" si="1"/>
        <v>17</v>
      </c>
      <c r="B27" s="75">
        <f t="shared" si="2"/>
        <v>648.55230291155044</v>
      </c>
      <c r="C27" s="75">
        <f t="shared" si="3"/>
        <v>1322.6622286093302</v>
      </c>
      <c r="D27" s="75">
        <f t="shared" si="4"/>
        <v>128387.79835370075</v>
      </c>
    </row>
    <row r="28" spans="1:7" x14ac:dyDescent="0.2">
      <c r="A28" s="74">
        <f t="shared" si="1"/>
        <v>18</v>
      </c>
      <c r="B28" s="75">
        <f t="shared" si="2"/>
        <v>641.9389917685038</v>
      </c>
      <c r="C28" s="75">
        <f t="shared" si="3"/>
        <v>1329.275539752377</v>
      </c>
      <c r="D28" s="75">
        <f t="shared" si="4"/>
        <v>127058.52281394838</v>
      </c>
    </row>
    <row r="29" spans="1:7" x14ac:dyDescent="0.2">
      <c r="A29" s="74">
        <f t="shared" si="1"/>
        <v>19</v>
      </c>
      <c r="B29" s="75">
        <f t="shared" si="2"/>
        <v>635.29261406974194</v>
      </c>
      <c r="C29" s="75">
        <f t="shared" si="3"/>
        <v>1335.9219174511386</v>
      </c>
      <c r="D29" s="75">
        <f t="shared" si="4"/>
        <v>125722.60089649724</v>
      </c>
    </row>
    <row r="30" spans="1:7" x14ac:dyDescent="0.2">
      <c r="A30" s="74">
        <f t="shared" si="1"/>
        <v>20</v>
      </c>
      <c r="B30" s="75">
        <f t="shared" si="2"/>
        <v>628.61300448248619</v>
      </c>
      <c r="C30" s="75">
        <f t="shared" si="3"/>
        <v>1342.6015270383946</v>
      </c>
      <c r="D30" s="75">
        <f t="shared" si="4"/>
        <v>124379.99936945885</v>
      </c>
    </row>
    <row r="31" spans="1:7" x14ac:dyDescent="0.2">
      <c r="A31" s="74">
        <f t="shared" si="1"/>
        <v>21</v>
      </c>
      <c r="B31" s="75">
        <f t="shared" si="2"/>
        <v>621.89999684729423</v>
      </c>
      <c r="C31" s="75">
        <f t="shared" si="3"/>
        <v>1349.3145346735864</v>
      </c>
      <c r="D31" s="75">
        <f t="shared" si="4"/>
        <v>123030.68483478526</v>
      </c>
    </row>
    <row r="32" spans="1:7" x14ac:dyDescent="0.2">
      <c r="A32" s="74">
        <f t="shared" si="1"/>
        <v>22</v>
      </c>
      <c r="B32" s="75">
        <f t="shared" si="2"/>
        <v>615.15342417392628</v>
      </c>
      <c r="C32" s="75">
        <f t="shared" si="3"/>
        <v>1356.0611073469545</v>
      </c>
      <c r="D32" s="75">
        <f t="shared" si="4"/>
        <v>121674.62372743832</v>
      </c>
    </row>
    <row r="33" spans="1:4" x14ac:dyDescent="0.2">
      <c r="A33" s="74">
        <f t="shared" si="1"/>
        <v>23</v>
      </c>
      <c r="B33" s="75">
        <f t="shared" si="2"/>
        <v>608.37311863719162</v>
      </c>
      <c r="C33" s="75">
        <f t="shared" si="3"/>
        <v>1362.8414128836889</v>
      </c>
      <c r="D33" s="75">
        <f t="shared" si="4"/>
        <v>120311.78231455463</v>
      </c>
    </row>
    <row r="34" spans="1:4" x14ac:dyDescent="0.2">
      <c r="A34" s="74">
        <f t="shared" si="1"/>
        <v>24</v>
      </c>
      <c r="B34" s="75">
        <f t="shared" si="2"/>
        <v>601.55891157277313</v>
      </c>
      <c r="C34" s="75">
        <f t="shared" si="3"/>
        <v>1369.6556199481074</v>
      </c>
      <c r="D34" s="75">
        <f t="shared" si="4"/>
        <v>118942.12669460652</v>
      </c>
    </row>
    <row r="35" spans="1:4" x14ac:dyDescent="0.2">
      <c r="A35" s="74">
        <f t="shared" si="1"/>
        <v>25</v>
      </c>
      <c r="B35" s="75">
        <f t="shared" si="2"/>
        <v>594.71063347303254</v>
      </c>
      <c r="C35" s="75">
        <f t="shared" si="3"/>
        <v>1376.503898047848</v>
      </c>
      <c r="D35" s="75">
        <f t="shared" si="4"/>
        <v>117565.62279655867</v>
      </c>
    </row>
    <row r="36" spans="1:4" x14ac:dyDescent="0.2">
      <c r="A36" s="74">
        <f t="shared" si="1"/>
        <v>26</v>
      </c>
      <c r="B36" s="75">
        <f t="shared" si="2"/>
        <v>587.8281139827933</v>
      </c>
      <c r="C36" s="75">
        <f t="shared" si="3"/>
        <v>1383.3864175380872</v>
      </c>
      <c r="D36" s="75">
        <f t="shared" si="4"/>
        <v>116182.23637902059</v>
      </c>
    </row>
    <row r="37" spans="1:4" x14ac:dyDescent="0.2">
      <c r="A37" s="74">
        <f t="shared" si="1"/>
        <v>27</v>
      </c>
      <c r="B37" s="75">
        <f t="shared" si="2"/>
        <v>580.91118189510291</v>
      </c>
      <c r="C37" s="75">
        <f t="shared" si="3"/>
        <v>1390.3033496257776</v>
      </c>
      <c r="D37" s="75">
        <f t="shared" si="4"/>
        <v>114791.9330293948</v>
      </c>
    </row>
    <row r="38" spans="1:4" x14ac:dyDescent="0.2">
      <c r="A38" s="74">
        <f t="shared" si="1"/>
        <v>28</v>
      </c>
      <c r="B38" s="75">
        <f t="shared" si="2"/>
        <v>573.95966514697398</v>
      </c>
      <c r="C38" s="75">
        <f t="shared" si="3"/>
        <v>1397.2548663739067</v>
      </c>
      <c r="D38" s="75">
        <f t="shared" si="4"/>
        <v>113394.6781630209</v>
      </c>
    </row>
    <row r="39" spans="1:4" x14ac:dyDescent="0.2">
      <c r="A39" s="74">
        <f t="shared" si="1"/>
        <v>29</v>
      </c>
      <c r="B39" s="75">
        <f t="shared" si="2"/>
        <v>566.97339081510449</v>
      </c>
      <c r="C39" s="75">
        <f t="shared" si="3"/>
        <v>1404.2411407057762</v>
      </c>
      <c r="D39" s="75">
        <f t="shared" si="4"/>
        <v>111990.43702231512</v>
      </c>
    </row>
    <row r="40" spans="1:4" x14ac:dyDescent="0.2">
      <c r="A40" s="74">
        <f t="shared" si="1"/>
        <v>30</v>
      </c>
      <c r="B40" s="75">
        <f t="shared" si="2"/>
        <v>559.95218511157555</v>
      </c>
      <c r="C40" s="75">
        <f t="shared" si="3"/>
        <v>1411.2623464093051</v>
      </c>
      <c r="D40" s="75">
        <f t="shared" si="4"/>
        <v>110579.17467590582</v>
      </c>
    </row>
    <row r="41" spans="1:4" x14ac:dyDescent="0.2">
      <c r="A41" s="74">
        <f t="shared" si="1"/>
        <v>31</v>
      </c>
      <c r="B41" s="75">
        <f t="shared" si="2"/>
        <v>552.89587337952901</v>
      </c>
      <c r="C41" s="75">
        <f t="shared" si="3"/>
        <v>1418.3186581413515</v>
      </c>
      <c r="D41" s="75">
        <f t="shared" si="4"/>
        <v>109160.85601776447</v>
      </c>
    </row>
    <row r="42" spans="1:4" x14ac:dyDescent="0.2">
      <c r="A42" s="74">
        <f t="shared" si="1"/>
        <v>32</v>
      </c>
      <c r="B42" s="75">
        <f t="shared" si="2"/>
        <v>545.80428008882234</v>
      </c>
      <c r="C42" s="75">
        <f t="shared" si="3"/>
        <v>1425.4102514320584</v>
      </c>
      <c r="D42" s="75">
        <f t="shared" si="4"/>
        <v>107735.44576633241</v>
      </c>
    </row>
    <row r="43" spans="1:4" x14ac:dyDescent="0.2">
      <c r="A43" s="74">
        <f t="shared" si="1"/>
        <v>33</v>
      </c>
      <c r="B43" s="75">
        <f t="shared" si="2"/>
        <v>538.67722883166209</v>
      </c>
      <c r="C43" s="75">
        <f t="shared" si="3"/>
        <v>1432.5373026892184</v>
      </c>
      <c r="D43" s="75">
        <f t="shared" si="4"/>
        <v>106302.90846364319</v>
      </c>
    </row>
    <row r="44" spans="1:4" x14ac:dyDescent="0.2">
      <c r="A44" s="74">
        <f t="shared" si="1"/>
        <v>34</v>
      </c>
      <c r="B44" s="75">
        <f t="shared" si="2"/>
        <v>531.51454231821594</v>
      </c>
      <c r="C44" s="75">
        <f t="shared" si="3"/>
        <v>1439.6999892026647</v>
      </c>
      <c r="D44" s="75">
        <f t="shared" si="4"/>
        <v>104863.20847444053</v>
      </c>
    </row>
    <row r="45" spans="1:4" x14ac:dyDescent="0.2">
      <c r="A45" s="74">
        <f t="shared" si="1"/>
        <v>35</v>
      </c>
      <c r="B45" s="75">
        <f t="shared" si="2"/>
        <v>524.31604237220256</v>
      </c>
      <c r="C45" s="75">
        <f t="shared" si="3"/>
        <v>1446.898489148678</v>
      </c>
      <c r="D45" s="75">
        <f t="shared" si="4"/>
        <v>103416.30998529185</v>
      </c>
    </row>
    <row r="46" spans="1:4" x14ac:dyDescent="0.2">
      <c r="A46" s="74">
        <f t="shared" si="1"/>
        <v>36</v>
      </c>
      <c r="B46" s="75">
        <f t="shared" si="2"/>
        <v>517.08154992645927</v>
      </c>
      <c r="C46" s="75">
        <f t="shared" si="3"/>
        <v>1454.1329815944214</v>
      </c>
      <c r="D46" s="75">
        <f t="shared" si="4"/>
        <v>101962.17700369743</v>
      </c>
    </row>
    <row r="47" spans="1:4" x14ac:dyDescent="0.2">
      <c r="A47" s="74">
        <f t="shared" si="1"/>
        <v>37</v>
      </c>
      <c r="B47" s="75">
        <f t="shared" si="2"/>
        <v>509.81088501848717</v>
      </c>
      <c r="C47" s="75">
        <f t="shared" si="3"/>
        <v>1461.4036465023935</v>
      </c>
      <c r="D47" s="75">
        <f t="shared" si="4"/>
        <v>100500.77335719504</v>
      </c>
    </row>
    <row r="48" spans="1:4" x14ac:dyDescent="0.2">
      <c r="A48" s="74">
        <f t="shared" si="1"/>
        <v>38</v>
      </c>
      <c r="B48" s="75">
        <f t="shared" si="2"/>
        <v>502.50386678597516</v>
      </c>
      <c r="C48" s="75">
        <f t="shared" si="3"/>
        <v>1468.7106647349055</v>
      </c>
      <c r="D48" s="75">
        <f t="shared" si="4"/>
        <v>99032.062692460138</v>
      </c>
    </row>
    <row r="49" spans="1:4" x14ac:dyDescent="0.2">
      <c r="A49" s="74">
        <f t="shared" si="1"/>
        <v>39</v>
      </c>
      <c r="B49" s="75">
        <f t="shared" si="2"/>
        <v>495.16031346230062</v>
      </c>
      <c r="C49" s="75">
        <f t="shared" si="3"/>
        <v>1476.0542180585801</v>
      </c>
      <c r="D49" s="75">
        <f t="shared" si="4"/>
        <v>97556.008474401562</v>
      </c>
    </row>
    <row r="50" spans="1:4" x14ac:dyDescent="0.2">
      <c r="A50" s="74">
        <f t="shared" si="1"/>
        <v>40</v>
      </c>
      <c r="B50" s="75">
        <f t="shared" si="2"/>
        <v>487.78004237200776</v>
      </c>
      <c r="C50" s="75">
        <f t="shared" si="3"/>
        <v>1483.4344891488729</v>
      </c>
      <c r="D50" s="75">
        <f t="shared" si="4"/>
        <v>96072.573985252689</v>
      </c>
    </row>
    <row r="51" spans="1:4" x14ac:dyDescent="0.2">
      <c r="A51" s="74">
        <f t="shared" si="1"/>
        <v>41</v>
      </c>
      <c r="B51" s="75">
        <f t="shared" si="2"/>
        <v>480.36286992626339</v>
      </c>
      <c r="C51" s="75">
        <f t="shared" si="3"/>
        <v>1490.8516615946173</v>
      </c>
      <c r="D51" s="75">
        <f t="shared" si="4"/>
        <v>94581.722323658076</v>
      </c>
    </row>
    <row r="52" spans="1:4" x14ac:dyDescent="0.2">
      <c r="A52" s="74">
        <f t="shared" si="1"/>
        <v>42</v>
      </c>
      <c r="B52" s="75">
        <f t="shared" si="2"/>
        <v>472.90861161829031</v>
      </c>
      <c r="C52" s="75">
        <f t="shared" si="3"/>
        <v>1498.3059199025904</v>
      </c>
      <c r="D52" s="75">
        <f t="shared" si="4"/>
        <v>93083.416403755487</v>
      </c>
    </row>
    <row r="53" spans="1:4" x14ac:dyDescent="0.2">
      <c r="A53" s="74">
        <f t="shared" si="1"/>
        <v>43</v>
      </c>
      <c r="B53" s="75">
        <f t="shared" si="2"/>
        <v>465.41708201877742</v>
      </c>
      <c r="C53" s="75">
        <f t="shared" si="3"/>
        <v>1505.7974495021033</v>
      </c>
      <c r="D53" s="75">
        <f t="shared" si="4"/>
        <v>91577.618954253383</v>
      </c>
    </row>
    <row r="54" spans="1:4" x14ac:dyDescent="0.2">
      <c r="A54" s="74">
        <f t="shared" si="1"/>
        <v>44</v>
      </c>
      <c r="B54" s="75">
        <f t="shared" si="2"/>
        <v>457.88809477126688</v>
      </c>
      <c r="C54" s="75">
        <f t="shared" si="3"/>
        <v>1513.3264367496138</v>
      </c>
      <c r="D54" s="75">
        <f t="shared" si="4"/>
        <v>90064.292517503767</v>
      </c>
    </row>
    <row r="55" spans="1:4" x14ac:dyDescent="0.2">
      <c r="A55" s="74">
        <f t="shared" si="1"/>
        <v>45</v>
      </c>
      <c r="B55" s="75">
        <f t="shared" si="2"/>
        <v>450.32146258751885</v>
      </c>
      <c r="C55" s="75">
        <f t="shared" si="3"/>
        <v>1520.8930689333617</v>
      </c>
      <c r="D55" s="75">
        <f t="shared" si="4"/>
        <v>88543.399448570402</v>
      </c>
    </row>
    <row r="56" spans="1:4" x14ac:dyDescent="0.2">
      <c r="A56" s="74">
        <f t="shared" si="1"/>
        <v>46</v>
      </c>
      <c r="B56" s="75">
        <f t="shared" si="2"/>
        <v>442.71699724285196</v>
      </c>
      <c r="C56" s="75">
        <f t="shared" si="3"/>
        <v>1528.4975342780288</v>
      </c>
      <c r="D56" s="75">
        <f t="shared" si="4"/>
        <v>87014.901914292379</v>
      </c>
    </row>
    <row r="57" spans="1:4" x14ac:dyDescent="0.2">
      <c r="A57" s="74">
        <f t="shared" si="1"/>
        <v>47</v>
      </c>
      <c r="B57" s="75">
        <f t="shared" si="2"/>
        <v>435.07450957146187</v>
      </c>
      <c r="C57" s="75">
        <f t="shared" si="3"/>
        <v>1536.1400219494187</v>
      </c>
      <c r="D57" s="75">
        <f t="shared" si="4"/>
        <v>85478.761892342955</v>
      </c>
    </row>
    <row r="58" spans="1:4" x14ac:dyDescent="0.2">
      <c r="A58" s="74">
        <f t="shared" si="1"/>
        <v>48</v>
      </c>
      <c r="B58" s="75">
        <f t="shared" si="2"/>
        <v>427.39380946171474</v>
      </c>
      <c r="C58" s="75">
        <f t="shared" si="3"/>
        <v>1543.820722059166</v>
      </c>
      <c r="D58" s="75">
        <f t="shared" si="4"/>
        <v>83934.941170283782</v>
      </c>
    </row>
    <row r="59" spans="1:4" x14ac:dyDescent="0.2">
      <c r="A59" s="74">
        <f t="shared" si="1"/>
        <v>49</v>
      </c>
      <c r="B59" s="75">
        <f t="shared" si="2"/>
        <v>419.67470585141888</v>
      </c>
      <c r="C59" s="75">
        <f t="shared" si="3"/>
        <v>1551.5398256694618</v>
      </c>
      <c r="D59" s="75">
        <f t="shared" si="4"/>
        <v>82383.401344614322</v>
      </c>
    </row>
    <row r="60" spans="1:4" x14ac:dyDescent="0.2">
      <c r="A60" s="74">
        <f t="shared" si="1"/>
        <v>50</v>
      </c>
      <c r="B60" s="75">
        <f t="shared" si="2"/>
        <v>411.91700672307161</v>
      </c>
      <c r="C60" s="75">
        <f t="shared" si="3"/>
        <v>1559.297524797809</v>
      </c>
      <c r="D60" s="75">
        <f t="shared" si="4"/>
        <v>80824.103819816519</v>
      </c>
    </row>
    <row r="61" spans="1:4" x14ac:dyDescent="0.2">
      <c r="A61" s="74">
        <f t="shared" si="1"/>
        <v>51</v>
      </c>
      <c r="B61" s="75">
        <f t="shared" si="2"/>
        <v>404.12051909908263</v>
      </c>
      <c r="C61" s="75">
        <f t="shared" si="3"/>
        <v>1567.094012421798</v>
      </c>
      <c r="D61" s="75">
        <f t="shared" si="4"/>
        <v>79257.009807394716</v>
      </c>
    </row>
    <row r="62" spans="1:4" x14ac:dyDescent="0.2">
      <c r="A62" s="74">
        <f t="shared" si="1"/>
        <v>52</v>
      </c>
      <c r="B62" s="75">
        <f t="shared" si="2"/>
        <v>396.28504903697353</v>
      </c>
      <c r="C62" s="75">
        <f t="shared" si="3"/>
        <v>1574.9294824839071</v>
      </c>
      <c r="D62" s="75">
        <f t="shared" si="4"/>
        <v>77682.080324910814</v>
      </c>
    </row>
    <row r="63" spans="1:4" x14ac:dyDescent="0.2">
      <c r="A63" s="74">
        <f t="shared" si="1"/>
        <v>53</v>
      </c>
      <c r="B63" s="75">
        <f t="shared" si="2"/>
        <v>388.41040162455403</v>
      </c>
      <c r="C63" s="75">
        <f t="shared" si="3"/>
        <v>1582.8041298963267</v>
      </c>
      <c r="D63" s="75">
        <f t="shared" si="4"/>
        <v>76099.276195014492</v>
      </c>
    </row>
    <row r="64" spans="1:4" x14ac:dyDescent="0.2">
      <c r="A64" s="74">
        <f t="shared" si="1"/>
        <v>54</v>
      </c>
      <c r="B64" s="75">
        <f t="shared" si="2"/>
        <v>380.49638097507244</v>
      </c>
      <c r="C64" s="75">
        <f t="shared" si="3"/>
        <v>1590.7181505458082</v>
      </c>
      <c r="D64" s="75">
        <f t="shared" si="4"/>
        <v>74508.558044468678</v>
      </c>
    </row>
    <row r="65" spans="1:4" x14ac:dyDescent="0.2">
      <c r="A65" s="74">
        <f t="shared" si="1"/>
        <v>55</v>
      </c>
      <c r="B65" s="75">
        <f t="shared" si="2"/>
        <v>372.5427902223434</v>
      </c>
      <c r="C65" s="75">
        <f t="shared" si="3"/>
        <v>1598.6717412985372</v>
      </c>
      <c r="D65" s="75">
        <f t="shared" si="4"/>
        <v>72909.886303170148</v>
      </c>
    </row>
    <row r="66" spans="1:4" x14ac:dyDescent="0.2">
      <c r="A66" s="74">
        <f t="shared" si="1"/>
        <v>56</v>
      </c>
      <c r="B66" s="75">
        <f t="shared" si="2"/>
        <v>364.54943151585076</v>
      </c>
      <c r="C66" s="75">
        <f t="shared" si="3"/>
        <v>1606.6651000050299</v>
      </c>
      <c r="D66" s="75">
        <f t="shared" si="4"/>
        <v>71303.221203165114</v>
      </c>
    </row>
    <row r="67" spans="1:4" x14ac:dyDescent="0.2">
      <c r="A67" s="74">
        <f t="shared" si="1"/>
        <v>57</v>
      </c>
      <c r="B67" s="75">
        <f t="shared" si="2"/>
        <v>356.51610601582553</v>
      </c>
      <c r="C67" s="75">
        <f t="shared" si="3"/>
        <v>1614.6984255050552</v>
      </c>
      <c r="D67" s="75">
        <f t="shared" si="4"/>
        <v>69688.522777660066</v>
      </c>
    </row>
    <row r="68" spans="1:4" x14ac:dyDescent="0.2">
      <c r="A68" s="74">
        <f t="shared" si="1"/>
        <v>58</v>
      </c>
      <c r="B68" s="75">
        <f t="shared" si="2"/>
        <v>348.44261388830029</v>
      </c>
      <c r="C68" s="75">
        <f t="shared" si="3"/>
        <v>1622.7719176325804</v>
      </c>
      <c r="D68" s="75">
        <f t="shared" si="4"/>
        <v>68065.750860027489</v>
      </c>
    </row>
    <row r="69" spans="1:4" x14ac:dyDescent="0.2">
      <c r="A69" s="74">
        <f t="shared" si="1"/>
        <v>59</v>
      </c>
      <c r="B69" s="75">
        <f t="shared" si="2"/>
        <v>340.3287543001374</v>
      </c>
      <c r="C69" s="75">
        <f t="shared" si="3"/>
        <v>1630.8857772207432</v>
      </c>
      <c r="D69" s="75">
        <f t="shared" si="4"/>
        <v>66434.865082806748</v>
      </c>
    </row>
    <row r="70" spans="1:4" x14ac:dyDescent="0.2">
      <c r="A70" s="74">
        <f t="shared" si="1"/>
        <v>60</v>
      </c>
      <c r="B70" s="75">
        <f t="shared" si="2"/>
        <v>332.17432541403372</v>
      </c>
      <c r="C70" s="75">
        <f t="shared" si="3"/>
        <v>1639.0402061068469</v>
      </c>
      <c r="D70" s="75">
        <f t="shared" si="4"/>
        <v>64795.824876699902</v>
      </c>
    </row>
    <row r="71" spans="1:4" x14ac:dyDescent="0.2">
      <c r="A71" s="74">
        <f t="shared" si="1"/>
        <v>61</v>
      </c>
      <c r="B71" s="75">
        <f t="shared" si="2"/>
        <v>323.97912438349948</v>
      </c>
      <c r="C71" s="75">
        <f t="shared" si="3"/>
        <v>1647.2354071373811</v>
      </c>
      <c r="D71" s="75">
        <f t="shared" si="4"/>
        <v>63148.589469562517</v>
      </c>
    </row>
    <row r="72" spans="1:4" x14ac:dyDescent="0.2">
      <c r="A72" s="74">
        <f t="shared" si="1"/>
        <v>62</v>
      </c>
      <c r="B72" s="75">
        <f t="shared" si="2"/>
        <v>315.74294734781256</v>
      </c>
      <c r="C72" s="75">
        <f t="shared" si="3"/>
        <v>1655.4715841730681</v>
      </c>
      <c r="D72" s="75">
        <f t="shared" si="4"/>
        <v>61493.117885389453</v>
      </c>
    </row>
    <row r="73" spans="1:4" x14ac:dyDescent="0.2">
      <c r="A73" s="74">
        <f t="shared" si="1"/>
        <v>63</v>
      </c>
      <c r="B73" s="75">
        <f t="shared" si="2"/>
        <v>307.46558942694725</v>
      </c>
      <c r="C73" s="75">
        <f t="shared" si="3"/>
        <v>1663.7489420939335</v>
      </c>
      <c r="D73" s="75">
        <f t="shared" si="4"/>
        <v>59829.368943295522</v>
      </c>
    </row>
    <row r="74" spans="1:4" x14ac:dyDescent="0.2">
      <c r="A74" s="74">
        <f t="shared" si="1"/>
        <v>64</v>
      </c>
      <c r="B74" s="75">
        <f t="shared" si="2"/>
        <v>299.14684471647757</v>
      </c>
      <c r="C74" s="75">
        <f t="shared" si="3"/>
        <v>1672.0676868044031</v>
      </c>
      <c r="D74" s="75">
        <f t="shared" si="4"/>
        <v>58157.301256491119</v>
      </c>
    </row>
    <row r="75" spans="1:4" x14ac:dyDescent="0.2">
      <c r="A75" s="74">
        <f t="shared" si="1"/>
        <v>65</v>
      </c>
      <c r="B75" s="75">
        <f t="shared" si="2"/>
        <v>290.7865062824556</v>
      </c>
      <c r="C75" s="75">
        <f t="shared" si="3"/>
        <v>1680.4280252384251</v>
      </c>
      <c r="D75" s="75">
        <f t="shared" si="4"/>
        <v>56476.873231252692</v>
      </c>
    </row>
    <row r="76" spans="1:4" x14ac:dyDescent="0.2">
      <c r="A76" s="74">
        <f t="shared" si="1"/>
        <v>66</v>
      </c>
      <c r="B76" s="75">
        <f t="shared" si="2"/>
        <v>282.38436615626341</v>
      </c>
      <c r="C76" s="75">
        <f t="shared" si="3"/>
        <v>1688.8301653646172</v>
      </c>
      <c r="D76" s="75">
        <f t="shared" si="4"/>
        <v>54788.043065888072</v>
      </c>
    </row>
    <row r="77" spans="1:4" x14ac:dyDescent="0.2">
      <c r="A77" s="74">
        <f t="shared" ref="A77:A130" si="5">IF(D76&lt;0.1,0,A76+1)</f>
        <v>67</v>
      </c>
      <c r="B77" s="75">
        <f t="shared" ref="B77:B130" si="6">IF(D76&lt;0.1,0,D76*$B$4/$B$6)</f>
        <v>273.94021532944038</v>
      </c>
      <c r="C77" s="75">
        <f t="shared" ref="C77:C130" si="7">IF(D76&lt;0.1,0,$B$8-B77)</f>
        <v>1697.2743161914402</v>
      </c>
      <c r="D77" s="75">
        <f t="shared" ref="D77:D130" si="8">IF(D76&lt;0.1,0,D76-C77)</f>
        <v>53090.768749696632</v>
      </c>
    </row>
    <row r="78" spans="1:4" x14ac:dyDescent="0.2">
      <c r="A78" s="74">
        <f t="shared" si="5"/>
        <v>68</v>
      </c>
      <c r="B78" s="75">
        <f t="shared" si="6"/>
        <v>265.45384374848317</v>
      </c>
      <c r="C78" s="75">
        <f t="shared" si="7"/>
        <v>1705.7606877723974</v>
      </c>
      <c r="D78" s="75">
        <f t="shared" si="8"/>
        <v>51385.008061924236</v>
      </c>
    </row>
    <row r="79" spans="1:4" x14ac:dyDescent="0.2">
      <c r="A79" s="74">
        <f t="shared" si="5"/>
        <v>69</v>
      </c>
      <c r="B79" s="75">
        <f t="shared" si="6"/>
        <v>256.92504030962118</v>
      </c>
      <c r="C79" s="75">
        <f t="shared" si="7"/>
        <v>1714.2894912112595</v>
      </c>
      <c r="D79" s="75">
        <f t="shared" si="8"/>
        <v>49670.718570712976</v>
      </c>
    </row>
    <row r="80" spans="1:4" x14ac:dyDescent="0.2">
      <c r="A80" s="74">
        <f t="shared" si="5"/>
        <v>70</v>
      </c>
      <c r="B80" s="75">
        <f t="shared" si="6"/>
        <v>248.35359285356489</v>
      </c>
      <c r="C80" s="75">
        <f t="shared" si="7"/>
        <v>1722.8609386673158</v>
      </c>
      <c r="D80" s="75">
        <f t="shared" si="8"/>
        <v>47947.857632045663</v>
      </c>
    </row>
    <row r="81" spans="1:4" x14ac:dyDescent="0.2">
      <c r="A81" s="74">
        <f t="shared" si="5"/>
        <v>71</v>
      </c>
      <c r="B81" s="75">
        <f t="shared" si="6"/>
        <v>239.73928816022831</v>
      </c>
      <c r="C81" s="75">
        <f t="shared" si="7"/>
        <v>1731.4752433606523</v>
      </c>
      <c r="D81" s="75">
        <f t="shared" si="8"/>
        <v>46216.382388685008</v>
      </c>
    </row>
    <row r="82" spans="1:4" x14ac:dyDescent="0.2">
      <c r="A82" s="74">
        <f t="shared" si="5"/>
        <v>72</v>
      </c>
      <c r="B82" s="75">
        <f t="shared" si="6"/>
        <v>231.08191194342501</v>
      </c>
      <c r="C82" s="75">
        <f t="shared" si="7"/>
        <v>1740.1326195774557</v>
      </c>
      <c r="D82" s="75">
        <f t="shared" si="8"/>
        <v>44476.249769107555</v>
      </c>
    </row>
    <row r="83" spans="1:4" x14ac:dyDescent="0.2">
      <c r="A83" s="74">
        <f t="shared" si="5"/>
        <v>73</v>
      </c>
      <c r="B83" s="75">
        <f t="shared" si="6"/>
        <v>222.38124884553778</v>
      </c>
      <c r="C83" s="75">
        <f t="shared" si="7"/>
        <v>1748.8332826753428</v>
      </c>
      <c r="D83" s="75">
        <f t="shared" si="8"/>
        <v>42727.416486432216</v>
      </c>
    </row>
    <row r="84" spans="1:4" x14ac:dyDescent="0.2">
      <c r="A84" s="74">
        <f t="shared" si="5"/>
        <v>74</v>
      </c>
      <c r="B84" s="75">
        <f t="shared" si="6"/>
        <v>213.63708243216107</v>
      </c>
      <c r="C84" s="75">
        <f t="shared" si="7"/>
        <v>1757.5774490887195</v>
      </c>
      <c r="D84" s="75">
        <f t="shared" si="8"/>
        <v>40969.839037343496</v>
      </c>
    </row>
    <row r="85" spans="1:4" x14ac:dyDescent="0.2">
      <c r="A85" s="74">
        <f t="shared" si="5"/>
        <v>75</v>
      </c>
      <c r="B85" s="75">
        <f t="shared" si="6"/>
        <v>204.84919518671748</v>
      </c>
      <c r="C85" s="75">
        <f t="shared" si="7"/>
        <v>1766.3653363341632</v>
      </c>
      <c r="D85" s="75">
        <f t="shared" si="8"/>
        <v>39203.47370100933</v>
      </c>
    </row>
    <row r="86" spans="1:4" x14ac:dyDescent="0.2">
      <c r="A86" s="74">
        <f t="shared" si="5"/>
        <v>76</v>
      </c>
      <c r="B86" s="75">
        <f t="shared" si="6"/>
        <v>196.01736850504665</v>
      </c>
      <c r="C86" s="75">
        <f t="shared" si="7"/>
        <v>1775.1971630158341</v>
      </c>
      <c r="D86" s="75">
        <f t="shared" si="8"/>
        <v>37428.276537993494</v>
      </c>
    </row>
    <row r="87" spans="1:4" x14ac:dyDescent="0.2">
      <c r="A87" s="74">
        <f t="shared" si="5"/>
        <v>77</v>
      </c>
      <c r="B87" s="75">
        <f t="shared" si="6"/>
        <v>187.14138268996746</v>
      </c>
      <c r="C87" s="75">
        <f t="shared" si="7"/>
        <v>1784.0731488309132</v>
      </c>
      <c r="D87" s="75">
        <f t="shared" si="8"/>
        <v>35644.203389162583</v>
      </c>
    </row>
    <row r="88" spans="1:4" x14ac:dyDescent="0.2">
      <c r="A88" s="74">
        <f t="shared" si="5"/>
        <v>78</v>
      </c>
      <c r="B88" s="75">
        <f t="shared" si="6"/>
        <v>178.22101694581292</v>
      </c>
      <c r="C88" s="75">
        <f t="shared" si="7"/>
        <v>1792.9935145750678</v>
      </c>
      <c r="D88" s="75">
        <f t="shared" si="8"/>
        <v>33851.209874587512</v>
      </c>
    </row>
    <row r="89" spans="1:4" x14ac:dyDescent="0.2">
      <c r="A89" s="74">
        <f t="shared" si="5"/>
        <v>79</v>
      </c>
      <c r="B89" s="75">
        <f t="shared" si="6"/>
        <v>169.25604937293755</v>
      </c>
      <c r="C89" s="75">
        <f t="shared" si="7"/>
        <v>1801.9584821479432</v>
      </c>
      <c r="D89" s="75">
        <f t="shared" si="8"/>
        <v>32049.251392439568</v>
      </c>
    </row>
    <row r="90" spans="1:4" x14ac:dyDescent="0.2">
      <c r="A90" s="74">
        <f t="shared" si="5"/>
        <v>80</v>
      </c>
      <c r="B90" s="75">
        <f t="shared" si="6"/>
        <v>160.24625696219783</v>
      </c>
      <c r="C90" s="75">
        <f t="shared" si="7"/>
        <v>1810.9682745586829</v>
      </c>
      <c r="D90" s="75">
        <f t="shared" si="8"/>
        <v>30238.283117880885</v>
      </c>
    </row>
    <row r="91" spans="1:4" x14ac:dyDescent="0.2">
      <c r="A91" s="74">
        <f t="shared" si="5"/>
        <v>81</v>
      </c>
      <c r="B91" s="75">
        <f t="shared" si="6"/>
        <v>151.19141558940441</v>
      </c>
      <c r="C91" s="75">
        <f t="shared" si="7"/>
        <v>1820.0231159314762</v>
      </c>
      <c r="D91" s="75">
        <f t="shared" si="8"/>
        <v>28418.260001949409</v>
      </c>
    </row>
    <row r="92" spans="1:4" x14ac:dyDescent="0.2">
      <c r="A92" s="74">
        <f t="shared" si="5"/>
        <v>82</v>
      </c>
      <c r="B92" s="75">
        <f t="shared" si="6"/>
        <v>142.09130000974704</v>
      </c>
      <c r="C92" s="75">
        <f t="shared" si="7"/>
        <v>1829.1232315111336</v>
      </c>
      <c r="D92" s="75">
        <f t="shared" si="8"/>
        <v>26589.136770438276</v>
      </c>
    </row>
    <row r="93" spans="1:4" x14ac:dyDescent="0.2">
      <c r="A93" s="74">
        <f t="shared" si="5"/>
        <v>83</v>
      </c>
      <c r="B93" s="75">
        <f t="shared" si="6"/>
        <v>132.94568385219137</v>
      </c>
      <c r="C93" s="75">
        <f t="shared" si="7"/>
        <v>1838.2688476686892</v>
      </c>
      <c r="D93" s="75">
        <f t="shared" si="8"/>
        <v>24750.867922769587</v>
      </c>
    </row>
    <row r="94" spans="1:4" x14ac:dyDescent="0.2">
      <c r="A94" s="74">
        <f t="shared" si="5"/>
        <v>84</v>
      </c>
      <c r="B94" s="75">
        <f t="shared" si="6"/>
        <v>123.75433961384793</v>
      </c>
      <c r="C94" s="75">
        <f t="shared" si="7"/>
        <v>1847.4601919070328</v>
      </c>
      <c r="D94" s="75">
        <f t="shared" si="8"/>
        <v>22903.407730862553</v>
      </c>
    </row>
    <row r="95" spans="1:4" x14ac:dyDescent="0.2">
      <c r="A95" s="74">
        <f t="shared" si="5"/>
        <v>85</v>
      </c>
      <c r="B95" s="75">
        <f t="shared" si="6"/>
        <v>114.51703865431277</v>
      </c>
      <c r="C95" s="75">
        <f t="shared" si="7"/>
        <v>1856.6974928665679</v>
      </c>
      <c r="D95" s="75">
        <f t="shared" si="8"/>
        <v>21046.710237995983</v>
      </c>
    </row>
    <row r="96" spans="1:4" x14ac:dyDescent="0.2">
      <c r="A96" s="74">
        <f t="shared" si="5"/>
        <v>86</v>
      </c>
      <c r="B96" s="75">
        <f t="shared" si="6"/>
        <v>105.23355118997991</v>
      </c>
      <c r="C96" s="75">
        <f t="shared" si="7"/>
        <v>1865.9809803309008</v>
      </c>
      <c r="D96" s="75">
        <f t="shared" si="8"/>
        <v>19180.729257665083</v>
      </c>
    </row>
    <row r="97" spans="1:4" x14ac:dyDescent="0.2">
      <c r="A97" s="74">
        <f t="shared" si="5"/>
        <v>87</v>
      </c>
      <c r="B97" s="75">
        <f t="shared" si="6"/>
        <v>95.903646288325419</v>
      </c>
      <c r="C97" s="75">
        <f t="shared" si="7"/>
        <v>1875.3108852325552</v>
      </c>
      <c r="D97" s="75">
        <f t="shared" si="8"/>
        <v>17305.418372432527</v>
      </c>
    </row>
    <row r="98" spans="1:4" x14ac:dyDescent="0.2">
      <c r="A98" s="74">
        <f t="shared" si="5"/>
        <v>88</v>
      </c>
      <c r="B98" s="75">
        <f t="shared" si="6"/>
        <v>86.527091862162635</v>
      </c>
      <c r="C98" s="75">
        <f t="shared" si="7"/>
        <v>1884.6874396587179</v>
      </c>
      <c r="D98" s="75">
        <f t="shared" si="8"/>
        <v>15420.730932773809</v>
      </c>
    </row>
    <row r="99" spans="1:4" x14ac:dyDescent="0.2">
      <c r="A99" s="74">
        <f t="shared" si="5"/>
        <v>89</v>
      </c>
      <c r="B99" s="75">
        <f t="shared" si="6"/>
        <v>77.103654663869051</v>
      </c>
      <c r="C99" s="75">
        <f t="shared" si="7"/>
        <v>1894.1108768570116</v>
      </c>
      <c r="D99" s="75">
        <f t="shared" si="8"/>
        <v>13526.620055916797</v>
      </c>
    </row>
    <row r="100" spans="1:4" x14ac:dyDescent="0.2">
      <c r="A100" s="74">
        <f t="shared" si="5"/>
        <v>90</v>
      </c>
      <c r="B100" s="75">
        <f t="shared" si="6"/>
        <v>67.633100279583985</v>
      </c>
      <c r="C100" s="75">
        <f t="shared" si="7"/>
        <v>1903.5814312412967</v>
      </c>
      <c r="D100" s="75">
        <f t="shared" si="8"/>
        <v>11623.038624675501</v>
      </c>
    </row>
    <row r="101" spans="1:4" x14ac:dyDescent="0.2">
      <c r="A101" s="74">
        <f t="shared" si="5"/>
        <v>91</v>
      </c>
      <c r="B101" s="75">
        <f t="shared" si="6"/>
        <v>58.115193123377502</v>
      </c>
      <c r="C101" s="75">
        <f t="shared" si="7"/>
        <v>1913.0993383975031</v>
      </c>
      <c r="D101" s="75">
        <f t="shared" si="8"/>
        <v>9709.9392862779969</v>
      </c>
    </row>
    <row r="102" spans="1:4" x14ac:dyDescent="0.2">
      <c r="A102" s="74">
        <f t="shared" si="5"/>
        <v>92</v>
      </c>
      <c r="B102" s="75">
        <f t="shared" si="6"/>
        <v>48.549696431389982</v>
      </c>
      <c r="C102" s="75">
        <f t="shared" si="7"/>
        <v>1922.6648350894907</v>
      </c>
      <c r="D102" s="75">
        <f t="shared" si="8"/>
        <v>7787.2744511885066</v>
      </c>
    </row>
    <row r="103" spans="1:4" x14ac:dyDescent="0.2">
      <c r="A103" s="74">
        <f t="shared" si="5"/>
        <v>93</v>
      </c>
      <c r="B103" s="75">
        <f t="shared" si="6"/>
        <v>38.93637225594253</v>
      </c>
      <c r="C103" s="75">
        <f t="shared" si="7"/>
        <v>1932.278159264938</v>
      </c>
      <c r="D103" s="75">
        <f t="shared" si="8"/>
        <v>5854.9962919235686</v>
      </c>
    </row>
    <row r="104" spans="1:4" x14ac:dyDescent="0.2">
      <c r="A104" s="74">
        <f t="shared" si="5"/>
        <v>94</v>
      </c>
      <c r="B104" s="75">
        <f t="shared" si="6"/>
        <v>29.274981459617845</v>
      </c>
      <c r="C104" s="75">
        <f t="shared" si="7"/>
        <v>1941.9395500612627</v>
      </c>
      <c r="D104" s="75">
        <f t="shared" si="8"/>
        <v>3913.0567418623059</v>
      </c>
    </row>
    <row r="105" spans="1:4" x14ac:dyDescent="0.2">
      <c r="A105" s="74">
        <f t="shared" si="5"/>
        <v>95</v>
      </c>
      <c r="B105" s="75">
        <f t="shared" si="6"/>
        <v>19.565283709311529</v>
      </c>
      <c r="C105" s="75">
        <f t="shared" si="7"/>
        <v>1951.6492478115692</v>
      </c>
      <c r="D105" s="75">
        <f t="shared" si="8"/>
        <v>1961.4074940507367</v>
      </c>
    </row>
    <row r="106" spans="1:4" x14ac:dyDescent="0.2">
      <c r="A106" s="74">
        <f t="shared" si="5"/>
        <v>96</v>
      </c>
      <c r="B106" s="75">
        <f t="shared" si="6"/>
        <v>9.8070374702536824</v>
      </c>
      <c r="C106" s="75">
        <f t="shared" si="7"/>
        <v>1961.4074940506271</v>
      </c>
      <c r="D106" s="75">
        <f t="shared" si="8"/>
        <v>1.0959411156363785E-10</v>
      </c>
    </row>
    <row r="107" spans="1:4" x14ac:dyDescent="0.2">
      <c r="A107" s="74">
        <f t="shared" si="5"/>
        <v>0</v>
      </c>
      <c r="B107" s="75">
        <f t="shared" si="6"/>
        <v>0</v>
      </c>
      <c r="C107" s="75">
        <f t="shared" si="7"/>
        <v>0</v>
      </c>
      <c r="D107" s="75">
        <f t="shared" si="8"/>
        <v>0</v>
      </c>
    </row>
    <row r="108" spans="1:4" x14ac:dyDescent="0.2">
      <c r="A108" s="74">
        <f t="shared" si="5"/>
        <v>0</v>
      </c>
      <c r="B108" s="75">
        <f t="shared" si="6"/>
        <v>0</v>
      </c>
      <c r="C108" s="75">
        <f t="shared" si="7"/>
        <v>0</v>
      </c>
      <c r="D108" s="75">
        <f t="shared" si="8"/>
        <v>0</v>
      </c>
    </row>
    <row r="109" spans="1:4" x14ac:dyDescent="0.2">
      <c r="A109" s="74">
        <f t="shared" si="5"/>
        <v>0</v>
      </c>
      <c r="B109" s="75">
        <f t="shared" si="6"/>
        <v>0</v>
      </c>
      <c r="C109" s="75">
        <f t="shared" si="7"/>
        <v>0</v>
      </c>
      <c r="D109" s="75">
        <f t="shared" si="8"/>
        <v>0</v>
      </c>
    </row>
    <row r="110" spans="1:4" x14ac:dyDescent="0.2">
      <c r="A110" s="74">
        <f t="shared" si="5"/>
        <v>0</v>
      </c>
      <c r="B110" s="75">
        <f t="shared" si="6"/>
        <v>0</v>
      </c>
      <c r="C110" s="75">
        <f t="shared" si="7"/>
        <v>0</v>
      </c>
      <c r="D110" s="75">
        <f t="shared" si="8"/>
        <v>0</v>
      </c>
    </row>
    <row r="111" spans="1:4" x14ac:dyDescent="0.2">
      <c r="A111" s="74">
        <f t="shared" si="5"/>
        <v>0</v>
      </c>
      <c r="B111" s="75">
        <f t="shared" si="6"/>
        <v>0</v>
      </c>
      <c r="C111" s="75">
        <f t="shared" si="7"/>
        <v>0</v>
      </c>
      <c r="D111" s="75">
        <f t="shared" si="8"/>
        <v>0</v>
      </c>
    </row>
    <row r="112" spans="1:4" x14ac:dyDescent="0.2">
      <c r="A112" s="74">
        <f t="shared" si="5"/>
        <v>0</v>
      </c>
      <c r="B112" s="75">
        <f t="shared" si="6"/>
        <v>0</v>
      </c>
      <c r="C112" s="75">
        <f t="shared" si="7"/>
        <v>0</v>
      </c>
      <c r="D112" s="75">
        <f t="shared" si="8"/>
        <v>0</v>
      </c>
    </row>
    <row r="113" spans="1:4" x14ac:dyDescent="0.2">
      <c r="A113" s="74">
        <f t="shared" si="5"/>
        <v>0</v>
      </c>
      <c r="B113" s="75">
        <f t="shared" si="6"/>
        <v>0</v>
      </c>
      <c r="C113" s="75">
        <f t="shared" si="7"/>
        <v>0</v>
      </c>
      <c r="D113" s="75">
        <f t="shared" si="8"/>
        <v>0</v>
      </c>
    </row>
    <row r="114" spans="1:4" x14ac:dyDescent="0.2">
      <c r="A114" s="74">
        <f t="shared" si="5"/>
        <v>0</v>
      </c>
      <c r="B114" s="75">
        <f t="shared" si="6"/>
        <v>0</v>
      </c>
      <c r="C114" s="75">
        <f t="shared" si="7"/>
        <v>0</v>
      </c>
      <c r="D114" s="75">
        <f t="shared" si="8"/>
        <v>0</v>
      </c>
    </row>
    <row r="115" spans="1:4" x14ac:dyDescent="0.2">
      <c r="A115" s="74">
        <f t="shared" si="5"/>
        <v>0</v>
      </c>
      <c r="B115" s="75">
        <f t="shared" si="6"/>
        <v>0</v>
      </c>
      <c r="C115" s="75">
        <f t="shared" si="7"/>
        <v>0</v>
      </c>
      <c r="D115" s="75">
        <f t="shared" si="8"/>
        <v>0</v>
      </c>
    </row>
    <row r="116" spans="1:4" x14ac:dyDescent="0.2">
      <c r="A116" s="74">
        <f t="shared" si="5"/>
        <v>0</v>
      </c>
      <c r="B116" s="75">
        <f t="shared" si="6"/>
        <v>0</v>
      </c>
      <c r="C116" s="75">
        <f t="shared" si="7"/>
        <v>0</v>
      </c>
      <c r="D116" s="75">
        <f t="shared" si="8"/>
        <v>0</v>
      </c>
    </row>
    <row r="117" spans="1:4" x14ac:dyDescent="0.2">
      <c r="A117" s="74">
        <f t="shared" si="5"/>
        <v>0</v>
      </c>
      <c r="B117" s="75">
        <f t="shared" si="6"/>
        <v>0</v>
      </c>
      <c r="C117" s="75">
        <f t="shared" si="7"/>
        <v>0</v>
      </c>
      <c r="D117" s="75">
        <f t="shared" si="8"/>
        <v>0</v>
      </c>
    </row>
    <row r="118" spans="1:4" x14ac:dyDescent="0.2">
      <c r="A118" s="74">
        <f t="shared" si="5"/>
        <v>0</v>
      </c>
      <c r="B118" s="75">
        <f t="shared" si="6"/>
        <v>0</v>
      </c>
      <c r="C118" s="75">
        <f t="shared" si="7"/>
        <v>0</v>
      </c>
      <c r="D118" s="75">
        <f t="shared" si="8"/>
        <v>0</v>
      </c>
    </row>
    <row r="119" spans="1:4" x14ac:dyDescent="0.2">
      <c r="A119" s="74">
        <f t="shared" si="5"/>
        <v>0</v>
      </c>
      <c r="B119" s="75">
        <f t="shared" si="6"/>
        <v>0</v>
      </c>
      <c r="C119" s="75">
        <f t="shared" si="7"/>
        <v>0</v>
      </c>
      <c r="D119" s="75">
        <f t="shared" si="8"/>
        <v>0</v>
      </c>
    </row>
    <row r="120" spans="1:4" x14ac:dyDescent="0.2">
      <c r="A120" s="74">
        <f t="shared" si="5"/>
        <v>0</v>
      </c>
      <c r="B120" s="75">
        <f t="shared" si="6"/>
        <v>0</v>
      </c>
      <c r="C120" s="75">
        <f t="shared" si="7"/>
        <v>0</v>
      </c>
      <c r="D120" s="75">
        <f t="shared" si="8"/>
        <v>0</v>
      </c>
    </row>
    <row r="121" spans="1:4" x14ac:dyDescent="0.2">
      <c r="A121" s="74">
        <f t="shared" si="5"/>
        <v>0</v>
      </c>
      <c r="B121" s="75">
        <f t="shared" si="6"/>
        <v>0</v>
      </c>
      <c r="C121" s="75">
        <f t="shared" si="7"/>
        <v>0</v>
      </c>
      <c r="D121" s="75">
        <f t="shared" si="8"/>
        <v>0</v>
      </c>
    </row>
    <row r="122" spans="1:4" x14ac:dyDescent="0.2">
      <c r="A122" s="74">
        <f t="shared" si="5"/>
        <v>0</v>
      </c>
      <c r="B122" s="75">
        <f t="shared" si="6"/>
        <v>0</v>
      </c>
      <c r="C122" s="75">
        <f t="shared" si="7"/>
        <v>0</v>
      </c>
      <c r="D122" s="75">
        <f t="shared" si="8"/>
        <v>0</v>
      </c>
    </row>
    <row r="123" spans="1:4" x14ac:dyDescent="0.2">
      <c r="A123" s="74">
        <f t="shared" si="5"/>
        <v>0</v>
      </c>
      <c r="B123" s="75">
        <f t="shared" si="6"/>
        <v>0</v>
      </c>
      <c r="C123" s="75">
        <f t="shared" si="7"/>
        <v>0</v>
      </c>
      <c r="D123" s="75">
        <f t="shared" si="8"/>
        <v>0</v>
      </c>
    </row>
    <row r="124" spans="1:4" x14ac:dyDescent="0.2">
      <c r="A124" s="74">
        <f t="shared" si="5"/>
        <v>0</v>
      </c>
      <c r="B124" s="75">
        <f t="shared" si="6"/>
        <v>0</v>
      </c>
      <c r="C124" s="75">
        <f t="shared" si="7"/>
        <v>0</v>
      </c>
      <c r="D124" s="75">
        <f t="shared" si="8"/>
        <v>0</v>
      </c>
    </row>
    <row r="125" spans="1:4" x14ac:dyDescent="0.2">
      <c r="A125" s="74">
        <f t="shared" si="5"/>
        <v>0</v>
      </c>
      <c r="B125" s="75">
        <f t="shared" si="6"/>
        <v>0</v>
      </c>
      <c r="C125" s="75">
        <f t="shared" si="7"/>
        <v>0</v>
      </c>
      <c r="D125" s="75">
        <f t="shared" si="8"/>
        <v>0</v>
      </c>
    </row>
    <row r="126" spans="1:4" x14ac:dyDescent="0.2">
      <c r="A126" s="74">
        <f t="shared" si="5"/>
        <v>0</v>
      </c>
      <c r="B126" s="75">
        <f t="shared" si="6"/>
        <v>0</v>
      </c>
      <c r="C126" s="75">
        <f t="shared" si="7"/>
        <v>0</v>
      </c>
      <c r="D126" s="75">
        <f t="shared" si="8"/>
        <v>0</v>
      </c>
    </row>
    <row r="127" spans="1:4" x14ac:dyDescent="0.2">
      <c r="A127" s="74">
        <f t="shared" si="5"/>
        <v>0</v>
      </c>
      <c r="B127" s="75">
        <f t="shared" si="6"/>
        <v>0</v>
      </c>
      <c r="C127" s="75">
        <f t="shared" si="7"/>
        <v>0</v>
      </c>
      <c r="D127" s="75">
        <f t="shared" si="8"/>
        <v>0</v>
      </c>
    </row>
    <row r="128" spans="1:4" x14ac:dyDescent="0.2">
      <c r="A128" s="74">
        <f t="shared" si="5"/>
        <v>0</v>
      </c>
      <c r="B128" s="75">
        <f t="shared" si="6"/>
        <v>0</v>
      </c>
      <c r="C128" s="75">
        <f t="shared" si="7"/>
        <v>0</v>
      </c>
      <c r="D128" s="75">
        <f t="shared" si="8"/>
        <v>0</v>
      </c>
    </row>
    <row r="129" spans="1:4" x14ac:dyDescent="0.2">
      <c r="A129" s="74">
        <f t="shared" si="5"/>
        <v>0</v>
      </c>
      <c r="B129" s="75">
        <f t="shared" si="6"/>
        <v>0</v>
      </c>
      <c r="C129" s="75">
        <f t="shared" si="7"/>
        <v>0</v>
      </c>
      <c r="D129" s="75">
        <f t="shared" si="8"/>
        <v>0</v>
      </c>
    </row>
    <row r="130" spans="1:4" x14ac:dyDescent="0.2">
      <c r="A130" s="74">
        <f t="shared" si="5"/>
        <v>0</v>
      </c>
      <c r="B130" s="75">
        <f t="shared" si="6"/>
        <v>0</v>
      </c>
      <c r="C130" s="75">
        <f t="shared" si="7"/>
        <v>0</v>
      </c>
      <c r="D130" s="75">
        <f t="shared" si="8"/>
        <v>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ac6e9a-87b1-4d42-8e4b-874341318658">
      <Terms xmlns="http://schemas.microsoft.com/office/infopath/2007/PartnerControls"/>
    </lcf76f155ced4ddcb4097134ff3c332f>
    <TaxCatchAll xmlns="94403252-ad3d-48b3-8d14-394b12702ae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57703E81A8C4F4F84C4D3E91E8B5630" ma:contentTypeVersion="20" ma:contentTypeDescription="Opret et nyt dokument." ma:contentTypeScope="" ma:versionID="22358ece56b26247a36be34b619d3e05">
  <xsd:schema xmlns:xsd="http://www.w3.org/2001/XMLSchema" xmlns:xs="http://www.w3.org/2001/XMLSchema" xmlns:p="http://schemas.microsoft.com/office/2006/metadata/properties" xmlns:ns2="16ac6e9a-87b1-4d42-8e4b-874341318658" xmlns:ns3="94403252-ad3d-48b3-8d14-394b12702aee" targetNamespace="http://schemas.microsoft.com/office/2006/metadata/properties" ma:root="true" ma:fieldsID="3dc62b1a53c011a4034baa3eacfede45" ns2:_="" ns3:_="">
    <xsd:import namespace="16ac6e9a-87b1-4d42-8e4b-874341318658"/>
    <xsd:import namespace="94403252-ad3d-48b3-8d14-394b12702a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c6e9a-87b1-4d42-8e4b-874341318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9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illedmærker" ma:readOnly="false" ma:fieldId="{5cf76f15-5ced-4ddc-b409-7134ff3c332f}" ma:taxonomyMulti="true" ma:sspId="3273e385-a8b0-4d51-8803-6e97695c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403252-ad3d-48b3-8d14-394b12702aee" elementFormDefault="qualified">
    <xsd:import namespace="http://schemas.microsoft.com/office/2006/documentManagement/types"/>
    <xsd:import namespace="http://schemas.microsoft.com/office/infopath/2007/PartnerControls"/>
    <xsd:element name="SharedWithUsers" ma:index="7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8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d25629c-bc10-454f-b0c3-96032a508a10}" ma:internalName="TaxCatchAll" ma:showField="CatchAllData" ma:web="94403252-ad3d-48b3-8d14-394b12702a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4D8D1D68-1129-40A4-A370-2B15FADED9BC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94403252-ad3d-48b3-8d14-394b12702aee"/>
    <ds:schemaRef ds:uri="16ac6e9a-87b1-4d42-8e4b-874341318658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476EC0C-D8C4-4616-B152-DED5D46723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ac6e9a-87b1-4d42-8e4b-874341318658"/>
    <ds:schemaRef ds:uri="94403252-ad3d-48b3-8d14-394b12702a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4A8396-2F97-4F2A-84DA-D22533C9BE4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b29427a-4ed3-4f0e-a3ff-ced1342f64ac}" enabled="0" method="" siteId="{1b29427a-4ed3-4f0e-a3ff-ced1342f64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Navngivne områder</vt:lpstr>
      </vt:variant>
      <vt:variant>
        <vt:i4>58</vt:i4>
      </vt:variant>
    </vt:vector>
  </HeadingPairs>
  <TitlesOfParts>
    <vt:vector size="62" baseType="lpstr">
      <vt:lpstr>Budget</vt:lpstr>
      <vt:lpstr>Skatteberegning</vt:lpstr>
      <vt:lpstr>Realkredit</vt:lpstr>
      <vt:lpstr>Billån</vt:lpstr>
      <vt:lpstr>Gift</vt:lpstr>
      <vt:lpstr>Skatteberegning!TABLE</vt:lpstr>
      <vt:lpstr>Skatteberegning!TABLE_10</vt:lpstr>
      <vt:lpstr>Skatteberegning!TABLE_11</vt:lpstr>
      <vt:lpstr>Skatteberegning!TABLE_13</vt:lpstr>
      <vt:lpstr>Skatteberegning!TABLE_14</vt:lpstr>
      <vt:lpstr>Skatteberegning!TABLE_16</vt:lpstr>
      <vt:lpstr>Skatteberegning!TABLE_17</vt:lpstr>
      <vt:lpstr>Skatteberegning!TABLE_18</vt:lpstr>
      <vt:lpstr>Skatteberegning!TABLE_19</vt:lpstr>
      <vt:lpstr>Skatteberegning!TABLE_2</vt:lpstr>
      <vt:lpstr>Skatteberegning!TABLE_20</vt:lpstr>
      <vt:lpstr>Skatteberegning!TABLE_21</vt:lpstr>
      <vt:lpstr>Skatteberegning!TABLE_22</vt:lpstr>
      <vt:lpstr>Skatteberegning!TABLE_23</vt:lpstr>
      <vt:lpstr>Skatteberegning!TABLE_24</vt:lpstr>
      <vt:lpstr>Skatteberegning!TABLE_25</vt:lpstr>
      <vt:lpstr>Skatteberegning!TABLE_26</vt:lpstr>
      <vt:lpstr>Skatteberegning!TABLE_27</vt:lpstr>
      <vt:lpstr>Skatteberegning!TABLE_28</vt:lpstr>
      <vt:lpstr>Skatteberegning!TABLE_29</vt:lpstr>
      <vt:lpstr>Skatteberegning!TABLE_3</vt:lpstr>
      <vt:lpstr>Skatteberegning!TABLE_30</vt:lpstr>
      <vt:lpstr>Skatteberegning!TABLE_31</vt:lpstr>
      <vt:lpstr>Skatteberegning!TABLE_32</vt:lpstr>
      <vt:lpstr>Skatteberegning!TABLE_33</vt:lpstr>
      <vt:lpstr>Skatteberegning!TABLE_34</vt:lpstr>
      <vt:lpstr>Skatteberegning!TABLE_35</vt:lpstr>
      <vt:lpstr>Skatteberegning!TABLE_36</vt:lpstr>
      <vt:lpstr>Skatteberegning!TABLE_37</vt:lpstr>
      <vt:lpstr>Skatteberegning!TABLE_38</vt:lpstr>
      <vt:lpstr>Skatteberegning!TABLE_39</vt:lpstr>
      <vt:lpstr>Skatteberegning!TABLE_4</vt:lpstr>
      <vt:lpstr>Skatteberegning!TABLE_40</vt:lpstr>
      <vt:lpstr>Skatteberegning!TABLE_41</vt:lpstr>
      <vt:lpstr>Skatteberegning!TABLE_42</vt:lpstr>
      <vt:lpstr>Skatteberegning!TABLE_45</vt:lpstr>
      <vt:lpstr>Skatteberegning!TABLE_46</vt:lpstr>
      <vt:lpstr>Skatteberegning!TABLE_47</vt:lpstr>
      <vt:lpstr>Skatteberegning!TABLE_48</vt:lpstr>
      <vt:lpstr>Skatteberegning!TABLE_49</vt:lpstr>
      <vt:lpstr>Skatteberegning!TABLE_5</vt:lpstr>
      <vt:lpstr>Skatteberegning!TABLE_50</vt:lpstr>
      <vt:lpstr>Skatteberegning!TABLE_51</vt:lpstr>
      <vt:lpstr>Skatteberegning!TABLE_52</vt:lpstr>
      <vt:lpstr>Skatteberegning!TABLE_56</vt:lpstr>
      <vt:lpstr>Skatteberegning!TABLE_57</vt:lpstr>
      <vt:lpstr>Skatteberegning!TABLE_58</vt:lpstr>
      <vt:lpstr>Skatteberegning!TABLE_59</vt:lpstr>
      <vt:lpstr>Skatteberegning!TABLE_6</vt:lpstr>
      <vt:lpstr>Skatteberegning!TABLE_60</vt:lpstr>
      <vt:lpstr>Skatteberegning!TABLE_61</vt:lpstr>
      <vt:lpstr>Skatteberegning!TABLE_62</vt:lpstr>
      <vt:lpstr>Skatteberegning!TABLE_63</vt:lpstr>
      <vt:lpstr>Skatteberegning!TABLE_7</vt:lpstr>
      <vt:lpstr>Skatteberegning!TABLE_8</vt:lpstr>
      <vt:lpstr>Skatteberegning!TABLE_9</vt:lpstr>
      <vt:lpstr>Skatteberegning!Udskriftsområde</vt:lpstr>
    </vt:vector>
  </TitlesOfParts>
  <Manager/>
  <Company>Spies Information ApS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TAX.DK skat &amp; afgift - Skatteberegning 2019</dc:title>
  <dc:subject/>
  <dc:creator>Hans Christian Spies</dc:creator>
  <cp:keywords/>
  <dc:description/>
  <cp:lastModifiedBy>Søren Møller Jensen (SMJ - Lektor - Cphbusiness)</cp:lastModifiedBy>
  <cp:revision/>
  <dcterms:created xsi:type="dcterms:W3CDTF">2010-09-19T07:25:55Z</dcterms:created>
  <dcterms:modified xsi:type="dcterms:W3CDTF">2024-05-23T12:42:19Z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0x010100E57703E81A8C4F4F84C4D3E91E8B5630</vt:lpwstr>
  </property>
  <property fmtid="{D5CDD505-2E9C-101B-9397-08002B2CF9AE}" pid="3" name="MediaServiceImageTags">
    <vt:lpwstr/>
  </property>
</Properties>
</file>