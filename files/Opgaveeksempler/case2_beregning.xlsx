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fif.sharepoint.com/sites/CPH-ARKADERNE/Delte dokumenter/Uddannelserne/Finansiel/FIN/2024 forår/Planlægning/Eksamen/Cases til 2024/Nr. 2 - Skilsmisse/Beregninger/"/>
    </mc:Choice>
  </mc:AlternateContent>
  <xr:revisionPtr revIDLastSave="168" documentId="8_{1EC90341-11BC-4E46-A929-BCB941DEDF56}" xr6:coauthVersionLast="47" xr6:coauthVersionMax="47" xr10:uidLastSave="{3B3399C7-D070-4BEB-A4F1-30A3EA0EC34B}"/>
  <bookViews>
    <workbookView xWindow="-110" yWindow="-110" windowWidth="19420" windowHeight="10420" xr2:uid="{00000000-000D-0000-FFFF-FFFF00000000}"/>
  </bookViews>
  <sheets>
    <sheet name="Budget før skilsmisse" sheetId="2" r:id="rId1"/>
    <sheet name="Skatteberegning" sheetId="1" r:id="rId2"/>
    <sheet name="Realkredit" sheetId="4" r:id="rId3"/>
    <sheet name="Billån" sheetId="3" r:id="rId4"/>
  </sheets>
  <definedNames>
    <definedName name="Gift">Skatteberegning!$G$8</definedName>
    <definedName name="Skatteordning">#REF!</definedName>
    <definedName name="TABLE" localSheetId="1">Skatteberegning!$C$2:$C$2</definedName>
    <definedName name="TABLE_10" localSheetId="1">Skatteberegning!$C$35:$C$35</definedName>
    <definedName name="TABLE_11" localSheetId="1">Skatteberegning!$C$36:$C$36</definedName>
    <definedName name="TABLE_12" localSheetId="1">Skatteberegning!#REF!</definedName>
    <definedName name="TABLE_13" localSheetId="1">Skatteberegning!$C$38:$C$38</definedName>
    <definedName name="TABLE_14" localSheetId="1">Skatteberegning!$C$40:$C$40</definedName>
    <definedName name="TABLE_15" localSheetId="1">Skatteberegning!#REF!</definedName>
    <definedName name="TABLE_16" localSheetId="1">Skatteberegning!$C$41:$C$41</definedName>
    <definedName name="TABLE_17" localSheetId="1">Skatteberegning!$C$42:$C$42</definedName>
    <definedName name="TABLE_18" localSheetId="1">Skatteberegning!$C$43:$C$43</definedName>
    <definedName name="TABLE_19" localSheetId="1">Skatteberegning!$C$44:$C$44</definedName>
    <definedName name="TABLE_2" localSheetId="1">Skatteberegning!$C$8:$C$8</definedName>
    <definedName name="TABLE_20" localSheetId="1">Skatteberegning!$C$47:$C$47</definedName>
    <definedName name="TABLE_21" localSheetId="1">Skatteberegning!$C$48:$C$48</definedName>
    <definedName name="TABLE_22" localSheetId="1">Skatteberegning!$C$49:$C$49</definedName>
    <definedName name="TABLE_23" localSheetId="1">Skatteberegning!$C$50:$C$50</definedName>
    <definedName name="TABLE_24" localSheetId="1">Skatteberegning!$C$51:$C$51</definedName>
    <definedName name="TABLE_25" localSheetId="1">Skatteberegning!$C$52:$C$52</definedName>
    <definedName name="TABLE_26" localSheetId="1">Skatteberegning!$C$53:$C$53</definedName>
    <definedName name="TABLE_27" localSheetId="1">Skatteberegning!$C$54:$C$54</definedName>
    <definedName name="TABLE_28" localSheetId="1">Skatteberegning!$C$57:$C$57</definedName>
    <definedName name="TABLE_29" localSheetId="1">Skatteberegning!$C$58:$C$58</definedName>
    <definedName name="TABLE_3" localSheetId="1">Skatteberegning!$C$9:$C$9</definedName>
    <definedName name="TABLE_30" localSheetId="1">Skatteberegning!$C$60:$C$60</definedName>
    <definedName name="TABLE_31" localSheetId="1">Skatteberegning!$C$61:$C$61</definedName>
    <definedName name="TABLE_32" localSheetId="1">Skatteberegning!$C$62:$C$62</definedName>
    <definedName name="TABLE_33" localSheetId="1">Skatteberegning!$C$63:$C$63</definedName>
    <definedName name="TABLE_34" localSheetId="1">Skatteberegning!$C$67:$C$67</definedName>
    <definedName name="TABLE_35" localSheetId="1">Skatteberegning!$C$68:$C$68</definedName>
    <definedName name="TABLE_36" localSheetId="1">Skatteberegning!$C$69:$C$69</definedName>
    <definedName name="TABLE_37" localSheetId="1">Skatteberegning!$C$70:$C$70</definedName>
    <definedName name="TABLE_38" localSheetId="1">Skatteberegning!$C$73:$C$73</definedName>
    <definedName name="TABLE_39" localSheetId="1">Skatteberegning!$C$74:$C$74</definedName>
    <definedName name="TABLE_4" localSheetId="1">Skatteberegning!$C$11:$C$11</definedName>
    <definedName name="TABLE_40" localSheetId="1">Skatteberegning!$C$76:$C$76</definedName>
    <definedName name="TABLE_41" localSheetId="1">Skatteberegning!$C$77:$C$77</definedName>
    <definedName name="TABLE_42" localSheetId="1">Skatteberegning!$C$81:$C$81</definedName>
    <definedName name="TABLE_43" localSheetId="1">Skatteberegning!#REF!</definedName>
    <definedName name="TABLE_44" localSheetId="1">Skatteberegning!#REF!</definedName>
    <definedName name="TABLE_45" localSheetId="1">Skatteberegning!$C$82:$C$82</definedName>
    <definedName name="TABLE_46" localSheetId="1">Skatteberegning!$C$83:$C$83</definedName>
    <definedName name="TABLE_47" localSheetId="1">Skatteberegning!$C$85:$C$85</definedName>
    <definedName name="TABLE_48" localSheetId="1">Skatteberegning!$C$86:$C$86</definedName>
    <definedName name="TABLE_49" localSheetId="1">Skatteberegning!$C$87:$C$87</definedName>
    <definedName name="TABLE_5" localSheetId="1">Skatteberegning!$C$13:$C$13</definedName>
    <definedName name="TABLE_50" localSheetId="1">Skatteberegning!$C$88:$C$88</definedName>
    <definedName name="TABLE_51" localSheetId="1">Skatteberegning!$C$89:$C$89</definedName>
    <definedName name="TABLE_52" localSheetId="1">Skatteberegning!$C$90:$C$90</definedName>
    <definedName name="TABLE_53" localSheetId="1">Skatteberegning!#REF!</definedName>
    <definedName name="TABLE_54" localSheetId="1">Skatteberegning!#REF!</definedName>
    <definedName name="TABLE_55" localSheetId="1">Skatteberegning!#REF!</definedName>
    <definedName name="TABLE_56" localSheetId="1">Skatteberegning!$C$102:$C$102</definedName>
    <definedName name="TABLE_57" localSheetId="1">Skatteberegning!$C$103:$C$103</definedName>
    <definedName name="TABLE_58" localSheetId="1">Skatteberegning!$C$109:$C$109</definedName>
    <definedName name="TABLE_59" localSheetId="1">Skatteberegning!$C$110:$C$110</definedName>
    <definedName name="TABLE_6" localSheetId="1">Skatteberegning!$C$18:$C$18</definedName>
    <definedName name="TABLE_60" localSheetId="1">Skatteberegning!$C$112:$C$112</definedName>
    <definedName name="TABLE_61" localSheetId="1">Skatteberegning!$C$122:$C$122</definedName>
    <definedName name="TABLE_62" localSheetId="1">Skatteberegning!$C$20:$C$20</definedName>
    <definedName name="TABLE_63" localSheetId="1">Skatteberegning!$C$26:$C$26</definedName>
    <definedName name="TABLE_7" localSheetId="1">Skatteberegning!$C$22:$C$22</definedName>
    <definedName name="TABLE_8" localSheetId="1">Skatteberegning!$C$31:$C$31</definedName>
    <definedName name="TABLE_9" localSheetId="1">Skatteberegning!$C$32:$C$32</definedName>
    <definedName name="_xlnm.Print_Area" localSheetId="1">Skatteberegning!$A$1:$F$147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B2" i="2"/>
  <c r="E32" i="1"/>
  <c r="B14" i="2"/>
  <c r="F18" i="4"/>
  <c r="B32" i="4"/>
  <c r="A32" i="4"/>
  <c r="A33" i="4" s="1"/>
  <c r="B28" i="4"/>
  <c r="D19" i="4"/>
  <c r="F13" i="4"/>
  <c r="F14" i="4" s="1"/>
  <c r="F12" i="4"/>
  <c r="F11" i="4"/>
  <c r="B31" i="4" s="1"/>
  <c r="F5" i="4"/>
  <c r="H30" i="4" s="1"/>
  <c r="F15" i="4" l="1"/>
  <c r="F16" i="4"/>
  <c r="L30" i="4"/>
  <c r="C31" i="4"/>
  <c r="F31" i="4" s="1"/>
  <c r="B33" i="4"/>
  <c r="A34" i="4"/>
  <c r="D31" i="4" l="1"/>
  <c r="I31" i="4" s="1"/>
  <c r="B34" i="4"/>
  <c r="A35" i="4"/>
  <c r="J31" i="4"/>
  <c r="E31" i="4" l="1"/>
  <c r="M31" i="4" s="1"/>
  <c r="C32" i="4" s="1"/>
  <c r="D32" i="4" s="1"/>
  <c r="E32" i="4" s="1"/>
  <c r="M32" i="4" s="1"/>
  <c r="C33" i="4" s="1"/>
  <c r="B35" i="4"/>
  <c r="A36" i="4"/>
  <c r="F32" i="4" l="1"/>
  <c r="I32" i="4"/>
  <c r="K32" i="4" s="1"/>
  <c r="J32" i="4"/>
  <c r="G31" i="4"/>
  <c r="H31" i="4" s="1"/>
  <c r="K31" i="4"/>
  <c r="L31" i="4" s="1"/>
  <c r="B36" i="4"/>
  <c r="A37" i="4"/>
  <c r="G32" i="4"/>
  <c r="D33" i="4"/>
  <c r="F33" i="4"/>
  <c r="J33" i="4"/>
  <c r="I33" i="4"/>
  <c r="L32" i="4" l="1"/>
  <c r="H32" i="4"/>
  <c r="E33" i="4"/>
  <c r="M33" i="4" s="1"/>
  <c r="C34" i="4" s="1"/>
  <c r="A38" i="4"/>
  <c r="B37" i="4"/>
  <c r="D34" i="4" l="1"/>
  <c r="K33" i="4"/>
  <c r="L33" i="4" s="1"/>
  <c r="J34" i="4"/>
  <c r="F34" i="4"/>
  <c r="G33" i="4"/>
  <c r="H33" i="4" s="1"/>
  <c r="I34" i="4"/>
  <c r="B38" i="4"/>
  <c r="A39" i="4"/>
  <c r="E34" i="4" l="1"/>
  <c r="M34" i="4" s="1"/>
  <c r="C35" i="4" s="1"/>
  <c r="A40" i="4"/>
  <c r="B39" i="4"/>
  <c r="F35" i="4" l="1"/>
  <c r="D35" i="4"/>
  <c r="J35" i="4"/>
  <c r="I35" i="4"/>
  <c r="G34" i="4"/>
  <c r="H34" i="4" s="1"/>
  <c r="K34" i="4"/>
  <c r="L34" i="4" s="1"/>
  <c r="A41" i="4"/>
  <c r="B40" i="4"/>
  <c r="E35" i="4" l="1"/>
  <c r="M35" i="4" s="1"/>
  <c r="C36" i="4" s="1"/>
  <c r="B41" i="4"/>
  <c r="A42" i="4"/>
  <c r="K35" i="4" l="1"/>
  <c r="L35" i="4" s="1"/>
  <c r="F36" i="4"/>
  <c r="J36" i="4"/>
  <c r="D36" i="4"/>
  <c r="I36" i="4"/>
  <c r="G35" i="4"/>
  <c r="H35" i="4" s="1"/>
  <c r="A43" i="4"/>
  <c r="B42" i="4"/>
  <c r="E36" i="4" l="1"/>
  <c r="B43" i="4"/>
  <c r="A44" i="4"/>
  <c r="K36" i="4" l="1"/>
  <c r="L36" i="4" s="1"/>
  <c r="M36" i="4"/>
  <c r="C37" i="4" s="1"/>
  <c r="G36" i="4"/>
  <c r="H36" i="4" s="1"/>
  <c r="B44" i="4"/>
  <c r="A45" i="4"/>
  <c r="D37" i="4" l="1"/>
  <c r="I37" i="4"/>
  <c r="F37" i="4"/>
  <c r="J37" i="4"/>
  <c r="B45" i="4"/>
  <c r="A46" i="4"/>
  <c r="E37" i="4" l="1"/>
  <c r="M37" i="4" s="1"/>
  <c r="C38" i="4" s="1"/>
  <c r="B46" i="4"/>
  <c r="A47" i="4"/>
  <c r="J38" i="4" l="1"/>
  <c r="F38" i="4"/>
  <c r="I38" i="4"/>
  <c r="D38" i="4"/>
  <c r="G37" i="4"/>
  <c r="H37" i="4" s="1"/>
  <c r="K37" i="4"/>
  <c r="L37" i="4" s="1"/>
  <c r="A48" i="4"/>
  <c r="B47" i="4"/>
  <c r="E44" i="1" l="1"/>
  <c r="F44" i="1"/>
  <c r="E38" i="4"/>
  <c r="M38" i="4" s="1"/>
  <c r="C39" i="4" s="1"/>
  <c r="A49" i="4"/>
  <c r="B48" i="4"/>
  <c r="D39" i="4" l="1"/>
  <c r="F39" i="4"/>
  <c r="J39" i="4"/>
  <c r="I39" i="4"/>
  <c r="G38" i="4"/>
  <c r="H38" i="4" s="1"/>
  <c r="B8" i="2" s="1"/>
  <c r="K38" i="4"/>
  <c r="L38" i="4" s="1"/>
  <c r="A50" i="4"/>
  <c r="B49" i="4"/>
  <c r="E39" i="4" l="1"/>
  <c r="M39" i="4" s="1"/>
  <c r="C40" i="4" s="1"/>
  <c r="A51" i="4"/>
  <c r="B50" i="4"/>
  <c r="G39" i="4" l="1"/>
  <c r="H39" i="4" s="1"/>
  <c r="D40" i="4"/>
  <c r="I40" i="4"/>
  <c r="F40" i="4"/>
  <c r="J40" i="4"/>
  <c r="K39" i="4"/>
  <c r="L39" i="4" s="1"/>
  <c r="B51" i="4"/>
  <c r="A52" i="4"/>
  <c r="E40" i="4" l="1"/>
  <c r="M40" i="4" s="1"/>
  <c r="C41" i="4" s="1"/>
  <c r="A53" i="4"/>
  <c r="B52" i="4"/>
  <c r="J41" i="4" l="1"/>
  <c r="I41" i="4"/>
  <c r="F41" i="4"/>
  <c r="D41" i="4"/>
  <c r="G40" i="4"/>
  <c r="H40" i="4" s="1"/>
  <c r="K40" i="4"/>
  <c r="L40" i="4" s="1"/>
  <c r="A54" i="4"/>
  <c r="B53" i="4"/>
  <c r="E41" i="4" l="1"/>
  <c r="M41" i="4" s="1"/>
  <c r="C42" i="4" s="1"/>
  <c r="B54" i="4"/>
  <c r="A55" i="4"/>
  <c r="K41" i="4" l="1"/>
  <c r="L41" i="4" s="1"/>
  <c r="I42" i="4"/>
  <c r="D42" i="4"/>
  <c r="F42" i="4"/>
  <c r="J42" i="4"/>
  <c r="G41" i="4"/>
  <c r="H41" i="4" s="1"/>
  <c r="A56" i="4"/>
  <c r="B55" i="4"/>
  <c r="E42" i="4" l="1"/>
  <c r="M42" i="4" s="1"/>
  <c r="C43" i="4" s="1"/>
  <c r="B56" i="4"/>
  <c r="A57" i="4"/>
  <c r="K42" i="4" l="1"/>
  <c r="L42" i="4" s="1"/>
  <c r="G42" i="4"/>
  <c r="H42" i="4" s="1"/>
  <c r="F43" i="4"/>
  <c r="I43" i="4"/>
  <c r="D43" i="4"/>
  <c r="J43" i="4"/>
  <c r="A58" i="4"/>
  <c r="B57" i="4"/>
  <c r="E43" i="4" l="1"/>
  <c r="M43" i="4" s="1"/>
  <c r="C44" i="4" s="1"/>
  <c r="A59" i="4"/>
  <c r="B58" i="4"/>
  <c r="K43" i="4" l="1"/>
  <c r="L43" i="4" s="1"/>
  <c r="G43" i="4"/>
  <c r="H43" i="4" s="1"/>
  <c r="I44" i="4"/>
  <c r="D44" i="4"/>
  <c r="J44" i="4"/>
  <c r="F44" i="4"/>
  <c r="B59" i="4"/>
  <c r="A60" i="4"/>
  <c r="E44" i="4" l="1"/>
  <c r="M44" i="4" s="1"/>
  <c r="C45" i="4" s="1"/>
  <c r="B60" i="4"/>
  <c r="A61" i="4"/>
  <c r="I45" i="4" l="1"/>
  <c r="D45" i="4"/>
  <c r="J45" i="4"/>
  <c r="F45" i="4"/>
  <c r="G44" i="4"/>
  <c r="H44" i="4" s="1"/>
  <c r="K44" i="4"/>
  <c r="L44" i="4" s="1"/>
  <c r="A62" i="4"/>
  <c r="B61" i="4"/>
  <c r="E45" i="4" l="1"/>
  <c r="M45" i="4" s="1"/>
  <c r="C46" i="4" s="1"/>
  <c r="A63" i="4"/>
  <c r="B62" i="4"/>
  <c r="K45" i="4" l="1"/>
  <c r="L45" i="4" s="1"/>
  <c r="J46" i="4"/>
  <c r="F46" i="4"/>
  <c r="D46" i="4"/>
  <c r="I46" i="4"/>
  <c r="G45" i="4"/>
  <c r="H45" i="4" s="1"/>
  <c r="A64" i="4"/>
  <c r="B63" i="4"/>
  <c r="E46" i="4" l="1"/>
  <c r="M46" i="4" s="1"/>
  <c r="C47" i="4" s="1"/>
  <c r="A65" i="4"/>
  <c r="B64" i="4"/>
  <c r="K46" i="4" l="1"/>
  <c r="L46" i="4" s="1"/>
  <c r="F47" i="4"/>
  <c r="D47" i="4"/>
  <c r="J47" i="4"/>
  <c r="I47" i="4"/>
  <c r="G46" i="4"/>
  <c r="H46" i="4" s="1"/>
  <c r="A66" i="4"/>
  <c r="B65" i="4"/>
  <c r="E47" i="4" l="1"/>
  <c r="M47" i="4" s="1"/>
  <c r="C48" i="4" s="1"/>
  <c r="A67" i="4"/>
  <c r="B66" i="4"/>
  <c r="K47" i="4" l="1"/>
  <c r="L47" i="4" s="1"/>
  <c r="G47" i="4"/>
  <c r="H47" i="4" s="1"/>
  <c r="I48" i="4"/>
  <c r="D48" i="4"/>
  <c r="J48" i="4"/>
  <c r="F48" i="4"/>
  <c r="B67" i="4"/>
  <c r="A68" i="4"/>
  <c r="E48" i="4" l="1"/>
  <c r="M48" i="4" s="1"/>
  <c r="C49" i="4" s="1"/>
  <c r="A69" i="4"/>
  <c r="B68" i="4"/>
  <c r="K48" i="4" l="1"/>
  <c r="L48" i="4" s="1"/>
  <c r="J49" i="4"/>
  <c r="I49" i="4"/>
  <c r="D49" i="4"/>
  <c r="F49" i="4"/>
  <c r="G48" i="4"/>
  <c r="H48" i="4" s="1"/>
  <c r="A70" i="4"/>
  <c r="B69" i="4"/>
  <c r="E49" i="4" l="1"/>
  <c r="M49" i="4" s="1"/>
  <c r="C50" i="4" s="1"/>
  <c r="B70" i="4"/>
  <c r="A71" i="4"/>
  <c r="K49" i="4" l="1"/>
  <c r="L49" i="4" s="1"/>
  <c r="J50" i="4"/>
  <c r="D50" i="4"/>
  <c r="I50" i="4"/>
  <c r="F50" i="4"/>
  <c r="G49" i="4"/>
  <c r="H49" i="4" s="1"/>
  <c r="A72" i="4"/>
  <c r="B71" i="4"/>
  <c r="E50" i="4" l="1"/>
  <c r="M50" i="4" s="1"/>
  <c r="C51" i="4" s="1"/>
  <c r="B72" i="4"/>
  <c r="A73" i="4"/>
  <c r="G50" i="4" l="1"/>
  <c r="H50" i="4" s="1"/>
  <c r="J51" i="4"/>
  <c r="D51" i="4"/>
  <c r="F51" i="4"/>
  <c r="I51" i="4"/>
  <c r="K50" i="4"/>
  <c r="L50" i="4" s="1"/>
  <c r="A74" i="4"/>
  <c r="B73" i="4"/>
  <c r="E51" i="4" l="1"/>
  <c r="M51" i="4" s="1"/>
  <c r="C52" i="4" s="1"/>
  <c r="A75" i="4"/>
  <c r="B74" i="4"/>
  <c r="I52" i="4" l="1"/>
  <c r="F52" i="4"/>
  <c r="J52" i="4"/>
  <c r="D52" i="4"/>
  <c r="G51" i="4"/>
  <c r="H51" i="4" s="1"/>
  <c r="K51" i="4"/>
  <c r="L51" i="4" s="1"/>
  <c r="B75" i="4"/>
  <c r="A76" i="4"/>
  <c r="E52" i="4" l="1"/>
  <c r="M52" i="4" s="1"/>
  <c r="C53" i="4" s="1"/>
  <c r="A77" i="4"/>
  <c r="B76" i="4"/>
  <c r="K52" i="4" l="1"/>
  <c r="L52" i="4" s="1"/>
  <c r="D53" i="4"/>
  <c r="I53" i="4"/>
  <c r="F53" i="4"/>
  <c r="J53" i="4"/>
  <c r="G52" i="4"/>
  <c r="H52" i="4" s="1"/>
  <c r="A78" i="4"/>
  <c r="B77" i="4"/>
  <c r="E53" i="4" l="1"/>
  <c r="M53" i="4" s="1"/>
  <c r="C54" i="4" s="1"/>
  <c r="B78" i="4"/>
  <c r="A79" i="4"/>
  <c r="G53" i="4" l="1"/>
  <c r="H53" i="4" s="1"/>
  <c r="F54" i="4"/>
  <c r="D54" i="4"/>
  <c r="J54" i="4"/>
  <c r="I54" i="4"/>
  <c r="K53" i="4"/>
  <c r="L53" i="4" s="1"/>
  <c r="A80" i="4"/>
  <c r="B79" i="4"/>
  <c r="E54" i="4" l="1"/>
  <c r="M54" i="4" s="1"/>
  <c r="C55" i="4" s="1"/>
  <c r="B80" i="4"/>
  <c r="A81" i="4"/>
  <c r="D55" i="4" l="1"/>
  <c r="I55" i="4"/>
  <c r="J55" i="4"/>
  <c r="F55" i="4"/>
  <c r="G54" i="4"/>
  <c r="H54" i="4" s="1"/>
  <c r="K54" i="4"/>
  <c r="L54" i="4" s="1"/>
  <c r="A82" i="4"/>
  <c r="B81" i="4"/>
  <c r="E55" i="4" l="1"/>
  <c r="M55" i="4" s="1"/>
  <c r="C56" i="4" s="1"/>
  <c r="A83" i="4"/>
  <c r="B82" i="4"/>
  <c r="J56" i="4" l="1"/>
  <c r="F56" i="4"/>
  <c r="I56" i="4"/>
  <c r="D56" i="4"/>
  <c r="G55" i="4"/>
  <c r="H55" i="4" s="1"/>
  <c r="K55" i="4"/>
  <c r="L55" i="4" s="1"/>
  <c r="B83" i="4"/>
  <c r="A84" i="4"/>
  <c r="E56" i="4" l="1"/>
  <c r="M56" i="4" s="1"/>
  <c r="C57" i="4" s="1"/>
  <c r="A85" i="4"/>
  <c r="B84" i="4"/>
  <c r="I57" i="4" l="1"/>
  <c r="J57" i="4"/>
  <c r="D57" i="4"/>
  <c r="F57" i="4"/>
  <c r="G56" i="4"/>
  <c r="H56" i="4" s="1"/>
  <c r="K56" i="4"/>
  <c r="L56" i="4" s="1"/>
  <c r="A86" i="4"/>
  <c r="B85" i="4"/>
  <c r="E57" i="4" l="1"/>
  <c r="M57" i="4" s="1"/>
  <c r="C58" i="4" s="1"/>
  <c r="B86" i="4"/>
  <c r="A87" i="4"/>
  <c r="K57" i="4" l="1"/>
  <c r="L57" i="4" s="1"/>
  <c r="I58" i="4"/>
  <c r="J58" i="4"/>
  <c r="D58" i="4"/>
  <c r="F58" i="4"/>
  <c r="G57" i="4"/>
  <c r="H57" i="4" s="1"/>
  <c r="A88" i="4"/>
  <c r="B87" i="4"/>
  <c r="E58" i="4" l="1"/>
  <c r="M58" i="4" s="1"/>
  <c r="C59" i="4" s="1"/>
  <c r="B88" i="4"/>
  <c r="A89" i="4"/>
  <c r="F59" i="4" l="1"/>
  <c r="D59" i="4"/>
  <c r="J59" i="4"/>
  <c r="I59" i="4"/>
  <c r="K58" i="4"/>
  <c r="L58" i="4" s="1"/>
  <c r="G58" i="4"/>
  <c r="H58" i="4" s="1"/>
  <c r="A90" i="4"/>
  <c r="B89" i="4"/>
  <c r="E59" i="4" l="1"/>
  <c r="M59" i="4" s="1"/>
  <c r="C60" i="4" s="1"/>
  <c r="A91" i="4"/>
  <c r="B90" i="4"/>
  <c r="D60" i="4" l="1"/>
  <c r="J60" i="4"/>
  <c r="I60" i="4"/>
  <c r="F60" i="4"/>
  <c r="G59" i="4"/>
  <c r="H59" i="4" s="1"/>
  <c r="K59" i="4"/>
  <c r="L59" i="4" s="1"/>
  <c r="B91" i="4"/>
  <c r="A92" i="4"/>
  <c r="E60" i="4" l="1"/>
  <c r="M60" i="4" s="1"/>
  <c r="C61" i="4" s="1"/>
  <c r="A93" i="4"/>
  <c r="B92" i="4"/>
  <c r="D61" i="4" l="1"/>
  <c r="F61" i="4"/>
  <c r="I61" i="4"/>
  <c r="J61" i="4"/>
  <c r="G60" i="4"/>
  <c r="H60" i="4" s="1"/>
  <c r="K60" i="4"/>
  <c r="L60" i="4" s="1"/>
  <c r="A94" i="4"/>
  <c r="B93" i="4"/>
  <c r="E61" i="4" l="1"/>
  <c r="M61" i="4" s="1"/>
  <c r="C62" i="4" s="1"/>
  <c r="A95" i="4"/>
  <c r="B94" i="4"/>
  <c r="G61" i="4" l="1"/>
  <c r="H61" i="4" s="1"/>
  <c r="J62" i="4"/>
  <c r="I62" i="4"/>
  <c r="D62" i="4"/>
  <c r="F62" i="4"/>
  <c r="K61" i="4"/>
  <c r="L61" i="4" s="1"/>
  <c r="A96" i="4"/>
  <c r="B95" i="4"/>
  <c r="E62" i="4" l="1"/>
  <c r="M62" i="4" s="1"/>
  <c r="C63" i="4" s="1"/>
  <c r="A97" i="4"/>
  <c r="B96" i="4"/>
  <c r="K62" i="4" l="1"/>
  <c r="L62" i="4" s="1"/>
  <c r="D63" i="4"/>
  <c r="I63" i="4"/>
  <c r="J63" i="4"/>
  <c r="F63" i="4"/>
  <c r="G62" i="4"/>
  <c r="H62" i="4" s="1"/>
  <c r="B97" i="4"/>
  <c r="A98" i="4"/>
  <c r="E63" i="4" l="1"/>
  <c r="M63" i="4" s="1"/>
  <c r="C64" i="4" s="1"/>
  <c r="A99" i="4"/>
  <c r="B98" i="4"/>
  <c r="G63" i="4" l="1"/>
  <c r="H63" i="4" s="1"/>
  <c r="I64" i="4"/>
  <c r="J64" i="4"/>
  <c r="D64" i="4"/>
  <c r="F64" i="4"/>
  <c r="K63" i="4"/>
  <c r="L63" i="4" s="1"/>
  <c r="B99" i="4"/>
  <c r="A100" i="4"/>
  <c r="E64" i="4" l="1"/>
  <c r="M64" i="4" s="1"/>
  <c r="C65" i="4" s="1"/>
  <c r="B100" i="4"/>
  <c r="A101" i="4"/>
  <c r="K64" i="4" l="1"/>
  <c r="L64" i="4" s="1"/>
  <c r="J65" i="4"/>
  <c r="F65" i="4"/>
  <c r="I65" i="4"/>
  <c r="D65" i="4"/>
  <c r="G64" i="4"/>
  <c r="H64" i="4" s="1"/>
  <c r="A102" i="4"/>
  <c r="B101" i="4"/>
  <c r="E65" i="4" l="1"/>
  <c r="M65" i="4" s="1"/>
  <c r="C66" i="4" s="1"/>
  <c r="B102" i="4"/>
  <c r="A103" i="4"/>
  <c r="G65" i="4" l="1"/>
  <c r="H65" i="4" s="1"/>
  <c r="J66" i="4"/>
  <c r="I66" i="4"/>
  <c r="D66" i="4"/>
  <c r="F66" i="4"/>
  <c r="K65" i="4"/>
  <c r="L65" i="4" s="1"/>
  <c r="A104" i="4"/>
  <c r="B103" i="4"/>
  <c r="E66" i="4" l="1"/>
  <c r="M66" i="4" s="1"/>
  <c r="C67" i="4" s="1"/>
  <c r="A105" i="4"/>
  <c r="B104" i="4"/>
  <c r="K66" i="4" l="1"/>
  <c r="L66" i="4" s="1"/>
  <c r="G66" i="4"/>
  <c r="H66" i="4" s="1"/>
  <c r="J67" i="4"/>
  <c r="F67" i="4"/>
  <c r="I67" i="4"/>
  <c r="D67" i="4"/>
  <c r="B105" i="4"/>
  <c r="A106" i="4"/>
  <c r="E67" i="4" l="1"/>
  <c r="M67" i="4" s="1"/>
  <c r="C68" i="4" s="1"/>
  <c r="A107" i="4"/>
  <c r="B106" i="4"/>
  <c r="F68" i="4" l="1"/>
  <c r="D68" i="4"/>
  <c r="J68" i="4"/>
  <c r="I68" i="4"/>
  <c r="G67" i="4"/>
  <c r="H67" i="4" s="1"/>
  <c r="K67" i="4"/>
  <c r="L67" i="4" s="1"/>
  <c r="B107" i="4"/>
  <c r="A108" i="4"/>
  <c r="E68" i="4" l="1"/>
  <c r="M68" i="4" s="1"/>
  <c r="C69" i="4" s="1"/>
  <c r="B108" i="4"/>
  <c r="A109" i="4"/>
  <c r="J69" i="4" l="1"/>
  <c r="D69" i="4"/>
  <c r="F69" i="4"/>
  <c r="I69" i="4"/>
  <c r="G68" i="4"/>
  <c r="H68" i="4" s="1"/>
  <c r="K68" i="4"/>
  <c r="L68" i="4" s="1"/>
  <c r="A110" i="4"/>
  <c r="B109" i="4"/>
  <c r="E69" i="4" l="1"/>
  <c r="M69" i="4" s="1"/>
  <c r="C70" i="4" s="1"/>
  <c r="B110" i="4"/>
  <c r="A111" i="4"/>
  <c r="K69" i="4" l="1"/>
  <c r="L69" i="4" s="1"/>
  <c r="G69" i="4"/>
  <c r="H69" i="4" s="1"/>
  <c r="D70" i="4"/>
  <c r="J70" i="4"/>
  <c r="I70" i="4"/>
  <c r="F70" i="4"/>
  <c r="A112" i="4"/>
  <c r="B111" i="4"/>
  <c r="E70" i="4" l="1"/>
  <c r="M70" i="4" s="1"/>
  <c r="C71" i="4" s="1"/>
  <c r="A113" i="4"/>
  <c r="B112" i="4"/>
  <c r="K70" i="4" l="1"/>
  <c r="L70" i="4" s="1"/>
  <c r="F71" i="4"/>
  <c r="I71" i="4"/>
  <c r="J71" i="4"/>
  <c r="D71" i="4"/>
  <c r="G70" i="4"/>
  <c r="H70" i="4" s="1"/>
  <c r="B113" i="4"/>
  <c r="A114" i="4"/>
  <c r="E71" i="4" l="1"/>
  <c r="G71" i="4" s="1"/>
  <c r="H71" i="4" s="1"/>
  <c r="A115" i="4"/>
  <c r="B114" i="4"/>
  <c r="K71" i="4" l="1"/>
  <c r="L71" i="4" s="1"/>
  <c r="M71" i="4"/>
  <c r="C72" i="4" s="1"/>
  <c r="B115" i="4"/>
  <c r="A116" i="4"/>
  <c r="J72" i="4" l="1"/>
  <c r="D72" i="4"/>
  <c r="F72" i="4"/>
  <c r="I72" i="4"/>
  <c r="B116" i="4"/>
  <c r="A117" i="4"/>
  <c r="E72" i="4" l="1"/>
  <c r="G72" i="4" s="1"/>
  <c r="H72" i="4" s="1"/>
  <c r="A118" i="4"/>
  <c r="B117" i="4"/>
  <c r="K72" i="4" l="1"/>
  <c r="L72" i="4" s="1"/>
  <c r="M72" i="4"/>
  <c r="C73" i="4" s="1"/>
  <c r="B118" i="4"/>
  <c r="A119" i="4"/>
  <c r="J73" i="4" l="1"/>
  <c r="F73" i="4"/>
  <c r="D73" i="4"/>
  <c r="I73" i="4"/>
  <c r="A120" i="4"/>
  <c r="B119" i="4"/>
  <c r="E73" i="4" l="1"/>
  <c r="G73" i="4" s="1"/>
  <c r="H73" i="4" s="1"/>
  <c r="A121" i="4"/>
  <c r="B120" i="4"/>
  <c r="K73" i="4" l="1"/>
  <c r="L73" i="4" s="1"/>
  <c r="M73" i="4"/>
  <c r="C74" i="4" s="1"/>
  <c r="B121" i="4"/>
  <c r="A122" i="4"/>
  <c r="I74" i="4" l="1"/>
  <c r="J74" i="4"/>
  <c r="F74" i="4"/>
  <c r="D74" i="4"/>
  <c r="E74" i="4" s="1"/>
  <c r="A123" i="4"/>
  <c r="B122" i="4"/>
  <c r="G74" i="4" l="1"/>
  <c r="H74" i="4" s="1"/>
  <c r="K74" i="4"/>
  <c r="L74" i="4" s="1"/>
  <c r="M74" i="4"/>
  <c r="C75" i="4" s="1"/>
  <c r="B123" i="4"/>
  <c r="A124" i="4"/>
  <c r="F75" i="4" l="1"/>
  <c r="J75" i="4"/>
  <c r="I75" i="4"/>
  <c r="D75" i="4"/>
  <c r="B124" i="4"/>
  <c r="A125" i="4"/>
  <c r="E75" i="4" l="1"/>
  <c r="G75" i="4"/>
  <c r="H75" i="4" s="1"/>
  <c r="A126" i="4"/>
  <c r="B125" i="4"/>
  <c r="K75" i="4" l="1"/>
  <c r="L75" i="4" s="1"/>
  <c r="M75" i="4"/>
  <c r="C76" i="4" s="1"/>
  <c r="B126" i="4"/>
  <c r="A127" i="4"/>
  <c r="J76" i="4" l="1"/>
  <c r="F76" i="4"/>
  <c r="I76" i="4"/>
  <c r="D76" i="4"/>
  <c r="E76" i="4" s="1"/>
  <c r="A128" i="4"/>
  <c r="B127" i="4"/>
  <c r="G76" i="4" l="1"/>
  <c r="H76" i="4" s="1"/>
  <c r="K76" i="4"/>
  <c r="L76" i="4" s="1"/>
  <c r="M76" i="4"/>
  <c r="C77" i="4" s="1"/>
  <c r="A129" i="4"/>
  <c r="B128" i="4"/>
  <c r="D77" i="4" l="1"/>
  <c r="E77" i="4" s="1"/>
  <c r="F77" i="4"/>
  <c r="I77" i="4"/>
  <c r="J77" i="4"/>
  <c r="M77" i="4"/>
  <c r="C78" i="4" s="1"/>
  <c r="B129" i="4"/>
  <c r="A130" i="4"/>
  <c r="I78" i="4" l="1"/>
  <c r="J78" i="4"/>
  <c r="F78" i="4"/>
  <c r="D78" i="4"/>
  <c r="G77" i="4"/>
  <c r="H77" i="4" s="1"/>
  <c r="K77" i="4"/>
  <c r="L77" i="4" s="1"/>
  <c r="A131" i="4"/>
  <c r="B130" i="4"/>
  <c r="E78" i="4" l="1"/>
  <c r="B131" i="4"/>
  <c r="A132" i="4"/>
  <c r="K78" i="4" l="1"/>
  <c r="L78" i="4" s="1"/>
  <c r="M78" i="4"/>
  <c r="C79" i="4" s="1"/>
  <c r="G78" i="4"/>
  <c r="H78" i="4" s="1"/>
  <c r="B132" i="4"/>
  <c r="A133" i="4"/>
  <c r="J79" i="4" l="1"/>
  <c r="D79" i="4"/>
  <c r="I79" i="4"/>
  <c r="F79" i="4"/>
  <c r="A134" i="4"/>
  <c r="B133" i="4"/>
  <c r="E79" i="4" l="1"/>
  <c r="G79" i="4"/>
  <c r="H79" i="4" s="1"/>
  <c r="B134" i="4"/>
  <c r="A135" i="4"/>
  <c r="K79" i="4" l="1"/>
  <c r="L79" i="4" s="1"/>
  <c r="M79" i="4"/>
  <c r="C80" i="4" s="1"/>
  <c r="A136" i="4"/>
  <c r="B135" i="4"/>
  <c r="I80" i="4" l="1"/>
  <c r="J80" i="4"/>
  <c r="D80" i="4"/>
  <c r="F80" i="4"/>
  <c r="A137" i="4"/>
  <c r="B136" i="4"/>
  <c r="E80" i="4" l="1"/>
  <c r="B137" i="4"/>
  <c r="A138" i="4"/>
  <c r="K80" i="4" l="1"/>
  <c r="L80" i="4" s="1"/>
  <c r="M80" i="4"/>
  <c r="C81" i="4" s="1"/>
  <c r="G80" i="4"/>
  <c r="H80" i="4" s="1"/>
  <c r="A139" i="4"/>
  <c r="B138" i="4"/>
  <c r="F81" i="4" l="1"/>
  <c r="I81" i="4"/>
  <c r="D81" i="4"/>
  <c r="J81" i="4"/>
  <c r="B139" i="4"/>
  <c r="A140" i="4"/>
  <c r="E81" i="4" l="1"/>
  <c r="G81" i="4"/>
  <c r="H81" i="4" s="1"/>
  <c r="B140" i="4"/>
  <c r="A141" i="4"/>
  <c r="K81" i="4" l="1"/>
  <c r="L81" i="4" s="1"/>
  <c r="M81" i="4"/>
  <c r="C82" i="4" s="1"/>
  <c r="A142" i="4"/>
  <c r="B141" i="4"/>
  <c r="J82" i="4" l="1"/>
  <c r="D82" i="4"/>
  <c r="I82" i="4"/>
  <c r="F82" i="4"/>
  <c r="B142" i="4"/>
  <c r="A143" i="4"/>
  <c r="E82" i="4" l="1"/>
  <c r="G82" i="4" s="1"/>
  <c r="H82" i="4" s="1"/>
  <c r="A144" i="4"/>
  <c r="B143" i="4"/>
  <c r="K82" i="4" l="1"/>
  <c r="L82" i="4" s="1"/>
  <c r="M82" i="4"/>
  <c r="C83" i="4" s="1"/>
  <c r="A145" i="4"/>
  <c r="B144" i="4"/>
  <c r="I83" i="4" l="1"/>
  <c r="J83" i="4"/>
  <c r="D83" i="4"/>
  <c r="E83" i="4" s="1"/>
  <c r="F83" i="4"/>
  <c r="B145" i="4"/>
  <c r="A146" i="4"/>
  <c r="G83" i="4" l="1"/>
  <c r="H83" i="4" s="1"/>
  <c r="K83" i="4"/>
  <c r="L83" i="4" s="1"/>
  <c r="M83" i="4"/>
  <c r="C84" i="4" s="1"/>
  <c r="A147" i="4"/>
  <c r="B146" i="4"/>
  <c r="J84" i="4" l="1"/>
  <c r="I84" i="4"/>
  <c r="F84" i="4"/>
  <c r="D84" i="4"/>
  <c r="E84" i="4" s="1"/>
  <c r="B147" i="4"/>
  <c r="A148" i="4"/>
  <c r="G84" i="4" l="1"/>
  <c r="H84" i="4" s="1"/>
  <c r="K84" i="4"/>
  <c r="L84" i="4" s="1"/>
  <c r="M84" i="4"/>
  <c r="C85" i="4" s="1"/>
  <c r="A149" i="4"/>
  <c r="B148" i="4"/>
  <c r="D85" i="4" l="1"/>
  <c r="J85" i="4"/>
  <c r="F85" i="4"/>
  <c r="I85" i="4"/>
  <c r="A150" i="4"/>
  <c r="B149" i="4"/>
  <c r="E85" i="4" l="1"/>
  <c r="B150" i="4"/>
  <c r="A151" i="4"/>
  <c r="K85" i="4" l="1"/>
  <c r="L85" i="4" s="1"/>
  <c r="M85" i="4"/>
  <c r="C86" i="4" s="1"/>
  <c r="G85" i="4"/>
  <c r="H85" i="4" s="1"/>
  <c r="B151" i="4"/>
  <c r="A152" i="4"/>
  <c r="J86" i="4" l="1"/>
  <c r="D86" i="4"/>
  <c r="F86" i="4"/>
  <c r="I86" i="4"/>
  <c r="A153" i="4"/>
  <c r="B152" i="4"/>
  <c r="E86" i="4" l="1"/>
  <c r="G86" i="4" s="1"/>
  <c r="H86" i="4" s="1"/>
  <c r="H152" i="4"/>
  <c r="G152" i="4"/>
  <c r="F152" i="4"/>
  <c r="D152" i="4"/>
  <c r="M152" i="4"/>
  <c r="C153" i="4" s="1"/>
  <c r="L152" i="4"/>
  <c r="K152" i="4"/>
  <c r="E152" i="4"/>
  <c r="J152" i="4"/>
  <c r="I152" i="4"/>
  <c r="B153" i="4"/>
  <c r="A154" i="4"/>
  <c r="K86" i="4" l="1"/>
  <c r="L86" i="4" s="1"/>
  <c r="M86" i="4"/>
  <c r="C87" i="4" s="1"/>
  <c r="A155" i="4"/>
  <c r="B154" i="4"/>
  <c r="K153" i="4"/>
  <c r="J153" i="4"/>
  <c r="I153" i="4"/>
  <c r="E153" i="4"/>
  <c r="D153" i="4"/>
  <c r="M153" i="4"/>
  <c r="C154" i="4" s="1"/>
  <c r="L153" i="4"/>
  <c r="F153" i="4"/>
  <c r="H153" i="4"/>
  <c r="G153" i="4"/>
  <c r="I87" i="4" l="1"/>
  <c r="F87" i="4"/>
  <c r="J87" i="4"/>
  <c r="D87" i="4"/>
  <c r="E87" i="4" s="1"/>
  <c r="M87" i="4" s="1"/>
  <c r="C88" i="4" s="1"/>
  <c r="F154" i="4"/>
  <c r="M154" i="4"/>
  <c r="C155" i="4" s="1"/>
  <c r="E154" i="4"/>
  <c r="L154" i="4"/>
  <c r="D154" i="4"/>
  <c r="K154" i="4"/>
  <c r="J154" i="4"/>
  <c r="I154" i="4"/>
  <c r="H154" i="4"/>
  <c r="G154" i="4"/>
  <c r="A156" i="4"/>
  <c r="B155" i="4"/>
  <c r="G87" i="4" l="1"/>
  <c r="H87" i="4" s="1"/>
  <c r="K87" i="4"/>
  <c r="L87" i="4" s="1"/>
  <c r="J88" i="4"/>
  <c r="D88" i="4"/>
  <c r="I88" i="4"/>
  <c r="F88" i="4"/>
  <c r="B156" i="4"/>
  <c r="A157" i="4"/>
  <c r="I155" i="4"/>
  <c r="H155" i="4"/>
  <c r="G155" i="4"/>
  <c r="D155" i="4"/>
  <c r="M155" i="4"/>
  <c r="C156" i="4" s="1"/>
  <c r="L155" i="4"/>
  <c r="K155" i="4"/>
  <c r="E155" i="4"/>
  <c r="J155" i="4"/>
  <c r="F155" i="4"/>
  <c r="E88" i="4" l="1"/>
  <c r="G88" i="4" s="1"/>
  <c r="H88" i="4" s="1"/>
  <c r="A158" i="4"/>
  <c r="B157" i="4"/>
  <c r="L156" i="4"/>
  <c r="D156" i="4"/>
  <c r="K156" i="4"/>
  <c r="J156" i="4"/>
  <c r="E156" i="4"/>
  <c r="M156" i="4"/>
  <c r="C157" i="4" s="1"/>
  <c r="I156" i="4"/>
  <c r="H156" i="4"/>
  <c r="G156" i="4"/>
  <c r="F156" i="4"/>
  <c r="K88" i="4" l="1"/>
  <c r="L88" i="4" s="1"/>
  <c r="M88" i="4"/>
  <c r="C89" i="4" s="1"/>
  <c r="G157" i="4"/>
  <c r="F157" i="4"/>
  <c r="M157" i="4"/>
  <c r="C158" i="4" s="1"/>
  <c r="E157" i="4"/>
  <c r="L157" i="4"/>
  <c r="K157" i="4"/>
  <c r="J157" i="4"/>
  <c r="H157" i="4"/>
  <c r="D157" i="4"/>
  <c r="I157" i="4"/>
  <c r="B158" i="4"/>
  <c r="A159" i="4"/>
  <c r="I89" i="4" l="1"/>
  <c r="J89" i="4"/>
  <c r="F89" i="4"/>
  <c r="D89" i="4"/>
  <c r="J158" i="4"/>
  <c r="I158" i="4"/>
  <c r="H158" i="4"/>
  <c r="D158" i="4"/>
  <c r="M158" i="4"/>
  <c r="C159" i="4" s="1"/>
  <c r="L158" i="4"/>
  <c r="K158" i="4"/>
  <c r="E158" i="4"/>
  <c r="F158" i="4"/>
  <c r="G158" i="4"/>
  <c r="B159" i="4"/>
  <c r="A160" i="4"/>
  <c r="E89" i="4" l="1"/>
  <c r="G89" i="4" s="1"/>
  <c r="H89" i="4" s="1"/>
  <c r="A161" i="4"/>
  <c r="B160" i="4"/>
  <c r="M159" i="4"/>
  <c r="C160" i="4" s="1"/>
  <c r="E159" i="4"/>
  <c r="L159" i="4"/>
  <c r="D159" i="4"/>
  <c r="K159" i="4"/>
  <c r="J159" i="4"/>
  <c r="I159" i="4"/>
  <c r="H159" i="4"/>
  <c r="G159" i="4"/>
  <c r="F159" i="4"/>
  <c r="K89" i="4" l="1"/>
  <c r="L89" i="4" s="1"/>
  <c r="M89" i="4"/>
  <c r="C90" i="4" s="1"/>
  <c r="H160" i="4"/>
  <c r="G160" i="4"/>
  <c r="F160" i="4"/>
  <c r="M160" i="4"/>
  <c r="C161" i="4" s="1"/>
  <c r="L160" i="4"/>
  <c r="K160" i="4"/>
  <c r="J160" i="4"/>
  <c r="D160" i="4"/>
  <c r="I160" i="4"/>
  <c r="E160" i="4"/>
  <c r="B161" i="4"/>
  <c r="A162" i="4"/>
  <c r="F90" i="4" l="1"/>
  <c r="I90" i="4"/>
  <c r="J90" i="4"/>
  <c r="D90" i="4"/>
  <c r="K161" i="4"/>
  <c r="J161" i="4"/>
  <c r="I161" i="4"/>
  <c r="D161" i="4"/>
  <c r="M161" i="4"/>
  <c r="C162" i="4" s="1"/>
  <c r="L161" i="4"/>
  <c r="H161" i="4"/>
  <c r="E161" i="4"/>
  <c r="G161" i="4"/>
  <c r="F161" i="4"/>
  <c r="A163" i="4"/>
  <c r="B162" i="4"/>
  <c r="E90" i="4" l="1"/>
  <c r="G90" i="4" s="1"/>
  <c r="H90" i="4" s="1"/>
  <c r="F162" i="4"/>
  <c r="M162" i="4"/>
  <c r="C163" i="4" s="1"/>
  <c r="E162" i="4"/>
  <c r="L162" i="4"/>
  <c r="D162" i="4"/>
  <c r="K162" i="4"/>
  <c r="J162" i="4"/>
  <c r="I162" i="4"/>
  <c r="H162" i="4"/>
  <c r="G162" i="4"/>
  <c r="A164" i="4"/>
  <c r="B163" i="4"/>
  <c r="K90" i="4" l="1"/>
  <c r="L90" i="4" s="1"/>
  <c r="M90" i="4"/>
  <c r="C91" i="4" s="1"/>
  <c r="B164" i="4"/>
  <c r="A165" i="4"/>
  <c r="I163" i="4"/>
  <c r="H163" i="4"/>
  <c r="G163" i="4"/>
  <c r="M163" i="4"/>
  <c r="C164" i="4" s="1"/>
  <c r="L163" i="4"/>
  <c r="K163" i="4"/>
  <c r="J163" i="4"/>
  <c r="D163" i="4"/>
  <c r="F163" i="4"/>
  <c r="E163" i="4"/>
  <c r="F91" i="4" l="1"/>
  <c r="I91" i="4"/>
  <c r="J91" i="4"/>
  <c r="D91" i="4"/>
  <c r="A166" i="4"/>
  <c r="B165" i="4"/>
  <c r="L164" i="4"/>
  <c r="D164" i="4"/>
  <c r="K164" i="4"/>
  <c r="J164" i="4"/>
  <c r="M164" i="4"/>
  <c r="C165" i="4" s="1"/>
  <c r="I164" i="4"/>
  <c r="H164" i="4"/>
  <c r="G164" i="4"/>
  <c r="F164" i="4"/>
  <c r="E164" i="4"/>
  <c r="E91" i="4" l="1"/>
  <c r="G91" i="4" s="1"/>
  <c r="H91" i="4" s="1"/>
  <c r="B166" i="4"/>
  <c r="A167" i="4"/>
  <c r="G165" i="4"/>
  <c r="F165" i="4"/>
  <c r="M165" i="4"/>
  <c r="C166" i="4" s="1"/>
  <c r="E165" i="4"/>
  <c r="L165" i="4"/>
  <c r="K165" i="4"/>
  <c r="J165" i="4"/>
  <c r="I165" i="4"/>
  <c r="D165" i="4"/>
  <c r="H165" i="4"/>
  <c r="K91" i="4" l="1"/>
  <c r="L91" i="4" s="1"/>
  <c r="M91" i="4"/>
  <c r="C92" i="4" s="1"/>
  <c r="A168" i="4"/>
  <c r="B167" i="4"/>
  <c r="J166" i="4"/>
  <c r="I166" i="4"/>
  <c r="H166" i="4"/>
  <c r="M166" i="4"/>
  <c r="C167" i="4" s="1"/>
  <c r="L166" i="4"/>
  <c r="K166" i="4"/>
  <c r="G166" i="4"/>
  <c r="D166" i="4"/>
  <c r="E166" i="4"/>
  <c r="F166" i="4"/>
  <c r="D92" i="4" l="1"/>
  <c r="E92" i="4" s="1"/>
  <c r="M92" i="4" s="1"/>
  <c r="C93" i="4" s="1"/>
  <c r="F92" i="4"/>
  <c r="I92" i="4"/>
  <c r="J92" i="4"/>
  <c r="A169" i="4"/>
  <c r="B168" i="4"/>
  <c r="M167" i="4"/>
  <c r="C168" i="4" s="1"/>
  <c r="E167" i="4"/>
  <c r="L167" i="4"/>
  <c r="D167" i="4"/>
  <c r="K167" i="4"/>
  <c r="J167" i="4"/>
  <c r="I167" i="4"/>
  <c r="H167" i="4"/>
  <c r="G167" i="4"/>
  <c r="F167" i="4"/>
  <c r="J93" i="4" l="1"/>
  <c r="I93" i="4"/>
  <c r="F93" i="4"/>
  <c r="D93" i="4"/>
  <c r="E93" i="4" s="1"/>
  <c r="M93" i="4" s="1"/>
  <c r="C94" i="4" s="1"/>
  <c r="G92" i="4"/>
  <c r="H92" i="4" s="1"/>
  <c r="K92" i="4"/>
  <c r="L92" i="4" s="1"/>
  <c r="H168" i="4"/>
  <c r="G168" i="4"/>
  <c r="F168" i="4"/>
  <c r="M168" i="4"/>
  <c r="C169" i="4" s="1"/>
  <c r="L168" i="4"/>
  <c r="K168" i="4"/>
  <c r="J168" i="4"/>
  <c r="I168" i="4"/>
  <c r="E168" i="4"/>
  <c r="D168" i="4"/>
  <c r="B169" i="4"/>
  <c r="A170" i="4"/>
  <c r="F94" i="4" l="1"/>
  <c r="I94" i="4"/>
  <c r="D94" i="4"/>
  <c r="E94" i="4" s="1"/>
  <c r="M94" i="4" s="1"/>
  <c r="C95" i="4" s="1"/>
  <c r="J94" i="4"/>
  <c r="G93" i="4"/>
  <c r="H93" i="4" s="1"/>
  <c r="K93" i="4"/>
  <c r="L93" i="4" s="1"/>
  <c r="A171" i="4"/>
  <c r="B170" i="4"/>
  <c r="K169" i="4"/>
  <c r="J169" i="4"/>
  <c r="I169" i="4"/>
  <c r="M169" i="4"/>
  <c r="C170" i="4" s="1"/>
  <c r="L169" i="4"/>
  <c r="H169" i="4"/>
  <c r="G169" i="4"/>
  <c r="D169" i="4"/>
  <c r="F169" i="4"/>
  <c r="E169" i="4"/>
  <c r="F95" i="4" l="1"/>
  <c r="I95" i="4"/>
  <c r="J95" i="4"/>
  <c r="D95" i="4"/>
  <c r="E95" i="4" s="1"/>
  <c r="M95" i="4" s="1"/>
  <c r="C96" i="4" s="1"/>
  <c r="G94" i="4"/>
  <c r="H94" i="4" s="1"/>
  <c r="K94" i="4"/>
  <c r="L94" i="4" s="1"/>
  <c r="F170" i="4"/>
  <c r="M170" i="4"/>
  <c r="C171" i="4" s="1"/>
  <c r="E170" i="4"/>
  <c r="L170" i="4"/>
  <c r="D170" i="4"/>
  <c r="K170" i="4"/>
  <c r="J170" i="4"/>
  <c r="I170" i="4"/>
  <c r="H170" i="4"/>
  <c r="G170" i="4"/>
  <c r="B171" i="4"/>
  <c r="A172" i="4"/>
  <c r="J96" i="4" l="1"/>
  <c r="D96" i="4"/>
  <c r="F96" i="4"/>
  <c r="I96" i="4"/>
  <c r="G95" i="4"/>
  <c r="H95" i="4" s="1"/>
  <c r="K95" i="4"/>
  <c r="L95" i="4" s="1"/>
  <c r="B172" i="4"/>
  <c r="A173" i="4"/>
  <c r="I171" i="4"/>
  <c r="H171" i="4"/>
  <c r="G171" i="4"/>
  <c r="M171" i="4"/>
  <c r="C172" i="4" s="1"/>
  <c r="L171" i="4"/>
  <c r="K171" i="4"/>
  <c r="J171" i="4"/>
  <c r="F171" i="4"/>
  <c r="D171" i="4"/>
  <c r="E171" i="4"/>
  <c r="E96" i="4" l="1"/>
  <c r="G96" i="4" s="1"/>
  <c r="H96" i="4" s="1"/>
  <c r="A174" i="4"/>
  <c r="B173" i="4"/>
  <c r="L172" i="4"/>
  <c r="D172" i="4"/>
  <c r="K172" i="4"/>
  <c r="J172" i="4"/>
  <c r="M172" i="4"/>
  <c r="C173" i="4" s="1"/>
  <c r="I172" i="4"/>
  <c r="H172" i="4"/>
  <c r="G172" i="4"/>
  <c r="F172" i="4"/>
  <c r="E172" i="4"/>
  <c r="K96" i="4" l="1"/>
  <c r="L96" i="4" s="1"/>
  <c r="M96" i="4"/>
  <c r="C97" i="4" s="1"/>
  <c r="B174" i="4"/>
  <c r="A175" i="4"/>
  <c r="G173" i="4"/>
  <c r="F173" i="4"/>
  <c r="M173" i="4"/>
  <c r="C174" i="4" s="1"/>
  <c r="E173" i="4"/>
  <c r="L173" i="4"/>
  <c r="K173" i="4"/>
  <c r="J173" i="4"/>
  <c r="I173" i="4"/>
  <c r="H173" i="4"/>
  <c r="D173" i="4"/>
  <c r="D97" i="4" l="1"/>
  <c r="J97" i="4"/>
  <c r="I97" i="4"/>
  <c r="F97" i="4"/>
  <c r="A176" i="4"/>
  <c r="B175" i="4"/>
  <c r="J174" i="4"/>
  <c r="I174" i="4"/>
  <c r="H174" i="4"/>
  <c r="M174" i="4"/>
  <c r="C175" i="4" s="1"/>
  <c r="L174" i="4"/>
  <c r="K174" i="4"/>
  <c r="G174" i="4"/>
  <c r="F174" i="4"/>
  <c r="D174" i="4"/>
  <c r="E174" i="4"/>
  <c r="E97" i="4" l="1"/>
  <c r="G97" i="4" s="1"/>
  <c r="H97" i="4" s="1"/>
  <c r="M175" i="4"/>
  <c r="C176" i="4" s="1"/>
  <c r="E175" i="4"/>
  <c r="L175" i="4"/>
  <c r="D175" i="4"/>
  <c r="K175" i="4"/>
  <c r="J175" i="4"/>
  <c r="I175" i="4"/>
  <c r="H175" i="4"/>
  <c r="G175" i="4"/>
  <c r="F175" i="4"/>
  <c r="A177" i="4"/>
  <c r="B176" i="4"/>
  <c r="K97" i="4" l="1"/>
  <c r="L97" i="4" s="1"/>
  <c r="M97" i="4"/>
  <c r="C98" i="4" s="1"/>
  <c r="B177" i="4"/>
  <c r="A178" i="4"/>
  <c r="H176" i="4"/>
  <c r="G176" i="4"/>
  <c r="F176" i="4"/>
  <c r="L176" i="4"/>
  <c r="K176" i="4"/>
  <c r="J176" i="4"/>
  <c r="I176" i="4"/>
  <c r="E176" i="4"/>
  <c r="D176" i="4"/>
  <c r="M176" i="4"/>
  <c r="C177" i="4" s="1"/>
  <c r="I98" i="4" l="1"/>
  <c r="F98" i="4"/>
  <c r="J98" i="4"/>
  <c r="D98" i="4"/>
  <c r="A179" i="4"/>
  <c r="B178" i="4"/>
  <c r="K177" i="4"/>
  <c r="J177" i="4"/>
  <c r="I177" i="4"/>
  <c r="M177" i="4"/>
  <c r="C178" i="4" s="1"/>
  <c r="L177" i="4"/>
  <c r="H177" i="4"/>
  <c r="G177" i="4"/>
  <c r="F177" i="4"/>
  <c r="E177" i="4"/>
  <c r="D177" i="4"/>
  <c r="E98" i="4" l="1"/>
  <c r="G98" i="4" s="1"/>
  <c r="H98" i="4" s="1"/>
  <c r="B179" i="4"/>
  <c r="A180" i="4"/>
  <c r="F178" i="4"/>
  <c r="M178" i="4"/>
  <c r="C179" i="4" s="1"/>
  <c r="E178" i="4"/>
  <c r="L178" i="4"/>
  <c r="D178" i="4"/>
  <c r="K178" i="4"/>
  <c r="J178" i="4"/>
  <c r="I178" i="4"/>
  <c r="H178" i="4"/>
  <c r="G178" i="4"/>
  <c r="K98" i="4" l="1"/>
  <c r="L98" i="4" s="1"/>
  <c r="M98" i="4"/>
  <c r="C99" i="4" s="1"/>
  <c r="B180" i="4"/>
  <c r="A181" i="4"/>
  <c r="I179" i="4"/>
  <c r="H179" i="4"/>
  <c r="G179" i="4"/>
  <c r="L179" i="4"/>
  <c r="K179" i="4"/>
  <c r="J179" i="4"/>
  <c r="F179" i="4"/>
  <c r="E179" i="4"/>
  <c r="D179" i="4"/>
  <c r="M179" i="4"/>
  <c r="C180" i="4" s="1"/>
  <c r="J99" i="4" l="1"/>
  <c r="F99" i="4"/>
  <c r="I99" i="4"/>
  <c r="D99" i="4"/>
  <c r="E99" i="4" s="1"/>
  <c r="L180" i="4"/>
  <c r="D180" i="4"/>
  <c r="K180" i="4"/>
  <c r="J180" i="4"/>
  <c r="M180" i="4"/>
  <c r="C181" i="4" s="1"/>
  <c r="I180" i="4"/>
  <c r="H180" i="4"/>
  <c r="G180" i="4"/>
  <c r="F180" i="4"/>
  <c r="E180" i="4"/>
  <c r="A182" i="4"/>
  <c r="B181" i="4"/>
  <c r="G99" i="4" l="1"/>
  <c r="H99" i="4" s="1"/>
  <c r="K99" i="4"/>
  <c r="L99" i="4" s="1"/>
  <c r="M99" i="4"/>
  <c r="C100" i="4" s="1"/>
  <c r="B182" i="4"/>
  <c r="A183" i="4"/>
  <c r="G181" i="4"/>
  <c r="F181" i="4"/>
  <c r="M181" i="4"/>
  <c r="C182" i="4" s="1"/>
  <c r="E181" i="4"/>
  <c r="K181" i="4"/>
  <c r="J181" i="4"/>
  <c r="I181" i="4"/>
  <c r="H181" i="4"/>
  <c r="D181" i="4"/>
  <c r="L181" i="4"/>
  <c r="J100" i="4" l="1"/>
  <c r="I100" i="4"/>
  <c r="F100" i="4"/>
  <c r="D100" i="4"/>
  <c r="A184" i="4"/>
  <c r="B183" i="4"/>
  <c r="J182" i="4"/>
  <c r="I182" i="4"/>
  <c r="H182" i="4"/>
  <c r="L182" i="4"/>
  <c r="K182" i="4"/>
  <c r="G182" i="4"/>
  <c r="F182" i="4"/>
  <c r="E182" i="4"/>
  <c r="M182" i="4"/>
  <c r="C183" i="4" s="1"/>
  <c r="D182" i="4"/>
  <c r="E100" i="4" l="1"/>
  <c r="M183" i="4"/>
  <c r="C184" i="4" s="1"/>
  <c r="E183" i="4"/>
  <c r="L183" i="4"/>
  <c r="D183" i="4"/>
  <c r="K183" i="4"/>
  <c r="J183" i="4"/>
  <c r="I183" i="4"/>
  <c r="H183" i="4"/>
  <c r="G183" i="4"/>
  <c r="F183" i="4"/>
  <c r="A185" i="4"/>
  <c r="B184" i="4"/>
  <c r="K100" i="4" l="1"/>
  <c r="L100" i="4" s="1"/>
  <c r="M100" i="4"/>
  <c r="C101" i="4" s="1"/>
  <c r="G100" i="4"/>
  <c r="H100" i="4" s="1"/>
  <c r="H184" i="4"/>
  <c r="G184" i="4"/>
  <c r="F184" i="4"/>
  <c r="K184" i="4"/>
  <c r="J184" i="4"/>
  <c r="I184" i="4"/>
  <c r="E184" i="4"/>
  <c r="D184" i="4"/>
  <c r="L184" i="4"/>
  <c r="M184" i="4"/>
  <c r="C185" i="4" s="1"/>
  <c r="B185" i="4"/>
  <c r="A186" i="4"/>
  <c r="I101" i="4" l="1"/>
  <c r="F101" i="4"/>
  <c r="J101" i="4"/>
  <c r="D101" i="4"/>
  <c r="A187" i="4"/>
  <c r="B186" i="4"/>
  <c r="K185" i="4"/>
  <c r="J185" i="4"/>
  <c r="I185" i="4"/>
  <c r="L185" i="4"/>
  <c r="H185" i="4"/>
  <c r="G185" i="4"/>
  <c r="F185" i="4"/>
  <c r="E185" i="4"/>
  <c r="M185" i="4"/>
  <c r="C186" i="4" s="1"/>
  <c r="D185" i="4"/>
  <c r="E101" i="4" l="1"/>
  <c r="F186" i="4"/>
  <c r="M186" i="4"/>
  <c r="C187" i="4" s="1"/>
  <c r="E186" i="4"/>
  <c r="L186" i="4"/>
  <c r="D186" i="4"/>
  <c r="J186" i="4"/>
  <c r="I186" i="4"/>
  <c r="H186" i="4"/>
  <c r="G186" i="4"/>
  <c r="K186" i="4"/>
  <c r="A188" i="4"/>
  <c r="B187" i="4"/>
  <c r="K101" i="4" l="1"/>
  <c r="L101" i="4" s="1"/>
  <c r="M101" i="4"/>
  <c r="C102" i="4" s="1"/>
  <c r="G101" i="4"/>
  <c r="H101" i="4" s="1"/>
  <c r="I187" i="4"/>
  <c r="H187" i="4"/>
  <c r="G187" i="4"/>
  <c r="K187" i="4"/>
  <c r="J187" i="4"/>
  <c r="F187" i="4"/>
  <c r="E187" i="4"/>
  <c r="D187" i="4"/>
  <c r="M187" i="4"/>
  <c r="C188" i="4" s="1"/>
  <c r="L187" i="4"/>
  <c r="B188" i="4"/>
  <c r="A189" i="4"/>
  <c r="I102" i="4" l="1"/>
  <c r="F102" i="4"/>
  <c r="D102" i="4"/>
  <c r="J102" i="4"/>
  <c r="L188" i="4"/>
  <c r="D188" i="4"/>
  <c r="K188" i="4"/>
  <c r="J188" i="4"/>
  <c r="I188" i="4"/>
  <c r="H188" i="4"/>
  <c r="G188" i="4"/>
  <c r="F188" i="4"/>
  <c r="E188" i="4"/>
  <c r="M188" i="4"/>
  <c r="C189" i="4" s="1"/>
  <c r="A190" i="4"/>
  <c r="B189" i="4"/>
  <c r="E102" i="4" l="1"/>
  <c r="G102" i="4"/>
  <c r="H102" i="4" s="1"/>
  <c r="G189" i="4"/>
  <c r="F189" i="4"/>
  <c r="M189" i="4"/>
  <c r="C190" i="4" s="1"/>
  <c r="E189" i="4"/>
  <c r="J189" i="4"/>
  <c r="I189" i="4"/>
  <c r="H189" i="4"/>
  <c r="D189" i="4"/>
  <c r="K189" i="4"/>
  <c r="L189" i="4"/>
  <c r="B190" i="4"/>
  <c r="A191" i="4"/>
  <c r="K102" i="4" l="1"/>
  <c r="L102" i="4" s="1"/>
  <c r="M102" i="4"/>
  <c r="C103" i="4" s="1"/>
  <c r="B191" i="4"/>
  <c r="A192" i="4"/>
  <c r="J190" i="4"/>
  <c r="I190" i="4"/>
  <c r="H190" i="4"/>
  <c r="K190" i="4"/>
  <c r="G190" i="4"/>
  <c r="F190" i="4"/>
  <c r="E190" i="4"/>
  <c r="D190" i="4"/>
  <c r="M190" i="4"/>
  <c r="C191" i="4" s="1"/>
  <c r="L190" i="4"/>
  <c r="F103" i="4" l="1"/>
  <c r="J103" i="4"/>
  <c r="D103" i="4"/>
  <c r="I103" i="4"/>
  <c r="M191" i="4"/>
  <c r="C192" i="4" s="1"/>
  <c r="E191" i="4"/>
  <c r="L191" i="4"/>
  <c r="D191" i="4"/>
  <c r="K191" i="4"/>
  <c r="I191" i="4"/>
  <c r="H191" i="4"/>
  <c r="G191" i="4"/>
  <c r="F191" i="4"/>
  <c r="J191" i="4"/>
  <c r="A193" i="4"/>
  <c r="B192" i="4"/>
  <c r="E103" i="4" l="1"/>
  <c r="B193" i="4"/>
  <c r="A194" i="4"/>
  <c r="H192" i="4"/>
  <c r="G192" i="4"/>
  <c r="F192" i="4"/>
  <c r="J192" i="4"/>
  <c r="I192" i="4"/>
  <c r="E192" i="4"/>
  <c r="D192" i="4"/>
  <c r="K192" i="4"/>
  <c r="M192" i="4"/>
  <c r="C193" i="4" s="1"/>
  <c r="L192" i="4"/>
  <c r="K103" i="4" l="1"/>
  <c r="L103" i="4" s="1"/>
  <c r="M103" i="4"/>
  <c r="C104" i="4" s="1"/>
  <c r="G103" i="4"/>
  <c r="H103" i="4" s="1"/>
  <c r="A195" i="4"/>
  <c r="B194" i="4"/>
  <c r="K193" i="4"/>
  <c r="J193" i="4"/>
  <c r="I193" i="4"/>
  <c r="H193" i="4"/>
  <c r="G193" i="4"/>
  <c r="F193" i="4"/>
  <c r="E193" i="4"/>
  <c r="D193" i="4"/>
  <c r="M193" i="4"/>
  <c r="C194" i="4" s="1"/>
  <c r="L193" i="4"/>
  <c r="J104" i="4" l="1"/>
  <c r="D104" i="4"/>
  <c r="F104" i="4"/>
  <c r="I104" i="4"/>
  <c r="A196" i="4"/>
  <c r="B195" i="4"/>
  <c r="F194" i="4"/>
  <c r="M194" i="4"/>
  <c r="C195" i="4" s="1"/>
  <c r="E194" i="4"/>
  <c r="L194" i="4"/>
  <c r="D194" i="4"/>
  <c r="I194" i="4"/>
  <c r="H194" i="4"/>
  <c r="G194" i="4"/>
  <c r="J194" i="4"/>
  <c r="K194" i="4"/>
  <c r="E104" i="4" l="1"/>
  <c r="G104" i="4" s="1"/>
  <c r="H104" i="4" s="1"/>
  <c r="I195" i="4"/>
  <c r="H195" i="4"/>
  <c r="G195" i="4"/>
  <c r="J195" i="4"/>
  <c r="F195" i="4"/>
  <c r="E195" i="4"/>
  <c r="D195" i="4"/>
  <c r="M195" i="4"/>
  <c r="C196" i="4" s="1"/>
  <c r="L195" i="4"/>
  <c r="K195" i="4"/>
  <c r="B196" i="4"/>
  <c r="A197" i="4"/>
  <c r="K104" i="4" l="1"/>
  <c r="L104" i="4" s="1"/>
  <c r="M104" i="4"/>
  <c r="C105" i="4" s="1"/>
  <c r="L196" i="4"/>
  <c r="D196" i="4"/>
  <c r="K196" i="4"/>
  <c r="J196" i="4"/>
  <c r="H196" i="4"/>
  <c r="G196" i="4"/>
  <c r="F196" i="4"/>
  <c r="E196" i="4"/>
  <c r="M196" i="4"/>
  <c r="C197" i="4" s="1"/>
  <c r="I196" i="4"/>
  <c r="A198" i="4"/>
  <c r="B197" i="4"/>
  <c r="F105" i="4" l="1"/>
  <c r="D105" i="4"/>
  <c r="E105" i="4" s="1"/>
  <c r="M105" i="4" s="1"/>
  <c r="C106" i="4" s="1"/>
  <c r="J105" i="4"/>
  <c r="I105" i="4"/>
  <c r="B198" i="4"/>
  <c r="A199" i="4"/>
  <c r="G197" i="4"/>
  <c r="F197" i="4"/>
  <c r="M197" i="4"/>
  <c r="C198" i="4" s="1"/>
  <c r="E197" i="4"/>
  <c r="I197" i="4"/>
  <c r="H197" i="4"/>
  <c r="D197" i="4"/>
  <c r="K197" i="4"/>
  <c r="J197" i="4"/>
  <c r="L197" i="4"/>
  <c r="I106" i="4" l="1"/>
  <c r="D106" i="4"/>
  <c r="E106" i="4" s="1"/>
  <c r="M106" i="4" s="1"/>
  <c r="C107" i="4" s="1"/>
  <c r="J106" i="4"/>
  <c r="F106" i="4"/>
  <c r="G105" i="4"/>
  <c r="H105" i="4" s="1"/>
  <c r="K105" i="4"/>
  <c r="L105" i="4" s="1"/>
  <c r="B199" i="4"/>
  <c r="A200" i="4"/>
  <c r="J198" i="4"/>
  <c r="I198" i="4"/>
  <c r="H198" i="4"/>
  <c r="G198" i="4"/>
  <c r="F198" i="4"/>
  <c r="E198" i="4"/>
  <c r="D198" i="4"/>
  <c r="M198" i="4"/>
  <c r="C199" i="4" s="1"/>
  <c r="L198" i="4"/>
  <c r="K198" i="4"/>
  <c r="G106" i="4" l="1"/>
  <c r="H106" i="4" s="1"/>
  <c r="K106" i="4"/>
  <c r="L106" i="4" s="1"/>
  <c r="F107" i="4"/>
  <c r="J107" i="4"/>
  <c r="D107" i="4"/>
  <c r="I107" i="4"/>
  <c r="M199" i="4"/>
  <c r="C200" i="4" s="1"/>
  <c r="E199" i="4"/>
  <c r="L199" i="4"/>
  <c r="D199" i="4"/>
  <c r="K199" i="4"/>
  <c r="H199" i="4"/>
  <c r="G199" i="4"/>
  <c r="F199" i="4"/>
  <c r="I199" i="4"/>
  <c r="J199" i="4"/>
  <c r="A201" i="4"/>
  <c r="B200" i="4"/>
  <c r="E107" i="4" l="1"/>
  <c r="G107" i="4" s="1"/>
  <c r="H107" i="4" s="1"/>
  <c r="B201" i="4"/>
  <c r="A202" i="4"/>
  <c r="H200" i="4"/>
  <c r="G200" i="4"/>
  <c r="F200" i="4"/>
  <c r="I200" i="4"/>
  <c r="E200" i="4"/>
  <c r="D200" i="4"/>
  <c r="M200" i="4"/>
  <c r="C201" i="4" s="1"/>
  <c r="J200" i="4"/>
  <c r="L200" i="4"/>
  <c r="K200" i="4"/>
  <c r="K107" i="4" l="1"/>
  <c r="L107" i="4" s="1"/>
  <c r="M107" i="4"/>
  <c r="C108" i="4" s="1"/>
  <c r="A203" i="4"/>
  <c r="B202" i="4"/>
  <c r="K201" i="4"/>
  <c r="J201" i="4"/>
  <c r="I201" i="4"/>
  <c r="G201" i="4"/>
  <c r="F201" i="4"/>
  <c r="E201" i="4"/>
  <c r="D201" i="4"/>
  <c r="M201" i="4"/>
  <c r="C202" i="4" s="1"/>
  <c r="L201" i="4"/>
  <c r="H201" i="4"/>
  <c r="D108" i="4" l="1"/>
  <c r="E108" i="4" s="1"/>
  <c r="M108" i="4" s="1"/>
  <c r="C109" i="4" s="1"/>
  <c r="J108" i="4"/>
  <c r="F108" i="4"/>
  <c r="I108" i="4"/>
  <c r="F202" i="4"/>
  <c r="M202" i="4"/>
  <c r="C203" i="4" s="1"/>
  <c r="E202" i="4"/>
  <c r="L202" i="4"/>
  <c r="D202" i="4"/>
  <c r="H202" i="4"/>
  <c r="G202" i="4"/>
  <c r="K202" i="4"/>
  <c r="J202" i="4"/>
  <c r="I202" i="4"/>
  <c r="A204" i="4"/>
  <c r="B203" i="4"/>
  <c r="I109" i="4" l="1"/>
  <c r="J109" i="4"/>
  <c r="D109" i="4"/>
  <c r="E109" i="4" s="1"/>
  <c r="M109" i="4" s="1"/>
  <c r="C110" i="4" s="1"/>
  <c r="F109" i="4"/>
  <c r="G108" i="4"/>
  <c r="H108" i="4" s="1"/>
  <c r="K108" i="4"/>
  <c r="L108" i="4" s="1"/>
  <c r="B204" i="4"/>
  <c r="A205" i="4"/>
  <c r="I203" i="4"/>
  <c r="H203" i="4"/>
  <c r="G203" i="4"/>
  <c r="F203" i="4"/>
  <c r="E203" i="4"/>
  <c r="D203" i="4"/>
  <c r="M203" i="4"/>
  <c r="C204" i="4" s="1"/>
  <c r="L203" i="4"/>
  <c r="K203" i="4"/>
  <c r="J203" i="4"/>
  <c r="J110" i="4" l="1"/>
  <c r="D110" i="4"/>
  <c r="E110" i="4" s="1"/>
  <c r="F110" i="4"/>
  <c r="I110" i="4"/>
  <c r="M110" i="4"/>
  <c r="C111" i="4" s="1"/>
  <c r="G109" i="4"/>
  <c r="H109" i="4" s="1"/>
  <c r="K109" i="4"/>
  <c r="L109" i="4" s="1"/>
  <c r="A206" i="4"/>
  <c r="B205" i="4"/>
  <c r="L204" i="4"/>
  <c r="D204" i="4"/>
  <c r="K204" i="4"/>
  <c r="J204" i="4"/>
  <c r="G204" i="4"/>
  <c r="F204" i="4"/>
  <c r="E204" i="4"/>
  <c r="I204" i="4"/>
  <c r="M204" i="4"/>
  <c r="C205" i="4" s="1"/>
  <c r="H204" i="4"/>
  <c r="J111" i="4" l="1"/>
  <c r="I111" i="4"/>
  <c r="D111" i="4"/>
  <c r="E111" i="4" s="1"/>
  <c r="F111" i="4"/>
  <c r="M111" i="4"/>
  <c r="C112" i="4" s="1"/>
  <c r="G110" i="4"/>
  <c r="H110" i="4" s="1"/>
  <c r="K110" i="4"/>
  <c r="L110" i="4" s="1"/>
  <c r="B206" i="4"/>
  <c r="A207" i="4"/>
  <c r="G205" i="4"/>
  <c r="F205" i="4"/>
  <c r="M205" i="4"/>
  <c r="C206" i="4" s="1"/>
  <c r="E205" i="4"/>
  <c r="H205" i="4"/>
  <c r="D205" i="4"/>
  <c r="L205" i="4"/>
  <c r="I205" i="4"/>
  <c r="J205" i="4"/>
  <c r="K205" i="4"/>
  <c r="G111" i="4" l="1"/>
  <c r="H111" i="4" s="1"/>
  <c r="K111" i="4"/>
  <c r="L111" i="4" s="1"/>
  <c r="D112" i="4"/>
  <c r="I112" i="4"/>
  <c r="F112" i="4"/>
  <c r="J112" i="4"/>
  <c r="A208" i="4"/>
  <c r="B207" i="4"/>
  <c r="L206" i="4"/>
  <c r="D206" i="4"/>
  <c r="K206" i="4"/>
  <c r="J206" i="4"/>
  <c r="I206" i="4"/>
  <c r="H206" i="4"/>
  <c r="M206" i="4"/>
  <c r="C207" i="4" s="1"/>
  <c r="G206" i="4"/>
  <c r="F206" i="4"/>
  <c r="E206" i="4"/>
  <c r="E112" i="4" l="1"/>
  <c r="G112" i="4" s="1"/>
  <c r="H112" i="4" s="1"/>
  <c r="G207" i="4"/>
  <c r="F207" i="4"/>
  <c r="M207" i="4"/>
  <c r="C208" i="4" s="1"/>
  <c r="E207" i="4"/>
  <c r="L207" i="4"/>
  <c r="D207" i="4"/>
  <c r="K207" i="4"/>
  <c r="J207" i="4"/>
  <c r="I207" i="4"/>
  <c r="H207" i="4"/>
  <c r="B208" i="4"/>
  <c r="A209" i="4"/>
  <c r="K112" i="4" l="1"/>
  <c r="L112" i="4" s="1"/>
  <c r="M112" i="4"/>
  <c r="C113" i="4" s="1"/>
  <c r="J208" i="4"/>
  <c r="I208" i="4"/>
  <c r="H208" i="4"/>
  <c r="G208" i="4"/>
  <c r="F208" i="4"/>
  <c r="E208" i="4"/>
  <c r="D208" i="4"/>
  <c r="K208" i="4"/>
  <c r="M208" i="4"/>
  <c r="C209" i="4" s="1"/>
  <c r="L208" i="4"/>
  <c r="B209" i="4"/>
  <c r="A210" i="4"/>
  <c r="F113" i="4" l="1"/>
  <c r="I113" i="4"/>
  <c r="J113" i="4"/>
  <c r="D113" i="4"/>
  <c r="E113" i="4" s="1"/>
  <c r="M209" i="4"/>
  <c r="C210" i="4" s="1"/>
  <c r="E209" i="4"/>
  <c r="L209" i="4"/>
  <c r="D209" i="4"/>
  <c r="K209" i="4"/>
  <c r="J209" i="4"/>
  <c r="I209" i="4"/>
  <c r="H209" i="4"/>
  <c r="G209" i="4"/>
  <c r="F209" i="4"/>
  <c r="A211" i="4"/>
  <c r="B210" i="4"/>
  <c r="G113" i="4" l="1"/>
  <c r="H113" i="4" s="1"/>
  <c r="K113" i="4"/>
  <c r="L113" i="4" s="1"/>
  <c r="M113" i="4"/>
  <c r="C114" i="4" s="1"/>
  <c r="B211" i="4"/>
  <c r="A212" i="4"/>
  <c r="H210" i="4"/>
  <c r="G210" i="4"/>
  <c r="F210" i="4"/>
  <c r="M210" i="4"/>
  <c r="C211" i="4" s="1"/>
  <c r="E210" i="4"/>
  <c r="L210" i="4"/>
  <c r="D210" i="4"/>
  <c r="K210" i="4"/>
  <c r="J210" i="4"/>
  <c r="I210" i="4"/>
  <c r="F114" i="4" l="1"/>
  <c r="I114" i="4"/>
  <c r="J114" i="4"/>
  <c r="D114" i="4"/>
  <c r="A213" i="4"/>
  <c r="B212" i="4"/>
  <c r="K211" i="4"/>
  <c r="J211" i="4"/>
  <c r="I211" i="4"/>
  <c r="H211" i="4"/>
  <c r="G211" i="4"/>
  <c r="L211" i="4"/>
  <c r="F211" i="4"/>
  <c r="E211" i="4"/>
  <c r="D211" i="4"/>
  <c r="M211" i="4"/>
  <c r="C212" i="4" s="1"/>
  <c r="E114" i="4" l="1"/>
  <c r="G114" i="4" s="1"/>
  <c r="H114" i="4" s="1"/>
  <c r="F212" i="4"/>
  <c r="M212" i="4"/>
  <c r="C213" i="4" s="1"/>
  <c r="E212" i="4"/>
  <c r="L212" i="4"/>
  <c r="D212" i="4"/>
  <c r="K212" i="4"/>
  <c r="J212" i="4"/>
  <c r="I212" i="4"/>
  <c r="H212" i="4"/>
  <c r="G212" i="4"/>
  <c r="A214" i="4"/>
  <c r="B213" i="4"/>
  <c r="K114" i="4" l="1"/>
  <c r="L114" i="4" s="1"/>
  <c r="M114" i="4"/>
  <c r="C115" i="4" s="1"/>
  <c r="I213" i="4"/>
  <c r="H213" i="4"/>
  <c r="G213" i="4"/>
  <c r="F213" i="4"/>
  <c r="M213" i="4"/>
  <c r="C214" i="4" s="1"/>
  <c r="E213" i="4"/>
  <c r="D213" i="4"/>
  <c r="J213" i="4"/>
  <c r="K213" i="4"/>
  <c r="L213" i="4"/>
  <c r="B214" i="4"/>
  <c r="A215" i="4"/>
  <c r="J115" i="4" l="1"/>
  <c r="D115" i="4"/>
  <c r="E115" i="4" s="1"/>
  <c r="I115" i="4"/>
  <c r="F115" i="4"/>
  <c r="M115" i="4"/>
  <c r="C116" i="4" s="1"/>
  <c r="A216" i="4"/>
  <c r="B215" i="4"/>
  <c r="L214" i="4"/>
  <c r="D214" i="4"/>
  <c r="K214" i="4"/>
  <c r="J214" i="4"/>
  <c r="I214" i="4"/>
  <c r="H214" i="4"/>
  <c r="M214" i="4"/>
  <c r="C215" i="4" s="1"/>
  <c r="G214" i="4"/>
  <c r="F214" i="4"/>
  <c r="E214" i="4"/>
  <c r="F116" i="4" l="1"/>
  <c r="D116" i="4"/>
  <c r="I116" i="4"/>
  <c r="J116" i="4"/>
  <c r="G115" i="4"/>
  <c r="H115" i="4" s="1"/>
  <c r="K115" i="4"/>
  <c r="L115" i="4" s="1"/>
  <c r="G215" i="4"/>
  <c r="F215" i="4"/>
  <c r="M215" i="4"/>
  <c r="C216" i="4" s="1"/>
  <c r="E215" i="4"/>
  <c r="L215" i="4"/>
  <c r="D215" i="4"/>
  <c r="K215" i="4"/>
  <c r="J215" i="4"/>
  <c r="I215" i="4"/>
  <c r="H215" i="4"/>
  <c r="B216" i="4"/>
  <c r="A217" i="4"/>
  <c r="E116" i="4" l="1"/>
  <c r="G116" i="4" s="1"/>
  <c r="H116" i="4" s="1"/>
  <c r="B217" i="4"/>
  <c r="A218" i="4"/>
  <c r="J216" i="4"/>
  <c r="I216" i="4"/>
  <c r="H216" i="4"/>
  <c r="G216" i="4"/>
  <c r="F216" i="4"/>
  <c r="K216" i="4"/>
  <c r="E216" i="4"/>
  <c r="D216" i="4"/>
  <c r="M216" i="4"/>
  <c r="C217" i="4" s="1"/>
  <c r="L216" i="4"/>
  <c r="K116" i="4" l="1"/>
  <c r="L116" i="4" s="1"/>
  <c r="M116" i="4"/>
  <c r="C117" i="4" s="1"/>
  <c r="A219" i="4"/>
  <c r="B218" i="4"/>
  <c r="M217" i="4"/>
  <c r="C218" i="4" s="1"/>
  <c r="E217" i="4"/>
  <c r="L217" i="4"/>
  <c r="D217" i="4"/>
  <c r="K217" i="4"/>
  <c r="J217" i="4"/>
  <c r="I217" i="4"/>
  <c r="H217" i="4"/>
  <c r="G217" i="4"/>
  <c r="F217" i="4"/>
  <c r="I117" i="4" l="1"/>
  <c r="F117" i="4"/>
  <c r="D117" i="4"/>
  <c r="J117" i="4"/>
  <c r="H218" i="4"/>
  <c r="G218" i="4"/>
  <c r="F218" i="4"/>
  <c r="M218" i="4"/>
  <c r="C219" i="4" s="1"/>
  <c r="E218" i="4"/>
  <c r="L218" i="4"/>
  <c r="D218" i="4"/>
  <c r="J218" i="4"/>
  <c r="I218" i="4"/>
  <c r="K218" i="4"/>
  <c r="A220" i="4"/>
  <c r="B219" i="4"/>
  <c r="E117" i="4" l="1"/>
  <c r="G219" i="4"/>
  <c r="F219" i="4"/>
  <c r="M219" i="4"/>
  <c r="C220" i="4" s="1"/>
  <c r="L219" i="4"/>
  <c r="K219" i="4"/>
  <c r="J219" i="4"/>
  <c r="I219" i="4"/>
  <c r="H219" i="4"/>
  <c r="E219" i="4"/>
  <c r="D219" i="4"/>
  <c r="B220" i="4"/>
  <c r="A221" i="4"/>
  <c r="K117" i="4" l="1"/>
  <c r="L117" i="4" s="1"/>
  <c r="M117" i="4"/>
  <c r="C118" i="4" s="1"/>
  <c r="G117" i="4"/>
  <c r="H117" i="4" s="1"/>
  <c r="A222" i="4"/>
  <c r="B221" i="4"/>
  <c r="J220" i="4"/>
  <c r="I220" i="4"/>
  <c r="M220" i="4"/>
  <c r="C221" i="4" s="1"/>
  <c r="L220" i="4"/>
  <c r="K220" i="4"/>
  <c r="H220" i="4"/>
  <c r="G220" i="4"/>
  <c r="F220" i="4"/>
  <c r="D220" i="4"/>
  <c r="E220" i="4"/>
  <c r="J118" i="4" l="1"/>
  <c r="I118" i="4"/>
  <c r="D118" i="4"/>
  <c r="F118" i="4"/>
  <c r="M221" i="4"/>
  <c r="C222" i="4" s="1"/>
  <c r="E221" i="4"/>
  <c r="L221" i="4"/>
  <c r="D221" i="4"/>
  <c r="H221" i="4"/>
  <c r="K221" i="4"/>
  <c r="J221" i="4"/>
  <c r="I221" i="4"/>
  <c r="G221" i="4"/>
  <c r="F221" i="4"/>
  <c r="B222" i="4"/>
  <c r="A223" i="4"/>
  <c r="E118" i="4" l="1"/>
  <c r="G118" i="4"/>
  <c r="H118" i="4" s="1"/>
  <c r="B223" i="4"/>
  <c r="A224" i="4"/>
  <c r="H222" i="4"/>
  <c r="G222" i="4"/>
  <c r="K222" i="4"/>
  <c r="L222" i="4"/>
  <c r="J222" i="4"/>
  <c r="I222" i="4"/>
  <c r="F222" i="4"/>
  <c r="E222" i="4"/>
  <c r="M222" i="4"/>
  <c r="C223" i="4" s="1"/>
  <c r="D222" i="4"/>
  <c r="K118" i="4" l="1"/>
  <c r="L118" i="4" s="1"/>
  <c r="M118" i="4"/>
  <c r="C119" i="4" s="1"/>
  <c r="A225" i="4"/>
  <c r="B224" i="4"/>
  <c r="K223" i="4"/>
  <c r="J223" i="4"/>
  <c r="F223" i="4"/>
  <c r="L223" i="4"/>
  <c r="I223" i="4"/>
  <c r="H223" i="4"/>
  <c r="G223" i="4"/>
  <c r="E223" i="4"/>
  <c r="D223" i="4"/>
  <c r="M223" i="4"/>
  <c r="C224" i="4" s="1"/>
  <c r="J119" i="4" l="1"/>
  <c r="D119" i="4"/>
  <c r="E119" i="4" s="1"/>
  <c r="I119" i="4"/>
  <c r="F119" i="4"/>
  <c r="M119" i="4"/>
  <c r="C120" i="4" s="1"/>
  <c r="F224" i="4"/>
  <c r="M224" i="4"/>
  <c r="C225" i="4" s="1"/>
  <c r="E224" i="4"/>
  <c r="I224" i="4"/>
  <c r="K224" i="4"/>
  <c r="J224" i="4"/>
  <c r="H224" i="4"/>
  <c r="G224" i="4"/>
  <c r="D224" i="4"/>
  <c r="L224" i="4"/>
  <c r="B225" i="4"/>
  <c r="A226" i="4"/>
  <c r="G119" i="4" l="1"/>
  <c r="H119" i="4" s="1"/>
  <c r="K119" i="4"/>
  <c r="L119" i="4" s="1"/>
  <c r="D120" i="4"/>
  <c r="F120" i="4"/>
  <c r="I120" i="4"/>
  <c r="J120" i="4"/>
  <c r="A227" i="4"/>
  <c r="B226" i="4"/>
  <c r="I225" i="4"/>
  <c r="H225" i="4"/>
  <c r="L225" i="4"/>
  <c r="D225" i="4"/>
  <c r="K225" i="4"/>
  <c r="J225" i="4"/>
  <c r="G225" i="4"/>
  <c r="F225" i="4"/>
  <c r="E225" i="4"/>
  <c r="M225" i="4"/>
  <c r="C226" i="4" s="1"/>
  <c r="E120" i="4" l="1"/>
  <c r="G120" i="4"/>
  <c r="H120" i="4" s="1"/>
  <c r="L226" i="4"/>
  <c r="D226" i="4"/>
  <c r="K226" i="4"/>
  <c r="G226" i="4"/>
  <c r="J226" i="4"/>
  <c r="I226" i="4"/>
  <c r="H226" i="4"/>
  <c r="F226" i="4"/>
  <c r="E226" i="4"/>
  <c r="M226" i="4"/>
  <c r="C227" i="4" s="1"/>
  <c r="A228" i="4"/>
  <c r="B227" i="4"/>
  <c r="K120" i="4" l="1"/>
  <c r="L120" i="4" s="1"/>
  <c r="M120" i="4"/>
  <c r="C121" i="4" s="1"/>
  <c r="B228" i="4"/>
  <c r="A229" i="4"/>
  <c r="G227" i="4"/>
  <c r="F227" i="4"/>
  <c r="J227" i="4"/>
  <c r="K227" i="4"/>
  <c r="I227" i="4"/>
  <c r="H227" i="4"/>
  <c r="E227" i="4"/>
  <c r="D227" i="4"/>
  <c r="M227" i="4"/>
  <c r="C228" i="4" s="1"/>
  <c r="L227" i="4"/>
  <c r="I121" i="4" l="1"/>
  <c r="J121" i="4"/>
  <c r="D121" i="4"/>
  <c r="F121" i="4"/>
  <c r="A230" i="4"/>
  <c r="B229" i="4"/>
  <c r="J228" i="4"/>
  <c r="I228" i="4"/>
  <c r="M228" i="4"/>
  <c r="C229" i="4" s="1"/>
  <c r="E228" i="4"/>
  <c r="K228" i="4"/>
  <c r="H228" i="4"/>
  <c r="G228" i="4"/>
  <c r="F228" i="4"/>
  <c r="D228" i="4"/>
  <c r="L228" i="4"/>
  <c r="E121" i="4" l="1"/>
  <c r="G121" i="4" s="1"/>
  <c r="H121" i="4" s="1"/>
  <c r="M229" i="4"/>
  <c r="C230" i="4" s="1"/>
  <c r="E229" i="4"/>
  <c r="L229" i="4"/>
  <c r="D229" i="4"/>
  <c r="H229" i="4"/>
  <c r="J229" i="4"/>
  <c r="I229" i="4"/>
  <c r="G229" i="4"/>
  <c r="F229" i="4"/>
  <c r="K229" i="4"/>
  <c r="B230" i="4"/>
  <c r="A231" i="4"/>
  <c r="K121" i="4" l="1"/>
  <c r="L121" i="4" s="1"/>
  <c r="M121" i="4"/>
  <c r="C122" i="4" s="1"/>
  <c r="B231" i="4"/>
  <c r="A232" i="4"/>
  <c r="H230" i="4"/>
  <c r="G230" i="4"/>
  <c r="K230" i="4"/>
  <c r="J230" i="4"/>
  <c r="I230" i="4"/>
  <c r="F230" i="4"/>
  <c r="E230" i="4"/>
  <c r="D230" i="4"/>
  <c r="L230" i="4"/>
  <c r="M230" i="4"/>
  <c r="C231" i="4" s="1"/>
  <c r="J122" i="4" l="1"/>
  <c r="F122" i="4"/>
  <c r="D122" i="4"/>
  <c r="I122" i="4"/>
  <c r="A233" i="4"/>
  <c r="B232" i="4"/>
  <c r="K231" i="4"/>
  <c r="J231" i="4"/>
  <c r="F231" i="4"/>
  <c r="I231" i="4"/>
  <c r="H231" i="4"/>
  <c r="G231" i="4"/>
  <c r="E231" i="4"/>
  <c r="D231" i="4"/>
  <c r="M231" i="4"/>
  <c r="C232" i="4" s="1"/>
  <c r="L231" i="4"/>
  <c r="E122" i="4" l="1"/>
  <c r="G122" i="4" s="1"/>
  <c r="H122" i="4" s="1"/>
  <c r="B233" i="4"/>
  <c r="A234" i="4"/>
  <c r="F232" i="4"/>
  <c r="M232" i="4"/>
  <c r="C233" i="4" s="1"/>
  <c r="E232" i="4"/>
  <c r="I232" i="4"/>
  <c r="J232" i="4"/>
  <c r="H232" i="4"/>
  <c r="G232" i="4"/>
  <c r="D232" i="4"/>
  <c r="L232" i="4"/>
  <c r="K232" i="4"/>
  <c r="K122" i="4" l="1"/>
  <c r="L122" i="4" s="1"/>
  <c r="M122" i="4"/>
  <c r="C123" i="4" s="1"/>
  <c r="B234" i="4"/>
  <c r="A235" i="4"/>
  <c r="I233" i="4"/>
  <c r="H233" i="4"/>
  <c r="L233" i="4"/>
  <c r="D233" i="4"/>
  <c r="J233" i="4"/>
  <c r="G233" i="4"/>
  <c r="F233" i="4"/>
  <c r="E233" i="4"/>
  <c r="M233" i="4"/>
  <c r="C234" i="4" s="1"/>
  <c r="K233" i="4"/>
  <c r="I123" i="4" l="1"/>
  <c r="J123" i="4"/>
  <c r="D123" i="4"/>
  <c r="F123" i="4"/>
  <c r="A236" i="4"/>
  <c r="B235" i="4"/>
  <c r="L234" i="4"/>
  <c r="D234" i="4"/>
  <c r="K234" i="4"/>
  <c r="G234" i="4"/>
  <c r="I234" i="4"/>
  <c r="H234" i="4"/>
  <c r="F234" i="4"/>
  <c r="E234" i="4"/>
  <c r="M234" i="4"/>
  <c r="C235" i="4" s="1"/>
  <c r="J234" i="4"/>
  <c r="E123" i="4" l="1"/>
  <c r="G123" i="4" s="1"/>
  <c r="H123" i="4" s="1"/>
  <c r="G235" i="4"/>
  <c r="F235" i="4"/>
  <c r="J235" i="4"/>
  <c r="I235" i="4"/>
  <c r="H235" i="4"/>
  <c r="E235" i="4"/>
  <c r="D235" i="4"/>
  <c r="L235" i="4"/>
  <c r="K235" i="4"/>
  <c r="M235" i="4"/>
  <c r="C236" i="4" s="1"/>
  <c r="B236" i="4"/>
  <c r="A237" i="4"/>
  <c r="K123" i="4" l="1"/>
  <c r="L123" i="4" s="1"/>
  <c r="M123" i="4"/>
  <c r="C124" i="4" s="1"/>
  <c r="J236" i="4"/>
  <c r="I236" i="4"/>
  <c r="M236" i="4"/>
  <c r="C237" i="4" s="1"/>
  <c r="E236" i="4"/>
  <c r="H236" i="4"/>
  <c r="G236" i="4"/>
  <c r="F236" i="4"/>
  <c r="D236" i="4"/>
  <c r="K236" i="4"/>
  <c r="L236" i="4"/>
  <c r="B237" i="4"/>
  <c r="A238" i="4"/>
  <c r="J124" i="4" l="1"/>
  <c r="D124" i="4"/>
  <c r="E124" i="4" s="1"/>
  <c r="F124" i="4"/>
  <c r="I124" i="4"/>
  <c r="M124" i="4"/>
  <c r="C125" i="4" s="1"/>
  <c r="A239" i="4"/>
  <c r="B238" i="4"/>
  <c r="M237" i="4"/>
  <c r="C238" i="4" s="1"/>
  <c r="E237" i="4"/>
  <c r="L237" i="4"/>
  <c r="D237" i="4"/>
  <c r="H237" i="4"/>
  <c r="I237" i="4"/>
  <c r="G237" i="4"/>
  <c r="F237" i="4"/>
  <c r="K237" i="4"/>
  <c r="J237" i="4"/>
  <c r="J125" i="4" l="1"/>
  <c r="I125" i="4"/>
  <c r="F125" i="4"/>
  <c r="D125" i="4"/>
  <c r="E125" i="4" s="1"/>
  <c r="G124" i="4"/>
  <c r="H124" i="4" s="1"/>
  <c r="K124" i="4"/>
  <c r="L124" i="4" s="1"/>
  <c r="M125" i="4"/>
  <c r="C126" i="4" s="1"/>
  <c r="D126" i="4" s="1"/>
  <c r="H238" i="4"/>
  <c r="G238" i="4"/>
  <c r="K238" i="4"/>
  <c r="I238" i="4"/>
  <c r="F238" i="4"/>
  <c r="E238" i="4"/>
  <c r="D238" i="4"/>
  <c r="J238" i="4"/>
  <c r="M238" i="4"/>
  <c r="C239" i="4" s="1"/>
  <c r="L238" i="4"/>
  <c r="B239" i="4"/>
  <c r="A240" i="4"/>
  <c r="J126" i="4" l="1"/>
  <c r="G125" i="4"/>
  <c r="H125" i="4" s="1"/>
  <c r="K125" i="4"/>
  <c r="L125" i="4" s="1"/>
  <c r="I126" i="4"/>
  <c r="F126" i="4"/>
  <c r="K239" i="4"/>
  <c r="J239" i="4"/>
  <c r="F239" i="4"/>
  <c r="H239" i="4"/>
  <c r="G239" i="4"/>
  <c r="E239" i="4"/>
  <c r="D239" i="4"/>
  <c r="M239" i="4"/>
  <c r="C240" i="4" s="1"/>
  <c r="L239" i="4"/>
  <c r="I239" i="4"/>
  <c r="E126" i="4"/>
  <c r="A241" i="4"/>
  <c r="B240" i="4"/>
  <c r="K126" i="4" l="1"/>
  <c r="L126" i="4" s="1"/>
  <c r="M126" i="4"/>
  <c r="C127" i="4" s="1"/>
  <c r="F240" i="4"/>
  <c r="M240" i="4"/>
  <c r="C241" i="4" s="1"/>
  <c r="E240" i="4"/>
  <c r="I240" i="4"/>
  <c r="H240" i="4"/>
  <c r="G240" i="4"/>
  <c r="D240" i="4"/>
  <c r="L240" i="4"/>
  <c r="K240" i="4"/>
  <c r="J240" i="4"/>
  <c r="A242" i="4"/>
  <c r="B241" i="4"/>
  <c r="G126" i="4"/>
  <c r="H126" i="4" s="1"/>
  <c r="B242" i="4" l="1"/>
  <c r="A243" i="4"/>
  <c r="I241" i="4"/>
  <c r="H241" i="4"/>
  <c r="L241" i="4"/>
  <c r="D241" i="4"/>
  <c r="G241" i="4"/>
  <c r="F241" i="4"/>
  <c r="E241" i="4"/>
  <c r="M241" i="4"/>
  <c r="C242" i="4" s="1"/>
  <c r="K241" i="4"/>
  <c r="J241" i="4"/>
  <c r="F127" i="4"/>
  <c r="D127" i="4"/>
  <c r="J127" i="4"/>
  <c r="I127" i="4"/>
  <c r="E127" i="4" l="1"/>
  <c r="A244" i="4"/>
  <c r="B243" i="4"/>
  <c r="L242" i="4"/>
  <c r="D242" i="4"/>
  <c r="K242" i="4"/>
  <c r="G242" i="4"/>
  <c r="H242" i="4"/>
  <c r="F242" i="4"/>
  <c r="E242" i="4"/>
  <c r="M242" i="4"/>
  <c r="C243" i="4" s="1"/>
  <c r="J242" i="4"/>
  <c r="I242" i="4"/>
  <c r="B244" i="4" l="1"/>
  <c r="A245" i="4"/>
  <c r="K127" i="4"/>
  <c r="L127" i="4" s="1"/>
  <c r="M127" i="4"/>
  <c r="C128" i="4" s="1"/>
  <c r="G127" i="4"/>
  <c r="H127" i="4" s="1"/>
  <c r="G243" i="4"/>
  <c r="F243" i="4"/>
  <c r="J243" i="4"/>
  <c r="H243" i="4"/>
  <c r="E243" i="4"/>
  <c r="D243" i="4"/>
  <c r="M243" i="4"/>
  <c r="C244" i="4" s="1"/>
  <c r="K243" i="4"/>
  <c r="I243" i="4"/>
  <c r="L243" i="4"/>
  <c r="D128" i="4" l="1"/>
  <c r="I128" i="4"/>
  <c r="F128" i="4"/>
  <c r="J128" i="4"/>
  <c r="A246" i="4"/>
  <c r="B245" i="4"/>
  <c r="J244" i="4"/>
  <c r="I244" i="4"/>
  <c r="M244" i="4"/>
  <c r="C245" i="4" s="1"/>
  <c r="E244" i="4"/>
  <c r="G244" i="4"/>
  <c r="F244" i="4"/>
  <c r="D244" i="4"/>
  <c r="L244" i="4"/>
  <c r="K244" i="4"/>
  <c r="H244" i="4"/>
  <c r="B246" i="4" l="1"/>
  <c r="A247" i="4"/>
  <c r="F245" i="4"/>
  <c r="E245" i="4"/>
  <c r="M245" i="4"/>
  <c r="C246" i="4" s="1"/>
  <c r="D245" i="4"/>
  <c r="I245" i="4"/>
  <c r="H245" i="4"/>
  <c r="G245" i="4"/>
  <c r="L245" i="4"/>
  <c r="K245" i="4"/>
  <c r="J245" i="4"/>
  <c r="E128" i="4"/>
  <c r="K128" i="4" l="1"/>
  <c r="L128" i="4" s="1"/>
  <c r="M128" i="4"/>
  <c r="C129" i="4" s="1"/>
  <c r="G128" i="4"/>
  <c r="H128" i="4" s="1"/>
  <c r="A248" i="4"/>
  <c r="B247" i="4"/>
  <c r="I246" i="4"/>
  <c r="K246" i="4"/>
  <c r="J246" i="4"/>
  <c r="E246" i="4"/>
  <c r="H246" i="4"/>
  <c r="G246" i="4"/>
  <c r="F246" i="4"/>
  <c r="D246" i="4"/>
  <c r="L246" i="4"/>
  <c r="M246" i="4"/>
  <c r="C247" i="4" s="1"/>
  <c r="L247" i="4" l="1"/>
  <c r="D247" i="4"/>
  <c r="G247" i="4"/>
  <c r="F247" i="4"/>
  <c r="J247" i="4"/>
  <c r="K247" i="4"/>
  <c r="I247" i="4"/>
  <c r="H247" i="4"/>
  <c r="E247" i="4"/>
  <c r="M247" i="4"/>
  <c r="C248" i="4" s="1"/>
  <c r="B248" i="4"/>
  <c r="A249" i="4"/>
  <c r="F129" i="4"/>
  <c r="D129" i="4"/>
  <c r="J129" i="4"/>
  <c r="I129" i="4"/>
  <c r="E129" i="4" l="1"/>
  <c r="G248" i="4"/>
  <c r="L248" i="4"/>
  <c r="K248" i="4"/>
  <c r="F248" i="4"/>
  <c r="M248" i="4"/>
  <c r="C249" i="4" s="1"/>
  <c r="J248" i="4"/>
  <c r="I248" i="4"/>
  <c r="H248" i="4"/>
  <c r="E248" i="4"/>
  <c r="D248" i="4"/>
  <c r="B249" i="4"/>
  <c r="A250" i="4"/>
  <c r="B250" i="4" l="1"/>
  <c r="A251" i="4"/>
  <c r="K129" i="4"/>
  <c r="L129" i="4" s="1"/>
  <c r="M129" i="4"/>
  <c r="C130" i="4" s="1"/>
  <c r="J249" i="4"/>
  <c r="H249" i="4"/>
  <c r="G249" i="4"/>
  <c r="L249" i="4"/>
  <c r="M249" i="4"/>
  <c r="C250" i="4" s="1"/>
  <c r="K249" i="4"/>
  <c r="I249" i="4"/>
  <c r="F249" i="4"/>
  <c r="E249" i="4"/>
  <c r="D249" i="4"/>
  <c r="G129" i="4"/>
  <c r="H129" i="4" s="1"/>
  <c r="D130" i="4" l="1"/>
  <c r="J130" i="4"/>
  <c r="I130" i="4"/>
  <c r="F130" i="4"/>
  <c r="A252" i="4"/>
  <c r="B251" i="4"/>
  <c r="M250" i="4"/>
  <c r="C251" i="4" s="1"/>
  <c r="E250" i="4"/>
  <c r="J250" i="4"/>
  <c r="F250" i="4"/>
  <c r="D250" i="4"/>
  <c r="I250" i="4"/>
  <c r="L250" i="4"/>
  <c r="K250" i="4"/>
  <c r="H250" i="4"/>
  <c r="G250" i="4"/>
  <c r="A253" i="4" l="1"/>
  <c r="B252" i="4"/>
  <c r="H251" i="4"/>
  <c r="M251" i="4"/>
  <c r="C252" i="4" s="1"/>
  <c r="E251" i="4"/>
  <c r="L251" i="4"/>
  <c r="G251" i="4"/>
  <c r="F251" i="4"/>
  <c r="D251" i="4"/>
  <c r="K251" i="4"/>
  <c r="J251" i="4"/>
  <c r="I251" i="4"/>
  <c r="E130" i="4"/>
  <c r="G130" i="4" s="1"/>
  <c r="H130" i="4" s="1"/>
  <c r="K130" i="4" l="1"/>
  <c r="L130" i="4" s="1"/>
  <c r="M130" i="4"/>
  <c r="C131" i="4" s="1"/>
  <c r="L252" i="4"/>
  <c r="D252" i="4"/>
  <c r="K252" i="4"/>
  <c r="E252" i="4"/>
  <c r="M252" i="4"/>
  <c r="C253" i="4" s="1"/>
  <c r="J252" i="4"/>
  <c r="G252" i="4"/>
  <c r="I252" i="4"/>
  <c r="H252" i="4"/>
  <c r="F252" i="4"/>
  <c r="A254" i="4"/>
  <c r="B253" i="4"/>
  <c r="G253" i="4" l="1"/>
  <c r="F253" i="4"/>
  <c r="L253" i="4"/>
  <c r="K253" i="4"/>
  <c r="J253" i="4"/>
  <c r="I253" i="4"/>
  <c r="D253" i="4"/>
  <c r="M253" i="4"/>
  <c r="C254" i="4" s="1"/>
  <c r="H253" i="4"/>
  <c r="E253" i="4"/>
  <c r="B254" i="4"/>
  <c r="A255" i="4"/>
  <c r="J131" i="4"/>
  <c r="D131" i="4"/>
  <c r="F131" i="4"/>
  <c r="I131" i="4"/>
  <c r="B255" i="4" l="1"/>
  <c r="A256" i="4"/>
  <c r="E131" i="4"/>
  <c r="G131" i="4" s="1"/>
  <c r="H131" i="4" s="1"/>
  <c r="J254" i="4"/>
  <c r="I254" i="4"/>
  <c r="K254" i="4"/>
  <c r="H254" i="4"/>
  <c r="G254" i="4"/>
  <c r="F254" i="4"/>
  <c r="M254" i="4"/>
  <c r="C255" i="4" s="1"/>
  <c r="L254" i="4"/>
  <c r="E254" i="4"/>
  <c r="D254" i="4"/>
  <c r="K131" i="4" l="1"/>
  <c r="L131" i="4" s="1"/>
  <c r="M131" i="4"/>
  <c r="C132" i="4" s="1"/>
  <c r="A257" i="4"/>
  <c r="B256" i="4"/>
  <c r="M255" i="4"/>
  <c r="C256" i="4" s="1"/>
  <c r="E255" i="4"/>
  <c r="L255" i="4"/>
  <c r="D255" i="4"/>
  <c r="H255" i="4"/>
  <c r="G255" i="4"/>
  <c r="F255" i="4"/>
  <c r="I255" i="4"/>
  <c r="J255" i="4"/>
  <c r="K255" i="4"/>
  <c r="B257" i="4" l="1"/>
  <c r="A258" i="4"/>
  <c r="F132" i="4"/>
  <c r="I132" i="4"/>
  <c r="D132" i="4"/>
  <c r="J132" i="4"/>
  <c r="H256" i="4"/>
  <c r="G256" i="4"/>
  <c r="E256" i="4"/>
  <c r="D256" i="4"/>
  <c r="M256" i="4"/>
  <c r="C257" i="4" s="1"/>
  <c r="L256" i="4"/>
  <c r="I256" i="4"/>
  <c r="F256" i="4"/>
  <c r="K256" i="4"/>
  <c r="J256" i="4"/>
  <c r="E132" i="4" l="1"/>
  <c r="A259" i="4"/>
  <c r="B258" i="4"/>
  <c r="K257" i="4"/>
  <c r="J257" i="4"/>
  <c r="D257" i="4"/>
  <c r="M257" i="4"/>
  <c r="C258" i="4" s="1"/>
  <c r="L257" i="4"/>
  <c r="I257" i="4"/>
  <c r="E257" i="4"/>
  <c r="H257" i="4"/>
  <c r="G257" i="4"/>
  <c r="F257" i="4"/>
  <c r="A260" i="4" l="1"/>
  <c r="B259" i="4"/>
  <c r="K132" i="4"/>
  <c r="L132" i="4" s="1"/>
  <c r="M132" i="4"/>
  <c r="C133" i="4" s="1"/>
  <c r="G132" i="4"/>
  <c r="H132" i="4" s="1"/>
  <c r="F258" i="4"/>
  <c r="M258" i="4"/>
  <c r="C259" i="4" s="1"/>
  <c r="E258" i="4"/>
  <c r="K258" i="4"/>
  <c r="J258" i="4"/>
  <c r="I258" i="4"/>
  <c r="H258" i="4"/>
  <c r="L258" i="4"/>
  <c r="D258" i="4"/>
  <c r="G258" i="4"/>
  <c r="J133" i="4" l="1"/>
  <c r="D133" i="4"/>
  <c r="I133" i="4"/>
  <c r="F133" i="4"/>
  <c r="I259" i="4"/>
  <c r="H259" i="4"/>
  <c r="J259" i="4"/>
  <c r="G259" i="4"/>
  <c r="F259" i="4"/>
  <c r="E259" i="4"/>
  <c r="D259" i="4"/>
  <c r="M259" i="4"/>
  <c r="C260" i="4" s="1"/>
  <c r="L259" i="4"/>
  <c r="K259" i="4"/>
  <c r="A261" i="4"/>
  <c r="B260" i="4"/>
  <c r="A262" i="4" l="1"/>
  <c r="B261" i="4"/>
  <c r="E133" i="4"/>
  <c r="G133" i="4" s="1"/>
  <c r="H133" i="4" s="1"/>
  <c r="L260" i="4"/>
  <c r="D260" i="4"/>
  <c r="K260" i="4"/>
  <c r="G260" i="4"/>
  <c r="F260" i="4"/>
  <c r="E260" i="4"/>
  <c r="M260" i="4"/>
  <c r="C261" i="4" s="1"/>
  <c r="J260" i="4"/>
  <c r="I260" i="4"/>
  <c r="H260" i="4"/>
  <c r="K133" i="4" l="1"/>
  <c r="L133" i="4" s="1"/>
  <c r="M133" i="4"/>
  <c r="C134" i="4" s="1"/>
  <c r="G261" i="4"/>
  <c r="F261" i="4"/>
  <c r="D261" i="4"/>
  <c r="M261" i="4"/>
  <c r="C262" i="4" s="1"/>
  <c r="L261" i="4"/>
  <c r="K261" i="4"/>
  <c r="J261" i="4"/>
  <c r="H261" i="4"/>
  <c r="E261" i="4"/>
  <c r="I261" i="4"/>
  <c r="B262" i="4"/>
  <c r="A263" i="4"/>
  <c r="B263" i="4" l="1"/>
  <c r="A264" i="4"/>
  <c r="I134" i="4"/>
  <c r="F134" i="4"/>
  <c r="J134" i="4"/>
  <c r="D134" i="4"/>
  <c r="J262" i="4"/>
  <c r="I262" i="4"/>
  <c r="M262" i="4"/>
  <c r="C263" i="4" s="1"/>
  <c r="L262" i="4"/>
  <c r="K262" i="4"/>
  <c r="H262" i="4"/>
  <c r="G262" i="4"/>
  <c r="E262" i="4"/>
  <c r="D262" i="4"/>
  <c r="F262" i="4"/>
  <c r="E134" i="4" l="1"/>
  <c r="A265" i="4"/>
  <c r="B264" i="4"/>
  <c r="M263" i="4"/>
  <c r="C264" i="4" s="1"/>
  <c r="E263" i="4"/>
  <c r="L263" i="4"/>
  <c r="D263" i="4"/>
  <c r="J263" i="4"/>
  <c r="I263" i="4"/>
  <c r="H263" i="4"/>
  <c r="G263" i="4"/>
  <c r="F263" i="4"/>
  <c r="K263" i="4"/>
  <c r="H264" i="4" l="1"/>
  <c r="G264" i="4"/>
  <c r="I264" i="4"/>
  <c r="F264" i="4"/>
  <c r="E264" i="4"/>
  <c r="D264" i="4"/>
  <c r="M264" i="4"/>
  <c r="C265" i="4" s="1"/>
  <c r="J264" i="4"/>
  <c r="L264" i="4"/>
  <c r="K264" i="4"/>
  <c r="B265" i="4"/>
  <c r="A266" i="4"/>
  <c r="K134" i="4"/>
  <c r="L134" i="4" s="1"/>
  <c r="M134" i="4"/>
  <c r="C135" i="4" s="1"/>
  <c r="G134" i="4"/>
  <c r="H134" i="4" s="1"/>
  <c r="D135" i="4" l="1"/>
  <c r="J135" i="4"/>
  <c r="F135" i="4"/>
  <c r="I135" i="4"/>
  <c r="A267" i="4"/>
  <c r="B266" i="4"/>
  <c r="K265" i="4"/>
  <c r="J265" i="4"/>
  <c r="F265" i="4"/>
  <c r="E265" i="4"/>
  <c r="D265" i="4"/>
  <c r="M265" i="4"/>
  <c r="C266" i="4" s="1"/>
  <c r="L265" i="4"/>
  <c r="G265" i="4"/>
  <c r="I265" i="4"/>
  <c r="H265" i="4"/>
  <c r="F266" i="4" l="1"/>
  <c r="M266" i="4"/>
  <c r="C267" i="4" s="1"/>
  <c r="E266" i="4"/>
  <c r="L266" i="4"/>
  <c r="K266" i="4"/>
  <c r="J266" i="4"/>
  <c r="I266" i="4"/>
  <c r="H266" i="4"/>
  <c r="G266" i="4"/>
  <c r="D266" i="4"/>
  <c r="B267" i="4"/>
  <c r="A268" i="4"/>
  <c r="E135" i="4"/>
  <c r="K135" i="4" l="1"/>
  <c r="L135" i="4" s="1"/>
  <c r="M135" i="4"/>
  <c r="C136" i="4" s="1"/>
  <c r="G135" i="4"/>
  <c r="H135" i="4" s="1"/>
  <c r="I267" i="4"/>
  <c r="H267" i="4"/>
  <c r="L267" i="4"/>
  <c r="K267" i="4"/>
  <c r="J267" i="4"/>
  <c r="G267" i="4"/>
  <c r="F267" i="4"/>
  <c r="E267" i="4"/>
  <c r="M267" i="4"/>
  <c r="C268" i="4" s="1"/>
  <c r="D267" i="4"/>
  <c r="B268" i="4"/>
  <c r="A269" i="4"/>
  <c r="L268" i="4" l="1"/>
  <c r="D268" i="4"/>
  <c r="K268" i="4"/>
  <c r="I268" i="4"/>
  <c r="H268" i="4"/>
  <c r="G268" i="4"/>
  <c r="F268" i="4"/>
  <c r="E268" i="4"/>
  <c r="M268" i="4"/>
  <c r="C269" i="4" s="1"/>
  <c r="J268" i="4"/>
  <c r="I136" i="4"/>
  <c r="F136" i="4"/>
  <c r="D136" i="4"/>
  <c r="J136" i="4"/>
  <c r="A270" i="4"/>
  <c r="B269" i="4"/>
  <c r="E136" i="4" l="1"/>
  <c r="G136" i="4" s="1"/>
  <c r="H136" i="4" s="1"/>
  <c r="B270" i="4"/>
  <c r="A271" i="4"/>
  <c r="G269" i="4"/>
  <c r="F269" i="4"/>
  <c r="H269" i="4"/>
  <c r="E269" i="4"/>
  <c r="D269" i="4"/>
  <c r="M269" i="4"/>
  <c r="C270" i="4" s="1"/>
  <c r="L269" i="4"/>
  <c r="J269" i="4"/>
  <c r="K269" i="4"/>
  <c r="I269" i="4"/>
  <c r="J270" i="4" l="1"/>
  <c r="I270" i="4"/>
  <c r="E270" i="4"/>
  <c r="D270" i="4"/>
  <c r="M270" i="4"/>
  <c r="C271" i="4" s="1"/>
  <c r="L270" i="4"/>
  <c r="K270" i="4"/>
  <c r="H270" i="4"/>
  <c r="G270" i="4"/>
  <c r="F270" i="4"/>
  <c r="A272" i="4"/>
  <c r="B271" i="4"/>
  <c r="K136" i="4"/>
  <c r="L136" i="4" s="1"/>
  <c r="M136" i="4"/>
  <c r="C137" i="4" s="1"/>
  <c r="J137" i="4" l="1"/>
  <c r="F137" i="4"/>
  <c r="D137" i="4"/>
  <c r="I137" i="4"/>
  <c r="M271" i="4"/>
  <c r="C272" i="4" s="1"/>
  <c r="E271" i="4"/>
  <c r="L271" i="4"/>
  <c r="D271" i="4"/>
  <c r="K271" i="4"/>
  <c r="J271" i="4"/>
  <c r="I271" i="4"/>
  <c r="H271" i="4"/>
  <c r="G271" i="4"/>
  <c r="F271" i="4"/>
  <c r="A273" i="4"/>
  <c r="B272" i="4"/>
  <c r="E137" i="4" l="1"/>
  <c r="G137" i="4"/>
  <c r="H137" i="4" s="1"/>
  <c r="B273" i="4"/>
  <c r="A274" i="4"/>
  <c r="H272" i="4"/>
  <c r="G272" i="4"/>
  <c r="K272" i="4"/>
  <c r="J272" i="4"/>
  <c r="I272" i="4"/>
  <c r="F272" i="4"/>
  <c r="E272" i="4"/>
  <c r="M272" i="4"/>
  <c r="C273" i="4" s="1"/>
  <c r="L272" i="4"/>
  <c r="D272" i="4"/>
  <c r="A275" i="4" l="1"/>
  <c r="B274" i="4"/>
  <c r="K273" i="4"/>
  <c r="J273" i="4"/>
  <c r="H273" i="4"/>
  <c r="G273" i="4"/>
  <c r="F273" i="4"/>
  <c r="E273" i="4"/>
  <c r="D273" i="4"/>
  <c r="M273" i="4"/>
  <c r="C274" i="4" s="1"/>
  <c r="L273" i="4"/>
  <c r="I273" i="4"/>
  <c r="K137" i="4"/>
  <c r="L137" i="4" s="1"/>
  <c r="M137" i="4"/>
  <c r="C138" i="4" s="1"/>
  <c r="I138" i="4" l="1"/>
  <c r="J138" i="4"/>
  <c r="D138" i="4"/>
  <c r="F138" i="4"/>
  <c r="F274" i="4"/>
  <c r="M274" i="4"/>
  <c r="C275" i="4" s="1"/>
  <c r="E274" i="4"/>
  <c r="G274" i="4"/>
  <c r="D274" i="4"/>
  <c r="L274" i="4"/>
  <c r="K274" i="4"/>
  <c r="J274" i="4"/>
  <c r="I274" i="4"/>
  <c r="H274" i="4"/>
  <c r="A276" i="4"/>
  <c r="B275" i="4"/>
  <c r="E138" i="4" l="1"/>
  <c r="G138" i="4" s="1"/>
  <c r="H138" i="4" s="1"/>
  <c r="A277" i="4"/>
  <c r="B276" i="4"/>
  <c r="I275" i="4"/>
  <c r="H275" i="4"/>
  <c r="D275" i="4"/>
  <c r="M275" i="4"/>
  <c r="C276" i="4" s="1"/>
  <c r="L275" i="4"/>
  <c r="K275" i="4"/>
  <c r="J275" i="4"/>
  <c r="F275" i="4"/>
  <c r="E275" i="4"/>
  <c r="G275" i="4"/>
  <c r="L276" i="4" l="1"/>
  <c r="D276" i="4"/>
  <c r="K276" i="4"/>
  <c r="M276" i="4"/>
  <c r="C277" i="4" s="1"/>
  <c r="J276" i="4"/>
  <c r="I276" i="4"/>
  <c r="H276" i="4"/>
  <c r="G276" i="4"/>
  <c r="E276" i="4"/>
  <c r="F276" i="4"/>
  <c r="A278" i="4"/>
  <c r="B277" i="4"/>
  <c r="K138" i="4"/>
  <c r="L138" i="4" s="1"/>
  <c r="M138" i="4"/>
  <c r="C139" i="4" s="1"/>
  <c r="G277" i="4" l="1"/>
  <c r="F277" i="4"/>
  <c r="J277" i="4"/>
  <c r="I277" i="4"/>
  <c r="H277" i="4"/>
  <c r="E277" i="4"/>
  <c r="D277" i="4"/>
  <c r="K277" i="4"/>
  <c r="M277" i="4"/>
  <c r="C278" i="4" s="1"/>
  <c r="L277" i="4"/>
  <c r="J139" i="4"/>
  <c r="I139" i="4"/>
  <c r="F139" i="4"/>
  <c r="D139" i="4"/>
  <c r="B278" i="4"/>
  <c r="A279" i="4"/>
  <c r="J278" i="4" l="1"/>
  <c r="I278" i="4"/>
  <c r="G278" i="4"/>
  <c r="F278" i="4"/>
  <c r="E278" i="4"/>
  <c r="D278" i="4"/>
  <c r="M278" i="4"/>
  <c r="C279" i="4" s="1"/>
  <c r="H278" i="4"/>
  <c r="L278" i="4"/>
  <c r="K278" i="4"/>
  <c r="E139" i="4"/>
  <c r="A280" i="4"/>
  <c r="B279" i="4"/>
  <c r="M279" i="4" l="1"/>
  <c r="C280" i="4" s="1"/>
  <c r="E279" i="4"/>
  <c r="L279" i="4"/>
  <c r="D279" i="4"/>
  <c r="F279" i="4"/>
  <c r="K279" i="4"/>
  <c r="J279" i="4"/>
  <c r="I279" i="4"/>
  <c r="H279" i="4"/>
  <c r="G279" i="4"/>
  <c r="K139" i="4"/>
  <c r="L139" i="4" s="1"/>
  <c r="M139" i="4"/>
  <c r="C140" i="4" s="1"/>
  <c r="B280" i="4"/>
  <c r="A281" i="4"/>
  <c r="G139" i="4"/>
  <c r="H139" i="4" s="1"/>
  <c r="B281" i="4" l="1"/>
  <c r="A282" i="4"/>
  <c r="H280" i="4"/>
  <c r="G280" i="4"/>
  <c r="M280" i="4"/>
  <c r="C281" i="4" s="1"/>
  <c r="L280" i="4"/>
  <c r="K280" i="4"/>
  <c r="J280" i="4"/>
  <c r="I280" i="4"/>
  <c r="F280" i="4"/>
  <c r="D280" i="4"/>
  <c r="E280" i="4"/>
  <c r="F140" i="4"/>
  <c r="D140" i="4"/>
  <c r="I140" i="4"/>
  <c r="J140" i="4"/>
  <c r="A283" i="4" l="1"/>
  <c r="B282" i="4"/>
  <c r="E140" i="4"/>
  <c r="K281" i="4"/>
  <c r="J281" i="4"/>
  <c r="L281" i="4"/>
  <c r="I281" i="4"/>
  <c r="H281" i="4"/>
  <c r="G281" i="4"/>
  <c r="F281" i="4"/>
  <c r="M281" i="4"/>
  <c r="C282" i="4" s="1"/>
  <c r="E281" i="4"/>
  <c r="D281" i="4"/>
  <c r="K140" i="4" l="1"/>
  <c r="L140" i="4" s="1"/>
  <c r="M140" i="4"/>
  <c r="C141" i="4" s="1"/>
  <c r="F282" i="4"/>
  <c r="M282" i="4"/>
  <c r="C283" i="4" s="1"/>
  <c r="E282" i="4"/>
  <c r="I282" i="4"/>
  <c r="H282" i="4"/>
  <c r="G282" i="4"/>
  <c r="D282" i="4"/>
  <c r="K282" i="4"/>
  <c r="J282" i="4"/>
  <c r="L282" i="4"/>
  <c r="A284" i="4"/>
  <c r="B283" i="4"/>
  <c r="G140" i="4"/>
  <c r="H140" i="4" s="1"/>
  <c r="I283" i="4" l="1"/>
  <c r="H283" i="4"/>
  <c r="F283" i="4"/>
  <c r="E283" i="4"/>
  <c r="D283" i="4"/>
  <c r="M283" i="4"/>
  <c r="C284" i="4" s="1"/>
  <c r="L283" i="4"/>
  <c r="K283" i="4"/>
  <c r="J283" i="4"/>
  <c r="G283" i="4"/>
  <c r="J141" i="4"/>
  <c r="F141" i="4"/>
  <c r="I141" i="4"/>
  <c r="D141" i="4"/>
  <c r="A285" i="4"/>
  <c r="B284" i="4"/>
  <c r="A286" i="4" l="1"/>
  <c r="B285" i="4"/>
  <c r="E141" i="4"/>
  <c r="G141" i="4" s="1"/>
  <c r="H141" i="4" s="1"/>
  <c r="L284" i="4"/>
  <c r="D284" i="4"/>
  <c r="K284" i="4"/>
  <c r="E284" i="4"/>
  <c r="M284" i="4"/>
  <c r="C285" i="4" s="1"/>
  <c r="J284" i="4"/>
  <c r="I284" i="4"/>
  <c r="F284" i="4"/>
  <c r="H284" i="4"/>
  <c r="G284" i="4"/>
  <c r="G285" i="4" l="1"/>
  <c r="F285" i="4"/>
  <c r="L285" i="4"/>
  <c r="K285" i="4"/>
  <c r="J285" i="4"/>
  <c r="I285" i="4"/>
  <c r="H285" i="4"/>
  <c r="M285" i="4"/>
  <c r="C286" i="4" s="1"/>
  <c r="E285" i="4"/>
  <c r="D285" i="4"/>
  <c r="K141" i="4"/>
  <c r="L141" i="4" s="1"/>
  <c r="M141" i="4"/>
  <c r="C142" i="4" s="1"/>
  <c r="B286" i="4"/>
  <c r="A287" i="4"/>
  <c r="J142" i="4" l="1"/>
  <c r="I142" i="4"/>
  <c r="D142" i="4"/>
  <c r="F142" i="4"/>
  <c r="A288" i="4"/>
  <c r="B287" i="4"/>
  <c r="J286" i="4"/>
  <c r="I286" i="4"/>
  <c r="K286" i="4"/>
  <c r="H286" i="4"/>
  <c r="G286" i="4"/>
  <c r="F286" i="4"/>
  <c r="E286" i="4"/>
  <c r="D286" i="4"/>
  <c r="M286" i="4"/>
  <c r="C287" i="4" s="1"/>
  <c r="L286" i="4"/>
  <c r="E142" i="4" l="1"/>
  <c r="M287" i="4"/>
  <c r="C288" i="4" s="1"/>
  <c r="E287" i="4"/>
  <c r="L287" i="4"/>
  <c r="D287" i="4"/>
  <c r="H287" i="4"/>
  <c r="G287" i="4"/>
  <c r="F287" i="4"/>
  <c r="K287" i="4"/>
  <c r="J287" i="4"/>
  <c r="I287" i="4"/>
  <c r="A289" i="4"/>
  <c r="B288" i="4"/>
  <c r="H288" i="4" l="1"/>
  <c r="G288" i="4"/>
  <c r="E288" i="4"/>
  <c r="D288" i="4"/>
  <c r="M288" i="4"/>
  <c r="C289" i="4" s="1"/>
  <c r="L288" i="4"/>
  <c r="K288" i="4"/>
  <c r="I288" i="4"/>
  <c r="F288" i="4"/>
  <c r="J288" i="4"/>
  <c r="B289" i="4"/>
  <c r="A290" i="4"/>
  <c r="K142" i="4"/>
  <c r="L142" i="4" s="1"/>
  <c r="M142" i="4"/>
  <c r="C143" i="4" s="1"/>
  <c r="G142" i="4"/>
  <c r="H142" i="4" s="1"/>
  <c r="A291" i="4" l="1"/>
  <c r="B290" i="4"/>
  <c r="D143" i="4"/>
  <c r="J143" i="4"/>
  <c r="F143" i="4"/>
  <c r="I143" i="4"/>
  <c r="K289" i="4"/>
  <c r="J289" i="4"/>
  <c r="D289" i="4"/>
  <c r="M289" i="4"/>
  <c r="C290" i="4" s="1"/>
  <c r="L289" i="4"/>
  <c r="I289" i="4"/>
  <c r="H289" i="4"/>
  <c r="F289" i="4"/>
  <c r="G289" i="4"/>
  <c r="E289" i="4"/>
  <c r="E143" i="4" l="1"/>
  <c r="F290" i="4"/>
  <c r="M290" i="4"/>
  <c r="C291" i="4" s="1"/>
  <c r="E290" i="4"/>
  <c r="K290" i="4"/>
  <c r="J290" i="4"/>
  <c r="I290" i="4"/>
  <c r="H290" i="4"/>
  <c r="G290" i="4"/>
  <c r="L290" i="4"/>
  <c r="D290" i="4"/>
  <c r="A292" i="4"/>
  <c r="B291" i="4"/>
  <c r="I291" i="4" l="1"/>
  <c r="H291" i="4"/>
  <c r="J291" i="4"/>
  <c r="G291" i="4"/>
  <c r="F291" i="4"/>
  <c r="E291" i="4"/>
  <c r="D291" i="4"/>
  <c r="K291" i="4"/>
  <c r="M291" i="4"/>
  <c r="C292" i="4" s="1"/>
  <c r="L291" i="4"/>
  <c r="A293" i="4"/>
  <c r="B292" i="4"/>
  <c r="K143" i="4"/>
  <c r="L143" i="4" s="1"/>
  <c r="M143" i="4"/>
  <c r="C144" i="4" s="1"/>
  <c r="G143" i="4"/>
  <c r="H143" i="4" s="1"/>
  <c r="A294" i="4" l="1"/>
  <c r="B293" i="4"/>
  <c r="J144" i="4"/>
  <c r="I144" i="4"/>
  <c r="D144" i="4"/>
  <c r="F144" i="4"/>
  <c r="L292" i="4"/>
  <c r="D292" i="4"/>
  <c r="K292" i="4"/>
  <c r="G292" i="4"/>
  <c r="F292" i="4"/>
  <c r="E292" i="4"/>
  <c r="M292" i="4"/>
  <c r="C293" i="4" s="1"/>
  <c r="J292" i="4"/>
  <c r="I292" i="4"/>
  <c r="H292" i="4"/>
  <c r="E144" i="4" l="1"/>
  <c r="G293" i="4"/>
  <c r="F293" i="4"/>
  <c r="D293" i="4"/>
  <c r="M293" i="4"/>
  <c r="C294" i="4" s="1"/>
  <c r="L293" i="4"/>
  <c r="K293" i="4"/>
  <c r="J293" i="4"/>
  <c r="I293" i="4"/>
  <c r="E293" i="4"/>
  <c r="H293" i="4"/>
  <c r="B294" i="4"/>
  <c r="A295" i="4"/>
  <c r="A296" i="4" l="1"/>
  <c r="B295" i="4"/>
  <c r="J294" i="4"/>
  <c r="I294" i="4"/>
  <c r="M294" i="4"/>
  <c r="C295" i="4" s="1"/>
  <c r="L294" i="4"/>
  <c r="K294" i="4"/>
  <c r="H294" i="4"/>
  <c r="G294" i="4"/>
  <c r="F294" i="4"/>
  <c r="E294" i="4"/>
  <c r="D294" i="4"/>
  <c r="K144" i="4"/>
  <c r="L144" i="4" s="1"/>
  <c r="M144" i="4"/>
  <c r="C145" i="4" s="1"/>
  <c r="G144" i="4"/>
  <c r="H144" i="4" s="1"/>
  <c r="M295" i="4" l="1"/>
  <c r="C296" i="4" s="1"/>
  <c r="E295" i="4"/>
  <c r="L295" i="4"/>
  <c r="D295" i="4"/>
  <c r="K295" i="4"/>
  <c r="J295" i="4"/>
  <c r="I295" i="4"/>
  <c r="H295" i="4"/>
  <c r="G295" i="4"/>
  <c r="F295" i="4"/>
  <c r="F145" i="4"/>
  <c r="D145" i="4"/>
  <c r="J145" i="4"/>
  <c r="I145" i="4"/>
  <c r="A297" i="4"/>
  <c r="B296" i="4"/>
  <c r="B297" i="4" l="1"/>
  <c r="A298" i="4"/>
  <c r="E145" i="4"/>
  <c r="G145" i="4" s="1"/>
  <c r="H145" i="4" s="1"/>
  <c r="I296" i="4"/>
  <c r="H296" i="4"/>
  <c r="G296" i="4"/>
  <c r="F296" i="4"/>
  <c r="M296" i="4"/>
  <c r="C297" i="4" s="1"/>
  <c r="L296" i="4"/>
  <c r="K296" i="4"/>
  <c r="J296" i="4"/>
  <c r="E296" i="4"/>
  <c r="D296" i="4"/>
  <c r="K145" i="4" l="1"/>
  <c r="L145" i="4" s="1"/>
  <c r="M145" i="4"/>
  <c r="C146" i="4" s="1"/>
  <c r="A299" i="4"/>
  <c r="B298" i="4"/>
  <c r="L297" i="4"/>
  <c r="D297" i="4"/>
  <c r="K297" i="4"/>
  <c r="J297" i="4"/>
  <c r="I297" i="4"/>
  <c r="M297" i="4"/>
  <c r="C298" i="4" s="1"/>
  <c r="H297" i="4"/>
  <c r="G297" i="4"/>
  <c r="E297" i="4"/>
  <c r="F297" i="4"/>
  <c r="G298" i="4" l="1"/>
  <c r="F298" i="4"/>
  <c r="M298" i="4"/>
  <c r="C299" i="4" s="1"/>
  <c r="E298" i="4"/>
  <c r="L298" i="4"/>
  <c r="D298" i="4"/>
  <c r="K298" i="4"/>
  <c r="H298" i="4"/>
  <c r="J298" i="4"/>
  <c r="I298" i="4"/>
  <c r="B299" i="4"/>
  <c r="A300" i="4"/>
  <c r="J146" i="4"/>
  <c r="D146" i="4"/>
  <c r="F146" i="4"/>
  <c r="I146" i="4"/>
  <c r="B300" i="4" l="1"/>
  <c r="A301" i="4"/>
  <c r="E146" i="4"/>
  <c r="G146" i="4" s="1"/>
  <c r="H146" i="4" s="1"/>
  <c r="J299" i="4"/>
  <c r="I299" i="4"/>
  <c r="H299" i="4"/>
  <c r="G299" i="4"/>
  <c r="F299" i="4"/>
  <c r="E299" i="4"/>
  <c r="D299" i="4"/>
  <c r="K299" i="4"/>
  <c r="M299" i="4"/>
  <c r="C300" i="4" s="1"/>
  <c r="L299" i="4"/>
  <c r="A302" i="4" l="1"/>
  <c r="B301" i="4"/>
  <c r="M300" i="4"/>
  <c r="C301" i="4" s="1"/>
  <c r="E300" i="4"/>
  <c r="L300" i="4"/>
  <c r="D300" i="4"/>
  <c r="K300" i="4"/>
  <c r="J300" i="4"/>
  <c r="I300" i="4"/>
  <c r="H300" i="4"/>
  <c r="G300" i="4"/>
  <c r="F300" i="4"/>
  <c r="K146" i="4"/>
  <c r="L146" i="4" s="1"/>
  <c r="M146" i="4"/>
  <c r="C147" i="4" s="1"/>
  <c r="F147" i="4" l="1"/>
  <c r="I147" i="4"/>
  <c r="D147" i="4"/>
  <c r="J147" i="4"/>
  <c r="H301" i="4"/>
  <c r="G301" i="4"/>
  <c r="F301" i="4"/>
  <c r="M301" i="4"/>
  <c r="C302" i="4" s="1"/>
  <c r="E301" i="4"/>
  <c r="L301" i="4"/>
  <c r="K301" i="4"/>
  <c r="J301" i="4"/>
  <c r="I301" i="4"/>
  <c r="D301" i="4"/>
  <c r="B302" i="4"/>
  <c r="A303" i="4"/>
  <c r="E147" i="4" l="1"/>
  <c r="G147" i="4" s="1"/>
  <c r="H147" i="4" s="1"/>
  <c r="K302" i="4"/>
  <c r="J302" i="4"/>
  <c r="I302" i="4"/>
  <c r="H302" i="4"/>
  <c r="M302" i="4"/>
  <c r="C303" i="4" s="1"/>
  <c r="L302" i="4"/>
  <c r="G302" i="4"/>
  <c r="F302" i="4"/>
  <c r="E302" i="4"/>
  <c r="D302" i="4"/>
  <c r="A304" i="4"/>
  <c r="B303" i="4"/>
  <c r="A305" i="4" l="1"/>
  <c r="B304" i="4"/>
  <c r="K147" i="4"/>
  <c r="L147" i="4" s="1"/>
  <c r="M147" i="4"/>
  <c r="C148" i="4" s="1"/>
  <c r="F303" i="4"/>
  <c r="M303" i="4"/>
  <c r="C304" i="4" s="1"/>
  <c r="E303" i="4"/>
  <c r="L303" i="4"/>
  <c r="D303" i="4"/>
  <c r="K303" i="4"/>
  <c r="J303" i="4"/>
  <c r="G303" i="4"/>
  <c r="H303" i="4"/>
  <c r="I303" i="4"/>
  <c r="I304" i="4" l="1"/>
  <c r="H304" i="4"/>
  <c r="G304" i="4"/>
  <c r="F304" i="4"/>
  <c r="E304" i="4"/>
  <c r="D304" i="4"/>
  <c r="M304" i="4"/>
  <c r="C305" i="4" s="1"/>
  <c r="K304" i="4"/>
  <c r="J304" i="4"/>
  <c r="L304" i="4"/>
  <c r="J148" i="4"/>
  <c r="F148" i="4"/>
  <c r="I148" i="4"/>
  <c r="D148" i="4"/>
  <c r="B305" i="4"/>
  <c r="A306" i="4"/>
  <c r="L305" i="4" l="1"/>
  <c r="D305" i="4"/>
  <c r="K305" i="4"/>
  <c r="J305" i="4"/>
  <c r="I305" i="4"/>
  <c r="H305" i="4"/>
  <c r="G305" i="4"/>
  <c r="F305" i="4"/>
  <c r="E305" i="4"/>
  <c r="M305" i="4"/>
  <c r="C306" i="4" s="1"/>
  <c r="E148" i="4"/>
  <c r="G148" i="4" s="1"/>
  <c r="H148" i="4" s="1"/>
  <c r="A307" i="4"/>
  <c r="B306" i="4"/>
  <c r="G306" i="4" l="1"/>
  <c r="F306" i="4"/>
  <c r="M306" i="4"/>
  <c r="C307" i="4" s="1"/>
  <c r="E306" i="4"/>
  <c r="L306" i="4"/>
  <c r="D306" i="4"/>
  <c r="K306" i="4"/>
  <c r="J306" i="4"/>
  <c r="I306" i="4"/>
  <c r="H306" i="4"/>
  <c r="B307" i="4"/>
  <c r="A308" i="4"/>
  <c r="K148" i="4"/>
  <c r="L148" i="4" s="1"/>
  <c r="M148" i="4"/>
  <c r="C149" i="4" s="1"/>
  <c r="B308" i="4" l="1"/>
  <c r="A309" i="4"/>
  <c r="D149" i="4"/>
  <c r="I149" i="4"/>
  <c r="J149" i="4"/>
  <c r="F149" i="4"/>
  <c r="J307" i="4"/>
  <c r="I307" i="4"/>
  <c r="H307" i="4"/>
  <c r="G307" i="4"/>
  <c r="M307" i="4"/>
  <c r="C308" i="4" s="1"/>
  <c r="L307" i="4"/>
  <c r="K307" i="4"/>
  <c r="F307" i="4"/>
  <c r="E307" i="4"/>
  <c r="D307" i="4"/>
  <c r="E149" i="4" l="1"/>
  <c r="G149" i="4" s="1"/>
  <c r="H149" i="4" s="1"/>
  <c r="A310" i="4"/>
  <c r="B309" i="4"/>
  <c r="M308" i="4"/>
  <c r="C309" i="4" s="1"/>
  <c r="E308" i="4"/>
  <c r="L308" i="4"/>
  <c r="D308" i="4"/>
  <c r="K308" i="4"/>
  <c r="J308" i="4"/>
  <c r="I308" i="4"/>
  <c r="F308" i="4"/>
  <c r="H308" i="4"/>
  <c r="G308" i="4"/>
  <c r="H309" i="4" l="1"/>
  <c r="G309" i="4"/>
  <c r="F309" i="4"/>
  <c r="M309" i="4"/>
  <c r="C310" i="4" s="1"/>
  <c r="E309" i="4"/>
  <c r="D309" i="4"/>
  <c r="L309" i="4"/>
  <c r="I309" i="4"/>
  <c r="K309" i="4"/>
  <c r="J309" i="4"/>
  <c r="B310" i="4"/>
  <c r="A311" i="4"/>
  <c r="K149" i="4"/>
  <c r="L149" i="4" s="1"/>
  <c r="M149" i="4"/>
  <c r="C150" i="4" s="1"/>
  <c r="A312" i="4" l="1"/>
  <c r="B311" i="4"/>
  <c r="D150" i="4"/>
  <c r="I150" i="4"/>
  <c r="F150" i="4"/>
  <c r="J150" i="4"/>
  <c r="K310" i="4"/>
  <c r="J310" i="4"/>
  <c r="I310" i="4"/>
  <c r="H310" i="4"/>
  <c r="G310" i="4"/>
  <c r="F310" i="4"/>
  <c r="E310" i="4"/>
  <c r="D310" i="4"/>
  <c r="M310" i="4"/>
  <c r="C311" i="4" s="1"/>
  <c r="L310" i="4"/>
  <c r="E150" i="4" l="1"/>
  <c r="G150" i="4" s="1"/>
  <c r="H150" i="4" s="1"/>
  <c r="F311" i="4"/>
  <c r="M311" i="4"/>
  <c r="C312" i="4" s="1"/>
  <c r="E311" i="4"/>
  <c r="L311" i="4"/>
  <c r="D311" i="4"/>
  <c r="K311" i="4"/>
  <c r="J311" i="4"/>
  <c r="I311" i="4"/>
  <c r="H311" i="4"/>
  <c r="G311" i="4"/>
  <c r="A313" i="4"/>
  <c r="B312" i="4"/>
  <c r="I312" i="4" l="1"/>
  <c r="H312" i="4"/>
  <c r="G312" i="4"/>
  <c r="F312" i="4"/>
  <c r="K312" i="4"/>
  <c r="M312" i="4"/>
  <c r="C313" i="4" s="1"/>
  <c r="L312" i="4"/>
  <c r="J312" i="4"/>
  <c r="E312" i="4"/>
  <c r="D312" i="4"/>
  <c r="B313" i="4"/>
  <c r="A314" i="4"/>
  <c r="K150" i="4"/>
  <c r="L150" i="4" s="1"/>
  <c r="M150" i="4"/>
  <c r="C151" i="4" s="1"/>
  <c r="A315" i="4" l="1"/>
  <c r="B314" i="4"/>
  <c r="J151" i="4"/>
  <c r="I151" i="4"/>
  <c r="D151" i="4"/>
  <c r="F151" i="4"/>
  <c r="L313" i="4"/>
  <c r="D313" i="4"/>
  <c r="K313" i="4"/>
  <c r="J313" i="4"/>
  <c r="I313" i="4"/>
  <c r="F313" i="4"/>
  <c r="G313" i="4"/>
  <c r="E313" i="4"/>
  <c r="H313" i="4"/>
  <c r="M313" i="4"/>
  <c r="C314" i="4" s="1"/>
  <c r="E151" i="4" l="1"/>
  <c r="G151" i="4" s="1"/>
  <c r="H151" i="4" s="1"/>
  <c r="G314" i="4"/>
  <c r="F314" i="4"/>
  <c r="M314" i="4"/>
  <c r="C315" i="4" s="1"/>
  <c r="E314" i="4"/>
  <c r="L314" i="4"/>
  <c r="D314" i="4"/>
  <c r="I314" i="4"/>
  <c r="K314" i="4"/>
  <c r="J314" i="4"/>
  <c r="H314" i="4"/>
  <c r="B315" i="4"/>
  <c r="A316" i="4"/>
  <c r="J315" i="4" l="1"/>
  <c r="I315" i="4"/>
  <c r="H315" i="4"/>
  <c r="G315" i="4"/>
  <c r="L315" i="4"/>
  <c r="D315" i="4"/>
  <c r="M315" i="4"/>
  <c r="C316" i="4" s="1"/>
  <c r="F315" i="4"/>
  <c r="E315" i="4"/>
  <c r="K315" i="4"/>
  <c r="B316" i="4"/>
  <c r="A317" i="4"/>
  <c r="K151" i="4"/>
  <c r="L151" i="4" s="1"/>
  <c r="M151" i="4"/>
  <c r="C152" i="4" s="1"/>
  <c r="M316" i="4" l="1"/>
  <c r="C317" i="4" s="1"/>
  <c r="E316" i="4"/>
  <c r="L316" i="4"/>
  <c r="D316" i="4"/>
  <c r="K316" i="4"/>
  <c r="J316" i="4"/>
  <c r="G316" i="4"/>
  <c r="I316" i="4"/>
  <c r="H316" i="4"/>
  <c r="F316" i="4"/>
  <c r="A318" i="4"/>
  <c r="B317" i="4"/>
  <c r="H317" i="4" l="1"/>
  <c r="G317" i="4"/>
  <c r="F317" i="4"/>
  <c r="M317" i="4"/>
  <c r="C318" i="4" s="1"/>
  <c r="E317" i="4"/>
  <c r="J317" i="4"/>
  <c r="L317" i="4"/>
  <c r="K317" i="4"/>
  <c r="I317" i="4"/>
  <c r="D317" i="4"/>
  <c r="B318" i="4"/>
  <c r="A319" i="4"/>
  <c r="K318" i="4" l="1"/>
  <c r="J318" i="4"/>
  <c r="I318" i="4"/>
  <c r="H318" i="4"/>
  <c r="M318" i="4"/>
  <c r="C319" i="4" s="1"/>
  <c r="E318" i="4"/>
  <c r="F318" i="4"/>
  <c r="D318" i="4"/>
  <c r="L318" i="4"/>
  <c r="G318" i="4"/>
  <c r="A320" i="4"/>
  <c r="B319" i="4"/>
  <c r="F319" i="4" l="1"/>
  <c r="M319" i="4"/>
  <c r="C320" i="4" s="1"/>
  <c r="E319" i="4"/>
  <c r="L319" i="4"/>
  <c r="D319" i="4"/>
  <c r="K319" i="4"/>
  <c r="H319" i="4"/>
  <c r="J319" i="4"/>
  <c r="I319" i="4"/>
  <c r="G319" i="4"/>
  <c r="A321" i="4"/>
  <c r="B320" i="4"/>
  <c r="I320" i="4" l="1"/>
  <c r="H320" i="4"/>
  <c r="G320" i="4"/>
  <c r="F320" i="4"/>
  <c r="K320" i="4"/>
  <c r="M320" i="4"/>
  <c r="C321" i="4" s="1"/>
  <c r="L320" i="4"/>
  <c r="D320" i="4"/>
  <c r="E320" i="4"/>
  <c r="J320" i="4"/>
  <c r="B321" i="4"/>
  <c r="A322" i="4"/>
  <c r="A323" i="4" l="1"/>
  <c r="B322" i="4"/>
  <c r="L321" i="4"/>
  <c r="D321" i="4"/>
  <c r="K321" i="4"/>
  <c r="J321" i="4"/>
  <c r="I321" i="4"/>
  <c r="F321" i="4"/>
  <c r="H321" i="4"/>
  <c r="G321" i="4"/>
  <c r="E321" i="4"/>
  <c r="M321" i="4"/>
  <c r="C322" i="4" s="1"/>
  <c r="G322" i="4" l="1"/>
  <c r="F322" i="4"/>
  <c r="M322" i="4"/>
  <c r="C323" i="4" s="1"/>
  <c r="E322" i="4"/>
  <c r="L322" i="4"/>
  <c r="D322" i="4"/>
  <c r="I322" i="4"/>
  <c r="K322" i="4"/>
  <c r="J322" i="4"/>
  <c r="H322" i="4"/>
  <c r="B323" i="4"/>
  <c r="A324" i="4"/>
  <c r="J323" i="4" l="1"/>
  <c r="I323" i="4"/>
  <c r="H323" i="4"/>
  <c r="G323" i="4"/>
  <c r="L323" i="4"/>
  <c r="D323" i="4"/>
  <c r="E323" i="4"/>
  <c r="M323" i="4"/>
  <c r="C324" i="4" s="1"/>
  <c r="K323" i="4"/>
  <c r="F323" i="4"/>
  <c r="B324" i="4"/>
  <c r="A325" i="4"/>
  <c r="M324" i="4" l="1"/>
  <c r="C325" i="4" s="1"/>
  <c r="E324" i="4"/>
  <c r="L324" i="4"/>
  <c r="D324" i="4"/>
  <c r="K324" i="4"/>
  <c r="J324" i="4"/>
  <c r="G324" i="4"/>
  <c r="I324" i="4"/>
  <c r="H324" i="4"/>
  <c r="F324" i="4"/>
  <c r="A326" i="4"/>
  <c r="B325" i="4"/>
  <c r="H325" i="4" l="1"/>
  <c r="G325" i="4"/>
  <c r="F325" i="4"/>
  <c r="M325" i="4"/>
  <c r="C326" i="4" s="1"/>
  <c r="E325" i="4"/>
  <c r="J325" i="4"/>
  <c r="L325" i="4"/>
  <c r="K325" i="4"/>
  <c r="I325" i="4"/>
  <c r="D325" i="4"/>
  <c r="B326" i="4"/>
  <c r="A327" i="4"/>
  <c r="A328" i="4" l="1"/>
  <c r="B327" i="4"/>
  <c r="K326" i="4"/>
  <c r="J326" i="4"/>
  <c r="I326" i="4"/>
  <c r="H326" i="4"/>
  <c r="M326" i="4"/>
  <c r="C327" i="4" s="1"/>
  <c r="E326" i="4"/>
  <c r="G326" i="4"/>
  <c r="F326" i="4"/>
  <c r="D326" i="4"/>
  <c r="L326" i="4"/>
  <c r="F327" i="4" l="1"/>
  <c r="M327" i="4"/>
  <c r="C328" i="4" s="1"/>
  <c r="E327" i="4"/>
  <c r="L327" i="4"/>
  <c r="D327" i="4"/>
  <c r="K327" i="4"/>
  <c r="H327" i="4"/>
  <c r="J327" i="4"/>
  <c r="I327" i="4"/>
  <c r="G327" i="4"/>
  <c r="A329" i="4"/>
  <c r="B328" i="4"/>
  <c r="B329" i="4" l="1"/>
  <c r="A330" i="4"/>
  <c r="I328" i="4"/>
  <c r="H328" i="4"/>
  <c r="G328" i="4"/>
  <c r="F328" i="4"/>
  <c r="K328" i="4"/>
  <c r="D328" i="4"/>
  <c r="M328" i="4"/>
  <c r="C329" i="4" s="1"/>
  <c r="J328" i="4"/>
  <c r="E328" i="4"/>
  <c r="L328" i="4"/>
  <c r="A331" i="4" l="1"/>
  <c r="B330" i="4"/>
  <c r="L329" i="4"/>
  <c r="D329" i="4"/>
  <c r="K329" i="4"/>
  <c r="J329" i="4"/>
  <c r="I329" i="4"/>
  <c r="F329" i="4"/>
  <c r="M329" i="4"/>
  <c r="C330" i="4" s="1"/>
  <c r="H329" i="4"/>
  <c r="G329" i="4"/>
  <c r="E329" i="4"/>
  <c r="G330" i="4" l="1"/>
  <c r="F330" i="4"/>
  <c r="M330" i="4"/>
  <c r="C331" i="4" s="1"/>
  <c r="E330" i="4"/>
  <c r="L330" i="4"/>
  <c r="D330" i="4"/>
  <c r="I330" i="4"/>
  <c r="K330" i="4"/>
  <c r="J330" i="4"/>
  <c r="H330" i="4"/>
  <c r="B331" i="4"/>
  <c r="A332" i="4"/>
  <c r="J331" i="4" l="1"/>
  <c r="I331" i="4"/>
  <c r="H331" i="4"/>
  <c r="G331" i="4"/>
  <c r="L331" i="4"/>
  <c r="D331" i="4"/>
  <c r="F331" i="4"/>
  <c r="E331" i="4"/>
  <c r="M331" i="4"/>
  <c r="C332" i="4" s="1"/>
  <c r="K331" i="4"/>
  <c r="B332" i="4"/>
  <c r="A333" i="4"/>
  <c r="A334" i="4" l="1"/>
  <c r="B333" i="4"/>
  <c r="M332" i="4"/>
  <c r="C333" i="4" s="1"/>
  <c r="E332" i="4"/>
  <c r="L332" i="4"/>
  <c r="D332" i="4"/>
  <c r="K332" i="4"/>
  <c r="J332" i="4"/>
  <c r="G332" i="4"/>
  <c r="I332" i="4"/>
  <c r="H332" i="4"/>
  <c r="F332" i="4"/>
  <c r="H333" i="4" l="1"/>
  <c r="G333" i="4"/>
  <c r="F333" i="4"/>
  <c r="M333" i="4"/>
  <c r="C334" i="4" s="1"/>
  <c r="E333" i="4"/>
  <c r="J333" i="4"/>
  <c r="L333" i="4"/>
  <c r="D333" i="4"/>
  <c r="K333" i="4"/>
  <c r="I333" i="4"/>
  <c r="B334" i="4"/>
  <c r="A335" i="4"/>
  <c r="K334" i="4" l="1"/>
  <c r="J334" i="4"/>
  <c r="I334" i="4"/>
  <c r="H334" i="4"/>
  <c r="M334" i="4"/>
  <c r="C335" i="4" s="1"/>
  <c r="E334" i="4"/>
  <c r="L334" i="4"/>
  <c r="G334" i="4"/>
  <c r="F334" i="4"/>
  <c r="D334" i="4"/>
  <c r="A336" i="4"/>
  <c r="B335" i="4"/>
  <c r="F335" i="4" l="1"/>
  <c r="M335" i="4"/>
  <c r="C336" i="4" s="1"/>
  <c r="E335" i="4"/>
  <c r="L335" i="4"/>
  <c r="D335" i="4"/>
  <c r="K335" i="4"/>
  <c r="H335" i="4"/>
  <c r="J335" i="4"/>
  <c r="I335" i="4"/>
  <c r="G335" i="4"/>
  <c r="A337" i="4"/>
  <c r="B336" i="4"/>
  <c r="I336" i="4" l="1"/>
  <c r="H336" i="4"/>
  <c r="G336" i="4"/>
  <c r="F336" i="4"/>
  <c r="K336" i="4"/>
  <c r="E336" i="4"/>
  <c r="D336" i="4"/>
  <c r="M336" i="4"/>
  <c r="C337" i="4" s="1"/>
  <c r="L336" i="4"/>
  <c r="J336" i="4"/>
  <c r="B337" i="4"/>
  <c r="A338" i="4"/>
  <c r="L337" i="4" l="1"/>
  <c r="D337" i="4"/>
  <c r="K337" i="4"/>
  <c r="J337" i="4"/>
  <c r="I337" i="4"/>
  <c r="F337" i="4"/>
  <c r="M337" i="4"/>
  <c r="C338" i="4" s="1"/>
  <c r="H337" i="4"/>
  <c r="G337" i="4"/>
  <c r="E337" i="4"/>
  <c r="A339" i="4"/>
  <c r="B338" i="4"/>
  <c r="G338" i="4" l="1"/>
  <c r="F338" i="4"/>
  <c r="M338" i="4"/>
  <c r="C339" i="4" s="1"/>
  <c r="E338" i="4"/>
  <c r="L338" i="4"/>
  <c r="D338" i="4"/>
  <c r="I338" i="4"/>
  <c r="K338" i="4"/>
  <c r="J338" i="4"/>
  <c r="H338" i="4"/>
  <c r="B339" i="4"/>
  <c r="A340" i="4"/>
  <c r="M339" i="4" l="1"/>
  <c r="C340" i="4" s="1"/>
  <c r="L339" i="4"/>
  <c r="K339" i="4"/>
  <c r="J339" i="4"/>
  <c r="H339" i="4"/>
  <c r="I339" i="4"/>
  <c r="G339" i="4"/>
  <c r="D339" i="4"/>
  <c r="F339" i="4"/>
  <c r="E339" i="4"/>
  <c r="A341" i="4"/>
  <c r="B340" i="4"/>
  <c r="H340" i="4" l="1"/>
  <c r="G340" i="4"/>
  <c r="F340" i="4"/>
  <c r="M340" i="4"/>
  <c r="C341" i="4" s="1"/>
  <c r="E340" i="4"/>
  <c r="K340" i="4"/>
  <c r="I340" i="4"/>
  <c r="D340" i="4"/>
  <c r="L340" i="4"/>
  <c r="J340" i="4"/>
  <c r="B341" i="4"/>
  <c r="A342" i="4"/>
  <c r="A343" i="4" l="1"/>
  <c r="B342" i="4"/>
  <c r="K341" i="4"/>
  <c r="J341" i="4"/>
  <c r="I341" i="4"/>
  <c r="H341" i="4"/>
  <c r="F341" i="4"/>
  <c r="L341" i="4"/>
  <c r="G341" i="4"/>
  <c r="E341" i="4"/>
  <c r="D341" i="4"/>
  <c r="M341" i="4"/>
  <c r="C342" i="4" s="1"/>
  <c r="F342" i="4" l="1"/>
  <c r="M342" i="4"/>
  <c r="C343" i="4" s="1"/>
  <c r="E342" i="4"/>
  <c r="L342" i="4"/>
  <c r="D342" i="4"/>
  <c r="K342" i="4"/>
  <c r="I342" i="4"/>
  <c r="J342" i="4"/>
  <c r="H342" i="4"/>
  <c r="G342" i="4"/>
  <c r="A344" i="4"/>
  <c r="B343" i="4"/>
  <c r="I343" i="4" l="1"/>
  <c r="H343" i="4"/>
  <c r="G343" i="4"/>
  <c r="F343" i="4"/>
  <c r="L343" i="4"/>
  <c r="D343" i="4"/>
  <c r="E343" i="4"/>
  <c r="K343" i="4"/>
  <c r="M343" i="4"/>
  <c r="C344" i="4" s="1"/>
  <c r="J343" i="4"/>
  <c r="B344" i="4"/>
  <c r="A345" i="4"/>
  <c r="A346" i="4" l="1"/>
  <c r="B345" i="4"/>
  <c r="L344" i="4"/>
  <c r="D344" i="4"/>
  <c r="K344" i="4"/>
  <c r="J344" i="4"/>
  <c r="I344" i="4"/>
  <c r="G344" i="4"/>
  <c r="M344" i="4"/>
  <c r="C345" i="4" s="1"/>
  <c r="H344" i="4"/>
  <c r="F344" i="4"/>
  <c r="E344" i="4"/>
  <c r="G345" i="4" l="1"/>
  <c r="F345" i="4"/>
  <c r="M345" i="4"/>
  <c r="C346" i="4" s="1"/>
  <c r="E345" i="4"/>
  <c r="L345" i="4"/>
  <c r="D345" i="4"/>
  <c r="J345" i="4"/>
  <c r="H345" i="4"/>
  <c r="I345" i="4"/>
  <c r="K345" i="4"/>
  <c r="B346" i="4"/>
  <c r="A347" i="4"/>
  <c r="B347" i="4" l="1"/>
  <c r="A348" i="4"/>
  <c r="J346" i="4"/>
  <c r="I346" i="4"/>
  <c r="H346" i="4"/>
  <c r="G346" i="4"/>
  <c r="M346" i="4"/>
  <c r="C347" i="4" s="1"/>
  <c r="E346" i="4"/>
  <c r="K346" i="4"/>
  <c r="F346" i="4"/>
  <c r="D346" i="4"/>
  <c r="L346" i="4"/>
  <c r="A349" i="4" l="1"/>
  <c r="B348" i="4"/>
  <c r="M347" i="4"/>
  <c r="C348" i="4" s="1"/>
  <c r="E347" i="4"/>
  <c r="L347" i="4"/>
  <c r="D347" i="4"/>
  <c r="K347" i="4"/>
  <c r="J347" i="4"/>
  <c r="H347" i="4"/>
  <c r="I347" i="4"/>
  <c r="G347" i="4"/>
  <c r="F347" i="4"/>
  <c r="H348" i="4" l="1"/>
  <c r="G348" i="4"/>
  <c r="F348" i="4"/>
  <c r="M348" i="4"/>
  <c r="C349" i="4" s="1"/>
  <c r="E348" i="4"/>
  <c r="K348" i="4"/>
  <c r="D348" i="4"/>
  <c r="J348" i="4"/>
  <c r="L348" i="4"/>
  <c r="I348" i="4"/>
  <c r="B349" i="4"/>
  <c r="A350" i="4"/>
  <c r="K349" i="4" l="1"/>
  <c r="J349" i="4"/>
  <c r="I349" i="4"/>
  <c r="H349" i="4"/>
  <c r="F349" i="4"/>
  <c r="M349" i="4"/>
  <c r="C350" i="4" s="1"/>
  <c r="L349" i="4"/>
  <c r="G349" i="4"/>
  <c r="E349" i="4"/>
  <c r="D349" i="4"/>
  <c r="A351" i="4"/>
  <c r="B350" i="4"/>
  <c r="F350" i="4" l="1"/>
  <c r="M350" i="4"/>
  <c r="C351" i="4" s="1"/>
  <c r="E350" i="4"/>
  <c r="L350" i="4"/>
  <c r="D350" i="4"/>
  <c r="K350" i="4"/>
  <c r="I350" i="4"/>
  <c r="G350" i="4"/>
  <c r="J350" i="4"/>
  <c r="H350" i="4"/>
  <c r="A352" i="4"/>
  <c r="B351" i="4"/>
  <c r="B352" i="4" l="1"/>
  <c r="A353" i="4"/>
  <c r="I351" i="4"/>
  <c r="H351" i="4"/>
  <c r="G351" i="4"/>
  <c r="F351" i="4"/>
  <c r="L351" i="4"/>
  <c r="D351" i="4"/>
  <c r="J351" i="4"/>
  <c r="E351" i="4"/>
  <c r="M351" i="4"/>
  <c r="C352" i="4" s="1"/>
  <c r="K351" i="4"/>
  <c r="A354" i="4" l="1"/>
  <c r="B353" i="4"/>
  <c r="L352" i="4"/>
  <c r="D352" i="4"/>
  <c r="K352" i="4"/>
  <c r="J352" i="4"/>
  <c r="I352" i="4"/>
  <c r="G352" i="4"/>
  <c r="M352" i="4"/>
  <c r="C353" i="4" s="1"/>
  <c r="H352" i="4"/>
  <c r="F352" i="4"/>
  <c r="E352" i="4"/>
  <c r="G353" i="4" l="1"/>
  <c r="F353" i="4"/>
  <c r="M353" i="4"/>
  <c r="C354" i="4" s="1"/>
  <c r="E353" i="4"/>
  <c r="L353" i="4"/>
  <c r="D353" i="4"/>
  <c r="J353" i="4"/>
  <c r="I353" i="4"/>
  <c r="H353" i="4"/>
  <c r="K353" i="4"/>
  <c r="B354" i="4"/>
  <c r="A355" i="4"/>
  <c r="B355" i="4" l="1"/>
  <c r="A356" i="4"/>
  <c r="J354" i="4"/>
  <c r="I354" i="4"/>
  <c r="H354" i="4"/>
  <c r="G354" i="4"/>
  <c r="M354" i="4"/>
  <c r="C355" i="4" s="1"/>
  <c r="E354" i="4"/>
  <c r="L354" i="4"/>
  <c r="K354" i="4"/>
  <c r="F354" i="4"/>
  <c r="D354" i="4"/>
  <c r="A357" i="4" l="1"/>
  <c r="B356" i="4"/>
  <c r="M355" i="4"/>
  <c r="C356" i="4" s="1"/>
  <c r="E355" i="4"/>
  <c r="L355" i="4"/>
  <c r="D355" i="4"/>
  <c r="K355" i="4"/>
  <c r="J355" i="4"/>
  <c r="H355" i="4"/>
  <c r="F355" i="4"/>
  <c r="I355" i="4"/>
  <c r="G355" i="4"/>
  <c r="H356" i="4" l="1"/>
  <c r="G356" i="4"/>
  <c r="F356" i="4"/>
  <c r="M356" i="4"/>
  <c r="C357" i="4" s="1"/>
  <c r="E356" i="4"/>
  <c r="K356" i="4"/>
  <c r="I356" i="4"/>
  <c r="D356" i="4"/>
  <c r="L356" i="4"/>
  <c r="J356" i="4"/>
  <c r="B357" i="4"/>
  <c r="A358" i="4"/>
  <c r="K357" i="4" l="1"/>
  <c r="J357" i="4"/>
  <c r="I357" i="4"/>
  <c r="H357" i="4"/>
  <c r="F357" i="4"/>
  <c r="M357" i="4"/>
  <c r="C358" i="4" s="1"/>
  <c r="L357" i="4"/>
  <c r="G357" i="4"/>
  <c r="E357" i="4"/>
  <c r="D357" i="4"/>
  <c r="A359" i="4"/>
  <c r="B358" i="4"/>
  <c r="A360" i="4" l="1"/>
  <c r="B359" i="4"/>
  <c r="F358" i="4"/>
  <c r="M358" i="4"/>
  <c r="C359" i="4" s="1"/>
  <c r="E358" i="4"/>
  <c r="L358" i="4"/>
  <c r="D358" i="4"/>
  <c r="K358" i="4"/>
  <c r="I358" i="4"/>
  <c r="H358" i="4"/>
  <c r="G358" i="4"/>
  <c r="J358" i="4"/>
  <c r="I359" i="4" l="1"/>
  <c r="H359" i="4"/>
  <c r="G359" i="4"/>
  <c r="F359" i="4"/>
  <c r="L359" i="4"/>
  <c r="D359" i="4"/>
  <c r="K359" i="4"/>
  <c r="J359" i="4"/>
  <c r="E359" i="4"/>
  <c r="M359" i="4"/>
  <c r="C360" i="4" s="1"/>
  <c r="B360" i="4"/>
  <c r="A361" i="4"/>
  <c r="A362" i="4" l="1"/>
  <c r="B361" i="4"/>
  <c r="L360" i="4"/>
  <c r="D360" i="4"/>
  <c r="K360" i="4"/>
  <c r="J360" i="4"/>
  <c r="I360" i="4"/>
  <c r="G360" i="4"/>
  <c r="M360" i="4"/>
  <c r="C361" i="4" s="1"/>
  <c r="E360" i="4"/>
  <c r="H360" i="4"/>
  <c r="F360" i="4"/>
  <c r="G361" i="4" l="1"/>
  <c r="F361" i="4"/>
  <c r="M361" i="4"/>
  <c r="C362" i="4" s="1"/>
  <c r="E361" i="4"/>
  <c r="L361" i="4"/>
  <c r="D361" i="4"/>
  <c r="J361" i="4"/>
  <c r="H361" i="4"/>
  <c r="K361" i="4"/>
  <c r="I361" i="4"/>
  <c r="B362" i="4"/>
  <c r="A363" i="4"/>
  <c r="J362" i="4" l="1"/>
  <c r="I362" i="4"/>
  <c r="H362" i="4"/>
  <c r="G362" i="4"/>
  <c r="M362" i="4"/>
  <c r="C363" i="4" s="1"/>
  <c r="E362" i="4"/>
  <c r="L362" i="4"/>
  <c r="K362" i="4"/>
  <c r="F362" i="4"/>
  <c r="D362" i="4"/>
  <c r="B363" i="4"/>
  <c r="A364" i="4"/>
  <c r="M363" i="4" l="1"/>
  <c r="C364" i="4" s="1"/>
  <c r="E363" i="4"/>
  <c r="L363" i="4"/>
  <c r="D363" i="4"/>
  <c r="K363" i="4"/>
  <c r="J363" i="4"/>
  <c r="H363" i="4"/>
  <c r="G363" i="4"/>
  <c r="F363" i="4"/>
  <c r="I363" i="4"/>
  <c r="A365" i="4"/>
  <c r="B364" i="4"/>
  <c r="H364" i="4" l="1"/>
  <c r="G364" i="4"/>
  <c r="F364" i="4"/>
  <c r="M364" i="4"/>
  <c r="C365" i="4" s="1"/>
  <c r="E364" i="4"/>
  <c r="K364" i="4"/>
  <c r="J364" i="4"/>
  <c r="I364" i="4"/>
  <c r="D364" i="4"/>
  <c r="L364" i="4"/>
  <c r="B365" i="4"/>
  <c r="A366" i="4"/>
  <c r="A367" i="4" l="1"/>
  <c r="B366" i="4"/>
  <c r="K365" i="4"/>
  <c r="J365" i="4"/>
  <c r="I365" i="4"/>
  <c r="H365" i="4"/>
  <c r="F365" i="4"/>
  <c r="M365" i="4"/>
  <c r="C366" i="4" s="1"/>
  <c r="L365" i="4"/>
  <c r="D365" i="4"/>
  <c r="G365" i="4"/>
  <c r="E365" i="4"/>
  <c r="F366" i="4" l="1"/>
  <c r="M366" i="4"/>
  <c r="C367" i="4" s="1"/>
  <c r="E366" i="4"/>
  <c r="L366" i="4"/>
  <c r="D366" i="4"/>
  <c r="K366" i="4"/>
  <c r="I366" i="4"/>
  <c r="G366" i="4"/>
  <c r="J366" i="4"/>
  <c r="H366" i="4"/>
  <c r="A368" i="4"/>
  <c r="B367" i="4"/>
  <c r="B368" i="4" l="1"/>
  <c r="A369" i="4"/>
  <c r="I367" i="4"/>
  <c r="H367" i="4"/>
  <c r="G367" i="4"/>
  <c r="F367" i="4"/>
  <c r="L367" i="4"/>
  <c r="D367" i="4"/>
  <c r="M367" i="4"/>
  <c r="C368" i="4" s="1"/>
  <c r="K367" i="4"/>
  <c r="J367" i="4"/>
  <c r="E367" i="4"/>
  <c r="A370" i="4" l="1"/>
  <c r="B369" i="4"/>
  <c r="L368" i="4"/>
  <c r="D368" i="4"/>
  <c r="K368" i="4"/>
  <c r="J368" i="4"/>
  <c r="I368" i="4"/>
  <c r="G368" i="4"/>
  <c r="F368" i="4"/>
  <c r="M368" i="4"/>
  <c r="C369" i="4" s="1"/>
  <c r="H368" i="4"/>
  <c r="E368" i="4"/>
  <c r="G369" i="4" l="1"/>
  <c r="F369" i="4"/>
  <c r="M369" i="4"/>
  <c r="C370" i="4" s="1"/>
  <c r="E369" i="4"/>
  <c r="L369" i="4"/>
  <c r="D369" i="4"/>
  <c r="J369" i="4"/>
  <c r="I369" i="4"/>
  <c r="H369" i="4"/>
  <c r="K369" i="4"/>
  <c r="B370" i="4"/>
  <c r="A371" i="4"/>
  <c r="B371" i="4" l="1"/>
  <c r="A372" i="4"/>
  <c r="J370" i="4"/>
  <c r="I370" i="4"/>
  <c r="H370" i="4"/>
  <c r="G370" i="4"/>
  <c r="M370" i="4"/>
  <c r="C371" i="4" s="1"/>
  <c r="E370" i="4"/>
  <c r="L370" i="4"/>
  <c r="K370" i="4"/>
  <c r="F370" i="4"/>
  <c r="D370" i="4"/>
  <c r="A373" i="4" l="1"/>
  <c r="B372" i="4"/>
  <c r="M371" i="4"/>
  <c r="C372" i="4" s="1"/>
  <c r="E371" i="4"/>
  <c r="L371" i="4"/>
  <c r="D371" i="4"/>
  <c r="K371" i="4"/>
  <c r="J371" i="4"/>
  <c r="I371" i="4"/>
  <c r="H371" i="4"/>
  <c r="G371" i="4"/>
  <c r="F371" i="4"/>
  <c r="H372" i="4" l="1"/>
  <c r="G372" i="4"/>
  <c r="F372" i="4"/>
  <c r="M372" i="4"/>
  <c r="C373" i="4" s="1"/>
  <c r="E372" i="4"/>
  <c r="L372" i="4"/>
  <c r="D372" i="4"/>
  <c r="K372" i="4"/>
  <c r="J372" i="4"/>
  <c r="I372" i="4"/>
  <c r="B373" i="4"/>
  <c r="A374" i="4"/>
  <c r="A375" i="4" l="1"/>
  <c r="B374" i="4"/>
  <c r="K373" i="4"/>
  <c r="J373" i="4"/>
  <c r="I373" i="4"/>
  <c r="H373" i="4"/>
  <c r="G373" i="4"/>
  <c r="F373" i="4"/>
  <c r="M373" i="4"/>
  <c r="C374" i="4" s="1"/>
  <c r="L373" i="4"/>
  <c r="E373" i="4"/>
  <c r="D373" i="4"/>
  <c r="F374" i="4" l="1"/>
  <c r="M374" i="4"/>
  <c r="C375" i="4" s="1"/>
  <c r="E374" i="4"/>
  <c r="L374" i="4"/>
  <c r="D374" i="4"/>
  <c r="K374" i="4"/>
  <c r="J374" i="4"/>
  <c r="I374" i="4"/>
  <c r="H374" i="4"/>
  <c r="G374" i="4"/>
  <c r="A376" i="4"/>
  <c r="B375" i="4"/>
  <c r="I375" i="4" l="1"/>
  <c r="H375" i="4"/>
  <c r="G375" i="4"/>
  <c r="F375" i="4"/>
  <c r="M375" i="4"/>
  <c r="C376" i="4" s="1"/>
  <c r="E375" i="4"/>
  <c r="L375" i="4"/>
  <c r="D375" i="4"/>
  <c r="K375" i="4"/>
  <c r="J375" i="4"/>
  <c r="B376" i="4"/>
  <c r="A377" i="4"/>
  <c r="A378" i="4" l="1"/>
  <c r="B377" i="4"/>
  <c r="L376" i="4"/>
  <c r="D376" i="4"/>
  <c r="K376" i="4"/>
  <c r="J376" i="4"/>
  <c r="I376" i="4"/>
  <c r="H376" i="4"/>
  <c r="G376" i="4"/>
  <c r="F376" i="4"/>
  <c r="E376" i="4"/>
  <c r="M376" i="4"/>
  <c r="C377" i="4" s="1"/>
  <c r="G377" i="4" l="1"/>
  <c r="F377" i="4"/>
  <c r="M377" i="4"/>
  <c r="C378" i="4" s="1"/>
  <c r="E377" i="4"/>
  <c r="L377" i="4"/>
  <c r="D377" i="4"/>
  <c r="K377" i="4"/>
  <c r="J377" i="4"/>
  <c r="H377" i="4"/>
  <c r="I377" i="4"/>
  <c r="B378" i="4"/>
  <c r="A379" i="4"/>
  <c r="B379" i="4" l="1"/>
  <c r="A380" i="4"/>
  <c r="J378" i="4"/>
  <c r="I378" i="4"/>
  <c r="H378" i="4"/>
  <c r="G378" i="4"/>
  <c r="F378" i="4"/>
  <c r="M378" i="4"/>
  <c r="C379" i="4" s="1"/>
  <c r="E378" i="4"/>
  <c r="L378" i="4"/>
  <c r="K378" i="4"/>
  <c r="D378" i="4"/>
  <c r="A381" i="4" l="1"/>
  <c r="B380" i="4"/>
  <c r="M379" i="4"/>
  <c r="C380" i="4" s="1"/>
  <c r="E379" i="4"/>
  <c r="L379" i="4"/>
  <c r="D379" i="4"/>
  <c r="K379" i="4"/>
  <c r="J379" i="4"/>
  <c r="I379" i="4"/>
  <c r="H379" i="4"/>
  <c r="G379" i="4"/>
  <c r="F379" i="4"/>
  <c r="H380" i="4" l="1"/>
  <c r="G380" i="4"/>
  <c r="F380" i="4"/>
  <c r="M380" i="4"/>
  <c r="C381" i="4" s="1"/>
  <c r="E380" i="4"/>
  <c r="L380" i="4"/>
  <c r="D380" i="4"/>
  <c r="K380" i="4"/>
  <c r="J380" i="4"/>
  <c r="I380" i="4"/>
  <c r="B381" i="4"/>
  <c r="A382" i="4"/>
  <c r="K381" i="4" l="1"/>
  <c r="J381" i="4"/>
  <c r="I381" i="4"/>
  <c r="H381" i="4"/>
  <c r="G381" i="4"/>
  <c r="F381" i="4"/>
  <c r="E381" i="4"/>
  <c r="D381" i="4"/>
  <c r="M381" i="4"/>
  <c r="C382" i="4" s="1"/>
  <c r="L381" i="4"/>
  <c r="A383" i="4"/>
  <c r="B382" i="4"/>
  <c r="A384" i="4" l="1"/>
  <c r="B383" i="4"/>
  <c r="F382" i="4"/>
  <c r="M382" i="4"/>
  <c r="C383" i="4" s="1"/>
  <c r="E382" i="4"/>
  <c r="L382" i="4"/>
  <c r="D382" i="4"/>
  <c r="K382" i="4"/>
  <c r="J382" i="4"/>
  <c r="I382" i="4"/>
  <c r="H382" i="4"/>
  <c r="G382" i="4"/>
  <c r="I383" i="4" l="1"/>
  <c r="H383" i="4"/>
  <c r="G383" i="4"/>
  <c r="F383" i="4"/>
  <c r="M383" i="4"/>
  <c r="C384" i="4" s="1"/>
  <c r="E383" i="4"/>
  <c r="L383" i="4"/>
  <c r="D383" i="4"/>
  <c r="K383" i="4"/>
  <c r="J383" i="4"/>
  <c r="B384" i="4"/>
  <c r="A385" i="4"/>
  <c r="A386" i="4" l="1"/>
  <c r="B385" i="4"/>
  <c r="L384" i="4"/>
  <c r="D384" i="4"/>
  <c r="K384" i="4"/>
  <c r="J384" i="4"/>
  <c r="I384" i="4"/>
  <c r="H384" i="4"/>
  <c r="G384" i="4"/>
  <c r="F384" i="4"/>
  <c r="E384" i="4"/>
  <c r="M384" i="4"/>
  <c r="C385" i="4" s="1"/>
  <c r="G385" i="4" l="1"/>
  <c r="F385" i="4"/>
  <c r="M385" i="4"/>
  <c r="C386" i="4" s="1"/>
  <c r="E385" i="4"/>
  <c r="L385" i="4"/>
  <c r="D385" i="4"/>
  <c r="K385" i="4"/>
  <c r="J385" i="4"/>
  <c r="I385" i="4"/>
  <c r="H385" i="4"/>
  <c r="B386" i="4"/>
  <c r="A387" i="4"/>
  <c r="J386" i="4" l="1"/>
  <c r="I386" i="4"/>
  <c r="H386" i="4"/>
  <c r="G386" i="4"/>
  <c r="F386" i="4"/>
  <c r="M386" i="4"/>
  <c r="C387" i="4" s="1"/>
  <c r="E386" i="4"/>
  <c r="D386" i="4"/>
  <c r="L386" i="4"/>
  <c r="K386" i="4"/>
  <c r="B387" i="4"/>
  <c r="A388" i="4"/>
  <c r="M387" i="4" l="1"/>
  <c r="C388" i="4" s="1"/>
  <c r="E387" i="4"/>
  <c r="L387" i="4"/>
  <c r="D387" i="4"/>
  <c r="K387" i="4"/>
  <c r="J387" i="4"/>
  <c r="I387" i="4"/>
  <c r="H387" i="4"/>
  <c r="G387" i="4"/>
  <c r="F387" i="4"/>
  <c r="A389" i="4"/>
  <c r="B388" i="4"/>
  <c r="B389" i="4" l="1"/>
  <c r="A390" i="4"/>
  <c r="B390" i="4" s="1"/>
  <c r="H388" i="4"/>
  <c r="G388" i="4"/>
  <c r="F388" i="4"/>
  <c r="M388" i="4"/>
  <c r="C389" i="4" s="1"/>
  <c r="E388" i="4"/>
  <c r="L388" i="4"/>
  <c r="D388" i="4"/>
  <c r="K388" i="4"/>
  <c r="J388" i="4"/>
  <c r="I388" i="4"/>
  <c r="F390" i="4" l="1"/>
  <c r="M390" i="4"/>
  <c r="E390" i="4"/>
  <c r="L390" i="4"/>
  <c r="D390" i="4"/>
  <c r="D391" i="4" s="1"/>
  <c r="K390" i="4"/>
  <c r="J390" i="4"/>
  <c r="J391" i="4" s="1"/>
  <c r="I390" i="4"/>
  <c r="I391" i="4" s="1"/>
  <c r="H390" i="4"/>
  <c r="G390" i="4"/>
  <c r="K389" i="4"/>
  <c r="J389" i="4"/>
  <c r="I389" i="4"/>
  <c r="H389" i="4"/>
  <c r="G389" i="4"/>
  <c r="F389" i="4"/>
  <c r="E389" i="4"/>
  <c r="M389" i="4"/>
  <c r="C390" i="4" s="1"/>
  <c r="L389" i="4"/>
  <c r="D389" i="4"/>
  <c r="G391" i="4" l="1"/>
  <c r="K391" i="4"/>
  <c r="F24" i="4"/>
  <c r="F25" i="4" s="1"/>
  <c r="L391" i="4"/>
  <c r="E391" i="4"/>
  <c r="F22" i="4"/>
  <c r="F23" i="4" s="1"/>
  <c r="H391" i="4"/>
  <c r="F391" i="4"/>
  <c r="F27" i="1" l="1"/>
  <c r="B4" i="2"/>
  <c r="J16" i="3"/>
  <c r="J15" i="3"/>
  <c r="J14" i="3"/>
  <c r="J13" i="3"/>
  <c r="J12" i="3"/>
  <c r="J11" i="3"/>
  <c r="B11" i="3"/>
  <c r="J10" i="3"/>
  <c r="J9" i="3"/>
  <c r="J8" i="3"/>
  <c r="J7" i="3"/>
  <c r="B7" i="3"/>
  <c r="B8" i="3" s="1"/>
  <c r="C11" i="3" s="1"/>
  <c r="D11" i="3" s="1"/>
  <c r="J6" i="3"/>
  <c r="J5" i="3"/>
  <c r="B3" i="3"/>
  <c r="E27" i="1"/>
  <c r="B16" i="2" l="1"/>
  <c r="A12" i="3"/>
  <c r="B12" i="3"/>
  <c r="C12" i="3" s="1"/>
  <c r="D12" i="3" s="1"/>
  <c r="G14" i="3"/>
  <c r="H16" i="3"/>
  <c r="G17" i="3" s="1"/>
  <c r="B13" i="3" l="1"/>
  <c r="C13" i="3" s="1"/>
  <c r="D13" i="3" s="1"/>
  <c r="A13" i="3"/>
  <c r="B14" i="3" l="1"/>
  <c r="C14" i="3" s="1"/>
  <c r="D14" i="3" s="1"/>
  <c r="A14" i="3"/>
  <c r="B15" i="3" l="1"/>
  <c r="C15" i="3" s="1"/>
  <c r="D15" i="3" s="1"/>
  <c r="A15" i="3"/>
  <c r="A16" i="3" l="1"/>
  <c r="B16" i="3"/>
  <c r="C16" i="3" l="1"/>
  <c r="D16" i="3" s="1"/>
  <c r="A17" i="3" l="1"/>
  <c r="B17" i="3"/>
  <c r="C17" i="3"/>
  <c r="D17" i="3" s="1"/>
  <c r="B18" i="3" l="1"/>
  <c r="C18" i="3" s="1"/>
  <c r="D18" i="3" s="1"/>
  <c r="A18" i="3"/>
  <c r="A19" i="3" l="1"/>
  <c r="B19" i="3"/>
  <c r="C19" i="3" s="1"/>
  <c r="D19" i="3" s="1"/>
  <c r="B20" i="3" l="1"/>
  <c r="C20" i="3" s="1"/>
  <c r="D20" i="3" s="1"/>
  <c r="A20" i="3"/>
  <c r="B21" i="3" l="1"/>
  <c r="C21" i="3" s="1"/>
  <c r="D21" i="3" s="1"/>
  <c r="A21" i="3"/>
  <c r="B22" i="3" l="1"/>
  <c r="G6" i="3" s="1"/>
  <c r="A22" i="3"/>
  <c r="C22" i="3" l="1"/>
  <c r="D22" i="3" s="1"/>
  <c r="B23" i="3" l="1"/>
  <c r="A23" i="3"/>
  <c r="C23" i="3" l="1"/>
  <c r="D23" i="3" s="1"/>
  <c r="B24" i="3" l="1"/>
  <c r="A24" i="3"/>
  <c r="C24" i="3" l="1"/>
  <c r="D24" i="3" s="1"/>
  <c r="A25" i="3" l="1"/>
  <c r="B25" i="3"/>
  <c r="C25" i="3" l="1"/>
  <c r="D25" i="3" s="1"/>
  <c r="B26" i="3" l="1"/>
  <c r="C26" i="3" s="1"/>
  <c r="D26" i="3" s="1"/>
  <c r="A26" i="3"/>
  <c r="B27" i="3" l="1"/>
  <c r="C27" i="3" s="1"/>
  <c r="D27" i="3" s="1"/>
  <c r="A27" i="3"/>
  <c r="B28" i="3" l="1"/>
  <c r="C28" i="3" s="1"/>
  <c r="D28" i="3" s="1"/>
  <c r="A28" i="3"/>
  <c r="B29" i="3" l="1"/>
  <c r="A29" i="3"/>
  <c r="C29" i="3"/>
  <c r="D29" i="3" s="1"/>
  <c r="B30" i="3" l="1"/>
  <c r="C30" i="3" s="1"/>
  <c r="D30" i="3" s="1"/>
  <c r="A30" i="3"/>
  <c r="A31" i="3" l="1"/>
  <c r="B31" i="3"/>
  <c r="C31" i="3" s="1"/>
  <c r="D31" i="3" s="1"/>
  <c r="B32" i="3" l="1"/>
  <c r="C32" i="3" s="1"/>
  <c r="D32" i="3" s="1"/>
  <c r="A32" i="3"/>
  <c r="A33" i="3" l="1"/>
  <c r="B33" i="3"/>
  <c r="C33" i="3" s="1"/>
  <c r="D33" i="3" s="1"/>
  <c r="B34" i="3" l="1"/>
  <c r="G7" i="3" s="1"/>
  <c r="A34" i="3"/>
  <c r="C34" i="3" l="1"/>
  <c r="D34" i="3" s="1"/>
  <c r="A35" i="3" l="1"/>
  <c r="B35" i="3"/>
  <c r="C35" i="3" s="1"/>
  <c r="D35" i="3" s="1"/>
  <c r="B36" i="3" l="1"/>
  <c r="C36" i="3" s="1"/>
  <c r="D36" i="3" s="1"/>
  <c r="A36" i="3"/>
  <c r="B37" i="3" l="1"/>
  <c r="A37" i="3"/>
  <c r="C37" i="3" l="1"/>
  <c r="D37" i="3" s="1"/>
  <c r="B38" i="3" l="1"/>
  <c r="A38" i="3"/>
  <c r="C38" i="3" l="1"/>
  <c r="D38" i="3" s="1"/>
  <c r="B39" i="3" l="1"/>
  <c r="C39" i="3" s="1"/>
  <c r="D39" i="3" s="1"/>
  <c r="A39" i="3"/>
  <c r="B40" i="3" l="1"/>
  <c r="C40" i="3" s="1"/>
  <c r="D40" i="3" s="1"/>
  <c r="A40" i="3"/>
  <c r="A41" i="3" l="1"/>
  <c r="B41" i="3"/>
  <c r="C41" i="3"/>
  <c r="D41" i="3" s="1"/>
  <c r="B42" i="3" l="1"/>
  <c r="C42" i="3" s="1"/>
  <c r="D42" i="3" s="1"/>
  <c r="A42" i="3"/>
  <c r="B43" i="3" l="1"/>
  <c r="C43" i="3" s="1"/>
  <c r="D43" i="3" s="1"/>
  <c r="A43" i="3"/>
  <c r="B44" i="3" l="1"/>
  <c r="C44" i="3" s="1"/>
  <c r="D44" i="3" s="1"/>
  <c r="A44" i="3"/>
  <c r="B45" i="3" l="1"/>
  <c r="C45" i="3" s="1"/>
  <c r="D45" i="3" s="1"/>
  <c r="A45" i="3"/>
  <c r="B46" i="3" l="1"/>
  <c r="G8" i="3" s="1"/>
  <c r="A46" i="3"/>
  <c r="C46" i="3" l="1"/>
  <c r="D46" i="3" s="1"/>
  <c r="B47" i="3" l="1"/>
  <c r="A47" i="3"/>
  <c r="C47" i="3" l="1"/>
  <c r="D47" i="3" s="1"/>
  <c r="B48" i="3" l="1"/>
  <c r="A48" i="3"/>
  <c r="C48" i="3" l="1"/>
  <c r="D48" i="3" s="1"/>
  <c r="B49" i="3" l="1"/>
  <c r="C49" i="3" s="1"/>
  <c r="D49" i="3" s="1"/>
  <c r="A49" i="3"/>
  <c r="B50" i="3" l="1"/>
  <c r="C50" i="3" s="1"/>
  <c r="D50" i="3" s="1"/>
  <c r="A50" i="3"/>
  <c r="A51" i="3" l="1"/>
  <c r="B51" i="3"/>
  <c r="C51" i="3" s="1"/>
  <c r="D51" i="3" s="1"/>
  <c r="B52" i="3" l="1"/>
  <c r="C52" i="3" s="1"/>
  <c r="D52" i="3" s="1"/>
  <c r="A52" i="3"/>
  <c r="B53" i="3" l="1"/>
  <c r="C53" i="3" s="1"/>
  <c r="D53" i="3" s="1"/>
  <c r="A53" i="3"/>
  <c r="B54" i="3" l="1"/>
  <c r="C54" i="3" s="1"/>
  <c r="D54" i="3" s="1"/>
  <c r="A54" i="3"/>
  <c r="B55" i="3" l="1"/>
  <c r="C55" i="3" s="1"/>
  <c r="D55" i="3" s="1"/>
  <c r="A55" i="3"/>
  <c r="B56" i="3" l="1"/>
  <c r="C56" i="3" s="1"/>
  <c r="D56" i="3" s="1"/>
  <c r="A56" i="3"/>
  <c r="B57" i="3" l="1"/>
  <c r="A57" i="3"/>
  <c r="C57" i="3"/>
  <c r="D57" i="3" s="1"/>
  <c r="B58" i="3" l="1"/>
  <c r="G9" i="3" s="1"/>
  <c r="A58" i="3"/>
  <c r="C58" i="3" l="1"/>
  <c r="D58" i="3" s="1"/>
  <c r="B59" i="3" l="1"/>
  <c r="A59" i="3"/>
  <c r="C59" i="3" l="1"/>
  <c r="D59" i="3" s="1"/>
  <c r="B60" i="3" l="1"/>
  <c r="A60" i="3"/>
  <c r="C60" i="3" l="1"/>
  <c r="D60" i="3" s="1"/>
  <c r="B61" i="3" l="1"/>
  <c r="A61" i="3"/>
  <c r="C61" i="3"/>
  <c r="D61" i="3" s="1"/>
  <c r="B62" i="3" l="1"/>
  <c r="C62" i="3" s="1"/>
  <c r="D62" i="3" s="1"/>
  <c r="A62" i="3"/>
  <c r="B63" i="3" l="1"/>
  <c r="C63" i="3" s="1"/>
  <c r="D63" i="3" s="1"/>
  <c r="A63" i="3"/>
  <c r="B64" i="3" l="1"/>
  <c r="C64" i="3" s="1"/>
  <c r="D64" i="3" s="1"/>
  <c r="A64" i="3"/>
  <c r="A65" i="3" l="1"/>
  <c r="B65" i="3"/>
  <c r="C65" i="3" s="1"/>
  <c r="D65" i="3" s="1"/>
  <c r="B66" i="3" l="1"/>
  <c r="C66" i="3" s="1"/>
  <c r="D66" i="3" s="1"/>
  <c r="A66" i="3"/>
  <c r="A67" i="3" l="1"/>
  <c r="B67" i="3"/>
  <c r="C67" i="3" s="1"/>
  <c r="D67" i="3" s="1"/>
  <c r="B68" i="3" l="1"/>
  <c r="C68" i="3" s="1"/>
  <c r="D68" i="3" s="1"/>
  <c r="A68" i="3"/>
  <c r="B69" i="3" l="1"/>
  <c r="C69" i="3" s="1"/>
  <c r="D69" i="3" s="1"/>
  <c r="A69" i="3"/>
  <c r="B70" i="3" l="1"/>
  <c r="G10" i="3" s="1"/>
  <c r="A70" i="3"/>
  <c r="C70" i="3" l="1"/>
  <c r="D70" i="3" s="1"/>
  <c r="B71" i="3" l="1"/>
  <c r="A71" i="3"/>
  <c r="C71" i="3" l="1"/>
  <c r="D71" i="3" s="1"/>
  <c r="B72" i="3" l="1"/>
  <c r="A72" i="3"/>
  <c r="C72" i="3" l="1"/>
  <c r="D72" i="3" s="1"/>
  <c r="B73" i="3" l="1"/>
  <c r="C73" i="3" s="1"/>
  <c r="D73" i="3" s="1"/>
  <c r="A73" i="3"/>
  <c r="B74" i="3" l="1"/>
  <c r="C74" i="3" s="1"/>
  <c r="D74" i="3" s="1"/>
  <c r="A74" i="3"/>
  <c r="B75" i="3" l="1"/>
  <c r="C75" i="3" s="1"/>
  <c r="D75" i="3" s="1"/>
  <c r="A75" i="3"/>
  <c r="B76" i="3" l="1"/>
  <c r="C76" i="3" s="1"/>
  <c r="D76" i="3" s="1"/>
  <c r="A76" i="3"/>
  <c r="B77" i="3" l="1"/>
  <c r="C77" i="3" s="1"/>
  <c r="D77" i="3" s="1"/>
  <c r="A77" i="3"/>
  <c r="B78" i="3" l="1"/>
  <c r="C78" i="3" s="1"/>
  <c r="D78" i="3" s="1"/>
  <c r="A78" i="3"/>
  <c r="A79" i="3" l="1"/>
  <c r="B79" i="3"/>
  <c r="C79" i="3" s="1"/>
  <c r="D79" i="3" s="1"/>
  <c r="B80" i="3" l="1"/>
  <c r="C80" i="3" s="1"/>
  <c r="D80" i="3" s="1"/>
  <c r="A80" i="3"/>
  <c r="B81" i="3" l="1"/>
  <c r="C81" i="3" s="1"/>
  <c r="D81" i="3" s="1"/>
  <c r="A81" i="3"/>
  <c r="B82" i="3" l="1"/>
  <c r="G11" i="3" s="1"/>
  <c r="A82" i="3"/>
  <c r="C82" i="3" l="1"/>
  <c r="D82" i="3" s="1"/>
  <c r="B83" i="3" l="1"/>
  <c r="A83" i="3"/>
  <c r="C83" i="3" l="1"/>
  <c r="D83" i="3" s="1"/>
  <c r="B84" i="3" l="1"/>
  <c r="C84" i="3" s="1"/>
  <c r="D84" i="3" s="1"/>
  <c r="A84" i="3"/>
  <c r="A85" i="3" l="1"/>
  <c r="B85" i="3"/>
  <c r="C85" i="3" s="1"/>
  <c r="D85" i="3" s="1"/>
  <c r="B86" i="3" l="1"/>
  <c r="C86" i="3" s="1"/>
  <c r="D86" i="3" s="1"/>
  <c r="A86" i="3"/>
  <c r="B87" i="3" l="1"/>
  <c r="C87" i="3" s="1"/>
  <c r="D87" i="3" s="1"/>
  <c r="A87" i="3"/>
  <c r="B88" i="3" l="1"/>
  <c r="C88" i="3" s="1"/>
  <c r="D88" i="3" s="1"/>
  <c r="A88" i="3"/>
  <c r="B89" i="3" l="1"/>
  <c r="C89" i="3" s="1"/>
  <c r="D89" i="3" s="1"/>
  <c r="A89" i="3"/>
  <c r="B90" i="3" l="1"/>
  <c r="C90" i="3" s="1"/>
  <c r="D90" i="3" s="1"/>
  <c r="A90" i="3"/>
  <c r="B91" i="3" l="1"/>
  <c r="C91" i="3" s="1"/>
  <c r="D91" i="3" s="1"/>
  <c r="A91" i="3"/>
  <c r="B92" i="3" l="1"/>
  <c r="C92" i="3" s="1"/>
  <c r="D92" i="3" s="1"/>
  <c r="A92" i="3"/>
  <c r="B93" i="3" l="1"/>
  <c r="C93" i="3" s="1"/>
  <c r="D93" i="3" s="1"/>
  <c r="A93" i="3"/>
  <c r="B94" i="3" l="1"/>
  <c r="G12" i="3" s="1"/>
  <c r="A94" i="3"/>
  <c r="C94" i="3" l="1"/>
  <c r="D94" i="3" s="1"/>
  <c r="B95" i="3" s="1"/>
  <c r="C95" i="3" s="1"/>
  <c r="D95" i="3" s="1"/>
  <c r="A95" i="3"/>
  <c r="B96" i="3" l="1"/>
  <c r="C96" i="3" s="1"/>
  <c r="D96" i="3" s="1"/>
  <c r="A96" i="3"/>
  <c r="B97" i="3" l="1"/>
  <c r="C97" i="3" s="1"/>
  <c r="D97" i="3" s="1"/>
  <c r="A97" i="3"/>
  <c r="B98" i="3" l="1"/>
  <c r="C98" i="3" s="1"/>
  <c r="D98" i="3" s="1"/>
  <c r="A98" i="3"/>
  <c r="A99" i="3" l="1"/>
  <c r="B99" i="3"/>
  <c r="C99" i="3" s="1"/>
  <c r="D99" i="3" s="1"/>
  <c r="B100" i="3" l="1"/>
  <c r="C100" i="3" s="1"/>
  <c r="D100" i="3" s="1"/>
  <c r="A100" i="3"/>
  <c r="B101" i="3" l="1"/>
  <c r="C101" i="3" s="1"/>
  <c r="D101" i="3" s="1"/>
  <c r="A101" i="3"/>
  <c r="B102" i="3" l="1"/>
  <c r="C102" i="3" s="1"/>
  <c r="D102" i="3" s="1"/>
  <c r="A102" i="3"/>
  <c r="A103" i="3" l="1"/>
  <c r="B103" i="3"/>
  <c r="C103" i="3" s="1"/>
  <c r="D103" i="3" s="1"/>
  <c r="B104" i="3" l="1"/>
  <c r="C104" i="3" s="1"/>
  <c r="D104" i="3" s="1"/>
  <c r="A104" i="3"/>
  <c r="B105" i="3" l="1"/>
  <c r="C105" i="3" s="1"/>
  <c r="D105" i="3" s="1"/>
  <c r="A105" i="3"/>
  <c r="B106" i="3" l="1"/>
  <c r="C106" i="3" s="1"/>
  <c r="D106" i="3" s="1"/>
  <c r="A106" i="3"/>
  <c r="A107" i="3" l="1"/>
  <c r="B107" i="3"/>
  <c r="C107" i="3" s="1"/>
  <c r="D107" i="3" s="1"/>
  <c r="B108" i="3" l="1"/>
  <c r="C108" i="3" s="1"/>
  <c r="D108" i="3" s="1"/>
  <c r="A108" i="3"/>
  <c r="B109" i="3" l="1"/>
  <c r="C109" i="3" s="1"/>
  <c r="D109" i="3" s="1"/>
  <c r="A109" i="3"/>
  <c r="B110" i="3" l="1"/>
  <c r="C110" i="3" s="1"/>
  <c r="D110" i="3" s="1"/>
  <c r="A110" i="3"/>
  <c r="B111" i="3" l="1"/>
  <c r="C111" i="3" s="1"/>
  <c r="D111" i="3" s="1"/>
  <c r="A111" i="3"/>
  <c r="B112" i="3" l="1"/>
  <c r="C112" i="3" s="1"/>
  <c r="D112" i="3" s="1"/>
  <c r="A112" i="3"/>
  <c r="B113" i="3" l="1"/>
  <c r="C113" i="3" s="1"/>
  <c r="D113" i="3" s="1"/>
  <c r="A113" i="3"/>
  <c r="B114" i="3" l="1"/>
  <c r="C114" i="3" s="1"/>
  <c r="D114" i="3" s="1"/>
  <c r="A114" i="3"/>
  <c r="E33" i="1"/>
  <c r="F33" i="1"/>
  <c r="B115" i="3" l="1"/>
  <c r="C115" i="3" s="1"/>
  <c r="D115" i="3" s="1"/>
  <c r="A115" i="3"/>
  <c r="E135" i="1"/>
  <c r="E130" i="1"/>
  <c r="E134" i="1"/>
  <c r="F55" i="1"/>
  <c r="F54" i="1"/>
  <c r="E24" i="1"/>
  <c r="E16" i="1"/>
  <c r="E15" i="1"/>
  <c r="E14" i="1"/>
  <c r="F56" i="1"/>
  <c r="E56" i="1"/>
  <c r="B98" i="1"/>
  <c r="B116" i="3" l="1"/>
  <c r="C116" i="3" s="1"/>
  <c r="D116" i="3" s="1"/>
  <c r="A116" i="3"/>
  <c r="F57" i="1"/>
  <c r="B117" i="3" l="1"/>
  <c r="C117" i="3" s="1"/>
  <c r="D117" i="3" s="1"/>
  <c r="A117" i="3"/>
  <c r="G8" i="1"/>
  <c r="B84" i="1"/>
  <c r="B141" i="1"/>
  <c r="B143" i="1"/>
  <c r="F30" i="1"/>
  <c r="F40" i="1"/>
  <c r="E45" i="1"/>
  <c r="F45" i="1"/>
  <c r="F47" i="1" s="1"/>
  <c r="D51" i="1"/>
  <c r="E63" i="1"/>
  <c r="E103" i="1" s="1"/>
  <c r="F63" i="1"/>
  <c r="F66" i="1"/>
  <c r="E69" i="1"/>
  <c r="E76" i="1" s="1"/>
  <c r="B78" i="1"/>
  <c r="E82" i="1"/>
  <c r="E94" i="1"/>
  <c r="E95" i="1"/>
  <c r="B105" i="1"/>
  <c r="B106" i="1"/>
  <c r="E110" i="1"/>
  <c r="B113" i="1"/>
  <c r="B119" i="1"/>
  <c r="E127" i="1"/>
  <c r="E129" i="1" s="1"/>
  <c r="B128" i="1"/>
  <c r="E128" i="1" s="1"/>
  <c r="D128" i="1"/>
  <c r="B129" i="1"/>
  <c r="D129" i="1"/>
  <c r="E132" i="1"/>
  <c r="B133" i="1"/>
  <c r="E133" i="1" s="1"/>
  <c r="D133" i="1"/>
  <c r="B134" i="1"/>
  <c r="D134" i="1"/>
  <c r="E140" i="1"/>
  <c r="D141" i="1" s="1"/>
  <c r="E142" i="1"/>
  <c r="D143" i="1" s="1"/>
  <c r="E143" i="1" s="1"/>
  <c r="B118" i="3" l="1"/>
  <c r="C118" i="3" s="1"/>
  <c r="D118" i="3" s="1"/>
  <c r="A118" i="3"/>
  <c r="E141" i="1"/>
  <c r="F82" i="1"/>
  <c r="F117" i="1"/>
  <c r="D105" i="1"/>
  <c r="F81" i="1"/>
  <c r="D106" i="1"/>
  <c r="F94" i="1"/>
  <c r="F74" i="1"/>
  <c r="F69" i="1"/>
  <c r="F76" i="1" s="1"/>
  <c r="F103" i="1"/>
  <c r="E104" i="1" s="1"/>
  <c r="B104" i="1" s="1"/>
  <c r="F95" i="1"/>
  <c r="D86" i="1"/>
  <c r="F110" i="1"/>
  <c r="F112" i="1" s="1"/>
  <c r="F113" i="1" s="1"/>
  <c r="F58" i="1"/>
  <c r="F68" i="1" s="1"/>
  <c r="B89" i="1"/>
  <c r="B71" i="1"/>
  <c r="A71" i="1"/>
  <c r="B119" i="3" l="1"/>
  <c r="C119" i="3" s="1"/>
  <c r="D119" i="3" s="1"/>
  <c r="A119" i="3"/>
  <c r="E131" i="1"/>
  <c r="E136" i="1"/>
  <c r="E144" i="1"/>
  <c r="F83" i="1"/>
  <c r="E105" i="1"/>
  <c r="E106" i="1"/>
  <c r="E96" i="1"/>
  <c r="E97" i="1" s="1"/>
  <c r="E98" i="1" s="1"/>
  <c r="E99" i="1" s="1"/>
  <c r="F70" i="1"/>
  <c r="F71" i="1" s="1"/>
  <c r="B120" i="3" l="1"/>
  <c r="C120" i="3" s="1"/>
  <c r="D120" i="3" s="1"/>
  <c r="A120" i="3"/>
  <c r="E47" i="1"/>
  <c r="E137" i="1"/>
  <c r="E146" i="1" s="1"/>
  <c r="E150" i="1" s="1"/>
  <c r="E107" i="1"/>
  <c r="F84" i="1"/>
  <c r="B121" i="3" l="1"/>
  <c r="C121" i="3" s="1"/>
  <c r="D121" i="3" s="1"/>
  <c r="A121" i="3"/>
  <c r="E75" i="1"/>
  <c r="F75" i="1"/>
  <c r="F77" i="1" s="1"/>
  <c r="F78" i="1" s="1"/>
  <c r="E117" i="1"/>
  <c r="E118" i="1" s="1"/>
  <c r="E119" i="1" s="1"/>
  <c r="E120" i="1" s="1"/>
  <c r="B122" i="3" l="1"/>
  <c r="C122" i="3" s="1"/>
  <c r="D122" i="3" s="1"/>
  <c r="A122" i="3"/>
  <c r="E55" i="1"/>
  <c r="B123" i="3" l="1"/>
  <c r="C123" i="3" s="1"/>
  <c r="D123" i="3" s="1"/>
  <c r="A123" i="3"/>
  <c r="E35" i="1"/>
  <c r="E40" i="1" s="1"/>
  <c r="E111" i="1"/>
  <c r="E112" i="1" s="1"/>
  <c r="E113" i="1" s="1"/>
  <c r="E114" i="1" s="1"/>
  <c r="E54" i="1"/>
  <c r="E57" i="1" s="1"/>
  <c r="B124" i="3" l="1"/>
  <c r="C124" i="3" s="1"/>
  <c r="D124" i="3" s="1"/>
  <c r="A124" i="3"/>
  <c r="E81" i="1"/>
  <c r="E83" i="1" s="1"/>
  <c r="E87" i="1" s="1"/>
  <c r="F96" i="1"/>
  <c r="F97" i="1" s="1"/>
  <c r="F98" i="1" s="1"/>
  <c r="F99" i="1" s="1"/>
  <c r="E100" i="1" s="1"/>
  <c r="E58" i="1"/>
  <c r="E68" i="1" s="1"/>
  <c r="E70" i="1" s="1"/>
  <c r="E71" i="1" s="1"/>
  <c r="E72" i="1" s="1"/>
  <c r="E74" i="1"/>
  <c r="E77" i="1" s="1"/>
  <c r="E78" i="1" s="1"/>
  <c r="E79" i="1" s="1"/>
  <c r="B125" i="3" l="1"/>
  <c r="C125" i="3" s="1"/>
  <c r="D125" i="3" s="1"/>
  <c r="A125" i="3"/>
  <c r="E84" i="1"/>
  <c r="E85" i="1" s="1"/>
  <c r="F86" i="1"/>
  <c r="F87" i="1"/>
  <c r="E86" i="1"/>
  <c r="E88" i="1" s="1"/>
  <c r="E89" i="1" s="1"/>
  <c r="B126" i="3" l="1"/>
  <c r="C126" i="3" s="1"/>
  <c r="D126" i="3" s="1"/>
  <c r="A126" i="3"/>
  <c r="F88" i="1"/>
  <c r="F89" i="1" s="1"/>
  <c r="E90" i="1" s="1"/>
  <c r="E91" i="1" s="1"/>
  <c r="E122" i="1" s="1"/>
  <c r="E149" i="1" s="1"/>
  <c r="E151" i="1" s="1"/>
  <c r="B3" i="2" l="1"/>
  <c r="B5" i="2" s="1"/>
  <c r="B24" i="2" s="1"/>
  <c r="A127" i="3"/>
  <c r="B127" i="3"/>
  <c r="C127" i="3" s="1"/>
  <c r="D127" i="3" s="1"/>
  <c r="B128" i="3" l="1"/>
  <c r="C128" i="3" s="1"/>
  <c r="D128" i="3" s="1"/>
  <c r="A128" i="3"/>
  <c r="B129" i="3" l="1"/>
  <c r="C129" i="3" s="1"/>
  <c r="D129" i="3" s="1"/>
  <c r="A129" i="3"/>
  <c r="B130" i="3" l="1"/>
  <c r="C130" i="3" s="1"/>
  <c r="D130" i="3" s="1"/>
  <c r="A13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Clement Cliford (CLCL - Adjunkt - Cphbusiness)</author>
    <author>Karen Almdal (KAAL - Lektor - Cphbusiness)</author>
    <author>Søren Møller Jensen (SMJ - Lektor - Cphbusiness)</author>
  </authors>
  <commentList>
    <comment ref="C8" authorId="0" shapeId="0" xr:uid="{4CED6619-67D2-4D04-BE54-179CE4DC272F}">
      <text>
        <r>
          <rPr>
            <b/>
            <sz val="9"/>
            <color indexed="81"/>
            <rFont val="Tahoma"/>
            <family val="2"/>
          </rPr>
          <t>Hvis et par ikke er gift, så skal der laves en separat skatteberegning pr. person.</t>
        </r>
      </text>
    </comment>
    <comment ref="E32" authorId="1" shapeId="0" xr:uid="{EB665B9D-5204-4CDC-B70B-CC122CB02A61}">
      <text>
        <r>
          <rPr>
            <b/>
            <sz val="9"/>
            <color indexed="81"/>
            <rFont val="Tahoma"/>
            <family val="2"/>
          </rPr>
          <t xml:space="preserve">Løn minus eget bidrag til arb.markedspension + skatteværdi af personalegoder 
Fri tlf. (2024): 3.200 kr.
Firmabil (2024):
Skat af min. 160.000 kr.
23% af værdien under 300.000 kr. 
22% af værdien over 300.000 kr. 
600% af ejerudgiften </t>
        </r>
      </text>
    </comment>
    <comment ref="F32" authorId="1" shapeId="0" xr:uid="{80913001-849F-4F03-B735-D39659507957}">
      <text>
        <r>
          <rPr>
            <b/>
            <sz val="9"/>
            <color indexed="81"/>
            <rFont val="Tahoma"/>
            <family val="2"/>
          </rPr>
          <t>Løn minus eget bidrag til arb.markedspension + skatteværdi af personalegoder 
Fri tlf. (2024): 3.200 kr.
Firmabil (2024):
Skat af min. 160.000 kr.
23% af værdien under 300.000 kr. 
22% af værdien over 300.000 kr. 
600% af ejerudgiften</t>
        </r>
      </text>
    </comment>
    <comment ref="E37" authorId="2" shapeId="0" xr:uid="{03E7D5C6-66EB-4B02-AC96-667D023155DB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Dette felt er til alle pensioner som bliver udbetalt løbende i det pågældende år (rate/liv/folkep. &amp; ATP).</t>
        </r>
      </text>
    </comment>
    <comment ref="F37" authorId="2" shapeId="0" xr:uid="{CF1EFC5E-EE75-4882-BC59-5895ACF510FC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Dette felt er til alle pensioner som bliver udbetalt løbende i det pågældende år (rate/liv/folkep. &amp; ATP).</t>
        </r>
      </text>
    </comment>
    <comment ref="E38" authorId="2" shapeId="0" xr:uid="{61704916-B640-4CD7-8B86-D5AB0B04CB73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Her indtastes private pensionsindbetalinger til rate eller liv i det pågældende år.</t>
        </r>
      </text>
    </comment>
    <comment ref="F38" authorId="2" shapeId="0" xr:uid="{274FEB5E-F8D0-4594-B8CE-4F89F680A223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Her indtastes private pensionsindbetalinger til rate eller liv i det pågældende år.</t>
        </r>
      </text>
    </comment>
    <comment ref="E43" authorId="2" shapeId="0" xr:uid="{89F20709-665C-4C4A-BF72-5AE014AB7BD2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Eksempler på anden kap.indkomst: 
1. Kursgevinster og kurstab på obligationer - husk bagatelgrænse på 2.000 kr.
2. Kapitalafkast fra virksomhed
3. Visse lejeindtægter</t>
        </r>
      </text>
    </comment>
    <comment ref="F43" authorId="2" shapeId="0" xr:uid="{9F2D0D9E-7AE1-4816-B50F-CE2B04DEA980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Eksempler på anden kap.indkomst: 
1. Kursgevinster og kurstab på obligationer - husk bagatelgrænse på 2.000 kr.
2. Kapitalafkast fra virksomhed
3. Visse lejeindtægter</t>
        </r>
      </text>
    </comment>
    <comment ref="E44" authorId="2" shapeId="0" xr:uid="{8A6DDADA-D3E5-42B4-A1CC-75873D29F886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Renteudgifter fra lån; bidragsudgifter fra realkreditlån tastes også her.</t>
        </r>
      </text>
    </comment>
    <comment ref="F44" authorId="2" shapeId="0" xr:uid="{3B1F2185-A766-4059-BB47-847918564327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Renteudgifter fra lån; bidragsudgifter fra realkreditlån tastes også her.</t>
        </r>
      </text>
    </comment>
    <comment ref="E49" authorId="2" shapeId="0" xr:uid="{1491AE64-9F5A-4256-8F9E-81A614A321E5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Uddybning og skema til beregning findes her:
https://tax.dk/skat/koerselsfradrag.htm</t>
        </r>
      </text>
    </comment>
    <comment ref="F49" authorId="2" shapeId="0" xr:uid="{F06CEA1E-7F9F-4BE0-9F5B-A82D380F9592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Uddybning og skema til beregning findes her:
https://tax.dk/skat/koerselsfradrag.htm</t>
        </r>
      </text>
    </comment>
    <comment ref="E50" authorId="2" shapeId="0" xr:uid="{813D8F24-9FDD-4395-86F2-B42E8BCD726D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Max fradrag på fagforening er 7.000 kr. 
Hele udgift til A-kasse kan fradrages</t>
        </r>
      </text>
    </comment>
    <comment ref="F50" authorId="2" shapeId="0" xr:uid="{44090154-6D24-4E48-B4FE-96D1DD05774F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Max fradrag på fagforening er 7.000 kr. 
Hele udgift til A-kasse kan fradrages</t>
        </r>
      </text>
    </comment>
    <comment ref="E51" authorId="1" shapeId="0" xr:uid="{4FB49CAB-4355-49A5-BBAB-AA34E6CB5D69}">
      <text>
        <r>
          <rPr>
            <sz val="9"/>
            <color indexed="81"/>
            <rFont val="Tahoma"/>
            <family val="2"/>
          </rPr>
          <t>Eksempler:
- arbejdsværelse i hjemmet
- kurser
- faglitteratur
- dobbelt husførelse
- arbejdstøj</t>
        </r>
      </text>
    </comment>
    <comment ref="F51" authorId="1" shapeId="0" xr:uid="{74AC3703-8A8A-4031-98C1-37F147641924}">
      <text>
        <r>
          <rPr>
            <sz val="9"/>
            <color indexed="81"/>
            <rFont val="Tahoma"/>
            <family val="2"/>
          </rPr>
          <t>Eksempler:
- arbejdsværelse i hjemmet
- kurser
- faglitteratur
- dobbelt husførelse
- arbejdstøj</t>
        </r>
      </text>
    </comment>
    <comment ref="E52" authorId="1" shapeId="0" xr:uid="{44DA2925-0EF2-4C76-B325-80DE298C1A72}">
      <text>
        <r>
          <rPr>
            <sz val="9"/>
            <color indexed="81"/>
            <rFont val="Tahoma"/>
            <family val="2"/>
          </rPr>
          <t>Børnebidrag: Grundbeløb 16.440 om året er fradragsberettiget + 2.136 kr. om året i tillæg, som IKKE er fradragsberettiget; i alt betaling på 18.576 kr. om året.</t>
        </r>
      </text>
    </comment>
    <comment ref="F52" authorId="1" shapeId="0" xr:uid="{650252F0-DFE0-417A-8F81-2BD45325F68D}">
      <text>
        <r>
          <rPr>
            <sz val="9"/>
            <color indexed="81"/>
            <rFont val="Tahoma"/>
            <family val="2"/>
          </rPr>
          <t>Børnebidrag: Grundbeløb 16.440 om året er fradragsberettiget + 2.136 kr. om året i tillæg, som IKKE er fradragsberettiget; i alt betaling på 18.576 kr. om året.</t>
        </r>
      </text>
    </comment>
    <comment ref="E53" authorId="1" shapeId="0" xr:uid="{4D38F67F-0924-4D01-AC86-7C7F3B1C511C}">
      <text>
        <r>
          <rPr>
            <sz val="9"/>
            <color indexed="81"/>
            <rFont val="Tahoma"/>
            <family val="2"/>
          </rPr>
          <t xml:space="preserve">Eksempler:
Gaver til velgørenhed max 18.300 kr.
Indskud på etableringskonto
Servicefradrag: max 6.900 kr. </t>
        </r>
      </text>
    </comment>
    <comment ref="F53" authorId="1" shapeId="0" xr:uid="{1D93E121-7257-47AB-8CFE-440704B7F9E0}">
      <text>
        <r>
          <rPr>
            <sz val="9"/>
            <color indexed="81"/>
            <rFont val="Tahoma"/>
            <family val="2"/>
          </rPr>
          <t>Eksempler:
Gaver til velgørenhed max 18.300 kr.
Indskud på etableringskonto
Servicefradrag: max 6.900 kr.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Søren Møller Jensen (SMJ - Lektor - Cphbusiness)</author>
  </authors>
  <commentList>
    <comment ref="B1" authorId="0" shapeId="0" xr:uid="{C9B015B0-7E50-4226-BF79-654B02464E58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det beløb, der lånes.</t>
        </r>
      </text>
    </comment>
    <comment ref="B2" authorId="0" shapeId="0" xr:uid="{7A81E533-C524-4B16-A927-77B891A54ED8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eventuelle stiftelsesomkostninger på lånet (tastes som positiv værdi).</t>
        </r>
      </text>
    </comment>
    <comment ref="B5" authorId="0" shapeId="0" xr:uid="{E966AEE8-D877-4C79-8EE6-01A9004350E0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 totale antal år, lånet løber over.</t>
        </r>
      </text>
    </comment>
  </commentList>
</comments>
</file>

<file path=xl/sharedStrings.xml><?xml version="1.0" encoding="utf-8"?>
<sst xmlns="http://schemas.openxmlformats.org/spreadsheetml/2006/main" count="389" uniqueCount="326">
  <si>
    <t>Kommuneskatteprocenter</t>
  </si>
  <si>
    <t>Satser</t>
  </si>
  <si>
    <t>ja</t>
  </si>
  <si>
    <t>Skatteberegning 2024</t>
  </si>
  <si>
    <t>nej</t>
  </si>
  <si>
    <t>Regnearket implementerer hovedreglerne i indkomstbeskatningen. Brug af dette regneark sker på eget ansvar. Der ydes ikke erstatning, såfremt brugen af regnearket giver anledning til, at der lides et tab.</t>
  </si>
  <si>
    <t>Kommune</t>
  </si>
  <si>
    <t>Skatte</t>
  </si>
  <si>
    <t>Kirke</t>
  </si>
  <si>
    <t>Nedslag</t>
  </si>
  <si>
    <t>Grundskyld</t>
  </si>
  <si>
    <t>Arbejdsmarkedsbidragsprocent AMB § 1</t>
  </si>
  <si>
    <t>pct.</t>
  </si>
  <si>
    <t>prm.</t>
  </si>
  <si>
    <t>Bundskatprocent PSL § 6, stk. 2</t>
  </si>
  <si>
    <t>1. Forskellige oplysninger</t>
  </si>
  <si>
    <t>Sundhedsbidragsprocent PSL § 8</t>
  </si>
  <si>
    <t>intet sommerhus</t>
  </si>
  <si>
    <t>Topskatprocent PSL § 7, stk. 1</t>
  </si>
  <si>
    <t>Gift ?</t>
  </si>
  <si>
    <t>Albertslund</t>
  </si>
  <si>
    <t>Topskatgrænse PSL § 7, stk. 2</t>
  </si>
  <si>
    <t>Under 18 år hele indkomståret ?</t>
  </si>
  <si>
    <t>Allerød</t>
  </si>
  <si>
    <t>Skatteloftprocent PSL § 19, stk. 1</t>
  </si>
  <si>
    <t>Mere end 15 år til folkepensionsalderen ?</t>
  </si>
  <si>
    <t>Assens</t>
  </si>
  <si>
    <t>Skatteloftprocent positiv nettokapitalindkomst PSL § 19, stk. 2</t>
  </si>
  <si>
    <t>Medlem af Folkekirken ?</t>
  </si>
  <si>
    <t>Ballerup</t>
  </si>
  <si>
    <t>Personfradrag unge PSL § 10, stk. 2</t>
  </si>
  <si>
    <t>Billund</t>
  </si>
  <si>
    <t>Personfradrag PSL § 10, stk. 1</t>
  </si>
  <si>
    <t>Bopælskommune pr. 5. september 2023</t>
  </si>
  <si>
    <t>Hillerød</t>
  </si>
  <si>
    <t>Bornholm</t>
  </si>
  <si>
    <t>Maksimalt kapitalpensionsfradrag PBL § 16, stk. 1</t>
  </si>
  <si>
    <t>Kommuneskatteprocent</t>
  </si>
  <si>
    <t>Brøndby</t>
  </si>
  <si>
    <t>Bundfradrag positiv nettokapitalindkomst PSL § 7, stk. 1</t>
  </si>
  <si>
    <t>Kirkeskatteprocent</t>
  </si>
  <si>
    <t>Brønderslev</t>
  </si>
  <si>
    <t>Aktieskatprocent under grænse PSL § 8 a, stk. 1</t>
  </si>
  <si>
    <t>Grundskyldspromille</t>
  </si>
  <si>
    <t>Dragør</t>
  </si>
  <si>
    <t>Aktieskatprocent over grænse PSL § 8 a, stk. 2</t>
  </si>
  <si>
    <t>Egedal</t>
  </si>
  <si>
    <t>Grænse aktieskat PSL § 8 a, stk. 1 og 2</t>
  </si>
  <si>
    <t>Ejendomsværdi af enfamiliehus</t>
  </si>
  <si>
    <t>Esbjerg</t>
  </si>
  <si>
    <t>Bundgrænse lønmodtagerfradrag LL § 9, stk. 1</t>
  </si>
  <si>
    <t>Ejendomsværdi af ejerlejlighed</t>
  </si>
  <si>
    <t>Faaborg-Midtfyn</t>
  </si>
  <si>
    <t>Beskæftigelsesfradragsprocent LL § 9 J, stk. 2</t>
  </si>
  <si>
    <t>Hus/ejerlejlighed erhvervet senest 1. juli 1998 ?</t>
  </si>
  <si>
    <t>Fanø</t>
  </si>
  <si>
    <t>Maksimalt beskæftigelsesfradrag LL § 9 J, stk. 2</t>
  </si>
  <si>
    <t>Grundværdi hus/ejerlejlighed</t>
  </si>
  <si>
    <t>Favrskov</t>
  </si>
  <si>
    <t>Ejendomsværdiskatteprocent under grænse</t>
  </si>
  <si>
    <t>Ejendomsværdi af sommerhus</t>
  </si>
  <si>
    <t>Faxe</t>
  </si>
  <si>
    <t>Ejendomsværdiskatteprocent over grænse</t>
  </si>
  <si>
    <t>Beliggenhed sommerhus</t>
  </si>
  <si>
    <t>Fredensborg</t>
  </si>
  <si>
    <t>Grænse ejendomsværdiskat</t>
  </si>
  <si>
    <t>Fredericia</t>
  </si>
  <si>
    <t>Nedslag ejendomsværdiskat ESL § 23, stk. 1</t>
  </si>
  <si>
    <t>Grundværdi sommerhus</t>
  </si>
  <si>
    <t>Frederiksberg</t>
  </si>
  <si>
    <t>Nedslag ejendomsværdiskat ESL § 24, stk. 1</t>
  </si>
  <si>
    <t>Sommerhus erhvervet senest 1. juli 1998 ?</t>
  </si>
  <si>
    <t>Frederikshavn</t>
  </si>
  <si>
    <t>Maksimalt nedslag efter ESL § 24, stk. 1</t>
  </si>
  <si>
    <r>
      <t xml:space="preserve">Bidrag og præmie til </t>
    </r>
    <r>
      <rPr>
        <i/>
        <sz val="10"/>
        <rFont val="Arial"/>
        <family val="2"/>
      </rPr>
      <t>arbejdsgiveradministreret</t>
    </r>
    <r>
      <rPr>
        <sz val="10"/>
        <rFont val="Arial"/>
        <family val="2"/>
      </rPr>
      <t xml:space="preserve"> pension med løbende udbetalinger og ratepension</t>
    </r>
  </si>
  <si>
    <t>Frederikssund</t>
  </si>
  <si>
    <t>Nedslagsprocent negativ nettokapitalindkomst, PSL § 11, stk. 2</t>
  </si>
  <si>
    <t>Furesø</t>
  </si>
  <si>
    <t>Bundfradrag udligningsskat, PSL § 7 a, stk. 4</t>
  </si>
  <si>
    <t>2. Indkomst og fradrag</t>
  </si>
  <si>
    <t>Gentofte</t>
  </si>
  <si>
    <t>Udligningsskatteprocent, PSL § 7 a, stk. 5</t>
  </si>
  <si>
    <t>Skatteyder</t>
  </si>
  <si>
    <t>Gladsaxe</t>
  </si>
  <si>
    <t>Overførbart bundfradrag udligningsskat, PSL § 7 a, stk. 6</t>
  </si>
  <si>
    <t>Personlig indkomst</t>
  </si>
  <si>
    <t>Glostrup</t>
  </si>
  <si>
    <t>Bundgrænse jobfradrag LL § 9 K, stk. 1</t>
  </si>
  <si>
    <t>Løn, honorarer mv. (før fradrag af AMB)</t>
  </si>
  <si>
    <t>Greve</t>
  </si>
  <si>
    <t>Jobfradragsprocent LL § 9 K, stk. 2</t>
  </si>
  <si>
    <t>- reduceres med Arbejdsmarkedsbidrag (AMB)</t>
  </si>
  <si>
    <t>Gribskov</t>
  </si>
  <si>
    <t>Maksimalt jobfradrag LL § 9 K, stk. 2</t>
  </si>
  <si>
    <t>Personlig indkomst fra selvstændig virksomhed</t>
  </si>
  <si>
    <t>Guldborgsund</t>
  </si>
  <si>
    <t>Maksimalt ekstra pensionsfradrag LL § 9 L</t>
  </si>
  <si>
    <t>Haderslev</t>
  </si>
  <si>
    <t>Dagpenge mv., SU og anden personlig indkomst, hvoraf der ikke skal betales AMB</t>
  </si>
  <si>
    <t>Halsnæs</t>
  </si>
  <si>
    <t>Udbetalt pension mv., hvoraf der skal betales udligningsskat</t>
  </si>
  <si>
    <t>Hedensted</t>
  </si>
  <si>
    <r>
      <t xml:space="preserve">Bidrag og præmie til </t>
    </r>
    <r>
      <rPr>
        <i/>
        <sz val="10"/>
        <rFont val="Arial"/>
        <family val="2"/>
      </rPr>
      <t>privattegnet</t>
    </r>
    <r>
      <rPr>
        <sz val="10"/>
        <rFont val="Arial"/>
        <family val="2"/>
      </rPr>
      <t xml:space="preserve"> pension med løbende udbetalinger og ratepension</t>
    </r>
  </si>
  <si>
    <t>Helsingør</t>
  </si>
  <si>
    <t>Herlev</t>
  </si>
  <si>
    <t>Personlig indkomst i alt</t>
  </si>
  <si>
    <t>Herning</t>
  </si>
  <si>
    <t>Kapitalindkomst</t>
  </si>
  <si>
    <t>Renteindtægter</t>
  </si>
  <si>
    <t>Hjørring</t>
  </si>
  <si>
    <t>Anden kapitalindkomst</t>
  </si>
  <si>
    <t>Holbæk</t>
  </si>
  <si>
    <t>Renteudgifter</t>
  </si>
  <si>
    <t>Holstebro</t>
  </si>
  <si>
    <t>Personlig kapitalindkomst</t>
  </si>
  <si>
    <t>Horsens</t>
  </si>
  <si>
    <t>Kapitalindkomst fra selvstændig virksomhed</t>
  </si>
  <si>
    <t>Hvidovre</t>
  </si>
  <si>
    <t>Kapitalindkomst i alt</t>
  </si>
  <si>
    <t>Høje-Taastrup</t>
  </si>
  <si>
    <t>Ligningsmæssige fradrag</t>
  </si>
  <si>
    <t>Hørsholm</t>
  </si>
  <si>
    <t>Befordring</t>
  </si>
  <si>
    <t xml:space="preserve"> </t>
  </si>
  <si>
    <t>Ikast-Brande</t>
  </si>
  <si>
    <t>Arbejdsløshedsforsikring og fagligt kontingent</t>
  </si>
  <si>
    <t>Ishøj</t>
  </si>
  <si>
    <t>Øvrige lønmodtagerudgifter over</t>
  </si>
  <si>
    <t>Jammerbugt</t>
  </si>
  <si>
    <t>Underholdsbidrag til tidligere ægtefælle og børnebidrag</t>
  </si>
  <si>
    <t>Kalundborg</t>
  </si>
  <si>
    <t>Andre ligningsmæssig fradrag</t>
  </si>
  <si>
    <t>Kerteminde</t>
  </si>
  <si>
    <t>Beskæftigelsesfradrag</t>
  </si>
  <si>
    <t>Kolding</t>
  </si>
  <si>
    <t>Jobfradrag</t>
  </si>
  <si>
    <t>København</t>
  </si>
  <si>
    <t>Ekstra pensionsfradrag</t>
  </si>
  <si>
    <t>Køge</t>
  </si>
  <si>
    <t>Ligningsmæssige fradrag i alt</t>
  </si>
  <si>
    <t>Langeland</t>
  </si>
  <si>
    <t>Skattepligtig indkomst i alt</t>
  </si>
  <si>
    <t>Lejre</t>
  </si>
  <si>
    <t>Lemvig</t>
  </si>
  <si>
    <t>Aktieindkomst</t>
  </si>
  <si>
    <t>Lolland</t>
  </si>
  <si>
    <t>Udbytte af aktier, hvoraf der er indeholdt 27% udbytteskat (beløb før indeholdelse af udbytteskat)</t>
  </si>
  <si>
    <t>Lyngby-Taarbæk</t>
  </si>
  <si>
    <t>Udbytte af aktier, hvoraf der ikke er indeholdt 27% udbytteskat, samt gevinst/tab på aktier</t>
  </si>
  <si>
    <t>Læsø</t>
  </si>
  <si>
    <t>Aktieindkomst i alt</t>
  </si>
  <si>
    <t>Mariagerfjord</t>
  </si>
  <si>
    <t>Middelfart</t>
  </si>
  <si>
    <t>3. Indkomstskat</t>
  </si>
  <si>
    <t>Morsø</t>
  </si>
  <si>
    <t>Norddjurs</t>
  </si>
  <si>
    <t>Kommunal skat, sundhedsbidrag og kirkeskat</t>
  </si>
  <si>
    <t>Nordfyns</t>
  </si>
  <si>
    <t>Skattepligtig indkomst</t>
  </si>
  <si>
    <t>Nyborg</t>
  </si>
  <si>
    <t>Personfradrag</t>
  </si>
  <si>
    <t>Næstved</t>
  </si>
  <si>
    <t>Beregningsgrundlag</t>
  </si>
  <si>
    <t>Odder</t>
  </si>
  <si>
    <t>% af beregningsgrundlag</t>
  </si>
  <si>
    <t>Odense</t>
  </si>
  <si>
    <t>I alt</t>
  </si>
  <si>
    <t>Odsherred</t>
  </si>
  <si>
    <t>Bundskat</t>
  </si>
  <si>
    <t>Randers</t>
  </si>
  <si>
    <t>Rebild</t>
  </si>
  <si>
    <t>Positiv nettokapitalindkomst</t>
  </si>
  <si>
    <t>Ringkøbing-Skjern</t>
  </si>
  <si>
    <t>Ringsted</t>
  </si>
  <si>
    <t>Roskilde</t>
  </si>
  <si>
    <t>Rudersdal</t>
  </si>
  <si>
    <t>Rødovre</t>
  </si>
  <si>
    <t>Topskat</t>
  </si>
  <si>
    <t>Samsø</t>
  </si>
  <si>
    <t>Silkeborg</t>
  </si>
  <si>
    <t>Bundgrænse</t>
  </si>
  <si>
    <t>Skanderborg</t>
  </si>
  <si>
    <t>Skive</t>
  </si>
  <si>
    <t>Slagelse</t>
  </si>
  <si>
    <t>Topskat af personlig indkomst</t>
  </si>
  <si>
    <t>Solrød</t>
  </si>
  <si>
    <t>Positiv nettokapitalindkomst over</t>
  </si>
  <si>
    <t>Sorø</t>
  </si>
  <si>
    <t>Stevns</t>
  </si>
  <si>
    <t>Struer</t>
  </si>
  <si>
    <t>Svendborg</t>
  </si>
  <si>
    <t>Topskat af positiv nettokapitalindkomst</t>
  </si>
  <si>
    <t>Syddjurs</t>
  </si>
  <si>
    <t>Sønderborg</t>
  </si>
  <si>
    <t>Thisted</t>
  </si>
  <si>
    <t>Udligningsskat</t>
  </si>
  <si>
    <t>Tårnby</t>
  </si>
  <si>
    <t>Pensioner mv., hvoraf der skal betales udligningsskat</t>
  </si>
  <si>
    <t>Tønder</t>
  </si>
  <si>
    <t>Bundfradrag</t>
  </si>
  <si>
    <t>Vallensbæk</t>
  </si>
  <si>
    <t>Overført bundfradrag fra ægtefælle</t>
  </si>
  <si>
    <t>Varde</t>
  </si>
  <si>
    <t>Vejen</t>
  </si>
  <si>
    <t>Vejle</t>
  </si>
  <si>
    <t>Positiv udligningsskat</t>
  </si>
  <si>
    <t>Vesthimmerland</t>
  </si>
  <si>
    <t>Viborg</t>
  </si>
  <si>
    <t>Vordingborg</t>
  </si>
  <si>
    <t>Aktieskat</t>
  </si>
  <si>
    <t>Ærø</t>
  </si>
  <si>
    <t>Aabenraa</t>
  </si>
  <si>
    <t>Aalborg</t>
  </si>
  <si>
    <t>% af beregningsgrundlag indtil</t>
  </si>
  <si>
    <t>Aarhus</t>
  </si>
  <si>
    <t>% af beregningsgrundlag over</t>
  </si>
  <si>
    <t>Kilde: Skatteministeriet, 3/12-2023</t>
  </si>
  <si>
    <t>Arbejdsmarkedsbidrag (AMB)</t>
  </si>
  <si>
    <t>Løn, honorarer mv.</t>
  </si>
  <si>
    <t>Positivt resultat af selvstændig virksomhed, der beskattes som personlig indkomst</t>
  </si>
  <si>
    <t>Nedslag for negativ nettokapitalindkomst</t>
  </si>
  <si>
    <t>Nettokapitalindkomst</t>
  </si>
  <si>
    <r>
      <t xml:space="preserve">Indkomstskat i alt </t>
    </r>
    <r>
      <rPr>
        <sz val="10"/>
        <rFont val="Arial"/>
        <family val="2"/>
      </rPr>
      <t>(grøn check er ikke fratrukket)</t>
    </r>
  </si>
  <si>
    <t>4. Skat af fast ejendom</t>
  </si>
  <si>
    <t>Ejendomsværdiskat</t>
  </si>
  <si>
    <t>Ejendomsværdi enfamiliehus/ejerlejlighed</t>
  </si>
  <si>
    <t>% af 80% af ejendomsværdi indtil</t>
  </si>
  <si>
    <t>% af 80% af ejendomsværdi over</t>
  </si>
  <si>
    <t>Ejendomsværdiskat enfamiliehus/ejerlejlighed</t>
  </si>
  <si>
    <t>Ejendomsværdi sommerhus</t>
  </si>
  <si>
    <t>% af ejendomsværdi indtil</t>
  </si>
  <si>
    <t>% af ejendomsværdi over</t>
  </si>
  <si>
    <t>Ejendomsværdiskat sommerhus</t>
  </si>
  <si>
    <t>Grundskyld (ejendomsskat)</t>
  </si>
  <si>
    <t>Grundværdi enfamiliehus/ejerlejlighed</t>
  </si>
  <si>
    <t>promille af 80% af grundværdi</t>
  </si>
  <si>
    <t>Skat af fast ejendom i alt</t>
  </si>
  <si>
    <t>5. Samlet skat</t>
  </si>
  <si>
    <t>Indkomstskat</t>
  </si>
  <si>
    <t>Skat af fast ejendom</t>
  </si>
  <si>
    <t>Indkomst m.m.</t>
  </si>
  <si>
    <t>Løn, brutto/år</t>
  </si>
  <si>
    <t>Skat/år</t>
  </si>
  <si>
    <t>Børneydelse/år</t>
  </si>
  <si>
    <t>Disponibel indkomst/måned</t>
  </si>
  <si>
    <t>Faste udgifter</t>
  </si>
  <si>
    <t>Rådighedsbeløb/måned</t>
  </si>
  <si>
    <t>Thomas</t>
  </si>
  <si>
    <t>Tina</t>
  </si>
  <si>
    <t>Realkreditlån</t>
  </si>
  <si>
    <t>Hovedstol</t>
  </si>
  <si>
    <t>Stiftelsesomk.</t>
  </si>
  <si>
    <t>Provenue</t>
  </si>
  <si>
    <t>Rente pr. år</t>
  </si>
  <si>
    <t>Årlige renteudgifter</t>
  </si>
  <si>
    <t>Antal år</t>
  </si>
  <si>
    <t>KUN VED 12 TERMINER PR. ÅR</t>
  </si>
  <si>
    <t>Terminer pr. år</t>
  </si>
  <si>
    <t>År 1</t>
  </si>
  <si>
    <t>Antal terminer</t>
  </si>
  <si>
    <t>År 2</t>
  </si>
  <si>
    <t>Ydelse pr. termin</t>
  </si>
  <si>
    <t>År 3</t>
  </si>
  <si>
    <t>År 4</t>
  </si>
  <si>
    <t xml:space="preserve">Termin </t>
  </si>
  <si>
    <t>Rente</t>
  </si>
  <si>
    <t>afdrag</t>
  </si>
  <si>
    <t xml:space="preserve">restgæld </t>
  </si>
  <si>
    <t>År 5</t>
  </si>
  <si>
    <t>År 6</t>
  </si>
  <si>
    <t>År 7</t>
  </si>
  <si>
    <t>Årlig ydelse</t>
  </si>
  <si>
    <t>Effektiv rente pr. termin</t>
  </si>
  <si>
    <t>ÅOP</t>
  </si>
  <si>
    <t>Leasing (Tesla)</t>
  </si>
  <si>
    <t>Billån (Honda)</t>
  </si>
  <si>
    <t>Benzin/el til biler</t>
  </si>
  <si>
    <t>Stald, foder, forsikring til hest</t>
  </si>
  <si>
    <t>Ishockey udstyr, ture m.m.</t>
  </si>
  <si>
    <t>El, vand og varme (villa)</t>
  </si>
  <si>
    <t>Ejerudgifter (villa)</t>
  </si>
  <si>
    <t>Ejerudgifter (sommerhus)</t>
  </si>
  <si>
    <t>El, vand og varme (sommerhus)</t>
  </si>
  <si>
    <t>Forsikringer (indbo, ulykke, biler)</t>
  </si>
  <si>
    <t>Telefon/internet/streaming</t>
  </si>
  <si>
    <t>Beregning af ÅOP på annuitetslån:</t>
  </si>
  <si>
    <t>Lånets størrelse, Hovedstol</t>
  </si>
  <si>
    <t>Kurs (indtast også ved kurs 100)</t>
  </si>
  <si>
    <t>Evt. omk.ved låneoptagelse i kr</t>
  </si>
  <si>
    <t>Til udbetaling / nettoprovenuet</t>
  </si>
  <si>
    <t>Ved krav om bestemt låneprovenue - så vælg målsøgning og find hovedstolen</t>
  </si>
  <si>
    <t>Nominel rente pr. år i %</t>
  </si>
  <si>
    <t>Antal år (Lånets samlede løbetid)</t>
  </si>
  <si>
    <t>Antal afdragsfrie år</t>
  </si>
  <si>
    <t>Skattesats i %</t>
  </si>
  <si>
    <t>Antal terminer i alt</t>
  </si>
  <si>
    <t>Antal afdragsfrie terminer</t>
  </si>
  <si>
    <t>Nominel rente pr. termin</t>
  </si>
  <si>
    <t>Nominel rente pr. termin efter skat</t>
  </si>
  <si>
    <t>Ydelse pr. termin (rentebetaling)</t>
  </si>
  <si>
    <t>I den afdragsfrie periode</t>
  </si>
  <si>
    <t>Ydelse (rente og afdrag) før skat (uden gebyr) pr. termin</t>
  </si>
  <si>
    <t>Efter afdragsfri periode</t>
  </si>
  <si>
    <t>Gebyr pr. termin i %-del af restgælden</t>
  </si>
  <si>
    <t>Ikke fradragsberettiget</t>
  </si>
  <si>
    <t>Fradragsberettiget</t>
  </si>
  <si>
    <t>Gebyr pr. termin i %-del af hovedstolen</t>
  </si>
  <si>
    <t>Effektiv rente per termin</t>
  </si>
  <si>
    <t>Før skat</t>
  </si>
  <si>
    <t>Efter skat</t>
  </si>
  <si>
    <t>Termin</t>
  </si>
  <si>
    <t>Restgæld primo</t>
  </si>
  <si>
    <t>Rente før skat</t>
  </si>
  <si>
    <t>Afdrag</t>
  </si>
  <si>
    <t>Løbende gebyr før skat</t>
  </si>
  <si>
    <t>Ydelse før skat  uden gebyr</t>
  </si>
  <si>
    <t>Ydelse før skat incl. gebyr</t>
  </si>
  <si>
    <t>Rente efter skat</t>
  </si>
  <si>
    <t>Løbende gebyr efter skat</t>
  </si>
  <si>
    <t>Ydelse efter skat uden gebyr</t>
  </si>
  <si>
    <t>Ydelse efter skat incl gebyr</t>
  </si>
  <si>
    <t>Restgæld ultimo</t>
  </si>
  <si>
    <t>Totalerne er i række 388</t>
  </si>
  <si>
    <t>Total</t>
  </si>
  <si>
    <t>Opsparing sommerferie</t>
  </si>
  <si>
    <t>Fagforening og a-kasse (Thomas)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</si>
</sst>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kr&quot;\ * #,##0.00_);_(&quot;kr&quot;\ * \(#,##0.00\);_(&quot;kr&quot;\ * &quot;-&quot;??_);_(@_)"/>
    <numFmt numFmtId="165" formatCode="_-* #,##0.00\ _k_r_._-;\-* #,##0.00\ _k_r_._-;_-* &quot;-&quot;??\ _k_r_._-;_-@_-"/>
    <numFmt numFmtId="166" formatCode="_-* #,##0.00\ _k_r_-;\-* #,##0.00\ _k_r_-;_-* &quot;-&quot;\ _k_r_-;_-@_-"/>
    <numFmt numFmtId="167" formatCode="#,##0.00_ ;[Red]\-#,##0.00\ "/>
    <numFmt numFmtId="168" formatCode="0.00000%"/>
    <numFmt numFmtId="169" formatCode="_-* #,##0\ _k_r_-;\-* #,##0\ _k_r_-;_-* &quot;-&quot;\ _k_r_-;_-@_-"/>
    <numFmt numFmtId="170" formatCode="_(* #,##0.00_);_(* \(#,##0.00\);_(* &quot;-&quot;??_);_(@_)"/>
    <numFmt numFmtId="171" formatCode="_(* #,##0_);_(* \(#,##0\);_(* &quot;-&quot;???_);_(@_)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6"/>
      <name val="Arial"/>
      <family val="2"/>
    </font>
    <font>
      <sz val="8"/>
      <name val="Arial"/>
      <family val="2"/>
    </font>
    <font>
      <vertAlign val="superscript"/>
      <sz val="10"/>
      <name val="Arial"/>
      <family val="2"/>
    </font>
    <font>
      <sz val="10"/>
      <color indexed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AE6E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7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2" fillId="0" borderId="0" xfId="0" applyFont="1"/>
    <xf numFmtId="0" fontId="0" fillId="0" borderId="2" xfId="0" applyBorder="1"/>
    <xf numFmtId="0" fontId="6" fillId="2" borderId="1" xfId="0" applyFont="1" applyFill="1" applyBorder="1" applyAlignment="1">
      <alignment wrapText="1"/>
    </xf>
    <xf numFmtId="0" fontId="0" fillId="2" borderId="0" xfId="0" applyFill="1" applyAlignment="1">
      <alignment wrapText="1"/>
    </xf>
    <xf numFmtId="3" fontId="0" fillId="0" borderId="0" xfId="0" applyNumberFormat="1"/>
    <xf numFmtId="3" fontId="0" fillId="0" borderId="1" xfId="0" applyNumberFormat="1" applyBorder="1"/>
    <xf numFmtId="0" fontId="5" fillId="2" borderId="1" xfId="0" applyFont="1" applyFill="1" applyBorder="1" applyAlignment="1">
      <alignment wrapText="1"/>
    </xf>
    <xf numFmtId="14" fontId="7" fillId="0" borderId="0" xfId="0" applyNumberFormat="1" applyFont="1" applyAlignment="1">
      <alignment horizontal="left"/>
    </xf>
    <xf numFmtId="0" fontId="0" fillId="3" borderId="1" xfId="0" applyFill="1" applyBorder="1" applyProtection="1">
      <protection locked="0"/>
    </xf>
    <xf numFmtId="3" fontId="0" fillId="3" borderId="0" xfId="0" applyNumberFormat="1" applyFill="1" applyProtection="1">
      <protection locked="0"/>
    </xf>
    <xf numFmtId="3" fontId="0" fillId="3" borderId="1" xfId="0" applyNumberFormat="1" applyFill="1" applyBorder="1" applyProtection="1">
      <protection locked="0"/>
    </xf>
    <xf numFmtId="0" fontId="0" fillId="0" borderId="4" xfId="0" applyBorder="1"/>
    <xf numFmtId="0" fontId="0" fillId="0" borderId="5" xfId="0" applyBorder="1"/>
    <xf numFmtId="0" fontId="0" fillId="0" borderId="0" xfId="0" applyAlignment="1">
      <alignment wrapText="1"/>
    </xf>
    <xf numFmtId="2" fontId="0" fillId="0" borderId="1" xfId="0" applyNumberFormat="1" applyBorder="1"/>
    <xf numFmtId="3" fontId="0" fillId="0" borderId="5" xfId="0" applyNumberFormat="1" applyBorder="1"/>
    <xf numFmtId="0" fontId="3" fillId="2" borderId="0" xfId="0" applyFont="1" applyFill="1" applyAlignment="1">
      <alignment wrapText="1"/>
    </xf>
    <xf numFmtId="2" fontId="0" fillId="0" borderId="0" xfId="0" applyNumberFormat="1"/>
    <xf numFmtId="0" fontId="6" fillId="2" borderId="0" xfId="0" applyFont="1" applyFill="1" applyAlignment="1">
      <alignment wrapText="1"/>
    </xf>
    <xf numFmtId="0" fontId="9" fillId="0" borderId="0" xfId="0" applyFont="1"/>
    <xf numFmtId="0" fontId="0" fillId="0" borderId="6" xfId="0" applyBorder="1"/>
    <xf numFmtId="3" fontId="0" fillId="0" borderId="6" xfId="0" applyNumberFormat="1" applyBorder="1"/>
    <xf numFmtId="0" fontId="0" fillId="0" borderId="3" xfId="0" applyBorder="1"/>
    <xf numFmtId="3" fontId="0" fillId="0" borderId="3" xfId="0" applyNumberFormat="1" applyBorder="1"/>
    <xf numFmtId="3" fontId="0" fillId="0" borderId="4" xfId="0" applyNumberFormat="1" applyBorder="1"/>
    <xf numFmtId="49" fontId="0" fillId="2" borderId="1" xfId="0" applyNumberFormat="1" applyFill="1" applyBorder="1" applyAlignment="1">
      <alignment wrapText="1"/>
    </xf>
    <xf numFmtId="164" fontId="0" fillId="0" borderId="0" xfId="1" applyFont="1" applyAlignment="1">
      <alignment horizontal="center" vertical="center" wrapText="1"/>
    </xf>
    <xf numFmtId="0" fontId="10" fillId="0" borderId="0" xfId="0" applyFont="1"/>
    <xf numFmtId="4" fontId="0" fillId="0" borderId="0" xfId="0" applyNumberFormat="1"/>
    <xf numFmtId="0" fontId="0" fillId="0" borderId="0" xfId="0" applyAlignment="1">
      <alignment vertical="center"/>
    </xf>
    <xf numFmtId="3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wrapText="1"/>
    </xf>
    <xf numFmtId="3" fontId="0" fillId="5" borderId="1" xfId="0" applyNumberFormat="1" applyFill="1" applyBorder="1" applyProtection="1">
      <protection locked="0"/>
    </xf>
    <xf numFmtId="0" fontId="2" fillId="2" borderId="3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0" fontId="2" fillId="0" borderId="1" xfId="0" applyFont="1" applyBorder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1" fontId="0" fillId="0" borderId="1" xfId="0" applyNumberFormat="1" applyBorder="1"/>
    <xf numFmtId="1" fontId="2" fillId="0" borderId="1" xfId="0" applyNumberFormat="1" applyFont="1" applyBorder="1"/>
    <xf numFmtId="3" fontId="0" fillId="5" borderId="1" xfId="0" applyNumberFormat="1" applyFill="1" applyBorder="1"/>
    <xf numFmtId="0" fontId="3" fillId="2" borderId="2" xfId="0" applyFont="1" applyFill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2" fillId="3" borderId="1" xfId="0" applyFont="1" applyFill="1" applyBorder="1" applyProtection="1">
      <protection locked="0"/>
    </xf>
    <xf numFmtId="3" fontId="2" fillId="0" borderId="1" xfId="0" applyNumberFormat="1" applyFont="1" applyBorder="1"/>
    <xf numFmtId="0" fontId="6" fillId="0" borderId="1" xfId="0" applyFont="1" applyBorder="1"/>
    <xf numFmtId="0" fontId="6" fillId="0" borderId="6" xfId="0" applyFont="1" applyBorder="1"/>
    <xf numFmtId="3" fontId="3" fillId="0" borderId="1" xfId="0" applyNumberFormat="1" applyFont="1" applyBorder="1"/>
    <xf numFmtId="3" fontId="3" fillId="0" borderId="0" xfId="0" applyNumberFormat="1" applyFont="1"/>
    <xf numFmtId="0" fontId="3" fillId="0" borderId="0" xfId="0" applyFont="1"/>
    <xf numFmtId="0" fontId="6" fillId="2" borderId="1" xfId="0" applyFont="1" applyFill="1" applyBorder="1"/>
    <xf numFmtId="0" fontId="14" fillId="0" borderId="0" xfId="0" applyFont="1"/>
    <xf numFmtId="0" fontId="15" fillId="0" borderId="0" xfId="0" applyFont="1"/>
    <xf numFmtId="3" fontId="15" fillId="0" borderId="0" xfId="0" applyNumberFormat="1" applyFont="1"/>
    <xf numFmtId="43" fontId="0" fillId="5" borderId="0" xfId="3" applyFont="1" applyFill="1" applyAlignment="1">
      <alignment horizontal="center"/>
    </xf>
    <xf numFmtId="165" fontId="0" fillId="0" borderId="0" xfId="0" applyNumberFormat="1"/>
    <xf numFmtId="43" fontId="0" fillId="0" borderId="0" xfId="3" applyFont="1" applyFill="1" applyAlignment="1">
      <alignment horizontal="center"/>
    </xf>
    <xf numFmtId="10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9" fontId="0" fillId="0" borderId="0" xfId="0" applyNumberFormat="1"/>
    <xf numFmtId="0" fontId="16" fillId="6" borderId="0" xfId="0" applyFont="1" applyFill="1"/>
    <xf numFmtId="166" fontId="16" fillId="6" borderId="0" xfId="0" applyNumberFormat="1" applyFont="1" applyFill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7" fontId="15" fillId="0" borderId="0" xfId="0" applyNumberFormat="1" applyFont="1"/>
    <xf numFmtId="168" fontId="0" fillId="0" borderId="0" xfId="0" applyNumberFormat="1" applyAlignment="1">
      <alignment horizontal="left" indent="3"/>
    </xf>
    <xf numFmtId="16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5" fillId="6" borderId="0" xfId="0" applyFont="1" applyFill="1"/>
    <xf numFmtId="4" fontId="15" fillId="6" borderId="0" xfId="0" applyNumberFormat="1" applyFont="1" applyFill="1"/>
    <xf numFmtId="10" fontId="0" fillId="0" borderId="0" xfId="0" applyNumberFormat="1"/>
    <xf numFmtId="10" fontId="15" fillId="6" borderId="0" xfId="4" applyNumberFormat="1" applyFont="1" applyFill="1"/>
    <xf numFmtId="0" fontId="2" fillId="0" borderId="0" xfId="2" applyFont="1"/>
    <xf numFmtId="0" fontId="4" fillId="7" borderId="7" xfId="2" applyFont="1" applyFill="1" applyBorder="1"/>
    <xf numFmtId="0" fontId="4" fillId="7" borderId="8" xfId="2" applyFont="1" applyFill="1" applyBorder="1"/>
    <xf numFmtId="0" fontId="1" fillId="0" borderId="0" xfId="2"/>
    <xf numFmtId="0" fontId="2" fillId="0" borderId="7" xfId="2" applyFont="1" applyBorder="1"/>
    <xf numFmtId="0" fontId="2" fillId="0" borderId="8" xfId="2" applyFont="1" applyBorder="1"/>
    <xf numFmtId="3" fontId="2" fillId="5" borderId="9" xfId="5" applyNumberFormat="1" applyFont="1" applyFill="1" applyBorder="1" applyProtection="1">
      <protection locked="0"/>
    </xf>
    <xf numFmtId="0" fontId="2" fillId="0" borderId="10" xfId="2" applyFont="1" applyBorder="1"/>
    <xf numFmtId="0" fontId="2" fillId="0" borderId="11" xfId="2" applyFont="1" applyBorder="1"/>
    <xf numFmtId="2" fontId="2" fillId="5" borderId="12" xfId="2" applyNumberFormat="1" applyFont="1" applyFill="1" applyBorder="1" applyProtection="1">
      <protection locked="0"/>
    </xf>
    <xf numFmtId="0" fontId="2" fillId="0" borderId="13" xfId="2" applyFont="1" applyBorder="1"/>
    <xf numFmtId="3" fontId="2" fillId="5" borderId="12" xfId="2" applyNumberFormat="1" applyFont="1" applyFill="1" applyBorder="1" applyProtection="1">
      <protection locked="0"/>
    </xf>
    <xf numFmtId="171" fontId="2" fillId="0" borderId="12" xfId="2" applyNumberFormat="1" applyFont="1" applyBorder="1" applyAlignment="1">
      <alignment horizontal="right"/>
    </xf>
    <xf numFmtId="10" fontId="2" fillId="5" borderId="12" xfId="6" applyNumberFormat="1" applyFont="1" applyFill="1" applyBorder="1" applyProtection="1">
      <protection locked="0"/>
    </xf>
    <xf numFmtId="3" fontId="2" fillId="0" borderId="0" xfId="2" applyNumberFormat="1" applyFont="1"/>
    <xf numFmtId="0" fontId="2" fillId="0" borderId="11" xfId="2" applyFont="1" applyBorder="1" applyAlignment="1">
      <alignment horizontal="left"/>
    </xf>
    <xf numFmtId="0" fontId="2" fillId="0" borderId="0" xfId="2" applyFont="1" applyAlignment="1">
      <alignment horizontal="left"/>
    </xf>
    <xf numFmtId="10" fontId="2" fillId="5" borderId="12" xfId="2" applyNumberFormat="1" applyFont="1" applyFill="1" applyBorder="1" applyProtection="1">
      <protection locked="0"/>
    </xf>
    <xf numFmtId="0" fontId="2" fillId="0" borderId="12" xfId="2" applyFont="1" applyBorder="1"/>
    <xf numFmtId="10" fontId="2" fillId="0" borderId="12" xfId="2" applyNumberFormat="1" applyFont="1" applyBorder="1"/>
    <xf numFmtId="3" fontId="2" fillId="0" borderId="12" xfId="2" applyNumberFormat="1" applyFont="1" applyBorder="1"/>
    <xf numFmtId="0" fontId="2" fillId="0" borderId="13" xfId="2" applyFont="1" applyBorder="1" applyAlignment="1">
      <alignment horizontal="left"/>
    </xf>
    <xf numFmtId="10" fontId="17" fillId="8" borderId="1" xfId="6" applyNumberFormat="1" applyFont="1" applyFill="1" applyBorder="1"/>
    <xf numFmtId="10" fontId="17" fillId="8" borderId="1" xfId="2" applyNumberFormat="1" applyFont="1" applyFill="1" applyBorder="1" applyAlignment="1">
      <alignment horizontal="left"/>
    </xf>
    <xf numFmtId="10" fontId="17" fillId="0" borderId="0" xfId="2" applyNumberFormat="1" applyFont="1" applyAlignment="1">
      <alignment horizontal="left"/>
    </xf>
    <xf numFmtId="0" fontId="17" fillId="0" borderId="0" xfId="2" applyFont="1"/>
    <xf numFmtId="0" fontId="17" fillId="0" borderId="13" xfId="2" applyFont="1" applyBorder="1"/>
    <xf numFmtId="0" fontId="2" fillId="0" borderId="15" xfId="2" applyFont="1" applyBorder="1"/>
    <xf numFmtId="10" fontId="2" fillId="0" borderId="16" xfId="2" applyNumberFormat="1" applyFont="1" applyBorder="1"/>
    <xf numFmtId="0" fontId="2" fillId="0" borderId="16" xfId="2" applyFont="1" applyBorder="1"/>
    <xf numFmtId="0" fontId="2" fillId="0" borderId="17" xfId="2" applyFont="1" applyBorder="1"/>
    <xf numFmtId="0" fontId="17" fillId="0" borderId="7" xfId="2" applyFont="1" applyBorder="1"/>
    <xf numFmtId="0" fontId="3" fillId="0" borderId="8" xfId="2" applyFont="1" applyBorder="1"/>
    <xf numFmtId="0" fontId="2" fillId="6" borderId="1" xfId="2" applyFont="1" applyFill="1" applyBorder="1" applyAlignment="1">
      <alignment horizontal="center" vertical="center"/>
    </xf>
    <xf numFmtId="0" fontId="2" fillId="6" borderId="1" xfId="2" applyFont="1" applyFill="1" applyBorder="1" applyAlignment="1">
      <alignment horizontal="center" vertical="center" wrapText="1"/>
    </xf>
    <xf numFmtId="0" fontId="3" fillId="9" borderId="0" xfId="2" applyFont="1" applyFill="1" applyAlignment="1">
      <alignment wrapText="1"/>
    </xf>
    <xf numFmtId="0" fontId="2" fillId="0" borderId="0" xfId="2" applyFont="1" applyAlignment="1">
      <alignment horizontal="right" wrapText="1"/>
    </xf>
    <xf numFmtId="171" fontId="2" fillId="0" borderId="0" xfId="2" applyNumberFormat="1" applyFont="1" applyAlignment="1">
      <alignment horizontal="right" wrapText="1"/>
    </xf>
    <xf numFmtId="0" fontId="2" fillId="0" borderId="13" xfId="2" applyFont="1" applyBorder="1" applyAlignment="1">
      <alignment horizontal="right" wrapText="1"/>
    </xf>
    <xf numFmtId="0" fontId="2" fillId="0" borderId="0" xfId="2" applyFont="1" applyAlignment="1">
      <alignment wrapText="1"/>
    </xf>
    <xf numFmtId="0" fontId="2" fillId="0" borderId="1" xfId="2" applyFont="1" applyBorder="1"/>
    <xf numFmtId="3" fontId="2" fillId="0" borderId="1" xfId="2" applyNumberFormat="1" applyFont="1" applyBorder="1"/>
    <xf numFmtId="3" fontId="2" fillId="0" borderId="1" xfId="5" applyNumberFormat="1" applyFont="1" applyBorder="1"/>
    <xf numFmtId="3" fontId="2" fillId="10" borderId="1" xfId="2" applyNumberFormat="1" applyFont="1" applyFill="1" applyBorder="1"/>
    <xf numFmtId="3" fontId="3" fillId="10" borderId="1" xfId="2" applyNumberFormat="1" applyFont="1" applyFill="1" applyBorder="1"/>
    <xf numFmtId="3" fontId="2" fillId="0" borderId="0" xfId="5" applyNumberFormat="1" applyFont="1"/>
    <xf numFmtId="3" fontId="2" fillId="5" borderId="1" xfId="2" applyNumberFormat="1" applyFont="1" applyFill="1" applyBorder="1"/>
    <xf numFmtId="49" fontId="8" fillId="0" borderId="0" xfId="0" applyNumberFormat="1" applyFont="1"/>
    <xf numFmtId="0" fontId="3" fillId="2" borderId="2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2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4" xfId="0" applyBorder="1"/>
    <xf numFmtId="0" fontId="0" fillId="0" borderId="5" xfId="0" applyBorder="1"/>
    <xf numFmtId="0" fontId="3" fillId="4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/>
    <xf numFmtId="0" fontId="8" fillId="0" borderId="0" xfId="0" applyFont="1" applyAlignment="1">
      <alignment wrapText="1"/>
    </xf>
    <xf numFmtId="0" fontId="0" fillId="0" borderId="0" xfId="0"/>
    <xf numFmtId="0" fontId="0" fillId="4" borderId="0" xfId="0" applyFill="1"/>
    <xf numFmtId="0" fontId="17" fillId="8" borderId="14" xfId="2" applyFont="1" applyFill="1" applyBorder="1" applyAlignment="1">
      <alignment horizontal="center"/>
    </xf>
    <xf numFmtId="0" fontId="17" fillId="8" borderId="4" xfId="2" applyFont="1" applyFill="1" applyBorder="1" applyAlignment="1">
      <alignment horizontal="center"/>
    </xf>
    <xf numFmtId="0" fontId="17" fillId="8" borderId="5" xfId="2" applyFont="1" applyFill="1" applyBorder="1" applyAlignment="1">
      <alignment horizontal="center"/>
    </xf>
    <xf numFmtId="0" fontId="2" fillId="0" borderId="11" xfId="2" applyFont="1" applyBorder="1" applyAlignment="1">
      <alignment horizontal="center"/>
    </xf>
    <xf numFmtId="0" fontId="2" fillId="0" borderId="0" xfId="2" applyFont="1" applyAlignment="1">
      <alignment horizontal="center"/>
    </xf>
  </cellXfs>
  <cellStyles count="7">
    <cellStyle name="Komma" xfId="3" builtinId="3"/>
    <cellStyle name="Komma 6" xfId="5" xr:uid="{1189C796-DDCA-4827-9751-034F9EDF1A46}"/>
    <cellStyle name="Normal" xfId="0" builtinId="0"/>
    <cellStyle name="Normal 2" xfId="2" xr:uid="{736E7174-7404-4557-B1CA-6507C2F3B824}"/>
    <cellStyle name="Procent" xfId="4" builtinId="5"/>
    <cellStyle name="Procent 2" xfId="6" xr:uid="{9CD2603B-7244-40D4-8C4C-D51CB5A9DF4A}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0</xdr:row>
      <xdr:rowOff>0</xdr:rowOff>
    </xdr:from>
    <xdr:to>
      <xdr:col>6</xdr:col>
      <xdr:colOff>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FDD3AAA-B6F2-41FF-B4E1-208150D5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0"/>
          <a:ext cx="7620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89C0-D43F-4ED4-A591-42BE5D5F3B3B}">
  <dimension ref="A1:B24"/>
  <sheetViews>
    <sheetView tabSelected="1" zoomScale="110" zoomScaleNormal="110" workbookViewId="0">
      <selection activeCell="A22" sqref="A22"/>
    </sheetView>
  </sheetViews>
  <sheetFormatPr defaultRowHeight="12.5" x14ac:dyDescent="0.25"/>
  <cols>
    <col min="1" max="1" width="31.36328125" customWidth="1"/>
    <col min="2" max="2" width="10.1796875" style="8" customWidth="1"/>
  </cols>
  <sheetData>
    <row r="1" spans="1:2" ht="15.5" x14ac:dyDescent="0.35">
      <c r="A1" s="59" t="s">
        <v>240</v>
      </c>
    </row>
    <row r="2" spans="1:2" x14ac:dyDescent="0.25">
      <c r="A2" t="s">
        <v>241</v>
      </c>
      <c r="B2" s="8">
        <f>12*(38000+70000)</f>
        <v>1296000</v>
      </c>
    </row>
    <row r="3" spans="1:2" x14ac:dyDescent="0.25">
      <c r="A3" t="s">
        <v>242</v>
      </c>
      <c r="B3" s="8">
        <f>Skatteberegning!E151</f>
        <v>480813.7207715679</v>
      </c>
    </row>
    <row r="4" spans="1:2" x14ac:dyDescent="0.25">
      <c r="A4" t="s">
        <v>243</v>
      </c>
      <c r="B4" s="8">
        <f>(4*3192)+(12*1064)</f>
        <v>25536</v>
      </c>
    </row>
    <row r="5" spans="1:2" ht="15.5" x14ac:dyDescent="0.35">
      <c r="A5" s="60" t="s">
        <v>244</v>
      </c>
      <c r="B5" s="61">
        <f>(B2-B3+B4)/12</f>
        <v>70060.18993570267</v>
      </c>
    </row>
    <row r="7" spans="1:2" ht="15.5" x14ac:dyDescent="0.35">
      <c r="A7" s="59" t="s">
        <v>245</v>
      </c>
    </row>
    <row r="8" spans="1:2" x14ac:dyDescent="0.25">
      <c r="A8" t="s">
        <v>249</v>
      </c>
      <c r="B8" s="8">
        <f>SUM(Realkredit!H35:H38)/12</f>
        <v>11827.578210821312</v>
      </c>
    </row>
    <row r="9" spans="1:2" x14ac:dyDescent="0.25">
      <c r="A9" t="s">
        <v>280</v>
      </c>
      <c r="B9" s="8">
        <v>3500</v>
      </c>
    </row>
    <row r="10" spans="1:2" x14ac:dyDescent="0.25">
      <c r="A10" t="s">
        <v>279</v>
      </c>
      <c r="B10" s="8">
        <v>2000</v>
      </c>
    </row>
    <row r="11" spans="1:2" x14ac:dyDescent="0.25">
      <c r="A11" t="s">
        <v>281</v>
      </c>
      <c r="B11" s="8">
        <v>2348</v>
      </c>
    </row>
    <row r="12" spans="1:2" x14ac:dyDescent="0.25">
      <c r="A12" t="s">
        <v>282</v>
      </c>
      <c r="B12" s="8">
        <v>1200</v>
      </c>
    </row>
    <row r="13" spans="1:2" x14ac:dyDescent="0.25">
      <c r="A13" t="s">
        <v>325</v>
      </c>
      <c r="B13" s="8">
        <v>1100</v>
      </c>
    </row>
    <row r="14" spans="1:2" x14ac:dyDescent="0.25">
      <c r="A14" t="s">
        <v>283</v>
      </c>
      <c r="B14" s="8">
        <f>18000/12</f>
        <v>1500</v>
      </c>
    </row>
    <row r="15" spans="1:2" x14ac:dyDescent="0.25">
      <c r="A15" t="s">
        <v>274</v>
      </c>
      <c r="B15" s="8">
        <v>5000</v>
      </c>
    </row>
    <row r="16" spans="1:2" x14ac:dyDescent="0.25">
      <c r="A16" t="s">
        <v>275</v>
      </c>
      <c r="B16" s="8">
        <f>Billån!B8</f>
        <v>2902.7119804656013</v>
      </c>
    </row>
    <row r="17" spans="1:2" x14ac:dyDescent="0.25">
      <c r="A17" t="s">
        <v>276</v>
      </c>
      <c r="B17" s="8">
        <v>1200</v>
      </c>
    </row>
    <row r="18" spans="1:2" x14ac:dyDescent="0.25">
      <c r="A18" t="s">
        <v>277</v>
      </c>
      <c r="B18" s="8">
        <v>4500</v>
      </c>
    </row>
    <row r="19" spans="1:2" x14ac:dyDescent="0.25">
      <c r="A19" t="s">
        <v>278</v>
      </c>
      <c r="B19" s="8">
        <v>2000</v>
      </c>
    </row>
    <row r="20" spans="1:2" x14ac:dyDescent="0.25">
      <c r="A20" t="s">
        <v>284</v>
      </c>
      <c r="B20" s="8">
        <v>1200</v>
      </c>
    </row>
    <row r="21" spans="1:2" x14ac:dyDescent="0.25">
      <c r="A21" t="s">
        <v>324</v>
      </c>
      <c r="B21" s="8">
        <v>6000</v>
      </c>
    </row>
    <row r="24" spans="1:2" ht="15.5" x14ac:dyDescent="0.35">
      <c r="A24" s="60" t="s">
        <v>246</v>
      </c>
      <c r="B24" s="61">
        <f>B5-(SUM(B8:B23))</f>
        <v>23781.899744415758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/>
  <dimension ref="A1:S151"/>
  <sheetViews>
    <sheetView topLeftCell="A3" workbookViewId="0">
      <selection activeCell="F33" sqref="F33"/>
    </sheetView>
  </sheetViews>
  <sheetFormatPr defaultRowHeight="12.5" x14ac:dyDescent="0.25"/>
  <cols>
    <col min="1" max="2" width="6" bestFit="1" customWidth="1"/>
    <col min="3" max="3" width="43.7265625" customWidth="1"/>
    <col min="5" max="5" width="11.26953125" customWidth="1"/>
    <col min="6" max="6" width="10.26953125" customWidth="1"/>
    <col min="7" max="7" width="9.1796875" hidden="1" customWidth="1"/>
    <col min="9" max="9" width="24.1796875" bestFit="1" customWidth="1"/>
    <col min="10" max="10" width="6.453125" bestFit="1" customWidth="1"/>
    <col min="11" max="11" width="5.26953125" customWidth="1"/>
    <col min="12" max="12" width="7.7265625" customWidth="1"/>
    <col min="13" max="13" width="10.453125" bestFit="1" customWidth="1"/>
    <col min="15" max="15" width="53.7265625" customWidth="1"/>
    <col min="16" max="16" width="9.1796875" bestFit="1" customWidth="1"/>
    <col min="18" max="19" width="0" hidden="1" customWidth="1"/>
  </cols>
  <sheetData>
    <row r="1" spans="1:19" ht="13" x14ac:dyDescent="0.3">
      <c r="A1" s="4"/>
      <c r="C1" s="11">
        <v>45291</v>
      </c>
      <c r="I1" s="136" t="s">
        <v>0</v>
      </c>
      <c r="J1" s="141"/>
      <c r="K1" s="141"/>
      <c r="L1" s="141"/>
      <c r="M1" s="141"/>
      <c r="O1" s="136" t="s">
        <v>1</v>
      </c>
      <c r="P1" s="136"/>
      <c r="R1" t="b">
        <v>1</v>
      </c>
      <c r="S1" t="s">
        <v>2</v>
      </c>
    </row>
    <row r="2" spans="1:19" ht="20" x14ac:dyDescent="0.4">
      <c r="C2" s="137" t="s">
        <v>3</v>
      </c>
      <c r="D2" s="137"/>
      <c r="E2" s="138"/>
      <c r="F2" s="138"/>
      <c r="R2" t="b">
        <v>0</v>
      </c>
      <c r="S2" t="s">
        <v>4</v>
      </c>
    </row>
    <row r="3" spans="1:19" ht="13" x14ac:dyDescent="0.3">
      <c r="C3" s="139" t="s">
        <v>5</v>
      </c>
      <c r="D3" s="139"/>
      <c r="E3" s="139"/>
      <c r="F3" s="139"/>
      <c r="I3" s="38">
        <v>2024</v>
      </c>
      <c r="O3" s="38">
        <v>2024</v>
      </c>
    </row>
    <row r="4" spans="1:19" x14ac:dyDescent="0.25">
      <c r="C4" s="140"/>
      <c r="D4" s="140"/>
      <c r="E4" s="140"/>
      <c r="F4" s="140"/>
      <c r="I4" t="s">
        <v>6</v>
      </c>
      <c r="J4" s="4" t="s">
        <v>7</v>
      </c>
      <c r="K4" s="4" t="s">
        <v>8</v>
      </c>
      <c r="L4" t="s">
        <v>9</v>
      </c>
      <c r="M4" t="s">
        <v>10</v>
      </c>
      <c r="O4" s="33" t="s">
        <v>11</v>
      </c>
      <c r="P4">
        <v>8</v>
      </c>
    </row>
    <row r="5" spans="1:19" ht="14.5" x14ac:dyDescent="0.25">
      <c r="J5" s="4" t="s">
        <v>12</v>
      </c>
      <c r="K5" s="4" t="s">
        <v>12</v>
      </c>
      <c r="L5" t="s">
        <v>12</v>
      </c>
      <c r="M5" t="s">
        <v>13</v>
      </c>
      <c r="O5" s="33" t="s">
        <v>14</v>
      </c>
      <c r="P5">
        <v>12.06</v>
      </c>
      <c r="Q5" s="23"/>
    </row>
    <row r="6" spans="1:19" ht="13" x14ac:dyDescent="0.3">
      <c r="C6" s="49" t="s">
        <v>15</v>
      </c>
      <c r="D6" s="50"/>
      <c r="E6" s="15"/>
      <c r="F6" s="16"/>
      <c r="J6" s="4"/>
      <c r="K6" s="4"/>
      <c r="O6" s="33" t="s">
        <v>16</v>
      </c>
      <c r="P6">
        <v>0</v>
      </c>
    </row>
    <row r="7" spans="1:19" ht="13" x14ac:dyDescent="0.3">
      <c r="C7" s="1"/>
      <c r="D7" s="5"/>
      <c r="E7" s="48" t="s">
        <v>247</v>
      </c>
      <c r="F7" s="48" t="s">
        <v>248</v>
      </c>
      <c r="I7" s="40" t="s">
        <v>17</v>
      </c>
      <c r="J7" s="21"/>
      <c r="K7" s="21"/>
      <c r="L7" s="21"/>
      <c r="M7" s="21">
        <v>0</v>
      </c>
      <c r="O7" s="33" t="s">
        <v>18</v>
      </c>
      <c r="P7">
        <v>15</v>
      </c>
    </row>
    <row r="8" spans="1:19" x14ac:dyDescent="0.25">
      <c r="C8" s="3" t="s">
        <v>19</v>
      </c>
      <c r="D8" s="3"/>
      <c r="E8" s="51" t="s">
        <v>2</v>
      </c>
      <c r="F8" s="1"/>
      <c r="G8" t="b">
        <f>IF(E8=S1,TRUE,FALSE)</f>
        <v>1</v>
      </c>
      <c r="I8" s="42" t="s">
        <v>20</v>
      </c>
      <c r="J8" s="43">
        <v>25.6</v>
      </c>
      <c r="K8" s="43">
        <v>0.8</v>
      </c>
      <c r="L8" s="43">
        <v>0.59</v>
      </c>
      <c r="M8" s="43">
        <v>9.1</v>
      </c>
      <c r="O8" s="33" t="s">
        <v>21</v>
      </c>
      <c r="P8" s="8">
        <v>588900</v>
      </c>
    </row>
    <row r="9" spans="1:19" x14ac:dyDescent="0.25">
      <c r="C9" s="2" t="s">
        <v>22</v>
      </c>
      <c r="D9" s="7"/>
      <c r="E9" s="12" t="s">
        <v>4</v>
      </c>
      <c r="F9" s="12" t="s">
        <v>4</v>
      </c>
      <c r="I9" s="42" t="s">
        <v>23</v>
      </c>
      <c r="J9" s="43">
        <v>25.3</v>
      </c>
      <c r="K9" s="43">
        <v>0.57999999999999996</v>
      </c>
      <c r="L9" s="43">
        <v>0.28999999999999998</v>
      </c>
      <c r="M9" s="43">
        <v>8</v>
      </c>
      <c r="O9" s="33" t="s">
        <v>24</v>
      </c>
      <c r="P9">
        <v>52.07</v>
      </c>
    </row>
    <row r="10" spans="1:19" x14ac:dyDescent="0.25">
      <c r="C10" s="37" t="s">
        <v>25</v>
      </c>
      <c r="D10" s="3"/>
      <c r="E10" s="12" t="s">
        <v>2</v>
      </c>
      <c r="F10" s="12" t="s">
        <v>2</v>
      </c>
      <c r="I10" s="42" t="s">
        <v>26</v>
      </c>
      <c r="J10" s="43">
        <v>26.1</v>
      </c>
      <c r="K10" s="43">
        <v>0.98</v>
      </c>
      <c r="L10" s="43">
        <v>1.0900000000000001</v>
      </c>
      <c r="M10" s="43">
        <v>11.2</v>
      </c>
      <c r="O10" s="33" t="s">
        <v>27</v>
      </c>
      <c r="P10">
        <v>42</v>
      </c>
    </row>
    <row r="11" spans="1:19" x14ac:dyDescent="0.25">
      <c r="C11" s="3" t="s">
        <v>28</v>
      </c>
      <c r="D11" s="3"/>
      <c r="E11" s="12" t="s">
        <v>2</v>
      </c>
      <c r="F11" s="12" t="s">
        <v>2</v>
      </c>
      <c r="I11" s="42" t="s">
        <v>29</v>
      </c>
      <c r="J11" s="43">
        <v>25.5</v>
      </c>
      <c r="K11" s="43">
        <v>0.72</v>
      </c>
      <c r="L11" s="43">
        <v>0.49</v>
      </c>
      <c r="M11" s="43">
        <v>8.3000000000000007</v>
      </c>
      <c r="O11" s="33" t="s">
        <v>30</v>
      </c>
      <c r="P11" s="8">
        <v>39800</v>
      </c>
    </row>
    <row r="12" spans="1:19" x14ac:dyDescent="0.25">
      <c r="C12" s="1"/>
      <c r="D12" s="1"/>
      <c r="E12" s="1"/>
      <c r="F12" s="1"/>
      <c r="I12" s="42" t="s">
        <v>31</v>
      </c>
      <c r="J12" s="43">
        <v>24</v>
      </c>
      <c r="K12" s="43">
        <v>0.89</v>
      </c>
      <c r="L12" s="43">
        <v>0</v>
      </c>
      <c r="M12" s="43">
        <v>7.2</v>
      </c>
      <c r="O12" s="33" t="s">
        <v>32</v>
      </c>
      <c r="P12" s="8">
        <v>49700</v>
      </c>
    </row>
    <row r="13" spans="1:19" x14ac:dyDescent="0.25">
      <c r="C13" s="35" t="s">
        <v>33</v>
      </c>
      <c r="D13" s="3"/>
      <c r="E13" s="12" t="s">
        <v>103</v>
      </c>
      <c r="F13" s="1"/>
      <c r="I13" s="42" t="s">
        <v>35</v>
      </c>
      <c r="J13" s="43">
        <v>26.2</v>
      </c>
      <c r="K13" s="43">
        <v>0.93</v>
      </c>
      <c r="L13" s="43">
        <v>1.19</v>
      </c>
      <c r="M13" s="43">
        <v>10.7</v>
      </c>
      <c r="O13" s="33" t="s">
        <v>36</v>
      </c>
      <c r="P13" s="8">
        <v>0</v>
      </c>
    </row>
    <row r="14" spans="1:19" x14ac:dyDescent="0.25">
      <c r="C14" s="1" t="s">
        <v>37</v>
      </c>
      <c r="D14" s="1"/>
      <c r="E14" s="1">
        <f>VLOOKUP(E13,I8:M105,2,FALSE)</f>
        <v>25.52</v>
      </c>
      <c r="F14" s="1"/>
      <c r="I14" s="42" t="s">
        <v>38</v>
      </c>
      <c r="J14" s="43">
        <v>24.3</v>
      </c>
      <c r="K14" s="43">
        <v>0.8</v>
      </c>
      <c r="L14" s="43">
        <v>0</v>
      </c>
      <c r="M14" s="43">
        <v>4.9000000000000004</v>
      </c>
      <c r="O14" s="33" t="s">
        <v>39</v>
      </c>
      <c r="P14" s="8">
        <v>50500</v>
      </c>
    </row>
    <row r="15" spans="1:19" x14ac:dyDescent="0.25">
      <c r="C15" s="1" t="s">
        <v>40</v>
      </c>
      <c r="D15" s="1"/>
      <c r="E15" s="1">
        <f>VLOOKUP(E13,I8:M105,3,FALSE)</f>
        <v>0.63</v>
      </c>
      <c r="F15" s="1"/>
      <c r="I15" s="42" t="s">
        <v>41</v>
      </c>
      <c r="J15" s="43">
        <v>26.3</v>
      </c>
      <c r="K15" s="43">
        <v>1.08</v>
      </c>
      <c r="L15" s="43">
        <v>1.29</v>
      </c>
      <c r="M15" s="43">
        <v>17.100000000000001</v>
      </c>
      <c r="O15" s="33" t="s">
        <v>42</v>
      </c>
      <c r="P15" s="8">
        <v>27</v>
      </c>
    </row>
    <row r="16" spans="1:19" x14ac:dyDescent="0.25">
      <c r="C16" s="1" t="s">
        <v>43</v>
      </c>
      <c r="D16" s="1"/>
      <c r="E16" s="1">
        <f>VLOOKUP(E13,I7:M105,5,FALSE)</f>
        <v>9.5</v>
      </c>
      <c r="F16" s="1"/>
      <c r="I16" s="42" t="s">
        <v>44</v>
      </c>
      <c r="J16" s="43">
        <v>24.8</v>
      </c>
      <c r="K16" s="43">
        <v>0.61</v>
      </c>
      <c r="L16" s="43">
        <v>0</v>
      </c>
      <c r="M16" s="43">
        <v>8.1</v>
      </c>
      <c r="O16" s="33" t="s">
        <v>45</v>
      </c>
      <c r="P16" s="8">
        <v>42</v>
      </c>
    </row>
    <row r="17" spans="3:16" x14ac:dyDescent="0.25">
      <c r="C17" s="1"/>
      <c r="D17" s="1"/>
      <c r="E17" s="1"/>
      <c r="F17" s="1"/>
      <c r="I17" s="42" t="s">
        <v>46</v>
      </c>
      <c r="J17" s="43">
        <v>25.7</v>
      </c>
      <c r="K17" s="43">
        <v>0.76</v>
      </c>
      <c r="L17" s="43">
        <v>0.69</v>
      </c>
      <c r="M17" s="43">
        <v>8.8000000000000007</v>
      </c>
      <c r="O17" s="33" t="s">
        <v>47</v>
      </c>
      <c r="P17" s="8">
        <v>61000</v>
      </c>
    </row>
    <row r="18" spans="3:16" x14ac:dyDescent="0.25">
      <c r="C18" s="3" t="s">
        <v>48</v>
      </c>
      <c r="D18" s="3"/>
      <c r="E18" s="13"/>
      <c r="F18" s="1"/>
      <c r="I18" s="42" t="s">
        <v>49</v>
      </c>
      <c r="J18" s="43">
        <v>25.8</v>
      </c>
      <c r="K18" s="43">
        <v>0.81</v>
      </c>
      <c r="L18" s="43">
        <v>0.79</v>
      </c>
      <c r="M18" s="43">
        <v>9.9</v>
      </c>
      <c r="O18" s="33" t="s">
        <v>50</v>
      </c>
      <c r="P18" s="8">
        <v>7000</v>
      </c>
    </row>
    <row r="19" spans="3:16" x14ac:dyDescent="0.25">
      <c r="C19" s="3" t="s">
        <v>51</v>
      </c>
      <c r="D19" s="3"/>
      <c r="E19" s="14"/>
      <c r="F19" s="1"/>
      <c r="I19" s="42" t="s">
        <v>52</v>
      </c>
      <c r="J19" s="43">
        <v>26.1</v>
      </c>
      <c r="K19" s="43">
        <v>1.05</v>
      </c>
      <c r="L19" s="43">
        <v>1.0900000000000001</v>
      </c>
      <c r="M19" s="43">
        <v>8.5</v>
      </c>
      <c r="O19" s="33" t="s">
        <v>53</v>
      </c>
      <c r="P19">
        <v>10.65</v>
      </c>
    </row>
    <row r="20" spans="3:16" x14ac:dyDescent="0.25">
      <c r="C20" s="3" t="s">
        <v>54</v>
      </c>
      <c r="D20" s="3"/>
      <c r="E20" s="12" t="s">
        <v>4</v>
      </c>
      <c r="F20" s="1"/>
      <c r="I20" s="42" t="s">
        <v>55</v>
      </c>
      <c r="J20" s="43">
        <v>25.77</v>
      </c>
      <c r="K20" s="43">
        <v>1.1399999999999999</v>
      </c>
      <c r="L20" s="43">
        <v>0.76</v>
      </c>
      <c r="M20" s="43">
        <v>12.5</v>
      </c>
      <c r="O20" s="33" t="s">
        <v>56</v>
      </c>
      <c r="P20" s="8">
        <v>45100</v>
      </c>
    </row>
    <row r="21" spans="3:16" x14ac:dyDescent="0.25">
      <c r="C21" s="3" t="s">
        <v>57</v>
      </c>
      <c r="D21" s="3"/>
      <c r="E21" s="14"/>
      <c r="F21" s="1"/>
      <c r="I21" s="42" t="s">
        <v>58</v>
      </c>
      <c r="J21" s="43">
        <v>25.7</v>
      </c>
      <c r="K21" s="43">
        <v>0.96</v>
      </c>
      <c r="L21" s="43">
        <v>0.69</v>
      </c>
      <c r="M21" s="43">
        <v>10.6</v>
      </c>
      <c r="O21" s="41" t="s">
        <v>59</v>
      </c>
      <c r="P21">
        <v>0.51</v>
      </c>
    </row>
    <row r="22" spans="3:16" x14ac:dyDescent="0.25">
      <c r="C22" s="3" t="s">
        <v>60</v>
      </c>
      <c r="D22" s="3"/>
      <c r="E22" s="13"/>
      <c r="F22" s="1"/>
      <c r="I22" s="42" t="s">
        <v>61</v>
      </c>
      <c r="J22" s="43">
        <v>25.8</v>
      </c>
      <c r="K22" s="43">
        <v>1.08</v>
      </c>
      <c r="L22" s="43">
        <v>0.79</v>
      </c>
      <c r="M22" s="43">
        <v>8</v>
      </c>
      <c r="O22" s="41" t="s">
        <v>62</v>
      </c>
      <c r="P22">
        <v>1.4</v>
      </c>
    </row>
    <row r="23" spans="3:16" x14ac:dyDescent="0.25">
      <c r="C23" s="3" t="s">
        <v>63</v>
      </c>
      <c r="D23" s="3"/>
      <c r="E23" s="14" t="s">
        <v>20</v>
      </c>
      <c r="F23" s="1"/>
      <c r="I23" s="42" t="s">
        <v>64</v>
      </c>
      <c r="J23" s="43">
        <v>25.3</v>
      </c>
      <c r="K23" s="43">
        <v>0.62</v>
      </c>
      <c r="L23" s="43">
        <v>0.28999999999999998</v>
      </c>
      <c r="M23" s="43">
        <v>8.3000000000000007</v>
      </c>
      <c r="O23" s="41" t="s">
        <v>65</v>
      </c>
      <c r="P23" s="8">
        <v>9200000</v>
      </c>
    </row>
    <row r="24" spans="3:16" x14ac:dyDescent="0.25">
      <c r="C24" s="3" t="s">
        <v>43</v>
      </c>
      <c r="D24" s="3"/>
      <c r="E24" s="18">
        <f>VLOOKUP(E23,I7:M105,5,FALSE)</f>
        <v>9.1</v>
      </c>
      <c r="F24" s="1"/>
      <c r="I24" s="42" t="s">
        <v>66</v>
      </c>
      <c r="J24" s="43">
        <v>25.5</v>
      </c>
      <c r="K24" s="43">
        <v>0.88</v>
      </c>
      <c r="L24" s="43">
        <v>0.49</v>
      </c>
      <c r="M24" s="43">
        <v>13</v>
      </c>
      <c r="O24" s="41" t="s">
        <v>67</v>
      </c>
      <c r="P24">
        <v>0.1</v>
      </c>
    </row>
    <row r="25" spans="3:16" x14ac:dyDescent="0.25">
      <c r="C25" s="3" t="s">
        <v>68</v>
      </c>
      <c r="D25" s="3"/>
      <c r="E25" s="14"/>
      <c r="F25" s="1"/>
      <c r="I25" s="42" t="s">
        <v>69</v>
      </c>
      <c r="J25" s="43">
        <v>24.57</v>
      </c>
      <c r="K25" s="43">
        <v>0.5</v>
      </c>
      <c r="L25" s="43">
        <v>0</v>
      </c>
      <c r="M25" s="43">
        <v>3.1</v>
      </c>
      <c r="O25" s="41" t="s">
        <v>70</v>
      </c>
      <c r="P25">
        <v>0.21</v>
      </c>
    </row>
    <row r="26" spans="3:16" x14ac:dyDescent="0.25">
      <c r="C26" s="3" t="s">
        <v>71</v>
      </c>
      <c r="D26" s="3"/>
      <c r="E26" s="12" t="s">
        <v>4</v>
      </c>
      <c r="F26" s="1"/>
      <c r="I26" s="42" t="s">
        <v>72</v>
      </c>
      <c r="J26" s="43">
        <v>26.2</v>
      </c>
      <c r="K26" s="43">
        <v>1.03</v>
      </c>
      <c r="L26" s="43">
        <v>1.19</v>
      </c>
      <c r="M26" s="43">
        <v>13.4</v>
      </c>
      <c r="O26" s="41" t="s">
        <v>73</v>
      </c>
      <c r="P26" s="8">
        <v>1200</v>
      </c>
    </row>
    <row r="27" spans="3:16" ht="25.5" x14ac:dyDescent="0.25">
      <c r="C27" s="35" t="s">
        <v>74</v>
      </c>
      <c r="D27" s="3"/>
      <c r="E27" s="36">
        <f>E32*0.17</f>
        <v>77520</v>
      </c>
      <c r="F27" s="36">
        <f>F32*0.15</f>
        <v>126000</v>
      </c>
      <c r="I27" s="42" t="s">
        <v>75</v>
      </c>
      <c r="J27" s="43">
        <v>25.8</v>
      </c>
      <c r="K27" s="43">
        <v>0.96</v>
      </c>
      <c r="L27" s="43">
        <v>0.79</v>
      </c>
      <c r="M27" s="43">
        <v>12</v>
      </c>
      <c r="O27" s="33" t="s">
        <v>76</v>
      </c>
      <c r="P27">
        <v>8</v>
      </c>
    </row>
    <row r="28" spans="3:16" x14ac:dyDescent="0.25">
      <c r="I28" s="42" t="s">
        <v>77</v>
      </c>
      <c r="J28" s="43">
        <v>24.88</v>
      </c>
      <c r="K28" s="43">
        <v>0.65</v>
      </c>
      <c r="L28" s="43">
        <v>0</v>
      </c>
      <c r="M28" s="43">
        <v>7</v>
      </c>
      <c r="O28" s="33" t="s">
        <v>78</v>
      </c>
      <c r="P28" s="8">
        <v>457500</v>
      </c>
    </row>
    <row r="29" spans="3:16" ht="13" x14ac:dyDescent="0.3">
      <c r="C29" s="131" t="s">
        <v>79</v>
      </c>
      <c r="D29" s="134"/>
      <c r="E29" s="134"/>
      <c r="F29" s="135"/>
      <c r="I29" s="42" t="s">
        <v>80</v>
      </c>
      <c r="J29" s="43">
        <v>24.34</v>
      </c>
      <c r="K29" s="43">
        <v>0.4</v>
      </c>
      <c r="L29" s="43">
        <v>0</v>
      </c>
      <c r="M29" s="43">
        <v>5.0999999999999996</v>
      </c>
      <c r="O29" s="33" t="s">
        <v>81</v>
      </c>
      <c r="P29">
        <v>0</v>
      </c>
    </row>
    <row r="30" spans="3:16" ht="13" x14ac:dyDescent="0.3">
      <c r="C30" s="39"/>
      <c r="D30" s="49"/>
      <c r="E30" s="48" t="s">
        <v>82</v>
      </c>
      <c r="F30" s="48" t="str">
        <f>IF(E8=S1,"Ægtefælle","ugift")</f>
        <v>Ægtefælle</v>
      </c>
      <c r="I30" s="42" t="s">
        <v>83</v>
      </c>
      <c r="J30" s="43">
        <v>23.6</v>
      </c>
      <c r="K30" s="43">
        <v>0.75</v>
      </c>
      <c r="L30" s="43">
        <v>0</v>
      </c>
      <c r="M30" s="43">
        <v>5.9</v>
      </c>
      <c r="O30" s="33" t="s">
        <v>84</v>
      </c>
      <c r="P30" s="8">
        <v>152600</v>
      </c>
    </row>
    <row r="31" spans="3:16" ht="13" x14ac:dyDescent="0.3">
      <c r="C31" s="128" t="s">
        <v>85</v>
      </c>
      <c r="D31" s="134"/>
      <c r="E31" s="134"/>
      <c r="F31" s="135"/>
      <c r="I31" s="42" t="s">
        <v>86</v>
      </c>
      <c r="J31" s="43">
        <v>24.6</v>
      </c>
      <c r="K31" s="43">
        <v>0.8</v>
      </c>
      <c r="L31" s="43">
        <v>0</v>
      </c>
      <c r="M31" s="43">
        <v>6.5</v>
      </c>
      <c r="O31" s="41" t="s">
        <v>87</v>
      </c>
      <c r="P31" s="34">
        <v>216100</v>
      </c>
    </row>
    <row r="32" spans="3:16" x14ac:dyDescent="0.25">
      <c r="C32" s="3" t="s">
        <v>88</v>
      </c>
      <c r="D32" s="3"/>
      <c r="E32" s="14">
        <f>12*38000</f>
        <v>456000</v>
      </c>
      <c r="F32" s="14">
        <f>12*70000</f>
        <v>840000</v>
      </c>
      <c r="I32" s="42" t="s">
        <v>89</v>
      </c>
      <c r="J32" s="43">
        <v>24.52</v>
      </c>
      <c r="K32" s="43">
        <v>0.73</v>
      </c>
      <c r="L32" s="43">
        <v>0</v>
      </c>
      <c r="M32" s="43">
        <v>5.5</v>
      </c>
      <c r="O32" s="33" t="s">
        <v>90</v>
      </c>
      <c r="P32" s="32">
        <v>4.5</v>
      </c>
    </row>
    <row r="33" spans="3:16" x14ac:dyDescent="0.25">
      <c r="C33" s="29" t="s">
        <v>91</v>
      </c>
      <c r="D33" s="3"/>
      <c r="E33" s="8">
        <f>E32*P4/100</f>
        <v>36480</v>
      </c>
      <c r="F33" s="9">
        <f>F32*P4/100</f>
        <v>67200</v>
      </c>
      <c r="I33" s="42" t="s">
        <v>92</v>
      </c>
      <c r="J33" s="43">
        <v>25.4</v>
      </c>
      <c r="K33" s="43">
        <v>0.85</v>
      </c>
      <c r="L33" s="43">
        <v>0.39</v>
      </c>
      <c r="M33" s="43">
        <v>11.1</v>
      </c>
      <c r="O33" s="41" t="s">
        <v>93</v>
      </c>
      <c r="P33" s="34">
        <v>2800</v>
      </c>
    </row>
    <row r="34" spans="3:16" x14ac:dyDescent="0.25">
      <c r="C34" s="35" t="s">
        <v>94</v>
      </c>
      <c r="D34" s="3"/>
      <c r="E34" s="46"/>
      <c r="F34" s="9"/>
      <c r="I34" s="42" t="s">
        <v>95</v>
      </c>
      <c r="J34" s="43">
        <v>25.8</v>
      </c>
      <c r="K34" s="43">
        <v>1.1599999999999999</v>
      </c>
      <c r="L34" s="43">
        <v>0.79</v>
      </c>
      <c r="M34" s="43">
        <v>15.9</v>
      </c>
      <c r="O34" s="41" t="s">
        <v>96</v>
      </c>
      <c r="P34" s="8">
        <v>80600</v>
      </c>
    </row>
    <row r="35" spans="3:16" x14ac:dyDescent="0.25">
      <c r="C35" s="29" t="s">
        <v>91</v>
      </c>
      <c r="D35" s="3"/>
      <c r="E35" s="9">
        <f>MAX(0,E34*P4/100)</f>
        <v>0</v>
      </c>
      <c r="F35" s="9"/>
      <c r="I35" s="42" t="s">
        <v>97</v>
      </c>
      <c r="J35" s="43">
        <v>26.3</v>
      </c>
      <c r="K35" s="43">
        <v>0.95</v>
      </c>
      <c r="L35" s="43">
        <v>1.29</v>
      </c>
      <c r="M35" s="43">
        <v>12.7</v>
      </c>
    </row>
    <row r="36" spans="3:16" ht="25" x14ac:dyDescent="0.25">
      <c r="C36" s="3" t="s">
        <v>98</v>
      </c>
      <c r="D36" s="3"/>
      <c r="E36" s="14"/>
      <c r="F36" s="14"/>
      <c r="I36" s="42" t="s">
        <v>99</v>
      </c>
      <c r="J36" s="43">
        <v>25.7</v>
      </c>
      <c r="K36" s="43">
        <v>0.85</v>
      </c>
      <c r="L36" s="43">
        <v>0.69</v>
      </c>
      <c r="M36" s="43">
        <v>10.9</v>
      </c>
      <c r="O36" s="30"/>
      <c r="P36" s="30"/>
    </row>
    <row r="37" spans="3:16" ht="25" x14ac:dyDescent="0.25">
      <c r="C37" s="3" t="s">
        <v>100</v>
      </c>
      <c r="D37" s="3"/>
      <c r="E37" s="14"/>
      <c r="F37" s="14"/>
      <c r="I37" s="42" t="s">
        <v>101</v>
      </c>
      <c r="J37" s="43">
        <v>25.52</v>
      </c>
      <c r="K37" s="43">
        <v>0.98</v>
      </c>
      <c r="L37" s="43">
        <v>0.51</v>
      </c>
      <c r="M37" s="43">
        <v>7.9</v>
      </c>
      <c r="O37" s="17"/>
      <c r="P37" s="17"/>
    </row>
    <row r="38" spans="3:16" ht="25.5" x14ac:dyDescent="0.25">
      <c r="C38" s="3" t="s">
        <v>102</v>
      </c>
      <c r="D38" s="3"/>
      <c r="E38" s="14"/>
      <c r="F38" s="14"/>
      <c r="I38" s="42" t="s">
        <v>103</v>
      </c>
      <c r="J38" s="43">
        <v>25.52</v>
      </c>
      <c r="K38" s="43">
        <v>0.63</v>
      </c>
      <c r="L38" s="43">
        <v>0.51</v>
      </c>
      <c r="M38" s="43">
        <v>9.5</v>
      </c>
    </row>
    <row r="39" spans="3:16" x14ac:dyDescent="0.25">
      <c r="I39" s="42" t="s">
        <v>104</v>
      </c>
      <c r="J39" s="43">
        <v>23.7</v>
      </c>
      <c r="K39" s="43">
        <v>0.75</v>
      </c>
      <c r="L39" s="43">
        <v>0</v>
      </c>
      <c r="M39" s="43">
        <v>5.4</v>
      </c>
    </row>
    <row r="40" spans="3:16" x14ac:dyDescent="0.25">
      <c r="C40" s="6" t="s">
        <v>105</v>
      </c>
      <c r="D40" s="6"/>
      <c r="E40" s="9">
        <f>E32-E33+E34-E35+E36+E37-E38</f>
        <v>419520</v>
      </c>
      <c r="F40" s="9">
        <f>F32-F33+F36+F37-F38</f>
        <v>772800</v>
      </c>
      <c r="I40" s="42" t="s">
        <v>106</v>
      </c>
      <c r="J40" s="43">
        <v>25.4</v>
      </c>
      <c r="K40" s="43">
        <v>0.99</v>
      </c>
      <c r="L40" s="43">
        <v>0.39</v>
      </c>
      <c r="M40" s="43">
        <v>9.9</v>
      </c>
    </row>
    <row r="41" spans="3:16" ht="13" x14ac:dyDescent="0.3">
      <c r="C41" s="128" t="s">
        <v>107</v>
      </c>
      <c r="D41" s="130"/>
      <c r="E41" s="130"/>
      <c r="F41" s="129"/>
      <c r="I41" s="42" t="s">
        <v>34</v>
      </c>
      <c r="J41" s="43">
        <v>25.6</v>
      </c>
      <c r="K41" s="43">
        <v>0.69</v>
      </c>
      <c r="L41" s="43">
        <v>0.59</v>
      </c>
      <c r="M41" s="43">
        <v>6.6</v>
      </c>
    </row>
    <row r="42" spans="3:16" x14ac:dyDescent="0.25">
      <c r="C42" s="3" t="s">
        <v>108</v>
      </c>
      <c r="D42" s="3"/>
      <c r="E42" s="14"/>
      <c r="F42" s="14"/>
      <c r="I42" s="42" t="s">
        <v>109</v>
      </c>
      <c r="J42" s="43">
        <v>26.21</v>
      </c>
      <c r="K42" s="43">
        <v>1.19</v>
      </c>
      <c r="L42" s="43">
        <v>1.2</v>
      </c>
      <c r="M42" s="43">
        <v>16.5</v>
      </c>
    </row>
    <row r="43" spans="3:16" x14ac:dyDescent="0.25">
      <c r="C43" s="3" t="s">
        <v>110</v>
      </c>
      <c r="D43" s="3"/>
      <c r="E43" s="14"/>
      <c r="F43" s="14"/>
      <c r="I43" s="42" t="s">
        <v>111</v>
      </c>
      <c r="J43" s="43">
        <v>25.3</v>
      </c>
      <c r="K43" s="43">
        <v>0.96</v>
      </c>
      <c r="L43" s="43">
        <v>0.28999999999999998</v>
      </c>
      <c r="M43" s="43">
        <v>8.1</v>
      </c>
    </row>
    <row r="44" spans="3:16" x14ac:dyDescent="0.25">
      <c r="C44" s="3" t="s">
        <v>112</v>
      </c>
      <c r="D44" s="3"/>
      <c r="E44" s="14">
        <f>(SUM(Realkredit!$D$35:$D$38)+SUM(Realkredit!$F$35:$F$38))/2</f>
        <v>55649.360666218054</v>
      </c>
      <c r="F44" s="14">
        <f>(SUM(Realkredit!$D$35:$D$38)+SUM(Realkredit!$F$35:$F$38))/2</f>
        <v>55649.360666218054</v>
      </c>
      <c r="I44" s="42" t="s">
        <v>113</v>
      </c>
      <c r="J44" s="43">
        <v>25.5</v>
      </c>
      <c r="K44" s="43">
        <v>1.08</v>
      </c>
      <c r="L44" s="43">
        <v>0.49</v>
      </c>
      <c r="M44" s="43">
        <v>11.5</v>
      </c>
    </row>
    <row r="45" spans="3:16" x14ac:dyDescent="0.25">
      <c r="C45" s="3" t="s">
        <v>114</v>
      </c>
      <c r="D45" s="3"/>
      <c r="E45" s="9">
        <f>E42+E43-E44</f>
        <v>-55649.360666218054</v>
      </c>
      <c r="F45" s="9">
        <f>F42+F43-F44</f>
        <v>-55649.360666218054</v>
      </c>
      <c r="I45" s="42" t="s">
        <v>115</v>
      </c>
      <c r="J45" s="43">
        <v>25.69</v>
      </c>
      <c r="K45" s="43">
        <v>0.79</v>
      </c>
      <c r="L45" s="43">
        <v>0.68</v>
      </c>
      <c r="M45" s="43">
        <v>8.6999999999999993</v>
      </c>
    </row>
    <row r="46" spans="3:16" x14ac:dyDescent="0.25">
      <c r="C46" s="35" t="s">
        <v>116</v>
      </c>
      <c r="D46" s="3"/>
      <c r="E46" s="46"/>
      <c r="F46" s="9"/>
      <c r="I46" s="42" t="s">
        <v>117</v>
      </c>
      <c r="J46" s="43">
        <v>25.4</v>
      </c>
      <c r="K46" s="43">
        <v>0.72</v>
      </c>
      <c r="L46" s="43">
        <v>0.39</v>
      </c>
      <c r="M46" s="43">
        <v>6.5</v>
      </c>
    </row>
    <row r="47" spans="3:16" x14ac:dyDescent="0.25">
      <c r="C47" s="6" t="s">
        <v>118</v>
      </c>
      <c r="D47" s="6"/>
      <c r="E47" s="9">
        <f>E45+E46</f>
        <v>-55649.360666218054</v>
      </c>
      <c r="F47" s="9">
        <f>F45</f>
        <v>-55649.360666218054</v>
      </c>
      <c r="I47" s="42" t="s">
        <v>119</v>
      </c>
      <c r="J47" s="43">
        <v>24.6</v>
      </c>
      <c r="K47" s="43">
        <v>0.8</v>
      </c>
      <c r="L47" s="43">
        <v>0</v>
      </c>
      <c r="M47" s="43">
        <v>6.3</v>
      </c>
    </row>
    <row r="48" spans="3:16" ht="13" x14ac:dyDescent="0.3">
      <c r="C48" s="128" t="s">
        <v>120</v>
      </c>
      <c r="D48" s="130"/>
      <c r="E48" s="130"/>
      <c r="F48" s="129"/>
      <c r="I48" s="42" t="s">
        <v>121</v>
      </c>
      <c r="J48" s="43">
        <v>23.7</v>
      </c>
      <c r="K48" s="43">
        <v>0.62</v>
      </c>
      <c r="L48" s="43">
        <v>0</v>
      </c>
      <c r="M48" s="43">
        <v>8.5</v>
      </c>
    </row>
    <row r="49" spans="3:13" x14ac:dyDescent="0.25">
      <c r="C49" s="3" t="s">
        <v>122</v>
      </c>
      <c r="D49" s="3"/>
      <c r="E49" s="14"/>
      <c r="F49" s="14" t="s">
        <v>123</v>
      </c>
      <c r="I49" s="42" t="s">
        <v>124</v>
      </c>
      <c r="J49" s="43">
        <v>25.1</v>
      </c>
      <c r="K49" s="43">
        <v>0.97</v>
      </c>
      <c r="L49" s="43">
        <v>0.09</v>
      </c>
      <c r="M49" s="43">
        <v>9.1</v>
      </c>
    </row>
    <row r="50" spans="3:13" x14ac:dyDescent="0.25">
      <c r="C50" s="3" t="s">
        <v>125</v>
      </c>
      <c r="D50" s="3"/>
      <c r="E50" s="14"/>
      <c r="F50" s="14"/>
      <c r="I50" s="42" t="s">
        <v>126</v>
      </c>
      <c r="J50" s="43">
        <v>25</v>
      </c>
      <c r="K50" s="43">
        <v>0.9</v>
      </c>
      <c r="L50" s="43">
        <v>0</v>
      </c>
      <c r="M50" s="43">
        <v>6.5</v>
      </c>
    </row>
    <row r="51" spans="3:13" x14ac:dyDescent="0.25">
      <c r="C51" s="3" t="s">
        <v>127</v>
      </c>
      <c r="D51" s="9">
        <f>P18</f>
        <v>7000</v>
      </c>
      <c r="E51" s="14"/>
      <c r="F51" s="14"/>
      <c r="I51" s="42" t="s">
        <v>128</v>
      </c>
      <c r="J51" s="43">
        <v>25.7</v>
      </c>
      <c r="K51" s="43">
        <v>1.2</v>
      </c>
      <c r="L51" s="43">
        <v>0.69</v>
      </c>
      <c r="M51" s="43">
        <v>13.2</v>
      </c>
    </row>
    <row r="52" spans="3:13" ht="25" x14ac:dyDescent="0.25">
      <c r="C52" s="3" t="s">
        <v>129</v>
      </c>
      <c r="D52" s="1"/>
      <c r="E52" s="14"/>
      <c r="F52" s="14"/>
      <c r="I52" s="42" t="s">
        <v>130</v>
      </c>
      <c r="J52" s="43">
        <v>24.2</v>
      </c>
      <c r="K52" s="43">
        <v>1.01</v>
      </c>
      <c r="L52" s="43">
        <v>0</v>
      </c>
      <c r="M52" s="43">
        <v>16.600000000000001</v>
      </c>
    </row>
    <row r="53" spans="3:13" x14ac:dyDescent="0.25">
      <c r="C53" s="3" t="s">
        <v>131</v>
      </c>
      <c r="D53" s="1"/>
      <c r="E53" s="14"/>
      <c r="F53" s="14"/>
      <c r="I53" s="42" t="s">
        <v>132</v>
      </c>
      <c r="J53" s="43">
        <v>26.1</v>
      </c>
      <c r="K53" s="43">
        <v>0.98</v>
      </c>
      <c r="L53" s="43">
        <v>1.0900000000000001</v>
      </c>
      <c r="M53" s="43">
        <v>12.4</v>
      </c>
    </row>
    <row r="54" spans="3:13" x14ac:dyDescent="0.25">
      <c r="C54" s="3" t="s">
        <v>133</v>
      </c>
      <c r="D54" s="1"/>
      <c r="E54" s="9">
        <f>MIN(MAX(0,(E32+MAX(0,E34+E27)))*P19/100,P20)</f>
        <v>45100</v>
      </c>
      <c r="F54" s="9">
        <f>MIN(MAX(0,F32+F27)*P19/100,P20)</f>
        <v>45100</v>
      </c>
      <c r="I54" s="42" t="s">
        <v>134</v>
      </c>
      <c r="J54" s="43">
        <v>25.5</v>
      </c>
      <c r="K54" s="43">
        <v>0.92</v>
      </c>
      <c r="L54" s="43">
        <v>0.49</v>
      </c>
      <c r="M54" s="43">
        <v>11.1</v>
      </c>
    </row>
    <row r="55" spans="3:13" x14ac:dyDescent="0.25">
      <c r="C55" s="3" t="s">
        <v>135</v>
      </c>
      <c r="D55" s="1"/>
      <c r="E55" s="9">
        <f>MIN(MAX(0,MAX(0,(E32+MAX(0,E34+E27)))-P31)*P32/100,P33)</f>
        <v>2800</v>
      </c>
      <c r="F55" s="9">
        <f>MIN(MAX(0,MAX(0,F32+F27)-P31)*P32/100,P33)</f>
        <v>2800</v>
      </c>
      <c r="I55" s="42" t="s">
        <v>136</v>
      </c>
      <c r="J55" s="43">
        <v>23.6</v>
      </c>
      <c r="K55" s="43">
        <v>0.8</v>
      </c>
      <c r="L55" s="43">
        <v>0</v>
      </c>
      <c r="M55" s="43">
        <v>5.0999999999999996</v>
      </c>
    </row>
    <row r="56" spans="3:13" x14ac:dyDescent="0.25">
      <c r="C56" s="35" t="s">
        <v>137</v>
      </c>
      <c r="D56" s="1"/>
      <c r="E56" s="9">
        <f>IF(E10="ja",MIN(P34,E27+E38)*0.12,MIN(P34,E27+E38)*0.32)</f>
        <v>9302.4</v>
      </c>
      <c r="F56" s="9">
        <f>IF(F10="ja",MIN(P34,F27+F38)*0.12,MIN(P34,F27+F38)*0.32)</f>
        <v>9672</v>
      </c>
      <c r="I56" s="42" t="s">
        <v>138</v>
      </c>
      <c r="J56" s="43">
        <v>25.26</v>
      </c>
      <c r="K56" s="43">
        <v>0.87</v>
      </c>
      <c r="L56" s="43">
        <v>0.25</v>
      </c>
      <c r="M56" s="43">
        <v>5.3</v>
      </c>
    </row>
    <row r="57" spans="3:13" x14ac:dyDescent="0.25">
      <c r="C57" s="6" t="s">
        <v>139</v>
      </c>
      <c r="D57" s="1"/>
      <c r="E57" s="9">
        <f>SUM(E49:E56)</f>
        <v>57202.400000000001</v>
      </c>
      <c r="F57" s="9">
        <f>SUM(F49:F56)</f>
        <v>57572</v>
      </c>
      <c r="I57" s="42" t="s">
        <v>140</v>
      </c>
      <c r="J57" s="43">
        <v>26.3</v>
      </c>
      <c r="K57" s="43">
        <v>1.1399999999999999</v>
      </c>
      <c r="L57" s="43">
        <v>1.29</v>
      </c>
      <c r="M57" s="43">
        <v>12.2</v>
      </c>
    </row>
    <row r="58" spans="3:13" ht="13" x14ac:dyDescent="0.3">
      <c r="C58" s="128" t="s">
        <v>141</v>
      </c>
      <c r="D58" s="129"/>
      <c r="E58" s="52">
        <f>E40+E47-E57</f>
        <v>306668.23933378194</v>
      </c>
      <c r="F58" s="52">
        <f>F40+F47-F57</f>
        <v>659578.6393337819</v>
      </c>
      <c r="I58" s="42" t="s">
        <v>142</v>
      </c>
      <c r="J58" s="43">
        <v>25.31</v>
      </c>
      <c r="K58" s="43">
        <v>1.05</v>
      </c>
      <c r="L58" s="43">
        <v>0.3</v>
      </c>
      <c r="M58" s="43">
        <v>9.6</v>
      </c>
    </row>
    <row r="59" spans="3:13" x14ac:dyDescent="0.25">
      <c r="I59" s="42" t="s">
        <v>143</v>
      </c>
      <c r="J59" s="43">
        <v>25.46</v>
      </c>
      <c r="K59" s="43">
        <v>1.27</v>
      </c>
      <c r="L59" s="43">
        <v>0.45</v>
      </c>
      <c r="M59" s="43">
        <v>15.4</v>
      </c>
    </row>
    <row r="60" spans="3:13" ht="13" x14ac:dyDescent="0.3">
      <c r="C60" s="128" t="s">
        <v>144</v>
      </c>
      <c r="D60" s="130"/>
      <c r="E60" s="130"/>
      <c r="F60" s="129"/>
      <c r="I60" s="42" t="s">
        <v>145</v>
      </c>
      <c r="J60" s="43">
        <v>26.3</v>
      </c>
      <c r="K60" s="43">
        <v>1.23</v>
      </c>
      <c r="L60" s="43">
        <v>1.29</v>
      </c>
      <c r="M60" s="43">
        <v>17.399999999999999</v>
      </c>
    </row>
    <row r="61" spans="3:13" ht="25" x14ac:dyDescent="0.25">
      <c r="C61" s="3" t="s">
        <v>146</v>
      </c>
      <c r="D61" s="1"/>
      <c r="E61" s="14" t="s">
        <v>123</v>
      </c>
      <c r="F61" s="14" t="s">
        <v>123</v>
      </c>
      <c r="I61" s="42" t="s">
        <v>147</v>
      </c>
      <c r="J61" s="43">
        <v>24.38</v>
      </c>
      <c r="K61" s="43">
        <v>0.6</v>
      </c>
      <c r="L61" s="43">
        <v>0</v>
      </c>
      <c r="M61" s="43">
        <v>6.7</v>
      </c>
    </row>
    <row r="62" spans="3:13" ht="25" x14ac:dyDescent="0.25">
      <c r="C62" s="3" t="s">
        <v>148</v>
      </c>
      <c r="D62" s="1"/>
      <c r="E62" s="14" t="s">
        <v>123</v>
      </c>
      <c r="F62" s="14"/>
      <c r="I62" s="42" t="s">
        <v>149</v>
      </c>
      <c r="J62" s="43">
        <v>26.3</v>
      </c>
      <c r="K62" s="43">
        <v>1.3</v>
      </c>
      <c r="L62" s="43">
        <v>1.29</v>
      </c>
      <c r="M62" s="43">
        <v>12.7</v>
      </c>
    </row>
    <row r="63" spans="3:13" x14ac:dyDescent="0.25">
      <c r="C63" s="6" t="s">
        <v>150</v>
      </c>
      <c r="D63" s="1"/>
      <c r="E63" s="9">
        <f>SUM(E61:E62)</f>
        <v>0</v>
      </c>
      <c r="F63" s="9">
        <f>SUM(F61:F62)</f>
        <v>0</v>
      </c>
      <c r="I63" s="42" t="s">
        <v>151</v>
      </c>
      <c r="J63" s="43">
        <v>25.9</v>
      </c>
      <c r="K63" s="43">
        <v>1.1499999999999999</v>
      </c>
      <c r="L63" s="43">
        <v>0.89</v>
      </c>
      <c r="M63" s="43">
        <v>15.7</v>
      </c>
    </row>
    <row r="64" spans="3:13" x14ac:dyDescent="0.25">
      <c r="C64" s="22"/>
      <c r="E64" s="8"/>
      <c r="F64" s="8"/>
      <c r="I64" s="42" t="s">
        <v>152</v>
      </c>
      <c r="J64" s="43">
        <v>25.8</v>
      </c>
      <c r="K64" s="43">
        <v>0.9</v>
      </c>
      <c r="L64" s="43">
        <v>0.79</v>
      </c>
      <c r="M64" s="43">
        <v>6.8</v>
      </c>
    </row>
    <row r="65" spans="1:13" ht="13" x14ac:dyDescent="0.3">
      <c r="C65" s="131" t="s">
        <v>153</v>
      </c>
      <c r="D65" s="132"/>
      <c r="E65" s="132"/>
      <c r="F65" s="133"/>
      <c r="I65" s="42" t="s">
        <v>154</v>
      </c>
      <c r="J65" s="43">
        <v>25.8</v>
      </c>
      <c r="K65" s="43">
        <v>1.2</v>
      </c>
      <c r="L65" s="43">
        <v>0.79</v>
      </c>
      <c r="M65" s="43">
        <v>15.3</v>
      </c>
    </row>
    <row r="66" spans="1:13" ht="13" x14ac:dyDescent="0.3">
      <c r="C66" s="48"/>
      <c r="D66" s="15"/>
      <c r="E66" s="48" t="s">
        <v>82</v>
      </c>
      <c r="F66" s="48" t="str">
        <f>IF(E8=S1,"Ægtefælle","ugift")</f>
        <v>Ægtefælle</v>
      </c>
      <c r="I66" s="42" t="s">
        <v>155</v>
      </c>
      <c r="J66" s="43">
        <v>26</v>
      </c>
      <c r="K66" s="43">
        <v>1</v>
      </c>
      <c r="L66" s="43">
        <v>0.99</v>
      </c>
      <c r="M66" s="43">
        <v>16.8</v>
      </c>
    </row>
    <row r="67" spans="1:13" ht="13" x14ac:dyDescent="0.3">
      <c r="C67" s="128" t="s">
        <v>156</v>
      </c>
      <c r="D67" s="130"/>
      <c r="E67" s="130"/>
      <c r="F67" s="129"/>
      <c r="I67" s="42" t="s">
        <v>157</v>
      </c>
      <c r="J67" s="43">
        <v>26</v>
      </c>
      <c r="K67" s="43">
        <v>1.04</v>
      </c>
      <c r="L67" s="43">
        <v>0.99</v>
      </c>
      <c r="M67" s="43">
        <v>15.1</v>
      </c>
    </row>
    <row r="68" spans="1:13" x14ac:dyDescent="0.25">
      <c r="C68" s="3" t="s">
        <v>158</v>
      </c>
      <c r="D68" s="1"/>
      <c r="E68" s="9">
        <f>E58</f>
        <v>306668.23933378194</v>
      </c>
      <c r="F68" s="9">
        <f>IF(Gift,F58,"ugift")</f>
        <v>659578.6393337819</v>
      </c>
      <c r="I68" s="42" t="s">
        <v>159</v>
      </c>
      <c r="J68" s="43">
        <v>26.3</v>
      </c>
      <c r="K68" s="43">
        <v>1</v>
      </c>
      <c r="L68" s="43">
        <v>1.29</v>
      </c>
      <c r="M68" s="43">
        <v>12.8</v>
      </c>
    </row>
    <row r="69" spans="1:13" x14ac:dyDescent="0.25">
      <c r="C69" s="3" t="s">
        <v>160</v>
      </c>
      <c r="D69" s="1"/>
      <c r="E69" s="9">
        <f>IF(E9=S1,(-1)*P11,(-1)*P12)</f>
        <v>-49700</v>
      </c>
      <c r="F69" s="9">
        <f>IF(Gift,IF(F9=S1,(-1)*P11,(-1)*P12),"ugift")</f>
        <v>-49700</v>
      </c>
      <c r="I69" s="42" t="s">
        <v>161</v>
      </c>
      <c r="J69" s="43">
        <v>25</v>
      </c>
      <c r="K69" s="43">
        <v>0.98</v>
      </c>
      <c r="L69" s="43">
        <v>0</v>
      </c>
      <c r="M69" s="43">
        <v>9.8000000000000007</v>
      </c>
    </row>
    <row r="70" spans="1:13" x14ac:dyDescent="0.25">
      <c r="C70" s="6" t="s">
        <v>162</v>
      </c>
      <c r="D70" s="1"/>
      <c r="E70" s="9">
        <f>SUM(E68:E69)</f>
        <v>256968.23933378194</v>
      </c>
      <c r="F70" s="9">
        <f>IF(Gift,SUM(F68:F69),"ugift")</f>
        <v>609878.6393337819</v>
      </c>
      <c r="I70" s="42" t="s">
        <v>163</v>
      </c>
      <c r="J70" s="43">
        <v>25.1</v>
      </c>
      <c r="K70" s="43">
        <v>0.95</v>
      </c>
      <c r="L70" s="43">
        <v>0.09</v>
      </c>
      <c r="M70" s="43">
        <v>14.4</v>
      </c>
    </row>
    <row r="71" spans="1:13" x14ac:dyDescent="0.25">
      <c r="A71" s="18">
        <f>IF(E11=S1,E14+E15,E14)+P6</f>
        <v>26.15</v>
      </c>
      <c r="B71" s="18">
        <f>IF(F11=S1,E14+E15,E14)+P6</f>
        <v>26.15</v>
      </c>
      <c r="C71" s="1" t="s">
        <v>164</v>
      </c>
      <c r="D71" s="1"/>
      <c r="E71" s="9">
        <f>E70*A71/100</f>
        <v>67197.194585783975</v>
      </c>
      <c r="F71" s="9">
        <f>IF(Gift,F70*B71/100,"ugift")</f>
        <v>159483.26418578395</v>
      </c>
      <c r="I71" s="42" t="s">
        <v>165</v>
      </c>
      <c r="J71" s="43">
        <v>25.5</v>
      </c>
      <c r="K71" s="43">
        <v>0.68</v>
      </c>
      <c r="L71" s="43">
        <v>0.49</v>
      </c>
      <c r="M71" s="43">
        <v>5.7</v>
      </c>
    </row>
    <row r="72" spans="1:13" x14ac:dyDescent="0.25">
      <c r="C72" s="1" t="s">
        <v>166</v>
      </c>
      <c r="D72" s="1"/>
      <c r="E72" s="9">
        <f>IF(Gift,E71+F71,E71)</f>
        <v>226680.45877156791</v>
      </c>
      <c r="F72" s="8"/>
      <c r="I72" s="42" t="s">
        <v>167</v>
      </c>
      <c r="J72" s="43">
        <v>26.3</v>
      </c>
      <c r="K72" s="43">
        <v>0.98</v>
      </c>
      <c r="L72" s="43">
        <v>1.29</v>
      </c>
      <c r="M72" s="43">
        <v>12.3</v>
      </c>
    </row>
    <row r="73" spans="1:13" ht="13" x14ac:dyDescent="0.3">
      <c r="C73" s="128" t="s">
        <v>168</v>
      </c>
      <c r="D73" s="130"/>
      <c r="E73" s="130"/>
      <c r="F73" s="129"/>
      <c r="I73" s="42" t="s">
        <v>169</v>
      </c>
      <c r="J73" s="43">
        <v>25.8</v>
      </c>
      <c r="K73" s="43">
        <v>0.89</v>
      </c>
      <c r="L73" s="43">
        <v>0.79</v>
      </c>
      <c r="M73" s="43">
        <v>13.9</v>
      </c>
    </row>
    <row r="74" spans="1:13" x14ac:dyDescent="0.25">
      <c r="C74" s="3" t="s">
        <v>85</v>
      </c>
      <c r="D74" s="1"/>
      <c r="E74" s="9">
        <f>E40</f>
        <v>419520</v>
      </c>
      <c r="F74" s="9">
        <f>IF(Gift,F40,"ugift")</f>
        <v>772800</v>
      </c>
      <c r="I74" s="42" t="s">
        <v>170</v>
      </c>
      <c r="J74" s="43">
        <v>25.83</v>
      </c>
      <c r="K74" s="43">
        <v>1.2</v>
      </c>
      <c r="L74" s="43">
        <v>0.82</v>
      </c>
      <c r="M74" s="43">
        <v>8.9</v>
      </c>
    </row>
    <row r="75" spans="1:13" x14ac:dyDescent="0.25">
      <c r="C75" s="1" t="s">
        <v>171</v>
      </c>
      <c r="D75" s="1"/>
      <c r="E75" s="9">
        <f>IF(Gift,IF(E47&gt;=0,IF(F47&gt;=0,E47,MAX(0,E47+F47)),0),MAX(E47,0))</f>
        <v>0</v>
      </c>
      <c r="F75" s="9">
        <f>IF(Gift,IF(E47&gt;=0,IF(F47&gt;=0,F47,0),IF(F47&gt;=0,MAX(0,E47+F47),0)),"ugift")</f>
        <v>0</v>
      </c>
      <c r="I75" s="42" t="s">
        <v>172</v>
      </c>
      <c r="J75" s="43">
        <v>25</v>
      </c>
      <c r="K75" s="43">
        <v>1.05</v>
      </c>
      <c r="L75" s="43">
        <v>0</v>
      </c>
      <c r="M75" s="43">
        <v>16.399999999999999</v>
      </c>
    </row>
    <row r="76" spans="1:13" x14ac:dyDescent="0.25">
      <c r="C76" s="3" t="s">
        <v>160</v>
      </c>
      <c r="D76" s="1"/>
      <c r="E76" s="9">
        <f>E69</f>
        <v>-49700</v>
      </c>
      <c r="F76" s="9">
        <f>F69</f>
        <v>-49700</v>
      </c>
      <c r="I76" s="42" t="s">
        <v>173</v>
      </c>
      <c r="J76" s="43">
        <v>26.1</v>
      </c>
      <c r="K76" s="43">
        <v>0.95</v>
      </c>
      <c r="L76" s="43">
        <v>1.0900000000000001</v>
      </c>
      <c r="M76" s="43">
        <v>7</v>
      </c>
    </row>
    <row r="77" spans="1:13" x14ac:dyDescent="0.25">
      <c r="C77" s="6" t="s">
        <v>162</v>
      </c>
      <c r="D77" s="1"/>
      <c r="E77" s="9">
        <f>SUM(E74:E76)</f>
        <v>369820</v>
      </c>
      <c r="F77" s="9">
        <f>IF(Gift,SUM(F74:F76),"ugift")</f>
        <v>723100</v>
      </c>
      <c r="I77" s="42" t="s">
        <v>174</v>
      </c>
      <c r="J77" s="43">
        <v>25.2</v>
      </c>
      <c r="K77" s="43">
        <v>0.84</v>
      </c>
      <c r="L77" s="43">
        <v>0.19</v>
      </c>
      <c r="M77" s="43">
        <v>7.4</v>
      </c>
    </row>
    <row r="78" spans="1:13" x14ac:dyDescent="0.25">
      <c r="B78" s="18">
        <f>P5</f>
        <v>12.06</v>
      </c>
      <c r="C78" s="1" t="s">
        <v>164</v>
      </c>
      <c r="D78" s="1"/>
      <c r="E78" s="9">
        <f>E77*B78/100</f>
        <v>44600.292000000001</v>
      </c>
      <c r="F78" s="9">
        <f>IF(Gift,F77*B78/100,"ugift")</f>
        <v>87205.86</v>
      </c>
      <c r="I78" s="42" t="s">
        <v>175</v>
      </c>
      <c r="J78" s="43">
        <v>23.36</v>
      </c>
      <c r="K78" s="43">
        <v>0.56999999999999995</v>
      </c>
      <c r="L78" s="43">
        <v>0</v>
      </c>
      <c r="M78" s="43">
        <v>9.6</v>
      </c>
    </row>
    <row r="79" spans="1:13" x14ac:dyDescent="0.25">
      <c r="C79" s="1" t="s">
        <v>166</v>
      </c>
      <c r="D79" s="1"/>
      <c r="E79" s="9">
        <f>IF(Gift,E78+F78,E78)</f>
        <v>131806.152</v>
      </c>
      <c r="I79" s="42" t="s">
        <v>176</v>
      </c>
      <c r="J79" s="43">
        <v>25.7</v>
      </c>
      <c r="K79" s="43">
        <v>0.72</v>
      </c>
      <c r="L79" s="43">
        <v>0.69</v>
      </c>
      <c r="M79" s="43">
        <v>7.8</v>
      </c>
    </row>
    <row r="80" spans="1:13" ht="13" x14ac:dyDescent="0.3">
      <c r="C80" s="131" t="s">
        <v>177</v>
      </c>
      <c r="D80" s="132"/>
      <c r="E80" s="132"/>
      <c r="F80" s="133"/>
      <c r="I80" s="42" t="s">
        <v>178</v>
      </c>
      <c r="J80" s="43">
        <v>25.9</v>
      </c>
      <c r="K80" s="43">
        <v>1.22</v>
      </c>
      <c r="L80" s="43">
        <v>0.89</v>
      </c>
      <c r="M80" s="43">
        <v>10.5</v>
      </c>
    </row>
    <row r="81" spans="2:13" x14ac:dyDescent="0.25">
      <c r="C81" s="3" t="s">
        <v>85</v>
      </c>
      <c r="D81" s="1"/>
      <c r="E81" s="9">
        <f>E40</f>
        <v>419520</v>
      </c>
      <c r="F81" s="9">
        <f>IF(Gift,F40,"ugift")</f>
        <v>772800</v>
      </c>
      <c r="I81" s="42" t="s">
        <v>179</v>
      </c>
      <c r="J81" s="43">
        <v>25.5</v>
      </c>
      <c r="K81" s="43">
        <v>0.95</v>
      </c>
      <c r="L81" s="43">
        <v>0.49</v>
      </c>
      <c r="M81" s="43">
        <v>11</v>
      </c>
    </row>
    <row r="82" spans="2:13" x14ac:dyDescent="0.25">
      <c r="C82" s="3" t="s">
        <v>180</v>
      </c>
      <c r="D82" s="1"/>
      <c r="E82" s="9">
        <f>-P8</f>
        <v>-588900</v>
      </c>
      <c r="F82" s="9">
        <f>IF(Gift,-P8,"ugift")</f>
        <v>-588900</v>
      </c>
      <c r="I82" s="42" t="s">
        <v>181</v>
      </c>
      <c r="J82" s="43">
        <v>26</v>
      </c>
      <c r="K82" s="43">
        <v>0.86</v>
      </c>
      <c r="L82" s="43">
        <v>0.99</v>
      </c>
      <c r="M82" s="43">
        <v>8.6</v>
      </c>
    </row>
    <row r="83" spans="2:13" x14ac:dyDescent="0.25">
      <c r="C83" s="6" t="s">
        <v>162</v>
      </c>
      <c r="D83" s="1"/>
      <c r="E83" s="9">
        <f>SUM(E81:E82)</f>
        <v>-169380</v>
      </c>
      <c r="F83" s="9">
        <f>IF(Gift,SUM(F81:F82),"ugift")</f>
        <v>183900</v>
      </c>
      <c r="I83" s="42" t="s">
        <v>182</v>
      </c>
      <c r="J83" s="43">
        <v>25.5</v>
      </c>
      <c r="K83" s="43">
        <v>1.0900000000000001</v>
      </c>
      <c r="L83" s="43">
        <v>0.49</v>
      </c>
      <c r="M83" s="43">
        <v>11.6</v>
      </c>
    </row>
    <row r="84" spans="2:13" x14ac:dyDescent="0.25">
      <c r="B84" s="18">
        <f>IF((E14+P6+P5+P7)&gt;P9,P7-(E14+P6+P5+P7-P9),P7)</f>
        <v>14.490000000000002</v>
      </c>
      <c r="C84" s="1" t="s">
        <v>164</v>
      </c>
      <c r="D84" s="1"/>
      <c r="E84" s="9">
        <f>E83*B84/100</f>
        <v>-24543.162</v>
      </c>
      <c r="F84" s="9">
        <f>IF(Gift,F83*B84/100,"ugift")</f>
        <v>26647.110000000004</v>
      </c>
      <c r="I84" s="42" t="s">
        <v>183</v>
      </c>
      <c r="J84" s="43">
        <v>26.1</v>
      </c>
      <c r="K84" s="43">
        <v>0.96</v>
      </c>
      <c r="L84" s="43">
        <v>1.0900000000000001</v>
      </c>
      <c r="M84" s="43">
        <v>11.1</v>
      </c>
    </row>
    <row r="85" spans="2:13" ht="13" x14ac:dyDescent="0.3">
      <c r="C85" s="10" t="s">
        <v>184</v>
      </c>
      <c r="D85" s="1"/>
      <c r="E85" s="9">
        <f>IF(Gift,MAX(0,E84)+MAX(0,F84),MAX(0,E84))</f>
        <v>26647.110000000004</v>
      </c>
      <c r="I85" s="42" t="s">
        <v>185</v>
      </c>
      <c r="J85" s="43">
        <v>24.99</v>
      </c>
      <c r="K85" s="43">
        <v>0.89</v>
      </c>
      <c r="L85" s="43">
        <v>0</v>
      </c>
      <c r="M85" s="43">
        <v>7.9</v>
      </c>
    </row>
    <row r="86" spans="2:13" x14ac:dyDescent="0.25">
      <c r="C86" s="3" t="s">
        <v>186</v>
      </c>
      <c r="D86" s="9">
        <f>IF(Gift,P14*2,P14)</f>
        <v>101000</v>
      </c>
      <c r="E86" s="9" t="str">
        <f>IF(Gift,IF(E83&gt;=F83,MAX(0,E75+F75-D86),""),MAX(0,E75-D86))</f>
        <v/>
      </c>
      <c r="F86" s="9">
        <f>IF(Gift,IF(E83&lt;F83,MAX(0,E75+F75-D86),""),"ugift")</f>
        <v>0</v>
      </c>
      <c r="I86" s="42" t="s">
        <v>187</v>
      </c>
      <c r="J86" s="43">
        <v>26.3</v>
      </c>
      <c r="K86" s="43">
        <v>0.95</v>
      </c>
      <c r="L86" s="43">
        <v>1.29</v>
      </c>
      <c r="M86" s="43">
        <v>9.8000000000000007</v>
      </c>
    </row>
    <row r="87" spans="2:13" x14ac:dyDescent="0.25">
      <c r="C87" s="3" t="s">
        <v>180</v>
      </c>
      <c r="D87" s="1"/>
      <c r="E87" s="9" t="str">
        <f>IF(Gift,IF(E83&gt;=F83,(-1)*IF(E40&gt;=P8,0,P8-(E40)),""),(-1)*IF(E40&gt;=P8,0,P8-(E40)))</f>
        <v/>
      </c>
      <c r="F87" s="9">
        <f>IF(Gift,IF(E83&lt;F83,(-1)*IF(F40&gt;=P8,0,P8-(F40)),""),"ugift")</f>
        <v>0</v>
      </c>
      <c r="I87" s="42" t="s">
        <v>188</v>
      </c>
      <c r="J87" s="43">
        <v>26</v>
      </c>
      <c r="K87" s="43">
        <v>1.1000000000000001</v>
      </c>
      <c r="L87" s="43">
        <v>0.99</v>
      </c>
      <c r="M87" s="43">
        <v>8.3000000000000007</v>
      </c>
    </row>
    <row r="88" spans="2:13" x14ac:dyDescent="0.25">
      <c r="C88" s="6" t="s">
        <v>162</v>
      </c>
      <c r="D88" s="1"/>
      <c r="E88" s="9" t="str">
        <f>IF(Gift,IF(E83&gt;=F83,E86+E87,""),E86+E87)</f>
        <v/>
      </c>
      <c r="F88" s="9">
        <f>IF(Gift,IF(E83&lt;F83,F86+F87,""),"ugift")</f>
        <v>0</v>
      </c>
      <c r="I88" s="42" t="s">
        <v>189</v>
      </c>
      <c r="J88" s="43">
        <v>25.3</v>
      </c>
      <c r="K88" s="43">
        <v>1.2</v>
      </c>
      <c r="L88" s="43">
        <v>0.28999999999999998</v>
      </c>
      <c r="M88" s="43">
        <v>15.5</v>
      </c>
    </row>
    <row r="89" spans="2:13" x14ac:dyDescent="0.25">
      <c r="B89" s="18">
        <f>IF((E14+P6+P5+P7)&gt;P10,P7-(E14+P6+P5+P7-P10),P7)</f>
        <v>4.4200000000000017</v>
      </c>
      <c r="C89" s="3" t="s">
        <v>164</v>
      </c>
      <c r="D89" s="1"/>
      <c r="E89" s="9" t="str">
        <f>IF(Gift,IF(E83&gt;=F83,E88*B89/100,""),E88*B89/100)</f>
        <v/>
      </c>
      <c r="F89" s="9">
        <f>IF(Gift,IF(E83&lt;F83,F88*B89/100,""),"ugift")</f>
        <v>0</v>
      </c>
      <c r="I89" s="42" t="s">
        <v>190</v>
      </c>
      <c r="J89" s="43">
        <v>26.3</v>
      </c>
      <c r="K89" s="43">
        <v>1.02</v>
      </c>
      <c r="L89" s="43">
        <v>1.29</v>
      </c>
      <c r="M89" s="43">
        <v>8.8000000000000007</v>
      </c>
    </row>
    <row r="90" spans="2:13" ht="13" x14ac:dyDescent="0.3">
      <c r="C90" s="10" t="s">
        <v>191</v>
      </c>
      <c r="D90" s="1"/>
      <c r="E90" s="9">
        <f>IF(Gift,IF(E83&gt;=F83,MAX(0,E89),MAX(0,F89)),MAX(0,E89))</f>
        <v>0</v>
      </c>
      <c r="I90" s="42" t="s">
        <v>192</v>
      </c>
      <c r="J90" s="43">
        <v>25.9</v>
      </c>
      <c r="K90" s="43">
        <v>0.94</v>
      </c>
      <c r="L90" s="43">
        <v>0.89</v>
      </c>
      <c r="M90" s="43">
        <v>14.2</v>
      </c>
    </row>
    <row r="91" spans="2:13" x14ac:dyDescent="0.25">
      <c r="C91" s="1" t="s">
        <v>166</v>
      </c>
      <c r="D91" s="1"/>
      <c r="E91" s="9">
        <f>E85+E90</f>
        <v>26647.110000000004</v>
      </c>
      <c r="I91" s="42" t="s">
        <v>193</v>
      </c>
      <c r="J91" s="43">
        <v>25.7</v>
      </c>
      <c r="K91" s="43">
        <v>0.91</v>
      </c>
      <c r="L91" s="43">
        <v>0.69</v>
      </c>
      <c r="M91" s="43">
        <v>13.5</v>
      </c>
    </row>
    <row r="92" spans="2:13" x14ac:dyDescent="0.25">
      <c r="E92" s="8"/>
      <c r="I92" s="42" t="s">
        <v>194</v>
      </c>
      <c r="J92" s="43">
        <v>25.5</v>
      </c>
      <c r="K92" s="43">
        <v>1.27</v>
      </c>
      <c r="L92" s="43">
        <v>0.49</v>
      </c>
      <c r="M92" s="43">
        <v>11.2</v>
      </c>
    </row>
    <row r="93" spans="2:13" ht="13" x14ac:dyDescent="0.3">
      <c r="C93" s="131" t="s">
        <v>195</v>
      </c>
      <c r="D93" s="134"/>
      <c r="E93" s="134"/>
      <c r="F93" s="135"/>
      <c r="I93" s="42" t="s">
        <v>196</v>
      </c>
      <c r="J93" s="43">
        <v>24.1</v>
      </c>
      <c r="K93" s="43">
        <v>0.61</v>
      </c>
      <c r="L93" s="43">
        <v>0</v>
      </c>
      <c r="M93" s="43">
        <v>6</v>
      </c>
    </row>
    <row r="94" spans="2:13" ht="13" x14ac:dyDescent="0.3">
      <c r="C94" s="39" t="s">
        <v>197</v>
      </c>
      <c r="D94" s="48"/>
      <c r="E94" s="9">
        <f>E37</f>
        <v>0</v>
      </c>
      <c r="F94" s="9">
        <f>IF(Gift,F37,"ugift")</f>
        <v>0</v>
      </c>
      <c r="I94" s="42" t="s">
        <v>198</v>
      </c>
      <c r="J94" s="43">
        <v>25.3</v>
      </c>
      <c r="K94" s="43">
        <v>1.1599999999999999</v>
      </c>
      <c r="L94" s="43">
        <v>0.28999999999999998</v>
      </c>
      <c r="M94" s="43">
        <v>10.8</v>
      </c>
    </row>
    <row r="95" spans="2:13" ht="13" x14ac:dyDescent="0.3">
      <c r="C95" s="39" t="s">
        <v>199</v>
      </c>
      <c r="D95" s="48"/>
      <c r="E95" s="9">
        <f>P28</f>
        <v>457500</v>
      </c>
      <c r="F95" s="9">
        <f>IF(Gift,P28,"ugift")</f>
        <v>457500</v>
      </c>
      <c r="I95" s="42" t="s">
        <v>200</v>
      </c>
      <c r="J95" s="43">
        <v>25.6</v>
      </c>
      <c r="K95" s="43">
        <v>0.8</v>
      </c>
      <c r="L95" s="43">
        <v>0.59</v>
      </c>
      <c r="M95" s="43">
        <v>8.6</v>
      </c>
    </row>
    <row r="96" spans="2:13" ht="13" x14ac:dyDescent="0.3">
      <c r="C96" s="39" t="s">
        <v>201</v>
      </c>
      <c r="D96" s="48"/>
      <c r="E96" s="9">
        <f>IF(Gift,MAX(MIN(MAX(0,(-1)*(F94-F95)),P29-MAX(0,F40)),0),0)</f>
        <v>0</v>
      </c>
      <c r="F96" s="9">
        <f>IF(Gift,MAX(MIN(MAX(0,(-1)*(E94-E95)),P29-MAX(0,E40)),0),"ugift")</f>
        <v>0</v>
      </c>
      <c r="I96" s="42" t="s">
        <v>202</v>
      </c>
      <c r="J96" s="43">
        <v>25.1</v>
      </c>
      <c r="K96" s="43">
        <v>0.95</v>
      </c>
      <c r="L96" s="43">
        <v>0.09</v>
      </c>
      <c r="M96" s="43">
        <v>17.7</v>
      </c>
    </row>
    <row r="97" spans="2:13" x14ac:dyDescent="0.25">
      <c r="C97" s="53" t="s">
        <v>162</v>
      </c>
      <c r="D97" s="1"/>
      <c r="E97" s="9">
        <f>E94-(E95+E96)</f>
        <v>-457500</v>
      </c>
      <c r="F97" s="9">
        <f>IF(Gift,F94-(F95+F96),"ugift")</f>
        <v>-457500</v>
      </c>
      <c r="I97" s="42" t="s">
        <v>203</v>
      </c>
      <c r="J97" s="43">
        <v>25.33</v>
      </c>
      <c r="K97" s="43">
        <v>1.06</v>
      </c>
      <c r="L97" s="43">
        <v>0.32</v>
      </c>
      <c r="M97" s="43">
        <v>9</v>
      </c>
    </row>
    <row r="98" spans="2:13" x14ac:dyDescent="0.25">
      <c r="B98" s="45">
        <f>P29</f>
        <v>0</v>
      </c>
      <c r="C98" s="1" t="s">
        <v>164</v>
      </c>
      <c r="D98" s="1"/>
      <c r="E98" s="9">
        <f>E97*B98/100</f>
        <v>0</v>
      </c>
      <c r="F98" s="9">
        <f>IF(Gift,F97*B98/100,"ugift")</f>
        <v>0</v>
      </c>
      <c r="I98" s="42" t="s">
        <v>204</v>
      </c>
      <c r="J98" s="43">
        <v>23.4</v>
      </c>
      <c r="K98" s="43">
        <v>0.89</v>
      </c>
      <c r="L98" s="43">
        <v>0</v>
      </c>
      <c r="M98" s="43">
        <v>10.5</v>
      </c>
    </row>
    <row r="99" spans="2:13" x14ac:dyDescent="0.25">
      <c r="C99" s="1" t="s">
        <v>205</v>
      </c>
      <c r="D99" s="1"/>
      <c r="E99" s="9">
        <f>IF(E98&gt;0,E98,0)</f>
        <v>0</v>
      </c>
      <c r="F99" s="9">
        <f>IF(Gift,IF(F98&gt;0,F98,0),"ugift")</f>
        <v>0</v>
      </c>
      <c r="I99" s="42" t="s">
        <v>206</v>
      </c>
      <c r="J99" s="43">
        <v>26.3</v>
      </c>
      <c r="K99" s="43">
        <v>1.18</v>
      </c>
      <c r="L99" s="43">
        <v>1.29</v>
      </c>
      <c r="M99" s="43">
        <v>9.3000000000000007</v>
      </c>
    </row>
    <row r="100" spans="2:13" x14ac:dyDescent="0.25">
      <c r="C100" s="39" t="s">
        <v>166</v>
      </c>
      <c r="D100" s="1"/>
      <c r="E100" s="9">
        <f>IF(Gift,E99+F99,E99)</f>
        <v>0</v>
      </c>
      <c r="I100" s="42" t="s">
        <v>207</v>
      </c>
      <c r="J100" s="43">
        <v>25.5</v>
      </c>
      <c r="K100" s="43">
        <v>0.93</v>
      </c>
      <c r="L100" s="43">
        <v>0.49</v>
      </c>
      <c r="M100" s="43">
        <v>11.5</v>
      </c>
    </row>
    <row r="101" spans="2:13" x14ac:dyDescent="0.25">
      <c r="E101" s="8"/>
      <c r="I101" s="42" t="s">
        <v>208</v>
      </c>
      <c r="J101" s="43">
        <v>26.3</v>
      </c>
      <c r="K101" s="43">
        <v>1.02</v>
      </c>
      <c r="L101" s="43">
        <v>1.29</v>
      </c>
      <c r="M101" s="43">
        <v>13.5</v>
      </c>
    </row>
    <row r="102" spans="2:13" ht="13" x14ac:dyDescent="0.3">
      <c r="B102" s="8"/>
      <c r="C102" s="128" t="s">
        <v>209</v>
      </c>
      <c r="D102" s="130"/>
      <c r="E102" s="130"/>
      <c r="F102" s="129"/>
      <c r="I102" s="42" t="s">
        <v>210</v>
      </c>
      <c r="J102" s="43">
        <v>26.1</v>
      </c>
      <c r="K102" s="43">
        <v>1.07</v>
      </c>
      <c r="L102" s="43">
        <v>1.0900000000000001</v>
      </c>
      <c r="M102" s="43">
        <v>11.1</v>
      </c>
    </row>
    <row r="103" spans="2:13" x14ac:dyDescent="0.25">
      <c r="B103" s="8"/>
      <c r="C103" s="3" t="s">
        <v>144</v>
      </c>
      <c r="D103" s="1"/>
      <c r="E103" s="9">
        <f>E63</f>
        <v>0</v>
      </c>
      <c r="F103" s="9">
        <f>IF(Gift,F63,"ugift")</f>
        <v>0</v>
      </c>
      <c r="I103" s="42" t="s">
        <v>211</v>
      </c>
      <c r="J103" s="43">
        <v>25.6</v>
      </c>
      <c r="K103" s="43">
        <v>0.95</v>
      </c>
      <c r="L103" s="43">
        <v>0.59</v>
      </c>
      <c r="M103" s="43">
        <v>7.8</v>
      </c>
    </row>
    <row r="104" spans="2:13" x14ac:dyDescent="0.25">
      <c r="B104" s="31">
        <f>IF(E104&lt;0,-1,1)</f>
        <v>1</v>
      </c>
      <c r="C104" s="1" t="s">
        <v>162</v>
      </c>
      <c r="D104" s="1"/>
      <c r="E104" s="9">
        <f>IF(Gift,E103+F103,E103)</f>
        <v>0</v>
      </c>
      <c r="I104" s="42" t="s">
        <v>212</v>
      </c>
      <c r="J104" s="43">
        <v>25.6</v>
      </c>
      <c r="K104" s="43">
        <v>0.98</v>
      </c>
      <c r="L104" s="43">
        <v>0.59</v>
      </c>
      <c r="M104" s="43">
        <v>7.4</v>
      </c>
    </row>
    <row r="105" spans="2:13" x14ac:dyDescent="0.25">
      <c r="B105" s="9">
        <f>P15</f>
        <v>27</v>
      </c>
      <c r="C105" s="1" t="s">
        <v>213</v>
      </c>
      <c r="D105" s="9">
        <f>IF(Gift,P17*2,P17)</f>
        <v>122000</v>
      </c>
      <c r="E105" s="9">
        <f>IF(B104*E104&lt;=D105,E104*B105/100,B104*D105*B105/100)</f>
        <v>0</v>
      </c>
      <c r="I105" s="42" t="s">
        <v>214</v>
      </c>
      <c r="J105" s="43">
        <v>24.52</v>
      </c>
      <c r="K105" s="43">
        <v>0.74</v>
      </c>
      <c r="L105" s="43">
        <v>0</v>
      </c>
      <c r="M105" s="43">
        <v>6</v>
      </c>
    </row>
    <row r="106" spans="2:13" x14ac:dyDescent="0.25">
      <c r="B106" s="9">
        <f>P16</f>
        <v>42</v>
      </c>
      <c r="C106" s="1" t="s">
        <v>215</v>
      </c>
      <c r="D106" s="9">
        <f>IF(Gift,P17*2,P17)</f>
        <v>122000</v>
      </c>
      <c r="E106" s="9">
        <f>IF(B104*E104&gt;D106,B104*(B104*E104-D106)*B106/100,0)</f>
        <v>0</v>
      </c>
    </row>
    <row r="107" spans="2:13" x14ac:dyDescent="0.25">
      <c r="C107" s="1" t="s">
        <v>166</v>
      </c>
      <c r="D107" s="1"/>
      <c r="E107" s="9">
        <f>SUM(E105:E106)</f>
        <v>0</v>
      </c>
      <c r="I107" s="127" t="s">
        <v>216</v>
      </c>
      <c r="J107" s="127"/>
      <c r="K107" s="127"/>
      <c r="L107" s="127"/>
      <c r="M107" s="127"/>
    </row>
    <row r="108" spans="2:13" x14ac:dyDescent="0.25">
      <c r="F108" s="8"/>
    </row>
    <row r="109" spans="2:13" ht="13" x14ac:dyDescent="0.3">
      <c r="C109" s="128" t="s">
        <v>217</v>
      </c>
      <c r="D109" s="130"/>
      <c r="E109" s="130"/>
      <c r="F109" s="129"/>
    </row>
    <row r="110" spans="2:13" x14ac:dyDescent="0.25">
      <c r="C110" s="3" t="s">
        <v>218</v>
      </c>
      <c r="D110" s="1"/>
      <c r="E110" s="9">
        <f>E32</f>
        <v>456000</v>
      </c>
      <c r="F110" s="9">
        <f>IF(Gift,F32,"ugift")</f>
        <v>840000</v>
      </c>
    </row>
    <row r="111" spans="2:13" ht="25" x14ac:dyDescent="0.25">
      <c r="C111" s="3" t="s">
        <v>219</v>
      </c>
      <c r="D111" s="1"/>
      <c r="E111" s="9">
        <f>MAX(0,E34)</f>
        <v>0</v>
      </c>
      <c r="F111" s="9"/>
    </row>
    <row r="112" spans="2:13" x14ac:dyDescent="0.25">
      <c r="C112" s="6" t="s">
        <v>162</v>
      </c>
      <c r="D112" s="1"/>
      <c r="E112" s="9">
        <f>SUM(E110:E111)</f>
        <v>456000</v>
      </c>
      <c r="F112" s="9">
        <f>IF(Gift,SUM(F110),"ugift")</f>
        <v>840000</v>
      </c>
    </row>
    <row r="113" spans="2:6" x14ac:dyDescent="0.25">
      <c r="B113" s="1">
        <f>P4</f>
        <v>8</v>
      </c>
      <c r="C113" s="1" t="s">
        <v>164</v>
      </c>
      <c r="D113" s="1"/>
      <c r="E113" s="9">
        <f>E112*B113/100</f>
        <v>36480</v>
      </c>
      <c r="F113" s="9">
        <f>IF(Gift,F112*B113/100,"ugift")</f>
        <v>67200</v>
      </c>
    </row>
    <row r="114" spans="2:6" x14ac:dyDescent="0.25">
      <c r="C114" s="1" t="s">
        <v>166</v>
      </c>
      <c r="D114" s="1"/>
      <c r="E114" s="9">
        <f>IF(Gift,E113+F113,E113)</f>
        <v>103680</v>
      </c>
    </row>
    <row r="115" spans="2:6" x14ac:dyDescent="0.25">
      <c r="E115" s="8"/>
    </row>
    <row r="116" spans="2:6" ht="13" x14ac:dyDescent="0.3">
      <c r="C116" s="49" t="s">
        <v>220</v>
      </c>
      <c r="D116" s="15"/>
      <c r="E116" s="28"/>
      <c r="F116" s="16"/>
    </row>
    <row r="117" spans="2:6" x14ac:dyDescent="0.25">
      <c r="C117" s="1" t="s">
        <v>221</v>
      </c>
      <c r="D117" s="1"/>
      <c r="E117" s="9">
        <f>E47</f>
        <v>-55649.360666218054</v>
      </c>
      <c r="F117" s="9">
        <f>IF(Gift,F47,"ugift")</f>
        <v>-55649.360666218054</v>
      </c>
    </row>
    <row r="118" spans="2:6" x14ac:dyDescent="0.25">
      <c r="C118" s="54" t="s">
        <v>162</v>
      </c>
      <c r="D118" s="24"/>
      <c r="E118" s="25">
        <f>IF(Gift,MIN(0,MAX(E117+F117,-100000)),MIN(0,MAX(E117,-50000)))</f>
        <v>-100000</v>
      </c>
    </row>
    <row r="119" spans="2:6" x14ac:dyDescent="0.25">
      <c r="B119" s="44">
        <f>P27</f>
        <v>8</v>
      </c>
      <c r="C119" s="1" t="s">
        <v>164</v>
      </c>
      <c r="D119" s="1"/>
      <c r="E119" s="9">
        <f>E118*B119/100</f>
        <v>-8000</v>
      </c>
    </row>
    <row r="120" spans="2:6" x14ac:dyDescent="0.25">
      <c r="C120" s="26" t="s">
        <v>166</v>
      </c>
      <c r="D120" s="26"/>
      <c r="E120" s="27">
        <f>E119</f>
        <v>-8000</v>
      </c>
    </row>
    <row r="122" spans="2:6" ht="13" x14ac:dyDescent="0.3">
      <c r="C122" s="128" t="s">
        <v>222</v>
      </c>
      <c r="D122" s="129"/>
      <c r="E122" s="55">
        <f>MAX(0,MAX(0,E72+E79+E91+E100+E106+E120)+E105)+E114</f>
        <v>480813.7207715679</v>
      </c>
    </row>
    <row r="123" spans="2:6" ht="13" x14ac:dyDescent="0.3">
      <c r="C123" s="20"/>
      <c r="E123" s="56"/>
    </row>
    <row r="124" spans="2:6" ht="13" x14ac:dyDescent="0.3">
      <c r="C124" s="131" t="s">
        <v>223</v>
      </c>
      <c r="D124" s="132"/>
      <c r="E124" s="133"/>
    </row>
    <row r="125" spans="2:6" ht="13" x14ac:dyDescent="0.3">
      <c r="C125" s="57"/>
    </row>
    <row r="126" spans="2:6" ht="13" x14ac:dyDescent="0.3">
      <c r="C126" s="128" t="s">
        <v>224</v>
      </c>
      <c r="D126" s="130"/>
      <c r="E126" s="129"/>
    </row>
    <row r="127" spans="2:6" x14ac:dyDescent="0.25">
      <c r="C127" s="6" t="s">
        <v>225</v>
      </c>
      <c r="D127" s="1"/>
      <c r="E127" s="9">
        <f>E18+E19</f>
        <v>0</v>
      </c>
    </row>
    <row r="128" spans="2:6" x14ac:dyDescent="0.25">
      <c r="B128" s="18">
        <f>P21</f>
        <v>0.51</v>
      </c>
      <c r="C128" s="39" t="s">
        <v>226</v>
      </c>
      <c r="D128" s="9">
        <f>P23</f>
        <v>9200000</v>
      </c>
      <c r="E128" s="9">
        <f>IF(E127*0.8&lt;=D128,E127*0.8*B128/100,D128*B128/100)</f>
        <v>0</v>
      </c>
    </row>
    <row r="129" spans="2:5" x14ac:dyDescent="0.25">
      <c r="B129" s="18">
        <f>P22</f>
        <v>1.4</v>
      </c>
      <c r="C129" s="39" t="s">
        <v>227</v>
      </c>
      <c r="D129" s="9">
        <f>P23</f>
        <v>9200000</v>
      </c>
      <c r="E129" s="9">
        <f>IF(E127*0.8&gt;D129,(E127*0.8-D129)*B129/100,0)</f>
        <v>0</v>
      </c>
    </row>
    <row r="130" spans="2:5" x14ac:dyDescent="0.25">
      <c r="C130" s="1" t="s">
        <v>9</v>
      </c>
      <c r="D130" s="9"/>
      <c r="E130" s="9" t="str">
        <f>IF(E20=S1,IF(E18&gt;0,(-1)*(E127*0.8*P24/100+MIN(E127*0.8*P25/100,P26)),IF(E19&gt;0,(-1)*(E127*0.8*P24/100),"")),"")</f>
        <v/>
      </c>
    </row>
    <row r="131" spans="2:5" x14ac:dyDescent="0.25">
      <c r="C131" s="3" t="s">
        <v>228</v>
      </c>
      <c r="D131" s="1"/>
      <c r="E131" s="9">
        <f>SUM(E128:E130)</f>
        <v>0</v>
      </c>
    </row>
    <row r="132" spans="2:5" x14ac:dyDescent="0.25">
      <c r="C132" s="6" t="s">
        <v>229</v>
      </c>
      <c r="D132" s="1"/>
      <c r="E132" s="9">
        <f>E22</f>
        <v>0</v>
      </c>
    </row>
    <row r="133" spans="2:5" x14ac:dyDescent="0.25">
      <c r="B133" s="18">
        <f>P21</f>
        <v>0.51</v>
      </c>
      <c r="C133" s="1" t="s">
        <v>230</v>
      </c>
      <c r="D133" s="9">
        <f>P23</f>
        <v>9200000</v>
      </c>
      <c r="E133" s="9">
        <f>IF(E132*0.8&lt;=D133,E132*0.8*B133/100,D133*B133/100)</f>
        <v>0</v>
      </c>
    </row>
    <row r="134" spans="2:5" x14ac:dyDescent="0.25">
      <c r="B134" s="18">
        <f>P22</f>
        <v>1.4</v>
      </c>
      <c r="C134" s="1" t="s">
        <v>231</v>
      </c>
      <c r="D134" s="9">
        <f>P23</f>
        <v>9200000</v>
      </c>
      <c r="E134" s="9">
        <f>IF(E132*0.8&gt;D134,(E132*0.8-D134)*B134/100,0)</f>
        <v>0</v>
      </c>
    </row>
    <row r="135" spans="2:5" x14ac:dyDescent="0.25">
      <c r="C135" s="1" t="s">
        <v>9</v>
      </c>
      <c r="D135" s="9"/>
      <c r="E135" s="9" t="str">
        <f>IF(E26=S1,(-1)*(E132*0.8*P24/100+MIN(E132*0.8*P25/100,P26)),"")</f>
        <v/>
      </c>
    </row>
    <row r="136" spans="2:5" x14ac:dyDescent="0.25">
      <c r="C136" s="3" t="s">
        <v>232</v>
      </c>
      <c r="D136" s="1"/>
      <c r="E136" s="9">
        <f>SUM(E133:E135)</f>
        <v>0</v>
      </c>
    </row>
    <row r="137" spans="2:5" x14ac:dyDescent="0.25">
      <c r="C137" s="3" t="s">
        <v>166</v>
      </c>
      <c r="D137" s="1"/>
      <c r="E137" s="9">
        <f>E131+E136</f>
        <v>0</v>
      </c>
    </row>
    <row r="138" spans="2:5" x14ac:dyDescent="0.25">
      <c r="C138" s="7"/>
      <c r="E138" s="8"/>
    </row>
    <row r="139" spans="2:5" ht="13" x14ac:dyDescent="0.3">
      <c r="C139" s="47" t="s">
        <v>233</v>
      </c>
      <c r="D139" s="15"/>
      <c r="E139" s="19"/>
    </row>
    <row r="140" spans="2:5" x14ac:dyDescent="0.25">
      <c r="C140" s="58" t="s">
        <v>234</v>
      </c>
      <c r="D140" s="1"/>
      <c r="E140" s="9">
        <f>E21</f>
        <v>0</v>
      </c>
    </row>
    <row r="141" spans="2:5" x14ac:dyDescent="0.25">
      <c r="B141" s="18">
        <f>E16</f>
        <v>9.5</v>
      </c>
      <c r="C141" s="3" t="s">
        <v>235</v>
      </c>
      <c r="D141" s="9">
        <f>E140*0.8</f>
        <v>0</v>
      </c>
      <c r="E141" s="9">
        <f>B141*D141/1000</f>
        <v>0</v>
      </c>
    </row>
    <row r="142" spans="2:5" x14ac:dyDescent="0.25">
      <c r="C142" s="58" t="s">
        <v>68</v>
      </c>
      <c r="D142" s="1"/>
      <c r="E142" s="9">
        <f>E25</f>
        <v>0</v>
      </c>
    </row>
    <row r="143" spans="2:5" x14ac:dyDescent="0.25">
      <c r="B143" s="18">
        <f>E24</f>
        <v>9.1</v>
      </c>
      <c r="C143" s="3" t="s">
        <v>235</v>
      </c>
      <c r="D143" s="9">
        <f>E142*0.8</f>
        <v>0</v>
      </c>
      <c r="E143" s="9">
        <f>B143*D143/1000</f>
        <v>0</v>
      </c>
    </row>
    <row r="144" spans="2:5" x14ac:dyDescent="0.25">
      <c r="B144" s="21"/>
      <c r="C144" s="3" t="s">
        <v>166</v>
      </c>
      <c r="D144" s="9"/>
      <c r="E144" s="9">
        <f>E141+E143</f>
        <v>0</v>
      </c>
    </row>
    <row r="145" spans="3:5" x14ac:dyDescent="0.25">
      <c r="C145" s="7"/>
      <c r="E145" s="8"/>
    </row>
    <row r="146" spans="3:5" ht="13" x14ac:dyDescent="0.3">
      <c r="C146" s="128" t="s">
        <v>236</v>
      </c>
      <c r="D146" s="129"/>
      <c r="E146" s="55">
        <f>E137+E144</f>
        <v>0</v>
      </c>
    </row>
    <row r="148" spans="3:5" ht="13" x14ac:dyDescent="0.3">
      <c r="C148" s="131" t="s">
        <v>237</v>
      </c>
      <c r="D148" s="132"/>
      <c r="E148" s="133"/>
    </row>
    <row r="149" spans="3:5" x14ac:dyDescent="0.25">
      <c r="C149" s="1" t="s">
        <v>238</v>
      </c>
      <c r="D149" s="1"/>
      <c r="E149" s="9">
        <f>E122</f>
        <v>480813.7207715679</v>
      </c>
    </row>
    <row r="150" spans="3:5" x14ac:dyDescent="0.25">
      <c r="C150" s="1" t="s">
        <v>239</v>
      </c>
      <c r="D150" s="1"/>
      <c r="E150" s="9">
        <f>E146</f>
        <v>0</v>
      </c>
    </row>
    <row r="151" spans="3:5" ht="13" x14ac:dyDescent="0.3">
      <c r="C151" s="131" t="s">
        <v>166</v>
      </c>
      <c r="D151" s="133"/>
      <c r="E151" s="55">
        <f>SUM(E149:E150)</f>
        <v>480813.7207715679</v>
      </c>
    </row>
  </sheetData>
  <mergeCells count="24">
    <mergeCell ref="C67:F67"/>
    <mergeCell ref="C73:F73"/>
    <mergeCell ref="C3:F4"/>
    <mergeCell ref="C31:F31"/>
    <mergeCell ref="I1:M1"/>
    <mergeCell ref="O1:P1"/>
    <mergeCell ref="C41:F41"/>
    <mergeCell ref="C65:F65"/>
    <mergeCell ref="C60:F60"/>
    <mergeCell ref="C58:D58"/>
    <mergeCell ref="C48:F48"/>
    <mergeCell ref="C2:F2"/>
    <mergeCell ref="C29:F29"/>
    <mergeCell ref="C151:D151"/>
    <mergeCell ref="C126:E126"/>
    <mergeCell ref="C146:D146"/>
    <mergeCell ref="C124:E124"/>
    <mergeCell ref="C148:E148"/>
    <mergeCell ref="I107:M107"/>
    <mergeCell ref="C122:D122"/>
    <mergeCell ref="C109:F109"/>
    <mergeCell ref="C102:F102"/>
    <mergeCell ref="C80:F80"/>
    <mergeCell ref="C93:F93"/>
  </mergeCells>
  <dataValidations count="3">
    <dataValidation type="list" allowBlank="1" showInputMessage="1" showErrorMessage="1" sqref="E20 F9:F11 E8:E11 E26" xr:uid="{00000000-0002-0000-0000-000002000000}">
      <formula1>$S$1:$S$2</formula1>
    </dataValidation>
    <dataValidation type="list" allowBlank="1" showInputMessage="1" showErrorMessage="1" sqref="E13" xr:uid="{00000000-0002-0000-0000-000000000000}">
      <formula1>$I$8:$I$105</formula1>
    </dataValidation>
    <dataValidation type="list" allowBlank="1" showInputMessage="1" showErrorMessage="1" sqref="E23" xr:uid="{00000000-0002-0000-0000-000001000000}">
      <formula1>$I$7:$I$105</formula1>
    </dataValidation>
  </dataValidations>
  <pageMargins left="0.78740157480314965" right="0.78740157480314965" top="0.78740157480314965" bottom="0.59055118110236227" header="0.51181102362204722" footer="0.51181102362204722"/>
  <pageSetup paperSize="9" orientation="portrait" r:id="rId1"/>
  <headerFooter alignWithMargins="0"/>
  <rowBreaks count="4" manualBreakCount="4">
    <brk id="26" max="5" man="1"/>
    <brk id="59" max="5" man="1"/>
    <brk id="119" max="5" man="1"/>
    <brk id="143" max="5" man="1"/>
  </rowBreaks>
  <ignoredErrors>
    <ignoredError sqref="E142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5923-4925-44D4-BB6D-8DD77BFB0084}">
  <dimension ref="A1:IV392"/>
  <sheetViews>
    <sheetView topLeftCell="B25" workbookViewId="0">
      <selection activeCell="B31" sqref="B31"/>
    </sheetView>
  </sheetViews>
  <sheetFormatPr defaultColWidth="9.1796875" defaultRowHeight="14.5" x14ac:dyDescent="0.35"/>
  <cols>
    <col min="1" max="1" width="0" style="80" hidden="1" customWidth="1"/>
    <col min="2" max="2" width="9.81640625" style="80" customWidth="1"/>
    <col min="3" max="3" width="10.81640625" style="80" customWidth="1"/>
    <col min="4" max="4" width="15.7265625" style="80" customWidth="1"/>
    <col min="5" max="5" width="12.1796875" style="80" customWidth="1"/>
    <col min="6" max="6" width="16" style="80" bestFit="1" customWidth="1"/>
    <col min="7" max="7" width="14.1796875" style="80" customWidth="1"/>
    <col min="8" max="8" width="11.26953125" style="80" customWidth="1"/>
    <col min="9" max="9" width="12.7265625" style="80" customWidth="1"/>
    <col min="10" max="10" width="13" style="80" customWidth="1"/>
    <col min="11" max="12" width="10.81640625" style="80" customWidth="1"/>
    <col min="13" max="13" width="11.26953125" style="80" customWidth="1"/>
    <col min="14" max="14" width="11.54296875" style="80" customWidth="1"/>
    <col min="15" max="15" width="12.26953125" style="80" customWidth="1"/>
    <col min="16" max="256" width="9.1796875" style="80"/>
    <col min="257" max="16384" width="9.1796875" style="83"/>
  </cols>
  <sheetData>
    <row r="1" spans="2:14" ht="20.5" thickBot="1" x14ac:dyDescent="0.45">
      <c r="B1" s="81" t="s">
        <v>285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4" x14ac:dyDescent="0.35">
      <c r="B2" s="84" t="s">
        <v>286</v>
      </c>
      <c r="C2" s="85"/>
      <c r="D2" s="85"/>
      <c r="E2" s="85"/>
      <c r="F2" s="86">
        <v>2000000</v>
      </c>
      <c r="G2" s="85"/>
      <c r="H2" s="85"/>
      <c r="I2" s="85"/>
      <c r="J2" s="85"/>
      <c r="K2" s="85"/>
      <c r="L2" s="87"/>
    </row>
    <row r="3" spans="2:14" x14ac:dyDescent="0.35">
      <c r="B3" s="88" t="s">
        <v>287</v>
      </c>
      <c r="F3" s="89">
        <v>100</v>
      </c>
      <c r="L3" s="90"/>
    </row>
    <row r="4" spans="2:14" x14ac:dyDescent="0.35">
      <c r="B4" s="88" t="s">
        <v>288</v>
      </c>
      <c r="F4" s="91"/>
      <c r="L4" s="90"/>
    </row>
    <row r="5" spans="2:14" x14ac:dyDescent="0.35">
      <c r="B5" s="88" t="s">
        <v>289</v>
      </c>
      <c r="F5" s="92">
        <f>(F2*(F3/100))-F4</f>
        <v>2000000</v>
      </c>
      <c r="G5" s="80" t="s">
        <v>290</v>
      </c>
      <c r="L5" s="90"/>
    </row>
    <row r="6" spans="2:14" x14ac:dyDescent="0.35">
      <c r="B6" s="88" t="s">
        <v>291</v>
      </c>
      <c r="F6" s="93">
        <v>0.05</v>
      </c>
      <c r="L6" s="90"/>
      <c r="N6" s="94"/>
    </row>
    <row r="7" spans="2:14" x14ac:dyDescent="0.35">
      <c r="B7" s="88" t="s">
        <v>292</v>
      </c>
      <c r="F7" s="91">
        <v>30.25</v>
      </c>
      <c r="L7" s="90"/>
    </row>
    <row r="8" spans="2:14" x14ac:dyDescent="0.35">
      <c r="B8" s="88" t="s">
        <v>257</v>
      </c>
      <c r="F8" s="91">
        <v>4</v>
      </c>
      <c r="L8" s="90"/>
    </row>
    <row r="9" spans="2:14" x14ac:dyDescent="0.35">
      <c r="B9" s="88" t="s">
        <v>293</v>
      </c>
      <c r="F9" s="91"/>
      <c r="L9" s="90"/>
    </row>
    <row r="10" spans="2:14" x14ac:dyDescent="0.35">
      <c r="B10" s="95" t="s">
        <v>294</v>
      </c>
      <c r="C10" s="96"/>
      <c r="D10" s="96"/>
      <c r="E10" s="96"/>
      <c r="F10" s="97">
        <v>0.25600000000000001</v>
      </c>
      <c r="G10" s="96"/>
      <c r="L10" s="90"/>
    </row>
    <row r="11" spans="2:14" x14ac:dyDescent="0.35">
      <c r="B11" s="88" t="s">
        <v>295</v>
      </c>
      <c r="F11" s="98">
        <f>F7*F8</f>
        <v>121</v>
      </c>
      <c r="L11" s="90"/>
    </row>
    <row r="12" spans="2:14" x14ac:dyDescent="0.35">
      <c r="B12" s="88" t="s">
        <v>296</v>
      </c>
      <c r="F12" s="98">
        <f>F9*F8</f>
        <v>0</v>
      </c>
      <c r="L12" s="90"/>
    </row>
    <row r="13" spans="2:14" x14ac:dyDescent="0.35">
      <c r="B13" s="88" t="s">
        <v>297</v>
      </c>
      <c r="F13" s="99">
        <f>F6/F8</f>
        <v>1.2500000000000001E-2</v>
      </c>
      <c r="L13" s="90"/>
    </row>
    <row r="14" spans="2:14" x14ac:dyDescent="0.35">
      <c r="B14" s="95" t="s">
        <v>298</v>
      </c>
      <c r="C14" s="96"/>
      <c r="D14" s="96"/>
      <c r="E14" s="96"/>
      <c r="F14" s="99">
        <f>F13*(1-F10)</f>
        <v>9.300000000000001E-3</v>
      </c>
      <c r="L14" s="90"/>
    </row>
    <row r="15" spans="2:14" x14ac:dyDescent="0.35">
      <c r="B15" s="95" t="s">
        <v>299</v>
      </c>
      <c r="C15" s="96"/>
      <c r="D15" s="96"/>
      <c r="E15" s="96"/>
      <c r="F15" s="100" t="str">
        <f>IF(F12&lt;&gt;0,-F2*F13,"")</f>
        <v/>
      </c>
      <c r="G15" s="80" t="s">
        <v>300</v>
      </c>
      <c r="L15" s="90"/>
    </row>
    <row r="16" spans="2:14" x14ac:dyDescent="0.35">
      <c r="B16" s="88" t="s">
        <v>301</v>
      </c>
      <c r="F16" s="100">
        <f>(PMT(F13,(F11-F12),F2))</f>
        <v>-32151.610930612853</v>
      </c>
      <c r="G16" s="80" t="s">
        <v>302</v>
      </c>
      <c r="L16" s="101"/>
    </row>
    <row r="17" spans="1:14" x14ac:dyDescent="0.35">
      <c r="B17" s="95" t="s">
        <v>303</v>
      </c>
      <c r="C17" s="96"/>
      <c r="D17" s="96"/>
      <c r="E17" s="96"/>
      <c r="F17" s="97"/>
      <c r="G17" s="96" t="s">
        <v>304</v>
      </c>
      <c r="H17" s="96"/>
      <c r="I17" s="96"/>
      <c r="J17" s="96"/>
      <c r="K17" s="96"/>
      <c r="L17" s="101"/>
    </row>
    <row r="18" spans="1:14" x14ac:dyDescent="0.35">
      <c r="B18" s="95" t="s">
        <v>303</v>
      </c>
      <c r="C18" s="96"/>
      <c r="D18" s="96"/>
      <c r="E18" s="96"/>
      <c r="F18" s="97">
        <f>0.68%/4</f>
        <v>1.7000000000000001E-3</v>
      </c>
      <c r="G18" s="96" t="s">
        <v>305</v>
      </c>
      <c r="H18" s="96"/>
      <c r="I18" s="96"/>
      <c r="J18" s="96"/>
      <c r="K18" s="96"/>
      <c r="L18" s="101"/>
    </row>
    <row r="19" spans="1:14" x14ac:dyDescent="0.35">
      <c r="B19" s="88" t="s">
        <v>306</v>
      </c>
      <c r="C19" s="83"/>
      <c r="D19" s="83" t="e">
        <f>IF(Skatteordning=2,0,IF(Skatteordning=3,C19,0))</f>
        <v>#REF!</v>
      </c>
      <c r="E19" s="83"/>
      <c r="F19" s="97"/>
      <c r="G19" s="96" t="s">
        <v>304</v>
      </c>
      <c r="L19" s="90"/>
    </row>
    <row r="20" spans="1:14" x14ac:dyDescent="0.35">
      <c r="B20" s="88" t="s">
        <v>306</v>
      </c>
      <c r="C20" s="83"/>
      <c r="D20" s="83"/>
      <c r="E20" s="83"/>
      <c r="F20" s="97"/>
      <c r="G20" s="80" t="s">
        <v>305</v>
      </c>
      <c r="L20" s="90"/>
    </row>
    <row r="21" spans="1:14" x14ac:dyDescent="0.35">
      <c r="B21" s="88"/>
      <c r="L21" s="90"/>
    </row>
    <row r="22" spans="1:14" ht="18" x14ac:dyDescent="0.4">
      <c r="B22" s="142" t="s">
        <v>307</v>
      </c>
      <c r="C22" s="143"/>
      <c r="D22" s="143"/>
      <c r="E22" s="144"/>
      <c r="F22" s="102">
        <f>IRR(H30:H390,2%)</f>
        <v>1.4200000000000434E-2</v>
      </c>
      <c r="G22" s="103" t="s">
        <v>308</v>
      </c>
      <c r="H22" s="104"/>
      <c r="I22" s="105"/>
      <c r="J22" s="105"/>
      <c r="K22" s="105"/>
      <c r="L22" s="106"/>
    </row>
    <row r="23" spans="1:14" ht="18" x14ac:dyDescent="0.4">
      <c r="B23" s="142" t="s">
        <v>273</v>
      </c>
      <c r="C23" s="143"/>
      <c r="D23" s="143"/>
      <c r="E23" s="144"/>
      <c r="F23" s="102">
        <f>((1+F22)^F8)-1</f>
        <v>5.8021333810691411E-2</v>
      </c>
      <c r="G23" s="103" t="s">
        <v>308</v>
      </c>
      <c r="H23" s="104"/>
      <c r="I23" s="105"/>
      <c r="J23" s="105"/>
      <c r="K23" s="105"/>
      <c r="L23" s="106"/>
    </row>
    <row r="24" spans="1:14" ht="18" x14ac:dyDescent="0.4">
      <c r="B24" s="142" t="s">
        <v>307</v>
      </c>
      <c r="C24" s="143"/>
      <c r="D24" s="143"/>
      <c r="E24" s="144"/>
      <c r="F24" s="102">
        <f>IRR(L30:L390,2%)</f>
        <v>1.0564799999999819E-2</v>
      </c>
      <c r="G24" s="103" t="s">
        <v>309</v>
      </c>
      <c r="H24" s="104"/>
      <c r="I24" s="105"/>
      <c r="J24" s="105"/>
      <c r="K24" s="105"/>
      <c r="L24" s="106"/>
    </row>
    <row r="25" spans="1:14" ht="18" x14ac:dyDescent="0.4">
      <c r="B25" s="142" t="s">
        <v>273</v>
      </c>
      <c r="C25" s="143"/>
      <c r="D25" s="143"/>
      <c r="E25" s="144"/>
      <c r="F25" s="102">
        <f>((1+F24)^F8)-1</f>
        <v>4.2933619212714547E-2</v>
      </c>
      <c r="G25" s="103" t="s">
        <v>309</v>
      </c>
      <c r="H25" s="104"/>
      <c r="I25" s="105"/>
      <c r="J25" s="105"/>
      <c r="K25" s="105"/>
      <c r="L25" s="106"/>
    </row>
    <row r="26" spans="1:14" x14ac:dyDescent="0.35">
      <c r="B26" s="145"/>
      <c r="C26" s="146"/>
      <c r="D26" s="146"/>
      <c r="E26" s="146"/>
      <c r="F26" s="146"/>
      <c r="G26" s="146"/>
      <c r="H26" s="146"/>
      <c r="I26" s="146"/>
      <c r="L26" s="90"/>
    </row>
    <row r="27" spans="1:14" ht="15" thickBot="1" x14ac:dyDescent="0.4">
      <c r="B27" s="107"/>
      <c r="C27" s="108"/>
      <c r="D27" s="108"/>
      <c r="E27" s="108"/>
      <c r="F27" s="108"/>
      <c r="G27" s="108"/>
      <c r="H27" s="108"/>
      <c r="I27" s="109"/>
      <c r="J27" s="109"/>
      <c r="K27" s="109"/>
      <c r="L27" s="110"/>
    </row>
    <row r="28" spans="1:14" ht="18" x14ac:dyDescent="0.4">
      <c r="B28" s="111" t="str">
        <f>CONCATENATE("Amortisationstabel annuitetslån: (",F11," terminer)")</f>
        <v>Amortisationstabel annuitetslån: (121 terminer)</v>
      </c>
      <c r="C28" s="112"/>
      <c r="D28" s="112"/>
      <c r="E28" s="112"/>
      <c r="F28" s="112"/>
      <c r="G28" s="112"/>
      <c r="H28" s="112"/>
      <c r="I28" s="85"/>
      <c r="J28" s="85"/>
      <c r="K28" s="85"/>
      <c r="L28" s="85"/>
    </row>
    <row r="29" spans="1:14" ht="37.5" x14ac:dyDescent="0.35">
      <c r="B29" s="113" t="s">
        <v>310</v>
      </c>
      <c r="C29" s="114" t="s">
        <v>311</v>
      </c>
      <c r="D29" s="114" t="s">
        <v>312</v>
      </c>
      <c r="E29" s="114" t="s">
        <v>313</v>
      </c>
      <c r="F29" s="114" t="s">
        <v>314</v>
      </c>
      <c r="G29" s="114" t="s">
        <v>315</v>
      </c>
      <c r="H29" s="114" t="s">
        <v>316</v>
      </c>
      <c r="I29" s="114" t="s">
        <v>317</v>
      </c>
      <c r="J29" s="114" t="s">
        <v>318</v>
      </c>
      <c r="K29" s="114" t="s">
        <v>319</v>
      </c>
      <c r="L29" s="114" t="s">
        <v>320</v>
      </c>
      <c r="M29" s="114" t="s">
        <v>321</v>
      </c>
      <c r="N29" s="115" t="s">
        <v>322</v>
      </c>
    </row>
    <row r="30" spans="1:14" x14ac:dyDescent="0.35">
      <c r="B30" s="88"/>
      <c r="C30" s="116"/>
      <c r="D30" s="116"/>
      <c r="E30" s="116"/>
      <c r="F30" s="116"/>
      <c r="G30" s="116"/>
      <c r="H30" s="117">
        <f>-F5</f>
        <v>-2000000</v>
      </c>
      <c r="I30" s="116"/>
      <c r="J30" s="116"/>
      <c r="K30" s="116"/>
      <c r="L30" s="117">
        <f>-F5</f>
        <v>-2000000</v>
      </c>
      <c r="M30" s="118"/>
      <c r="N30" s="119"/>
    </row>
    <row r="31" spans="1:14" x14ac:dyDescent="0.35">
      <c r="A31" s="80">
        <v>1</v>
      </c>
      <c r="B31" s="120">
        <f t="shared" ref="B31:B94" si="0">IF(A31&lt;=$F$11,A31,"")</f>
        <v>1</v>
      </c>
      <c r="C31" s="121">
        <f>IF(B31&lt;=$F$11,F2,"")</f>
        <v>2000000</v>
      </c>
      <c r="D31" s="122">
        <f t="shared" ref="D31:D94" si="1">IF(B31&lt;=$F$11,(C31*$F$13),"")</f>
        <v>25000</v>
      </c>
      <c r="E31" s="121">
        <f t="shared" ref="E31:E94" si="2">IF(B31&lt;=$F$12,0,IF(B31&lt;=$F$11,(-$F$16-D31),""))</f>
        <v>7151.6109306128528</v>
      </c>
      <c r="F31" s="121">
        <f t="shared" ref="F31:F94" si="3">IF(B31&lt;=$F$11,(($F$20*$F$2)+($F$19*$F$2)+(C31*$F$18)+($F$17*C31)),"")</f>
        <v>3400.0000000000005</v>
      </c>
      <c r="G31" s="121">
        <f t="shared" ref="G31:G94" si="4">IF(B31&lt;=$F$11,(D31+E31),"")</f>
        <v>32151.610930612853</v>
      </c>
      <c r="H31" s="121">
        <f t="shared" ref="H31:H94" si="5">IF(B31&lt;=$F$11,(F31+G31),"")</f>
        <v>35551.610930612856</v>
      </c>
      <c r="I31" s="122">
        <f>IF(B31&lt;=$F$11,D31*(1-$F$10),"")</f>
        <v>18600</v>
      </c>
      <c r="J31" s="121">
        <f t="shared" ref="J31:J94" si="6">IF(B31&lt;=$F$11,(($F$20*$F$2*(1-$F$10))+($F$19*$F$2)+((C31*$F$18)*(1-$F$10))+(($F$17*C31))),"")</f>
        <v>2529.6000000000004</v>
      </c>
      <c r="K31" s="121">
        <f t="shared" ref="K31:K94" si="7">IF(B31&lt;=$F$11,(E31+I31),"")</f>
        <v>25751.610930612853</v>
      </c>
      <c r="L31" s="121">
        <f t="shared" ref="L31:L94" si="8">IF(B31&lt;=$F$11,(J31+K31),"")</f>
        <v>28281.210930612855</v>
      </c>
      <c r="M31" s="121">
        <f t="shared" ref="M31:M94" si="9">IF(B31&lt;=$F$11,(C31-E31),IF(B31&gt;$F$11,"",0))</f>
        <v>1992848.3890693872</v>
      </c>
    </row>
    <row r="32" spans="1:14" x14ac:dyDescent="0.35">
      <c r="A32" s="80">
        <f t="shared" ref="A32:A95" si="10">A31+1</f>
        <v>2</v>
      </c>
      <c r="B32" s="120">
        <f t="shared" si="0"/>
        <v>2</v>
      </c>
      <c r="C32" s="121">
        <f t="shared" ref="C32:C95" si="11">IF(M31=0,"",M31)</f>
        <v>1992848.3890693872</v>
      </c>
      <c r="D32" s="122">
        <f t="shared" si="1"/>
        <v>24910.604863367342</v>
      </c>
      <c r="E32" s="121">
        <f t="shared" si="2"/>
        <v>7241.0060672455111</v>
      </c>
      <c r="F32" s="121">
        <f t="shared" si="3"/>
        <v>3387.8422614179585</v>
      </c>
      <c r="G32" s="121">
        <f t="shared" si="4"/>
        <v>32151.610930612853</v>
      </c>
      <c r="H32" s="121">
        <f t="shared" si="5"/>
        <v>35539.453192030815</v>
      </c>
      <c r="I32" s="122">
        <f t="shared" ref="I32:I95" si="12">IF(B32&lt;=$F$11,(C32*$F$13)*(1-$F$10),"")</f>
        <v>18533.490018345303</v>
      </c>
      <c r="J32" s="121">
        <f t="shared" si="6"/>
        <v>2520.5546424949612</v>
      </c>
      <c r="K32" s="121">
        <f t="shared" si="7"/>
        <v>25774.496085590814</v>
      </c>
      <c r="L32" s="121">
        <f t="shared" si="8"/>
        <v>28295.050728085775</v>
      </c>
      <c r="M32" s="121">
        <f t="shared" si="9"/>
        <v>1985607.3830021417</v>
      </c>
    </row>
    <row r="33" spans="1:13" x14ac:dyDescent="0.35">
      <c r="A33" s="80">
        <f t="shared" si="10"/>
        <v>3</v>
      </c>
      <c r="B33" s="120">
        <f t="shared" si="0"/>
        <v>3</v>
      </c>
      <c r="C33" s="121">
        <f t="shared" si="11"/>
        <v>1985607.3830021417</v>
      </c>
      <c r="D33" s="122">
        <f t="shared" si="1"/>
        <v>24820.092287526772</v>
      </c>
      <c r="E33" s="121">
        <f t="shared" si="2"/>
        <v>7331.5186430860813</v>
      </c>
      <c r="F33" s="121">
        <f t="shared" si="3"/>
        <v>3375.5325511036413</v>
      </c>
      <c r="G33" s="121">
        <f t="shared" si="4"/>
        <v>32151.610930612853</v>
      </c>
      <c r="H33" s="121">
        <f t="shared" si="5"/>
        <v>35527.143481716492</v>
      </c>
      <c r="I33" s="122">
        <f t="shared" si="12"/>
        <v>18466.148661919917</v>
      </c>
      <c r="J33" s="121">
        <f t="shared" si="6"/>
        <v>2511.3962180211092</v>
      </c>
      <c r="K33" s="121">
        <f t="shared" si="7"/>
        <v>25797.667305005998</v>
      </c>
      <c r="L33" s="121">
        <f t="shared" si="8"/>
        <v>28309.063523027107</v>
      </c>
      <c r="M33" s="121">
        <f t="shared" si="9"/>
        <v>1978275.8643590556</v>
      </c>
    </row>
    <row r="34" spans="1:13" x14ac:dyDescent="0.35">
      <c r="A34" s="80">
        <f t="shared" si="10"/>
        <v>4</v>
      </c>
      <c r="B34" s="120">
        <f t="shared" si="0"/>
        <v>4</v>
      </c>
      <c r="C34" s="121">
        <f t="shared" si="11"/>
        <v>1978275.8643590556</v>
      </c>
      <c r="D34" s="122">
        <f t="shared" si="1"/>
        <v>24728.448304488196</v>
      </c>
      <c r="E34" s="121">
        <f t="shared" si="2"/>
        <v>7423.1626261246565</v>
      </c>
      <c r="F34" s="121">
        <f t="shared" si="3"/>
        <v>3363.0689694103949</v>
      </c>
      <c r="G34" s="121">
        <f t="shared" si="4"/>
        <v>32151.610930612853</v>
      </c>
      <c r="H34" s="121">
        <f t="shared" si="5"/>
        <v>35514.67990002325</v>
      </c>
      <c r="I34" s="122">
        <f t="shared" si="12"/>
        <v>18397.965538539218</v>
      </c>
      <c r="J34" s="121">
        <f t="shared" si="6"/>
        <v>2502.1233132413336</v>
      </c>
      <c r="K34" s="121">
        <f t="shared" si="7"/>
        <v>25821.128164663874</v>
      </c>
      <c r="L34" s="121">
        <f t="shared" si="8"/>
        <v>28323.251477905207</v>
      </c>
      <c r="M34" s="121">
        <f t="shared" si="9"/>
        <v>1970852.701732931</v>
      </c>
    </row>
    <row r="35" spans="1:13" x14ac:dyDescent="0.35">
      <c r="A35" s="80">
        <f t="shared" si="10"/>
        <v>5</v>
      </c>
      <c r="B35" s="120">
        <f t="shared" si="0"/>
        <v>5</v>
      </c>
      <c r="C35" s="121">
        <f t="shared" si="11"/>
        <v>1970852.701732931</v>
      </c>
      <c r="D35" s="122">
        <f t="shared" si="1"/>
        <v>24635.658771661638</v>
      </c>
      <c r="E35" s="121">
        <f t="shared" si="2"/>
        <v>7515.9521589512151</v>
      </c>
      <c r="F35" s="121">
        <f t="shared" si="3"/>
        <v>3350.4495929459827</v>
      </c>
      <c r="G35" s="121">
        <f t="shared" si="4"/>
        <v>32151.610930612853</v>
      </c>
      <c r="H35" s="126">
        <f t="shared" si="5"/>
        <v>35502.060523558837</v>
      </c>
      <c r="I35" s="122">
        <f t="shared" si="12"/>
        <v>18328.930126116258</v>
      </c>
      <c r="J35" s="121">
        <f t="shared" si="6"/>
        <v>2492.734497151811</v>
      </c>
      <c r="K35" s="121">
        <f t="shared" si="7"/>
        <v>25844.882285067473</v>
      </c>
      <c r="L35" s="121">
        <f t="shared" si="8"/>
        <v>28337.616782219284</v>
      </c>
      <c r="M35" s="121">
        <f t="shared" si="9"/>
        <v>1963336.7495739798</v>
      </c>
    </row>
    <row r="36" spans="1:13" x14ac:dyDescent="0.35">
      <c r="A36" s="80">
        <f t="shared" si="10"/>
        <v>6</v>
      </c>
      <c r="B36" s="120">
        <f t="shared" si="0"/>
        <v>6</v>
      </c>
      <c r="C36" s="121">
        <f t="shared" si="11"/>
        <v>1963336.7495739798</v>
      </c>
      <c r="D36" s="122">
        <f t="shared" si="1"/>
        <v>24541.709369674747</v>
      </c>
      <c r="E36" s="121">
        <f t="shared" si="2"/>
        <v>7609.9015609381058</v>
      </c>
      <c r="F36" s="121">
        <f t="shared" si="3"/>
        <v>3337.672474275766</v>
      </c>
      <c r="G36" s="121">
        <f t="shared" si="4"/>
        <v>32151.610930612853</v>
      </c>
      <c r="H36" s="126">
        <f t="shared" si="5"/>
        <v>35489.283404888622</v>
      </c>
      <c r="I36" s="122">
        <f t="shared" si="12"/>
        <v>18259.031771038011</v>
      </c>
      <c r="J36" s="121">
        <f t="shared" si="6"/>
        <v>2483.2283208611698</v>
      </c>
      <c r="K36" s="121">
        <f t="shared" si="7"/>
        <v>25868.933331976117</v>
      </c>
      <c r="L36" s="121">
        <f t="shared" si="8"/>
        <v>28352.161652837287</v>
      </c>
      <c r="M36" s="121">
        <f t="shared" si="9"/>
        <v>1955726.8480130415</v>
      </c>
    </row>
    <row r="37" spans="1:13" x14ac:dyDescent="0.35">
      <c r="A37" s="80">
        <f t="shared" si="10"/>
        <v>7</v>
      </c>
      <c r="B37" s="120">
        <f t="shared" si="0"/>
        <v>7</v>
      </c>
      <c r="C37" s="121">
        <f t="shared" si="11"/>
        <v>1955726.8480130415</v>
      </c>
      <c r="D37" s="122">
        <f t="shared" si="1"/>
        <v>24446.58560016302</v>
      </c>
      <c r="E37" s="121">
        <f t="shared" si="2"/>
        <v>7705.0253304498328</v>
      </c>
      <c r="F37" s="121">
        <f t="shared" si="3"/>
        <v>3324.735641622171</v>
      </c>
      <c r="G37" s="121">
        <f t="shared" si="4"/>
        <v>32151.610930612853</v>
      </c>
      <c r="H37" s="126">
        <f t="shared" si="5"/>
        <v>35476.346572235023</v>
      </c>
      <c r="I37" s="122">
        <f t="shared" si="12"/>
        <v>18188.259686521287</v>
      </c>
      <c r="J37" s="121">
        <f t="shared" si="6"/>
        <v>2473.6033173668952</v>
      </c>
      <c r="K37" s="121">
        <f t="shared" si="7"/>
        <v>25893.28501697112</v>
      </c>
      <c r="L37" s="121">
        <f t="shared" si="8"/>
        <v>28366.888334338015</v>
      </c>
      <c r="M37" s="121">
        <f t="shared" si="9"/>
        <v>1948021.8226825916</v>
      </c>
    </row>
    <row r="38" spans="1:13" x14ac:dyDescent="0.35">
      <c r="A38" s="80">
        <f t="shared" si="10"/>
        <v>8</v>
      </c>
      <c r="B38" s="120">
        <f t="shared" si="0"/>
        <v>8</v>
      </c>
      <c r="C38" s="121">
        <f t="shared" si="11"/>
        <v>1948021.8226825916</v>
      </c>
      <c r="D38" s="122">
        <f t="shared" si="1"/>
        <v>24350.272783532397</v>
      </c>
      <c r="E38" s="121">
        <f t="shared" si="2"/>
        <v>7801.3381470804561</v>
      </c>
      <c r="F38" s="121">
        <f t="shared" si="3"/>
        <v>3311.6370985604058</v>
      </c>
      <c r="G38" s="121">
        <f t="shared" si="4"/>
        <v>32151.610930612853</v>
      </c>
      <c r="H38" s="126">
        <f t="shared" si="5"/>
        <v>35463.248029173257</v>
      </c>
      <c r="I38" s="122">
        <f t="shared" si="12"/>
        <v>18116.602950948101</v>
      </c>
      <c r="J38" s="121">
        <f t="shared" si="6"/>
        <v>2463.858001328942</v>
      </c>
      <c r="K38" s="121">
        <f t="shared" si="7"/>
        <v>25917.941098028557</v>
      </c>
      <c r="L38" s="121">
        <f t="shared" si="8"/>
        <v>28381.7990993575</v>
      </c>
      <c r="M38" s="121">
        <f t="shared" si="9"/>
        <v>1940220.4845355111</v>
      </c>
    </row>
    <row r="39" spans="1:13" x14ac:dyDescent="0.35">
      <c r="A39" s="80">
        <f t="shared" si="10"/>
        <v>9</v>
      </c>
      <c r="B39" s="120">
        <f t="shared" si="0"/>
        <v>9</v>
      </c>
      <c r="C39" s="121">
        <f t="shared" si="11"/>
        <v>1940220.4845355111</v>
      </c>
      <c r="D39" s="122">
        <f t="shared" si="1"/>
        <v>24252.756056693892</v>
      </c>
      <c r="E39" s="121">
        <f t="shared" si="2"/>
        <v>7898.8548739189609</v>
      </c>
      <c r="F39" s="121">
        <f t="shared" si="3"/>
        <v>3298.3748237103691</v>
      </c>
      <c r="G39" s="121">
        <f t="shared" si="4"/>
        <v>32151.610930612853</v>
      </c>
      <c r="H39" s="121">
        <f t="shared" si="5"/>
        <v>35449.985754323221</v>
      </c>
      <c r="I39" s="122">
        <f t="shared" si="12"/>
        <v>18044.050506180254</v>
      </c>
      <c r="J39" s="121">
        <f t="shared" si="6"/>
        <v>2453.9908688405144</v>
      </c>
      <c r="K39" s="121">
        <f t="shared" si="7"/>
        <v>25942.905380099215</v>
      </c>
      <c r="L39" s="121">
        <f t="shared" si="8"/>
        <v>28396.896248939731</v>
      </c>
      <c r="M39" s="121">
        <f t="shared" si="9"/>
        <v>1932321.6296615922</v>
      </c>
    </row>
    <row r="40" spans="1:13" x14ac:dyDescent="0.35">
      <c r="A40" s="80">
        <f t="shared" si="10"/>
        <v>10</v>
      </c>
      <c r="B40" s="120">
        <f t="shared" si="0"/>
        <v>10</v>
      </c>
      <c r="C40" s="121">
        <f t="shared" si="11"/>
        <v>1932321.6296615922</v>
      </c>
      <c r="D40" s="122">
        <f t="shared" si="1"/>
        <v>24154.020370769904</v>
      </c>
      <c r="E40" s="121">
        <f t="shared" si="2"/>
        <v>7997.590559842949</v>
      </c>
      <c r="F40" s="121">
        <f t="shared" si="3"/>
        <v>3284.9467704247068</v>
      </c>
      <c r="G40" s="121">
        <f t="shared" si="4"/>
        <v>32151.610930612853</v>
      </c>
      <c r="H40" s="121">
        <f t="shared" si="5"/>
        <v>35436.557701037556</v>
      </c>
      <c r="I40" s="122">
        <f t="shared" si="12"/>
        <v>17970.59115585281</v>
      </c>
      <c r="J40" s="121">
        <f t="shared" si="6"/>
        <v>2444.0003971959818</v>
      </c>
      <c r="K40" s="121">
        <f t="shared" si="7"/>
        <v>25968.181715695759</v>
      </c>
      <c r="L40" s="121">
        <f t="shared" si="8"/>
        <v>28412.18211289174</v>
      </c>
      <c r="M40" s="121">
        <f t="shared" si="9"/>
        <v>1924324.0391017492</v>
      </c>
    </row>
    <row r="41" spans="1:13" x14ac:dyDescent="0.35">
      <c r="A41" s="80">
        <f t="shared" si="10"/>
        <v>11</v>
      </c>
      <c r="B41" s="120">
        <f t="shared" si="0"/>
        <v>11</v>
      </c>
      <c r="C41" s="121">
        <f t="shared" si="11"/>
        <v>1924324.0391017492</v>
      </c>
      <c r="D41" s="122">
        <f t="shared" si="1"/>
        <v>24054.050488771867</v>
      </c>
      <c r="E41" s="121">
        <f t="shared" si="2"/>
        <v>8097.5604418409857</v>
      </c>
      <c r="F41" s="121">
        <f t="shared" si="3"/>
        <v>3271.3508664729738</v>
      </c>
      <c r="G41" s="121">
        <f t="shared" si="4"/>
        <v>32151.610930612853</v>
      </c>
      <c r="H41" s="121">
        <f t="shared" si="5"/>
        <v>35422.961797085823</v>
      </c>
      <c r="I41" s="122">
        <f t="shared" si="12"/>
        <v>17896.21356364627</v>
      </c>
      <c r="J41" s="121">
        <f t="shared" si="6"/>
        <v>2433.8850446558927</v>
      </c>
      <c r="K41" s="121">
        <f t="shared" si="7"/>
        <v>25993.774005487256</v>
      </c>
      <c r="L41" s="121">
        <f t="shared" si="8"/>
        <v>28427.659050143149</v>
      </c>
      <c r="M41" s="121">
        <f t="shared" si="9"/>
        <v>1916226.4786599083</v>
      </c>
    </row>
    <row r="42" spans="1:13" x14ac:dyDescent="0.35">
      <c r="A42" s="80">
        <f t="shared" si="10"/>
        <v>12</v>
      </c>
      <c r="B42" s="120">
        <f t="shared" si="0"/>
        <v>12</v>
      </c>
      <c r="C42" s="121">
        <f t="shared" si="11"/>
        <v>1916226.4786599083</v>
      </c>
      <c r="D42" s="122">
        <f t="shared" si="1"/>
        <v>23952.830983248856</v>
      </c>
      <c r="E42" s="121">
        <f t="shared" si="2"/>
        <v>8198.7799473639971</v>
      </c>
      <c r="F42" s="121">
        <f t="shared" si="3"/>
        <v>3257.5850137218445</v>
      </c>
      <c r="G42" s="121">
        <f t="shared" si="4"/>
        <v>32151.610930612853</v>
      </c>
      <c r="H42" s="121">
        <f t="shared" si="5"/>
        <v>35409.1959443347</v>
      </c>
      <c r="I42" s="122">
        <f t="shared" si="12"/>
        <v>17820.906251537148</v>
      </c>
      <c r="J42" s="121">
        <f t="shared" si="6"/>
        <v>2423.6432502090524</v>
      </c>
      <c r="K42" s="121">
        <f t="shared" si="7"/>
        <v>26019.686198901145</v>
      </c>
      <c r="L42" s="121">
        <f t="shared" si="8"/>
        <v>28443.329449110199</v>
      </c>
      <c r="M42" s="121">
        <f t="shared" si="9"/>
        <v>1908027.6987125443</v>
      </c>
    </row>
    <row r="43" spans="1:13" x14ac:dyDescent="0.35">
      <c r="A43" s="80">
        <f t="shared" si="10"/>
        <v>13</v>
      </c>
      <c r="B43" s="120">
        <f t="shared" si="0"/>
        <v>13</v>
      </c>
      <c r="C43" s="121">
        <f t="shared" si="11"/>
        <v>1908027.6987125443</v>
      </c>
      <c r="D43" s="122">
        <f t="shared" si="1"/>
        <v>23850.346233906806</v>
      </c>
      <c r="E43" s="121">
        <f t="shared" si="2"/>
        <v>8301.2646967060464</v>
      </c>
      <c r="F43" s="121">
        <f t="shared" si="3"/>
        <v>3243.6470878113255</v>
      </c>
      <c r="G43" s="121">
        <f t="shared" si="4"/>
        <v>32151.610930612853</v>
      </c>
      <c r="H43" s="121">
        <f t="shared" si="5"/>
        <v>35395.258018424182</v>
      </c>
      <c r="I43" s="122">
        <f t="shared" si="12"/>
        <v>17744.657598026664</v>
      </c>
      <c r="J43" s="121">
        <f t="shared" si="6"/>
        <v>2413.2734333316262</v>
      </c>
      <c r="K43" s="121">
        <f t="shared" si="7"/>
        <v>26045.922294732711</v>
      </c>
      <c r="L43" s="121">
        <f t="shared" si="8"/>
        <v>28459.195728064336</v>
      </c>
      <c r="M43" s="121">
        <f t="shared" si="9"/>
        <v>1899726.4340158382</v>
      </c>
    </row>
    <row r="44" spans="1:13" x14ac:dyDescent="0.35">
      <c r="A44" s="80">
        <f t="shared" si="10"/>
        <v>14</v>
      </c>
      <c r="B44" s="120">
        <f t="shared" si="0"/>
        <v>14</v>
      </c>
      <c r="C44" s="121">
        <f t="shared" si="11"/>
        <v>1899726.4340158382</v>
      </c>
      <c r="D44" s="122">
        <f t="shared" si="1"/>
        <v>23746.580425197979</v>
      </c>
      <c r="E44" s="121">
        <f t="shared" si="2"/>
        <v>8405.0305054148739</v>
      </c>
      <c r="F44" s="121">
        <f t="shared" si="3"/>
        <v>3229.5349378269252</v>
      </c>
      <c r="G44" s="121">
        <f t="shared" si="4"/>
        <v>32151.610930612853</v>
      </c>
      <c r="H44" s="121">
        <f t="shared" si="5"/>
        <v>35381.14586843978</v>
      </c>
      <c r="I44" s="122">
        <f t="shared" si="12"/>
        <v>17667.455836347297</v>
      </c>
      <c r="J44" s="121">
        <f t="shared" si="6"/>
        <v>2402.7739937432325</v>
      </c>
      <c r="K44" s="121">
        <f t="shared" si="7"/>
        <v>26072.486341762171</v>
      </c>
      <c r="L44" s="121">
        <f t="shared" si="8"/>
        <v>28475.260335505402</v>
      </c>
      <c r="M44" s="121">
        <f t="shared" si="9"/>
        <v>1891321.4035104234</v>
      </c>
    </row>
    <row r="45" spans="1:13" x14ac:dyDescent="0.35">
      <c r="A45" s="80">
        <f t="shared" si="10"/>
        <v>15</v>
      </c>
      <c r="B45" s="120">
        <f t="shared" si="0"/>
        <v>15</v>
      </c>
      <c r="C45" s="121">
        <f t="shared" si="11"/>
        <v>1891321.4035104234</v>
      </c>
      <c r="D45" s="122">
        <f t="shared" si="1"/>
        <v>23641.517543880294</v>
      </c>
      <c r="E45" s="121">
        <f t="shared" si="2"/>
        <v>8510.0933867325584</v>
      </c>
      <c r="F45" s="121">
        <f t="shared" si="3"/>
        <v>3215.24638596772</v>
      </c>
      <c r="G45" s="121">
        <f t="shared" si="4"/>
        <v>32151.610930612853</v>
      </c>
      <c r="H45" s="121">
        <f t="shared" si="5"/>
        <v>35366.857316580572</v>
      </c>
      <c r="I45" s="122">
        <f t="shared" si="12"/>
        <v>17589.289052646938</v>
      </c>
      <c r="J45" s="121">
        <f t="shared" si="6"/>
        <v>2392.1433111599836</v>
      </c>
      <c r="K45" s="121">
        <f t="shared" si="7"/>
        <v>26099.382439379497</v>
      </c>
      <c r="L45" s="121">
        <f t="shared" si="8"/>
        <v>28491.52575053948</v>
      </c>
      <c r="M45" s="121">
        <f t="shared" si="9"/>
        <v>1882811.3101236909</v>
      </c>
    </row>
    <row r="46" spans="1:13" x14ac:dyDescent="0.35">
      <c r="A46" s="80">
        <f t="shared" si="10"/>
        <v>16</v>
      </c>
      <c r="B46" s="120">
        <f t="shared" si="0"/>
        <v>16</v>
      </c>
      <c r="C46" s="121">
        <f t="shared" si="11"/>
        <v>1882811.3101236909</v>
      </c>
      <c r="D46" s="122">
        <f t="shared" si="1"/>
        <v>23535.141376546137</v>
      </c>
      <c r="E46" s="121">
        <f t="shared" si="2"/>
        <v>8616.4695540667162</v>
      </c>
      <c r="F46" s="121">
        <f t="shared" si="3"/>
        <v>3200.7792272102747</v>
      </c>
      <c r="G46" s="121">
        <f t="shared" si="4"/>
        <v>32151.610930612853</v>
      </c>
      <c r="H46" s="121">
        <f t="shared" si="5"/>
        <v>35352.390157823131</v>
      </c>
      <c r="I46" s="122">
        <f t="shared" si="12"/>
        <v>17510.145184150326</v>
      </c>
      <c r="J46" s="121">
        <f t="shared" si="6"/>
        <v>2381.3797450444445</v>
      </c>
      <c r="K46" s="121">
        <f t="shared" si="7"/>
        <v>26126.614738217042</v>
      </c>
      <c r="L46" s="121">
        <f t="shared" si="8"/>
        <v>28507.994483261486</v>
      </c>
      <c r="M46" s="121">
        <f t="shared" si="9"/>
        <v>1874194.8405696242</v>
      </c>
    </row>
    <row r="47" spans="1:13" x14ac:dyDescent="0.35">
      <c r="A47" s="80">
        <f t="shared" si="10"/>
        <v>17</v>
      </c>
      <c r="B47" s="120">
        <f t="shared" si="0"/>
        <v>17</v>
      </c>
      <c r="C47" s="121">
        <f t="shared" si="11"/>
        <v>1874194.8405696242</v>
      </c>
      <c r="D47" s="122">
        <f t="shared" si="1"/>
        <v>23427.435507120303</v>
      </c>
      <c r="E47" s="121">
        <f t="shared" si="2"/>
        <v>8724.1754234925502</v>
      </c>
      <c r="F47" s="121">
        <f t="shared" si="3"/>
        <v>3186.1312289683615</v>
      </c>
      <c r="G47" s="121">
        <f t="shared" si="4"/>
        <v>32151.610930612853</v>
      </c>
      <c r="H47" s="121">
        <f t="shared" si="5"/>
        <v>35337.742159581212</v>
      </c>
      <c r="I47" s="122">
        <f t="shared" si="12"/>
        <v>17430.012017297504</v>
      </c>
      <c r="J47" s="121">
        <f t="shared" si="6"/>
        <v>2370.4816343524608</v>
      </c>
      <c r="K47" s="121">
        <f t="shared" si="7"/>
        <v>26154.187440790054</v>
      </c>
      <c r="L47" s="121">
        <f t="shared" si="8"/>
        <v>28524.669075142516</v>
      </c>
      <c r="M47" s="121">
        <f t="shared" si="9"/>
        <v>1865470.6651461318</v>
      </c>
    </row>
    <row r="48" spans="1:13" x14ac:dyDescent="0.35">
      <c r="A48" s="80">
        <f t="shared" si="10"/>
        <v>18</v>
      </c>
      <c r="B48" s="120">
        <f t="shared" si="0"/>
        <v>18</v>
      </c>
      <c r="C48" s="121">
        <f t="shared" si="11"/>
        <v>1865470.6651461318</v>
      </c>
      <c r="D48" s="122">
        <f t="shared" si="1"/>
        <v>23318.383314326649</v>
      </c>
      <c r="E48" s="121">
        <f t="shared" si="2"/>
        <v>8833.2276162862036</v>
      </c>
      <c r="F48" s="121">
        <f t="shared" si="3"/>
        <v>3171.3001307484242</v>
      </c>
      <c r="G48" s="121">
        <f t="shared" si="4"/>
        <v>32151.610930612853</v>
      </c>
      <c r="H48" s="121">
        <f t="shared" si="5"/>
        <v>35322.911061361279</v>
      </c>
      <c r="I48" s="122">
        <f t="shared" si="12"/>
        <v>17348.877185859026</v>
      </c>
      <c r="J48" s="121">
        <f t="shared" si="6"/>
        <v>2359.4472972768276</v>
      </c>
      <c r="K48" s="121">
        <f t="shared" si="7"/>
        <v>26182.10480214523</v>
      </c>
      <c r="L48" s="121">
        <f t="shared" si="8"/>
        <v>28541.552099422057</v>
      </c>
      <c r="M48" s="121">
        <f t="shared" si="9"/>
        <v>1856637.4375298456</v>
      </c>
    </row>
    <row r="49" spans="1:13" x14ac:dyDescent="0.35">
      <c r="A49" s="80">
        <f t="shared" si="10"/>
        <v>19</v>
      </c>
      <c r="B49" s="120">
        <f t="shared" si="0"/>
        <v>19</v>
      </c>
      <c r="C49" s="121">
        <f t="shared" si="11"/>
        <v>1856637.4375298456</v>
      </c>
      <c r="D49" s="122">
        <f t="shared" si="1"/>
        <v>23207.96796912307</v>
      </c>
      <c r="E49" s="121">
        <f t="shared" si="2"/>
        <v>8943.6429614897825</v>
      </c>
      <c r="F49" s="121">
        <f t="shared" si="3"/>
        <v>3156.283643800738</v>
      </c>
      <c r="G49" s="121">
        <f t="shared" si="4"/>
        <v>32151.610930612853</v>
      </c>
      <c r="H49" s="121">
        <f t="shared" si="5"/>
        <v>35307.894574413593</v>
      </c>
      <c r="I49" s="122">
        <f t="shared" si="12"/>
        <v>17266.728169027563</v>
      </c>
      <c r="J49" s="121">
        <f t="shared" si="6"/>
        <v>2348.2750309877492</v>
      </c>
      <c r="K49" s="121">
        <f t="shared" si="7"/>
        <v>26210.371130517346</v>
      </c>
      <c r="L49" s="121">
        <f t="shared" si="8"/>
        <v>28558.646161505094</v>
      </c>
      <c r="M49" s="121">
        <f t="shared" si="9"/>
        <v>1847693.7945683559</v>
      </c>
    </row>
    <row r="50" spans="1:13" x14ac:dyDescent="0.35">
      <c r="A50" s="80">
        <f t="shared" si="10"/>
        <v>20</v>
      </c>
      <c r="B50" s="120">
        <f t="shared" si="0"/>
        <v>20</v>
      </c>
      <c r="C50" s="121">
        <f t="shared" si="11"/>
        <v>1847693.7945683559</v>
      </c>
      <c r="D50" s="122">
        <f t="shared" si="1"/>
        <v>23096.172432104449</v>
      </c>
      <c r="E50" s="121">
        <f t="shared" si="2"/>
        <v>9055.4384985084034</v>
      </c>
      <c r="F50" s="121">
        <f t="shared" si="3"/>
        <v>3141.0794507662054</v>
      </c>
      <c r="G50" s="121">
        <f t="shared" si="4"/>
        <v>32151.610930612853</v>
      </c>
      <c r="H50" s="121">
        <f t="shared" si="5"/>
        <v>35292.690381379056</v>
      </c>
      <c r="I50" s="122">
        <f t="shared" si="12"/>
        <v>17183.552289485709</v>
      </c>
      <c r="J50" s="121">
        <f t="shared" si="6"/>
        <v>2336.9631113700566</v>
      </c>
      <c r="K50" s="121">
        <f t="shared" si="7"/>
        <v>26238.990787994113</v>
      </c>
      <c r="L50" s="121">
        <f t="shared" si="8"/>
        <v>28575.953899364169</v>
      </c>
      <c r="M50" s="121">
        <f t="shared" si="9"/>
        <v>1838638.3560698475</v>
      </c>
    </row>
    <row r="51" spans="1:13" x14ac:dyDescent="0.35">
      <c r="A51" s="80">
        <f t="shared" si="10"/>
        <v>21</v>
      </c>
      <c r="B51" s="120">
        <f t="shared" si="0"/>
        <v>21</v>
      </c>
      <c r="C51" s="121">
        <f t="shared" si="11"/>
        <v>1838638.3560698475</v>
      </c>
      <c r="D51" s="122">
        <f t="shared" si="1"/>
        <v>22982.979450873096</v>
      </c>
      <c r="E51" s="121">
        <f t="shared" si="2"/>
        <v>9168.6314797397572</v>
      </c>
      <c r="F51" s="121">
        <f t="shared" si="3"/>
        <v>3125.6852053187408</v>
      </c>
      <c r="G51" s="121">
        <f t="shared" si="4"/>
        <v>32151.610930612853</v>
      </c>
      <c r="H51" s="121">
        <f t="shared" si="5"/>
        <v>35277.296135931596</v>
      </c>
      <c r="I51" s="122">
        <f t="shared" si="12"/>
        <v>17099.336711449581</v>
      </c>
      <c r="J51" s="121">
        <f t="shared" si="6"/>
        <v>2325.5097927571433</v>
      </c>
      <c r="K51" s="121">
        <f t="shared" si="7"/>
        <v>26267.968191189339</v>
      </c>
      <c r="L51" s="121">
        <f t="shared" si="8"/>
        <v>28593.477983946483</v>
      </c>
      <c r="M51" s="121">
        <f t="shared" si="9"/>
        <v>1829469.7245901078</v>
      </c>
    </row>
    <row r="52" spans="1:13" x14ac:dyDescent="0.35">
      <c r="A52" s="80">
        <f t="shared" si="10"/>
        <v>22</v>
      </c>
      <c r="B52" s="120">
        <f t="shared" si="0"/>
        <v>22</v>
      </c>
      <c r="C52" s="121">
        <f t="shared" si="11"/>
        <v>1829469.7245901078</v>
      </c>
      <c r="D52" s="122">
        <f t="shared" si="1"/>
        <v>22868.371557376347</v>
      </c>
      <c r="E52" s="121">
        <f t="shared" si="2"/>
        <v>9283.2393732365053</v>
      </c>
      <c r="F52" s="121">
        <f t="shared" si="3"/>
        <v>3110.0985318031835</v>
      </c>
      <c r="G52" s="121">
        <f t="shared" si="4"/>
        <v>32151.610930612853</v>
      </c>
      <c r="H52" s="121">
        <f t="shared" si="5"/>
        <v>35261.709462416038</v>
      </c>
      <c r="I52" s="122">
        <f t="shared" si="12"/>
        <v>17014.068438688002</v>
      </c>
      <c r="J52" s="121">
        <f t="shared" si="6"/>
        <v>2313.9133076615685</v>
      </c>
      <c r="K52" s="121">
        <f t="shared" si="7"/>
        <v>26297.307811924507</v>
      </c>
      <c r="L52" s="121">
        <f t="shared" si="8"/>
        <v>28611.221119586076</v>
      </c>
      <c r="M52" s="121">
        <f t="shared" si="9"/>
        <v>1820186.4852168714</v>
      </c>
    </row>
    <row r="53" spans="1:13" x14ac:dyDescent="0.35">
      <c r="A53" s="80">
        <f t="shared" si="10"/>
        <v>23</v>
      </c>
      <c r="B53" s="120">
        <f t="shared" si="0"/>
        <v>23</v>
      </c>
      <c r="C53" s="121">
        <f t="shared" si="11"/>
        <v>1820186.4852168714</v>
      </c>
      <c r="D53" s="122">
        <f t="shared" si="1"/>
        <v>22752.331065210892</v>
      </c>
      <c r="E53" s="121">
        <f t="shared" si="2"/>
        <v>9399.2798654019607</v>
      </c>
      <c r="F53" s="121">
        <f t="shared" si="3"/>
        <v>3094.3170248686815</v>
      </c>
      <c r="G53" s="121">
        <f t="shared" si="4"/>
        <v>32151.610930612853</v>
      </c>
      <c r="H53" s="121">
        <f t="shared" si="5"/>
        <v>35245.927955481537</v>
      </c>
      <c r="I53" s="122">
        <f t="shared" si="12"/>
        <v>16927.734312516903</v>
      </c>
      <c r="J53" s="121">
        <f t="shared" si="6"/>
        <v>2302.1718665022991</v>
      </c>
      <c r="K53" s="121">
        <f t="shared" si="7"/>
        <v>26327.014177918863</v>
      </c>
      <c r="L53" s="121">
        <f t="shared" si="8"/>
        <v>28629.186044421163</v>
      </c>
      <c r="M53" s="121">
        <f t="shared" si="9"/>
        <v>1810787.2053514693</v>
      </c>
    </row>
    <row r="54" spans="1:13" x14ac:dyDescent="0.35">
      <c r="A54" s="80">
        <f t="shared" si="10"/>
        <v>24</v>
      </c>
      <c r="B54" s="120">
        <f t="shared" si="0"/>
        <v>24</v>
      </c>
      <c r="C54" s="121">
        <f t="shared" si="11"/>
        <v>1810787.2053514693</v>
      </c>
      <c r="D54" s="122">
        <f t="shared" si="1"/>
        <v>22634.840066893368</v>
      </c>
      <c r="E54" s="121">
        <f t="shared" si="2"/>
        <v>9516.7708637194846</v>
      </c>
      <c r="F54" s="121">
        <f t="shared" si="3"/>
        <v>3078.3382490974982</v>
      </c>
      <c r="G54" s="121">
        <f t="shared" si="4"/>
        <v>32151.610930612853</v>
      </c>
      <c r="H54" s="121">
        <f t="shared" si="5"/>
        <v>35229.949179710355</v>
      </c>
      <c r="I54" s="122">
        <f t="shared" si="12"/>
        <v>16840.321009768664</v>
      </c>
      <c r="J54" s="121">
        <f t="shared" si="6"/>
        <v>2290.2836573285385</v>
      </c>
      <c r="K54" s="121">
        <f t="shared" si="7"/>
        <v>26357.091873488149</v>
      </c>
      <c r="L54" s="121">
        <f t="shared" si="8"/>
        <v>28647.375530816687</v>
      </c>
      <c r="M54" s="121">
        <f t="shared" si="9"/>
        <v>1801270.4344877498</v>
      </c>
    </row>
    <row r="55" spans="1:13" x14ac:dyDescent="0.35">
      <c r="A55" s="80">
        <f t="shared" si="10"/>
        <v>25</v>
      </c>
      <c r="B55" s="120">
        <f t="shared" si="0"/>
        <v>25</v>
      </c>
      <c r="C55" s="121">
        <f t="shared" si="11"/>
        <v>1801270.4344877498</v>
      </c>
      <c r="D55" s="122">
        <f t="shared" si="1"/>
        <v>22515.880431096874</v>
      </c>
      <c r="E55" s="121">
        <f t="shared" si="2"/>
        <v>9635.7304995159793</v>
      </c>
      <c r="F55" s="121">
        <f t="shared" si="3"/>
        <v>3062.1597386291751</v>
      </c>
      <c r="G55" s="121">
        <f t="shared" si="4"/>
        <v>32151.610930612853</v>
      </c>
      <c r="H55" s="121">
        <f t="shared" si="5"/>
        <v>35213.770669242025</v>
      </c>
      <c r="I55" s="122">
        <f t="shared" si="12"/>
        <v>16751.815040736074</v>
      </c>
      <c r="J55" s="121">
        <f t="shared" si="6"/>
        <v>2278.2468455401063</v>
      </c>
      <c r="K55" s="121">
        <f t="shared" si="7"/>
        <v>26387.545540252053</v>
      </c>
      <c r="L55" s="121">
        <f t="shared" si="8"/>
        <v>28665.79238579216</v>
      </c>
      <c r="M55" s="121">
        <f t="shared" si="9"/>
        <v>1791634.7039882338</v>
      </c>
    </row>
    <row r="56" spans="1:13" x14ac:dyDescent="0.35">
      <c r="A56" s="80">
        <f t="shared" si="10"/>
        <v>26</v>
      </c>
      <c r="B56" s="120">
        <f t="shared" si="0"/>
        <v>26</v>
      </c>
      <c r="C56" s="121">
        <f t="shared" si="11"/>
        <v>1791634.7039882338</v>
      </c>
      <c r="D56" s="122">
        <f t="shared" si="1"/>
        <v>22395.433799852923</v>
      </c>
      <c r="E56" s="121">
        <f t="shared" si="2"/>
        <v>9756.1771307599302</v>
      </c>
      <c r="F56" s="121">
        <f t="shared" si="3"/>
        <v>3045.7789967799977</v>
      </c>
      <c r="G56" s="121">
        <f t="shared" si="4"/>
        <v>32151.610930612853</v>
      </c>
      <c r="H56" s="121">
        <f t="shared" si="5"/>
        <v>35197.389927392847</v>
      </c>
      <c r="I56" s="122">
        <f t="shared" si="12"/>
        <v>16662.202747090574</v>
      </c>
      <c r="J56" s="121">
        <f t="shared" si="6"/>
        <v>2266.0595736043183</v>
      </c>
      <c r="K56" s="121">
        <f t="shared" si="7"/>
        <v>26418.379877850504</v>
      </c>
      <c r="L56" s="121">
        <f t="shared" si="8"/>
        <v>28684.439451454822</v>
      </c>
      <c r="M56" s="121">
        <f t="shared" si="9"/>
        <v>1781878.5268574739</v>
      </c>
    </row>
    <row r="57" spans="1:13" x14ac:dyDescent="0.35">
      <c r="A57" s="80">
        <f t="shared" si="10"/>
        <v>27</v>
      </c>
      <c r="B57" s="120">
        <f t="shared" si="0"/>
        <v>27</v>
      </c>
      <c r="C57" s="121">
        <f t="shared" si="11"/>
        <v>1781878.5268574739</v>
      </c>
      <c r="D57" s="122">
        <f t="shared" si="1"/>
        <v>22273.481585718426</v>
      </c>
      <c r="E57" s="121">
        <f t="shared" si="2"/>
        <v>9878.129344894427</v>
      </c>
      <c r="F57" s="121">
        <f t="shared" si="3"/>
        <v>3029.1934956577056</v>
      </c>
      <c r="G57" s="121">
        <f t="shared" si="4"/>
        <v>32151.610930612853</v>
      </c>
      <c r="H57" s="121">
        <f t="shared" si="5"/>
        <v>35180.804426270559</v>
      </c>
      <c r="I57" s="122">
        <f t="shared" si="12"/>
        <v>16571.470299774508</v>
      </c>
      <c r="J57" s="121">
        <f t="shared" si="6"/>
        <v>2253.7199607693328</v>
      </c>
      <c r="K57" s="121">
        <f t="shared" si="7"/>
        <v>26449.599644668935</v>
      </c>
      <c r="L57" s="121">
        <f t="shared" si="8"/>
        <v>28703.319605438268</v>
      </c>
      <c r="M57" s="121">
        <f t="shared" si="9"/>
        <v>1772000.3975125796</v>
      </c>
    </row>
    <row r="58" spans="1:13" x14ac:dyDescent="0.35">
      <c r="A58" s="80">
        <f t="shared" si="10"/>
        <v>28</v>
      </c>
      <c r="B58" s="120">
        <f t="shared" si="0"/>
        <v>28</v>
      </c>
      <c r="C58" s="121">
        <f t="shared" si="11"/>
        <v>1772000.3975125796</v>
      </c>
      <c r="D58" s="122">
        <f t="shared" si="1"/>
        <v>22150.004968907248</v>
      </c>
      <c r="E58" s="121">
        <f t="shared" si="2"/>
        <v>10001.605961705605</v>
      </c>
      <c r="F58" s="121">
        <f t="shared" si="3"/>
        <v>3012.4006757713855</v>
      </c>
      <c r="G58" s="121">
        <f t="shared" si="4"/>
        <v>32151.610930612853</v>
      </c>
      <c r="H58" s="121">
        <f t="shared" si="5"/>
        <v>35164.011606384236</v>
      </c>
      <c r="I58" s="122">
        <f t="shared" si="12"/>
        <v>16479.603696866991</v>
      </c>
      <c r="J58" s="121">
        <f t="shared" si="6"/>
        <v>2241.226102773911</v>
      </c>
      <c r="K58" s="121">
        <f t="shared" si="7"/>
        <v>26481.209658572596</v>
      </c>
      <c r="L58" s="121">
        <f t="shared" si="8"/>
        <v>28722.435761346507</v>
      </c>
      <c r="M58" s="121">
        <f t="shared" si="9"/>
        <v>1761998.791550874</v>
      </c>
    </row>
    <row r="59" spans="1:13" x14ac:dyDescent="0.35">
      <c r="A59" s="80">
        <f t="shared" si="10"/>
        <v>29</v>
      </c>
      <c r="B59" s="120">
        <f t="shared" si="0"/>
        <v>29</v>
      </c>
      <c r="C59" s="121">
        <f t="shared" si="11"/>
        <v>1761998.791550874</v>
      </c>
      <c r="D59" s="122">
        <f t="shared" si="1"/>
        <v>22024.984894385925</v>
      </c>
      <c r="E59" s="121">
        <f t="shared" si="2"/>
        <v>10126.626036226928</v>
      </c>
      <c r="F59" s="121">
        <f t="shared" si="3"/>
        <v>2995.3979456364859</v>
      </c>
      <c r="G59" s="121">
        <f t="shared" si="4"/>
        <v>32151.610930612853</v>
      </c>
      <c r="H59" s="121">
        <f t="shared" si="5"/>
        <v>35147.00887624934</v>
      </c>
      <c r="I59" s="122">
        <f t="shared" si="12"/>
        <v>16386.588761423129</v>
      </c>
      <c r="J59" s="121">
        <f t="shared" si="6"/>
        <v>2228.5760715535457</v>
      </c>
      <c r="K59" s="121">
        <f t="shared" si="7"/>
        <v>26513.214797650056</v>
      </c>
      <c r="L59" s="121">
        <f t="shared" si="8"/>
        <v>28741.790869203604</v>
      </c>
      <c r="M59" s="121">
        <f t="shared" si="9"/>
        <v>1751872.165514647</v>
      </c>
    </row>
    <row r="60" spans="1:13" x14ac:dyDescent="0.35">
      <c r="A60" s="80">
        <f t="shared" si="10"/>
        <v>30</v>
      </c>
      <c r="B60" s="120">
        <f t="shared" si="0"/>
        <v>30</v>
      </c>
      <c r="C60" s="121">
        <f t="shared" si="11"/>
        <v>1751872.165514647</v>
      </c>
      <c r="D60" s="122">
        <f t="shared" si="1"/>
        <v>21898.40206893309</v>
      </c>
      <c r="E60" s="121">
        <f t="shared" si="2"/>
        <v>10253.208861679763</v>
      </c>
      <c r="F60" s="121">
        <f t="shared" si="3"/>
        <v>2978.1826813749003</v>
      </c>
      <c r="G60" s="121">
        <f t="shared" si="4"/>
        <v>32151.610930612853</v>
      </c>
      <c r="H60" s="121">
        <f t="shared" si="5"/>
        <v>35129.793611987756</v>
      </c>
      <c r="I60" s="122">
        <f t="shared" si="12"/>
        <v>16292.41113928622</v>
      </c>
      <c r="J60" s="121">
        <f t="shared" si="6"/>
        <v>2215.7679149429259</v>
      </c>
      <c r="K60" s="121">
        <f t="shared" si="7"/>
        <v>26545.620000965981</v>
      </c>
      <c r="L60" s="121">
        <f t="shared" si="8"/>
        <v>28761.387915908905</v>
      </c>
      <c r="M60" s="121">
        <f t="shared" si="9"/>
        <v>1741618.9566529673</v>
      </c>
    </row>
    <row r="61" spans="1:13" x14ac:dyDescent="0.35">
      <c r="A61" s="80">
        <f t="shared" si="10"/>
        <v>31</v>
      </c>
      <c r="B61" s="120">
        <f t="shared" si="0"/>
        <v>31</v>
      </c>
      <c r="C61" s="121">
        <f t="shared" si="11"/>
        <v>1741618.9566529673</v>
      </c>
      <c r="D61" s="122">
        <f t="shared" si="1"/>
        <v>21770.236958162091</v>
      </c>
      <c r="E61" s="121">
        <f t="shared" si="2"/>
        <v>10381.373972450761</v>
      </c>
      <c r="F61" s="121">
        <f t="shared" si="3"/>
        <v>2960.7522263100445</v>
      </c>
      <c r="G61" s="121">
        <f t="shared" si="4"/>
        <v>32151.610930612853</v>
      </c>
      <c r="H61" s="121">
        <f t="shared" si="5"/>
        <v>35112.363156922896</v>
      </c>
      <c r="I61" s="122">
        <f t="shared" si="12"/>
        <v>16197.056296872595</v>
      </c>
      <c r="J61" s="121">
        <f t="shared" si="6"/>
        <v>2202.7996563746733</v>
      </c>
      <c r="K61" s="121">
        <f t="shared" si="7"/>
        <v>26578.430269323355</v>
      </c>
      <c r="L61" s="121">
        <f t="shared" si="8"/>
        <v>28781.22992569803</v>
      </c>
      <c r="M61" s="121">
        <f t="shared" si="9"/>
        <v>1731237.5826805164</v>
      </c>
    </row>
    <row r="62" spans="1:13" x14ac:dyDescent="0.35">
      <c r="A62" s="80">
        <f t="shared" si="10"/>
        <v>32</v>
      </c>
      <c r="B62" s="120">
        <f t="shared" si="0"/>
        <v>32</v>
      </c>
      <c r="C62" s="121">
        <f t="shared" si="11"/>
        <v>1731237.5826805164</v>
      </c>
      <c r="D62" s="122">
        <f t="shared" si="1"/>
        <v>21640.469783506458</v>
      </c>
      <c r="E62" s="121">
        <f t="shared" si="2"/>
        <v>10511.141147106395</v>
      </c>
      <c r="F62" s="121">
        <f t="shared" si="3"/>
        <v>2943.103890556878</v>
      </c>
      <c r="G62" s="121">
        <f t="shared" si="4"/>
        <v>32151.610930612853</v>
      </c>
      <c r="H62" s="121">
        <f t="shared" si="5"/>
        <v>35094.714821169728</v>
      </c>
      <c r="I62" s="122">
        <f t="shared" si="12"/>
        <v>16100.509518928804</v>
      </c>
      <c r="J62" s="121">
        <f t="shared" si="6"/>
        <v>2189.6692945743171</v>
      </c>
      <c r="K62" s="121">
        <f t="shared" si="7"/>
        <v>26611.650666035199</v>
      </c>
      <c r="L62" s="121">
        <f t="shared" si="8"/>
        <v>28801.319960609515</v>
      </c>
      <c r="M62" s="121">
        <f t="shared" si="9"/>
        <v>1720726.44153341</v>
      </c>
    </row>
    <row r="63" spans="1:13" x14ac:dyDescent="0.35">
      <c r="A63" s="80">
        <f t="shared" si="10"/>
        <v>33</v>
      </c>
      <c r="B63" s="120">
        <f t="shared" si="0"/>
        <v>33</v>
      </c>
      <c r="C63" s="121">
        <f t="shared" si="11"/>
        <v>1720726.44153341</v>
      </c>
      <c r="D63" s="122">
        <f t="shared" si="1"/>
        <v>21509.080519167626</v>
      </c>
      <c r="E63" s="121">
        <f t="shared" si="2"/>
        <v>10642.530411445226</v>
      </c>
      <c r="F63" s="121">
        <f t="shared" si="3"/>
        <v>2925.2349506067972</v>
      </c>
      <c r="G63" s="121">
        <f t="shared" si="4"/>
        <v>32151.610930612853</v>
      </c>
      <c r="H63" s="121">
        <f t="shared" si="5"/>
        <v>35076.845881219648</v>
      </c>
      <c r="I63" s="122">
        <f t="shared" si="12"/>
        <v>16002.755906260714</v>
      </c>
      <c r="J63" s="121">
        <f t="shared" si="6"/>
        <v>2176.3748032514573</v>
      </c>
      <c r="K63" s="121">
        <f t="shared" si="7"/>
        <v>26645.286317705941</v>
      </c>
      <c r="L63" s="121">
        <f t="shared" si="8"/>
        <v>28821.661120957397</v>
      </c>
      <c r="M63" s="121">
        <f t="shared" si="9"/>
        <v>1710083.9111219647</v>
      </c>
    </row>
    <row r="64" spans="1:13" x14ac:dyDescent="0.35">
      <c r="A64" s="80">
        <f t="shared" si="10"/>
        <v>34</v>
      </c>
      <c r="B64" s="120">
        <f t="shared" si="0"/>
        <v>34</v>
      </c>
      <c r="C64" s="121">
        <f t="shared" si="11"/>
        <v>1710083.9111219647</v>
      </c>
      <c r="D64" s="122">
        <f t="shared" si="1"/>
        <v>21376.048889024562</v>
      </c>
      <c r="E64" s="121">
        <f t="shared" si="2"/>
        <v>10775.562041588291</v>
      </c>
      <c r="F64" s="121">
        <f t="shared" si="3"/>
        <v>2907.1426489073401</v>
      </c>
      <c r="G64" s="121">
        <f t="shared" si="4"/>
        <v>32151.610930612853</v>
      </c>
      <c r="H64" s="121">
        <f t="shared" si="5"/>
        <v>35058.753579520191</v>
      </c>
      <c r="I64" s="122">
        <f t="shared" si="12"/>
        <v>15903.780373434274</v>
      </c>
      <c r="J64" s="121">
        <f t="shared" si="6"/>
        <v>2162.9141307870609</v>
      </c>
      <c r="K64" s="121">
        <f t="shared" si="7"/>
        <v>26679.342415022566</v>
      </c>
      <c r="L64" s="121">
        <f t="shared" si="8"/>
        <v>28842.256545809625</v>
      </c>
      <c r="M64" s="121">
        <f t="shared" si="9"/>
        <v>1699308.3490803763</v>
      </c>
    </row>
    <row r="65" spans="1:13" x14ac:dyDescent="0.35">
      <c r="A65" s="80">
        <f t="shared" si="10"/>
        <v>35</v>
      </c>
      <c r="B65" s="120">
        <f t="shared" si="0"/>
        <v>35</v>
      </c>
      <c r="C65" s="121">
        <f t="shared" si="11"/>
        <v>1699308.3490803763</v>
      </c>
      <c r="D65" s="122">
        <f t="shared" si="1"/>
        <v>21241.354363504706</v>
      </c>
      <c r="E65" s="121">
        <f t="shared" si="2"/>
        <v>10910.256567108147</v>
      </c>
      <c r="F65" s="121">
        <f t="shared" si="3"/>
        <v>2888.8241934366401</v>
      </c>
      <c r="G65" s="121">
        <f t="shared" si="4"/>
        <v>32151.610930612853</v>
      </c>
      <c r="H65" s="121">
        <f t="shared" si="5"/>
        <v>35040.435124049494</v>
      </c>
      <c r="I65" s="122">
        <f t="shared" si="12"/>
        <v>15803.567646447502</v>
      </c>
      <c r="J65" s="121">
        <f t="shared" si="6"/>
        <v>2149.2851999168602</v>
      </c>
      <c r="K65" s="121">
        <f t="shared" si="7"/>
        <v>26713.82421355565</v>
      </c>
      <c r="L65" s="121">
        <f t="shared" si="8"/>
        <v>28863.10941347251</v>
      </c>
      <c r="M65" s="121">
        <f t="shared" si="9"/>
        <v>1688398.0925132681</v>
      </c>
    </row>
    <row r="66" spans="1:13" x14ac:dyDescent="0.35">
      <c r="A66" s="80">
        <f t="shared" si="10"/>
        <v>36</v>
      </c>
      <c r="B66" s="120">
        <f t="shared" si="0"/>
        <v>36</v>
      </c>
      <c r="C66" s="121">
        <f t="shared" si="11"/>
        <v>1688398.0925132681</v>
      </c>
      <c r="D66" s="122">
        <f t="shared" si="1"/>
        <v>21104.976156415854</v>
      </c>
      <c r="E66" s="121">
        <f t="shared" si="2"/>
        <v>11046.634774196998</v>
      </c>
      <c r="F66" s="121">
        <f t="shared" si="3"/>
        <v>2870.2767572725561</v>
      </c>
      <c r="G66" s="121">
        <f t="shared" si="4"/>
        <v>32151.610930612853</v>
      </c>
      <c r="H66" s="121">
        <f t="shared" si="5"/>
        <v>35021.887687885406</v>
      </c>
      <c r="I66" s="122">
        <f t="shared" si="12"/>
        <v>15702.102260373396</v>
      </c>
      <c r="J66" s="121">
        <f t="shared" si="6"/>
        <v>2135.4859074107817</v>
      </c>
      <c r="K66" s="121">
        <f t="shared" si="7"/>
        <v>26748.737034570397</v>
      </c>
      <c r="L66" s="121">
        <f t="shared" si="8"/>
        <v>28884.222941981177</v>
      </c>
      <c r="M66" s="121">
        <f t="shared" si="9"/>
        <v>1677351.4577390712</v>
      </c>
    </row>
    <row r="67" spans="1:13" x14ac:dyDescent="0.35">
      <c r="A67" s="80">
        <f t="shared" si="10"/>
        <v>37</v>
      </c>
      <c r="B67" s="120">
        <f t="shared" si="0"/>
        <v>37</v>
      </c>
      <c r="C67" s="121">
        <f t="shared" si="11"/>
        <v>1677351.4577390712</v>
      </c>
      <c r="D67" s="122">
        <f t="shared" si="1"/>
        <v>20966.893221738392</v>
      </c>
      <c r="E67" s="121">
        <f t="shared" si="2"/>
        <v>11184.717708874461</v>
      </c>
      <c r="F67" s="121">
        <f t="shared" si="3"/>
        <v>2851.4974781564215</v>
      </c>
      <c r="G67" s="121">
        <f t="shared" si="4"/>
        <v>32151.610930612853</v>
      </c>
      <c r="H67" s="121">
        <f t="shared" si="5"/>
        <v>35003.108408769273</v>
      </c>
      <c r="I67" s="122">
        <f t="shared" si="12"/>
        <v>15599.368556973363</v>
      </c>
      <c r="J67" s="121">
        <f t="shared" si="6"/>
        <v>2121.5141237483776</v>
      </c>
      <c r="K67" s="121">
        <f t="shared" si="7"/>
        <v>26784.086265847822</v>
      </c>
      <c r="L67" s="121">
        <f t="shared" si="8"/>
        <v>28905.600389596199</v>
      </c>
      <c r="M67" s="121">
        <f t="shared" si="9"/>
        <v>1666166.7400301967</v>
      </c>
    </row>
    <row r="68" spans="1:13" x14ac:dyDescent="0.35">
      <c r="A68" s="80">
        <f t="shared" si="10"/>
        <v>38</v>
      </c>
      <c r="B68" s="120">
        <f t="shared" si="0"/>
        <v>38</v>
      </c>
      <c r="C68" s="121">
        <f t="shared" si="11"/>
        <v>1666166.7400301967</v>
      </c>
      <c r="D68" s="122">
        <f t="shared" si="1"/>
        <v>20827.084250377462</v>
      </c>
      <c r="E68" s="121">
        <f t="shared" si="2"/>
        <v>11324.526680235391</v>
      </c>
      <c r="F68" s="121">
        <f t="shared" si="3"/>
        <v>2832.4834580513348</v>
      </c>
      <c r="G68" s="121">
        <f t="shared" si="4"/>
        <v>32151.610930612853</v>
      </c>
      <c r="H68" s="121">
        <f t="shared" si="5"/>
        <v>34984.094388664191</v>
      </c>
      <c r="I68" s="122">
        <f t="shared" si="12"/>
        <v>15495.350682280832</v>
      </c>
      <c r="J68" s="121">
        <f t="shared" si="6"/>
        <v>2107.3676927901929</v>
      </c>
      <c r="K68" s="121">
        <f t="shared" si="7"/>
        <v>26819.877362516221</v>
      </c>
      <c r="L68" s="121">
        <f t="shared" si="8"/>
        <v>28927.245055306415</v>
      </c>
      <c r="M68" s="121">
        <f t="shared" si="9"/>
        <v>1654842.2133499614</v>
      </c>
    </row>
    <row r="69" spans="1:13" x14ac:dyDescent="0.35">
      <c r="A69" s="80">
        <f t="shared" si="10"/>
        <v>39</v>
      </c>
      <c r="B69" s="120">
        <f t="shared" si="0"/>
        <v>39</v>
      </c>
      <c r="C69" s="121">
        <f t="shared" si="11"/>
        <v>1654842.2133499614</v>
      </c>
      <c r="D69" s="122">
        <f t="shared" si="1"/>
        <v>20685.527666874521</v>
      </c>
      <c r="E69" s="121">
        <f t="shared" si="2"/>
        <v>11466.083263738332</v>
      </c>
      <c r="F69" s="121">
        <f t="shared" si="3"/>
        <v>2813.2317626949348</v>
      </c>
      <c r="G69" s="121">
        <f t="shared" si="4"/>
        <v>32151.610930612853</v>
      </c>
      <c r="H69" s="121">
        <f t="shared" si="5"/>
        <v>34964.842693307786</v>
      </c>
      <c r="I69" s="122">
        <f t="shared" si="12"/>
        <v>15390.032584154644</v>
      </c>
      <c r="J69" s="121">
        <f t="shared" si="6"/>
        <v>2093.0444314450315</v>
      </c>
      <c r="K69" s="121">
        <f t="shared" si="7"/>
        <v>26856.115847892976</v>
      </c>
      <c r="L69" s="121">
        <f t="shared" si="8"/>
        <v>28949.160279338008</v>
      </c>
      <c r="M69" s="121">
        <f t="shared" si="9"/>
        <v>1643376.1300862231</v>
      </c>
    </row>
    <row r="70" spans="1:13" x14ac:dyDescent="0.35">
      <c r="A70" s="80">
        <f t="shared" si="10"/>
        <v>40</v>
      </c>
      <c r="B70" s="120">
        <f t="shared" si="0"/>
        <v>40</v>
      </c>
      <c r="C70" s="121">
        <f t="shared" si="11"/>
        <v>1643376.1300862231</v>
      </c>
      <c r="D70" s="122">
        <f t="shared" si="1"/>
        <v>20542.201626077789</v>
      </c>
      <c r="E70" s="121">
        <f t="shared" si="2"/>
        <v>11609.409304535064</v>
      </c>
      <c r="F70" s="121">
        <f t="shared" si="3"/>
        <v>2793.7394211465794</v>
      </c>
      <c r="G70" s="121">
        <f t="shared" si="4"/>
        <v>32151.610930612853</v>
      </c>
      <c r="H70" s="121">
        <f t="shared" si="5"/>
        <v>34945.350351759429</v>
      </c>
      <c r="I70" s="122">
        <f t="shared" si="12"/>
        <v>15283.398009801875</v>
      </c>
      <c r="J70" s="121">
        <f t="shared" si="6"/>
        <v>2078.5421293330551</v>
      </c>
      <c r="K70" s="121">
        <f t="shared" si="7"/>
        <v>26892.80731433694</v>
      </c>
      <c r="L70" s="121">
        <f t="shared" si="8"/>
        <v>28971.349443669995</v>
      </c>
      <c r="M70" s="121">
        <f t="shared" si="9"/>
        <v>1631766.7207816881</v>
      </c>
    </row>
    <row r="71" spans="1:13" x14ac:dyDescent="0.35">
      <c r="A71" s="80">
        <f t="shared" si="10"/>
        <v>41</v>
      </c>
      <c r="B71" s="120">
        <f t="shared" si="0"/>
        <v>41</v>
      </c>
      <c r="C71" s="121">
        <f t="shared" si="11"/>
        <v>1631766.7207816881</v>
      </c>
      <c r="D71" s="122">
        <f t="shared" si="1"/>
        <v>20397.084009771104</v>
      </c>
      <c r="E71" s="121">
        <f t="shared" si="2"/>
        <v>11754.526920841749</v>
      </c>
      <c r="F71" s="121">
        <f t="shared" si="3"/>
        <v>2774.00342532887</v>
      </c>
      <c r="G71" s="121">
        <f t="shared" si="4"/>
        <v>32151.610930612853</v>
      </c>
      <c r="H71" s="121">
        <f t="shared" si="5"/>
        <v>34925.614355941725</v>
      </c>
      <c r="I71" s="122">
        <f t="shared" si="12"/>
        <v>15175.430503269701</v>
      </c>
      <c r="J71" s="121">
        <f t="shared" si="6"/>
        <v>2063.8585484446794</v>
      </c>
      <c r="K71" s="121">
        <f t="shared" si="7"/>
        <v>26929.95742411145</v>
      </c>
      <c r="L71" s="121">
        <f t="shared" si="8"/>
        <v>28993.815972556127</v>
      </c>
      <c r="M71" s="121">
        <f t="shared" si="9"/>
        <v>1620012.1938608463</v>
      </c>
    </row>
    <row r="72" spans="1:13" x14ac:dyDescent="0.35">
      <c r="A72" s="80">
        <f t="shared" si="10"/>
        <v>42</v>
      </c>
      <c r="B72" s="120">
        <f t="shared" si="0"/>
        <v>42</v>
      </c>
      <c r="C72" s="121">
        <f t="shared" si="11"/>
        <v>1620012.1938608463</v>
      </c>
      <c r="D72" s="122">
        <f t="shared" si="1"/>
        <v>20250.152423260581</v>
      </c>
      <c r="E72" s="121">
        <f t="shared" si="2"/>
        <v>11901.458507352272</v>
      </c>
      <c r="F72" s="121">
        <f t="shared" si="3"/>
        <v>2754.0207295634391</v>
      </c>
      <c r="G72" s="121">
        <f t="shared" si="4"/>
        <v>32151.610930612853</v>
      </c>
      <c r="H72" s="121">
        <f t="shared" si="5"/>
        <v>34905.631660176296</v>
      </c>
      <c r="I72" s="122">
        <f t="shared" si="12"/>
        <v>15066.113402905872</v>
      </c>
      <c r="J72" s="121">
        <f t="shared" si="6"/>
        <v>2048.9914227951986</v>
      </c>
      <c r="K72" s="121">
        <f t="shared" si="7"/>
        <v>26967.571910258142</v>
      </c>
      <c r="L72" s="121">
        <f t="shared" si="8"/>
        <v>29016.563333053342</v>
      </c>
      <c r="M72" s="121">
        <f t="shared" si="9"/>
        <v>1608110.7353534941</v>
      </c>
    </row>
    <row r="73" spans="1:13" x14ac:dyDescent="0.35">
      <c r="A73" s="80">
        <f t="shared" si="10"/>
        <v>43</v>
      </c>
      <c r="B73" s="120">
        <f t="shared" si="0"/>
        <v>43</v>
      </c>
      <c r="C73" s="121">
        <f t="shared" si="11"/>
        <v>1608110.7353534941</v>
      </c>
      <c r="D73" s="122">
        <f t="shared" si="1"/>
        <v>20101.384191918678</v>
      </c>
      <c r="E73" s="121">
        <f t="shared" si="2"/>
        <v>12050.226738694175</v>
      </c>
      <c r="F73" s="121">
        <f t="shared" si="3"/>
        <v>2733.7882501009399</v>
      </c>
      <c r="G73" s="121">
        <f t="shared" si="4"/>
        <v>32151.610930612853</v>
      </c>
      <c r="H73" s="121">
        <f t="shared" si="5"/>
        <v>34885.399180713794</v>
      </c>
      <c r="I73" s="122">
        <f t="shared" si="12"/>
        <v>14955.429838787497</v>
      </c>
      <c r="J73" s="121">
        <f t="shared" si="6"/>
        <v>2033.9384580750993</v>
      </c>
      <c r="K73" s="121">
        <f t="shared" si="7"/>
        <v>27005.65657748167</v>
      </c>
      <c r="L73" s="121">
        <f t="shared" si="8"/>
        <v>29039.595035556769</v>
      </c>
      <c r="M73" s="121">
        <f t="shared" si="9"/>
        <v>1596060.5086147999</v>
      </c>
    </row>
    <row r="74" spans="1:13" x14ac:dyDescent="0.35">
      <c r="A74" s="80">
        <f t="shared" si="10"/>
        <v>44</v>
      </c>
      <c r="B74" s="120">
        <f t="shared" si="0"/>
        <v>44</v>
      </c>
      <c r="C74" s="121">
        <f t="shared" si="11"/>
        <v>1596060.5086147999</v>
      </c>
      <c r="D74" s="122">
        <f t="shared" si="1"/>
        <v>19950.756357685001</v>
      </c>
      <c r="E74" s="121">
        <f t="shared" si="2"/>
        <v>12200.854572927852</v>
      </c>
      <c r="F74" s="121">
        <f t="shared" si="3"/>
        <v>2713.3028646451603</v>
      </c>
      <c r="G74" s="121">
        <f t="shared" si="4"/>
        <v>32151.610930612853</v>
      </c>
      <c r="H74" s="121">
        <f t="shared" si="5"/>
        <v>34864.913795258013</v>
      </c>
      <c r="I74" s="122">
        <f t="shared" si="12"/>
        <v>14843.36273011764</v>
      </c>
      <c r="J74" s="121">
        <f t="shared" si="6"/>
        <v>2018.6973312959992</v>
      </c>
      <c r="K74" s="121">
        <f t="shared" si="7"/>
        <v>27044.217303045494</v>
      </c>
      <c r="L74" s="121">
        <f t="shared" si="8"/>
        <v>29062.914634341494</v>
      </c>
      <c r="M74" s="121">
        <f t="shared" si="9"/>
        <v>1583859.6540418721</v>
      </c>
    </row>
    <row r="75" spans="1:13" x14ac:dyDescent="0.35">
      <c r="A75" s="80">
        <f t="shared" si="10"/>
        <v>45</v>
      </c>
      <c r="B75" s="120">
        <f t="shared" si="0"/>
        <v>45</v>
      </c>
      <c r="C75" s="121">
        <f t="shared" si="11"/>
        <v>1583859.6540418721</v>
      </c>
      <c r="D75" s="122">
        <f t="shared" si="1"/>
        <v>19798.245675523402</v>
      </c>
      <c r="E75" s="121">
        <f t="shared" si="2"/>
        <v>12353.365255089451</v>
      </c>
      <c r="F75" s="121">
        <f t="shared" si="3"/>
        <v>2692.5614118711828</v>
      </c>
      <c r="G75" s="121">
        <f t="shared" si="4"/>
        <v>32151.610930612853</v>
      </c>
      <c r="H75" s="121">
        <f t="shared" si="5"/>
        <v>34844.172342484038</v>
      </c>
      <c r="I75" s="122">
        <f t="shared" si="12"/>
        <v>14729.89478258941</v>
      </c>
      <c r="J75" s="121">
        <f t="shared" si="6"/>
        <v>2003.26569043216</v>
      </c>
      <c r="K75" s="121">
        <f t="shared" si="7"/>
        <v>27083.260037678861</v>
      </c>
      <c r="L75" s="121">
        <f t="shared" si="8"/>
        <v>29086.525728111021</v>
      </c>
      <c r="M75" s="121">
        <f t="shared" si="9"/>
        <v>1571506.2887867827</v>
      </c>
    </row>
    <row r="76" spans="1:13" x14ac:dyDescent="0.35">
      <c r="A76" s="80">
        <f t="shared" si="10"/>
        <v>46</v>
      </c>
      <c r="B76" s="120">
        <f t="shared" si="0"/>
        <v>46</v>
      </c>
      <c r="C76" s="121">
        <f t="shared" si="11"/>
        <v>1571506.2887867827</v>
      </c>
      <c r="D76" s="122">
        <f t="shared" si="1"/>
        <v>19643.828609834785</v>
      </c>
      <c r="E76" s="121">
        <f t="shared" si="2"/>
        <v>12507.782320778068</v>
      </c>
      <c r="F76" s="121">
        <f t="shared" si="3"/>
        <v>2671.5606909375306</v>
      </c>
      <c r="G76" s="121">
        <f t="shared" si="4"/>
        <v>32151.610930612853</v>
      </c>
      <c r="H76" s="121">
        <f t="shared" si="5"/>
        <v>34823.171621550384</v>
      </c>
      <c r="I76" s="122">
        <f t="shared" si="12"/>
        <v>14615.00848571708</v>
      </c>
      <c r="J76" s="121">
        <f t="shared" si="6"/>
        <v>1987.6411540575227</v>
      </c>
      <c r="K76" s="121">
        <f t="shared" si="7"/>
        <v>27122.790806495148</v>
      </c>
      <c r="L76" s="121">
        <f t="shared" si="8"/>
        <v>29110.431960552669</v>
      </c>
      <c r="M76" s="121">
        <f t="shared" si="9"/>
        <v>1558998.5064660045</v>
      </c>
    </row>
    <row r="77" spans="1:13" x14ac:dyDescent="0.35">
      <c r="A77" s="80">
        <f t="shared" si="10"/>
        <v>47</v>
      </c>
      <c r="B77" s="120">
        <f t="shared" si="0"/>
        <v>47</v>
      </c>
      <c r="C77" s="121">
        <f t="shared" si="11"/>
        <v>1558998.5064660045</v>
      </c>
      <c r="D77" s="122">
        <f t="shared" si="1"/>
        <v>19487.481330825056</v>
      </c>
      <c r="E77" s="121">
        <f t="shared" si="2"/>
        <v>12664.129599787797</v>
      </c>
      <c r="F77" s="121">
        <f t="shared" si="3"/>
        <v>2650.297460992208</v>
      </c>
      <c r="G77" s="121">
        <f t="shared" si="4"/>
        <v>32151.610930612853</v>
      </c>
      <c r="H77" s="121">
        <f t="shared" si="5"/>
        <v>34801.908391605059</v>
      </c>
      <c r="I77" s="122">
        <f t="shared" si="12"/>
        <v>14498.686110133842</v>
      </c>
      <c r="J77" s="121">
        <f t="shared" si="6"/>
        <v>1971.8213109782027</v>
      </c>
      <c r="K77" s="121">
        <f t="shared" si="7"/>
        <v>27162.815709921641</v>
      </c>
      <c r="L77" s="121">
        <f t="shared" si="8"/>
        <v>29134.637020899841</v>
      </c>
      <c r="M77" s="121">
        <f t="shared" si="9"/>
        <v>1546334.3768662168</v>
      </c>
    </row>
    <row r="78" spans="1:13" x14ac:dyDescent="0.35">
      <c r="A78" s="80">
        <f t="shared" si="10"/>
        <v>48</v>
      </c>
      <c r="B78" s="120">
        <f t="shared" si="0"/>
        <v>48</v>
      </c>
      <c r="C78" s="121">
        <f t="shared" si="11"/>
        <v>1546334.3768662168</v>
      </c>
      <c r="D78" s="122">
        <f t="shared" si="1"/>
        <v>19329.17971082771</v>
      </c>
      <c r="E78" s="121">
        <f t="shared" si="2"/>
        <v>12822.431219785143</v>
      </c>
      <c r="F78" s="121">
        <f t="shared" si="3"/>
        <v>2628.7684406725689</v>
      </c>
      <c r="G78" s="121">
        <f t="shared" si="4"/>
        <v>32151.610930612853</v>
      </c>
      <c r="H78" s="121">
        <f t="shared" si="5"/>
        <v>34780.379371285424</v>
      </c>
      <c r="I78" s="122">
        <f t="shared" si="12"/>
        <v>14380.909704855816</v>
      </c>
      <c r="J78" s="121">
        <f t="shared" si="6"/>
        <v>1955.8037198603913</v>
      </c>
      <c r="K78" s="121">
        <f t="shared" si="7"/>
        <v>27203.340924640957</v>
      </c>
      <c r="L78" s="121">
        <f t="shared" si="8"/>
        <v>29159.14464450135</v>
      </c>
      <c r="M78" s="121">
        <f t="shared" si="9"/>
        <v>1533511.9456464315</v>
      </c>
    </row>
    <row r="79" spans="1:13" x14ac:dyDescent="0.35">
      <c r="A79" s="80">
        <f t="shared" si="10"/>
        <v>49</v>
      </c>
      <c r="B79" s="120">
        <f t="shared" si="0"/>
        <v>49</v>
      </c>
      <c r="C79" s="121">
        <f t="shared" si="11"/>
        <v>1533511.9456464315</v>
      </c>
      <c r="D79" s="122">
        <f t="shared" si="1"/>
        <v>19168.899320580396</v>
      </c>
      <c r="E79" s="121">
        <f t="shared" si="2"/>
        <v>12982.711610032457</v>
      </c>
      <c r="F79" s="121">
        <f t="shared" si="3"/>
        <v>2606.9703075989337</v>
      </c>
      <c r="G79" s="121">
        <f t="shared" si="4"/>
        <v>32151.610930612853</v>
      </c>
      <c r="H79" s="121">
        <f t="shared" si="5"/>
        <v>34758.581238211787</v>
      </c>
      <c r="I79" s="122">
        <f t="shared" si="12"/>
        <v>14261.661094511815</v>
      </c>
      <c r="J79" s="121">
        <f t="shared" si="6"/>
        <v>1939.5859088536067</v>
      </c>
      <c r="K79" s="121">
        <f t="shared" si="7"/>
        <v>27244.372704544272</v>
      </c>
      <c r="L79" s="121">
        <f t="shared" si="8"/>
        <v>29183.958613397877</v>
      </c>
      <c r="M79" s="121">
        <f t="shared" si="9"/>
        <v>1520529.2340363991</v>
      </c>
    </row>
    <row r="80" spans="1:13" x14ac:dyDescent="0.35">
      <c r="A80" s="80">
        <f t="shared" si="10"/>
        <v>50</v>
      </c>
      <c r="B80" s="120">
        <f t="shared" si="0"/>
        <v>50</v>
      </c>
      <c r="C80" s="121">
        <f t="shared" si="11"/>
        <v>1520529.2340363991</v>
      </c>
      <c r="D80" s="122">
        <f t="shared" si="1"/>
        <v>19006.615425454987</v>
      </c>
      <c r="E80" s="121">
        <f t="shared" si="2"/>
        <v>13144.995505157865</v>
      </c>
      <c r="F80" s="121">
        <f t="shared" si="3"/>
        <v>2584.8996978618784</v>
      </c>
      <c r="G80" s="121">
        <f t="shared" si="4"/>
        <v>32151.610930612853</v>
      </c>
      <c r="H80" s="121">
        <f t="shared" si="5"/>
        <v>34736.510628474731</v>
      </c>
      <c r="I80" s="122">
        <f t="shared" si="12"/>
        <v>14140.92187653851</v>
      </c>
      <c r="J80" s="121">
        <f t="shared" si="6"/>
        <v>1923.1653752092375</v>
      </c>
      <c r="K80" s="121">
        <f t="shared" si="7"/>
        <v>27285.917381696374</v>
      </c>
      <c r="L80" s="121">
        <f t="shared" si="8"/>
        <v>29209.082756905613</v>
      </c>
      <c r="M80" s="121">
        <f t="shared" si="9"/>
        <v>1507384.2385312412</v>
      </c>
    </row>
    <row r="81" spans="1:13" x14ac:dyDescent="0.35">
      <c r="A81" s="80">
        <f t="shared" si="10"/>
        <v>51</v>
      </c>
      <c r="B81" s="120">
        <f t="shared" si="0"/>
        <v>51</v>
      </c>
      <c r="C81" s="121">
        <f t="shared" si="11"/>
        <v>1507384.2385312412</v>
      </c>
      <c r="D81" s="122">
        <f t="shared" si="1"/>
        <v>18842.302981640514</v>
      </c>
      <c r="E81" s="121">
        <f t="shared" si="2"/>
        <v>13309.307948972339</v>
      </c>
      <c r="F81" s="121">
        <f t="shared" si="3"/>
        <v>2562.5532055031103</v>
      </c>
      <c r="G81" s="121">
        <f t="shared" si="4"/>
        <v>32151.610930612853</v>
      </c>
      <c r="H81" s="121">
        <f t="shared" si="5"/>
        <v>34714.164136115964</v>
      </c>
      <c r="I81" s="122">
        <f t="shared" si="12"/>
        <v>14018.673418340542</v>
      </c>
      <c r="J81" s="121">
        <f t="shared" si="6"/>
        <v>1906.539584894314</v>
      </c>
      <c r="K81" s="121">
        <f t="shared" si="7"/>
        <v>27327.981367312881</v>
      </c>
      <c r="L81" s="121">
        <f t="shared" si="8"/>
        <v>29234.520952207196</v>
      </c>
      <c r="M81" s="121">
        <f t="shared" si="9"/>
        <v>1494074.9305822689</v>
      </c>
    </row>
    <row r="82" spans="1:13" x14ac:dyDescent="0.35">
      <c r="A82" s="80">
        <f t="shared" si="10"/>
        <v>52</v>
      </c>
      <c r="B82" s="120">
        <f t="shared" si="0"/>
        <v>52</v>
      </c>
      <c r="C82" s="121">
        <f t="shared" si="11"/>
        <v>1494074.9305822689</v>
      </c>
      <c r="D82" s="122">
        <f t="shared" si="1"/>
        <v>18675.936632278361</v>
      </c>
      <c r="E82" s="121">
        <f t="shared" si="2"/>
        <v>13475.674298334492</v>
      </c>
      <c r="F82" s="121">
        <f t="shared" si="3"/>
        <v>2539.9273819898572</v>
      </c>
      <c r="G82" s="121">
        <f t="shared" si="4"/>
        <v>32151.610930612853</v>
      </c>
      <c r="H82" s="121">
        <f t="shared" si="5"/>
        <v>34691.538312602708</v>
      </c>
      <c r="I82" s="122">
        <f t="shared" si="12"/>
        <v>13894.896854415101</v>
      </c>
      <c r="J82" s="121">
        <f t="shared" si="6"/>
        <v>1889.7059722004537</v>
      </c>
      <c r="K82" s="121">
        <f t="shared" si="7"/>
        <v>27370.571152749595</v>
      </c>
      <c r="L82" s="121">
        <f t="shared" si="8"/>
        <v>29260.277124950047</v>
      </c>
      <c r="M82" s="121">
        <f t="shared" si="9"/>
        <v>1480599.2562839345</v>
      </c>
    </row>
    <row r="83" spans="1:13" x14ac:dyDescent="0.35">
      <c r="A83" s="80">
        <f t="shared" si="10"/>
        <v>53</v>
      </c>
      <c r="B83" s="120">
        <f t="shared" si="0"/>
        <v>53</v>
      </c>
      <c r="C83" s="121">
        <f t="shared" si="11"/>
        <v>1480599.2562839345</v>
      </c>
      <c r="D83" s="122">
        <f t="shared" si="1"/>
        <v>18507.490703549181</v>
      </c>
      <c r="E83" s="121">
        <f t="shared" si="2"/>
        <v>13644.120227063671</v>
      </c>
      <c r="F83" s="121">
        <f t="shared" si="3"/>
        <v>2517.0187356826887</v>
      </c>
      <c r="G83" s="121">
        <f t="shared" si="4"/>
        <v>32151.610930612853</v>
      </c>
      <c r="H83" s="121">
        <f t="shared" si="5"/>
        <v>34668.629666295543</v>
      </c>
      <c r="I83" s="122">
        <f t="shared" si="12"/>
        <v>13769.573083440591</v>
      </c>
      <c r="J83" s="121">
        <f t="shared" si="6"/>
        <v>1872.6619393479205</v>
      </c>
      <c r="K83" s="121">
        <f t="shared" si="7"/>
        <v>27413.693310504263</v>
      </c>
      <c r="L83" s="121">
        <f t="shared" si="8"/>
        <v>29286.355249852182</v>
      </c>
      <c r="M83" s="121">
        <f t="shared" si="9"/>
        <v>1466955.1360568707</v>
      </c>
    </row>
    <row r="84" spans="1:13" x14ac:dyDescent="0.35">
      <c r="A84" s="80">
        <f t="shared" si="10"/>
        <v>54</v>
      </c>
      <c r="B84" s="120">
        <f t="shared" si="0"/>
        <v>54</v>
      </c>
      <c r="C84" s="121">
        <f t="shared" si="11"/>
        <v>1466955.1360568707</v>
      </c>
      <c r="D84" s="122">
        <f t="shared" si="1"/>
        <v>18336.939200710884</v>
      </c>
      <c r="E84" s="121">
        <f t="shared" si="2"/>
        <v>13814.671729901969</v>
      </c>
      <c r="F84" s="121">
        <f t="shared" si="3"/>
        <v>2493.8237312966803</v>
      </c>
      <c r="G84" s="121">
        <f t="shared" si="4"/>
        <v>32151.610930612853</v>
      </c>
      <c r="H84" s="121">
        <f t="shared" si="5"/>
        <v>34645.43466190953</v>
      </c>
      <c r="I84" s="122">
        <f t="shared" si="12"/>
        <v>13642.682765328896</v>
      </c>
      <c r="J84" s="121">
        <f t="shared" si="6"/>
        <v>1855.4048560847302</v>
      </c>
      <c r="K84" s="121">
        <f t="shared" si="7"/>
        <v>27457.354495230866</v>
      </c>
      <c r="L84" s="121">
        <f t="shared" si="8"/>
        <v>29312.759351315595</v>
      </c>
      <c r="M84" s="121">
        <f t="shared" si="9"/>
        <v>1453140.4643269686</v>
      </c>
    </row>
    <row r="85" spans="1:13" x14ac:dyDescent="0.35">
      <c r="A85" s="80">
        <f t="shared" si="10"/>
        <v>55</v>
      </c>
      <c r="B85" s="120">
        <f t="shared" si="0"/>
        <v>55</v>
      </c>
      <c r="C85" s="121">
        <f t="shared" si="11"/>
        <v>1453140.4643269686</v>
      </c>
      <c r="D85" s="122">
        <f t="shared" si="1"/>
        <v>18164.255804087108</v>
      </c>
      <c r="E85" s="121">
        <f t="shared" si="2"/>
        <v>13987.355126525745</v>
      </c>
      <c r="F85" s="121">
        <f t="shared" si="3"/>
        <v>2470.338789355847</v>
      </c>
      <c r="G85" s="121">
        <f t="shared" si="4"/>
        <v>32151.610930612853</v>
      </c>
      <c r="H85" s="121">
        <f t="shared" si="5"/>
        <v>34621.949719968703</v>
      </c>
      <c r="I85" s="122">
        <f t="shared" si="12"/>
        <v>13514.206318240809</v>
      </c>
      <c r="J85" s="121">
        <f t="shared" si="6"/>
        <v>1837.9320592807501</v>
      </c>
      <c r="K85" s="121">
        <f t="shared" si="7"/>
        <v>27501.561444766554</v>
      </c>
      <c r="L85" s="121">
        <f t="shared" si="8"/>
        <v>29339.493504047303</v>
      </c>
      <c r="M85" s="121">
        <f t="shared" si="9"/>
        <v>1439153.1092004429</v>
      </c>
    </row>
    <row r="86" spans="1:13" x14ac:dyDescent="0.35">
      <c r="A86" s="80">
        <f t="shared" si="10"/>
        <v>56</v>
      </c>
      <c r="B86" s="120">
        <f t="shared" si="0"/>
        <v>56</v>
      </c>
      <c r="C86" s="121">
        <f t="shared" si="11"/>
        <v>1439153.1092004429</v>
      </c>
      <c r="D86" s="122">
        <f t="shared" si="1"/>
        <v>17989.413865005536</v>
      </c>
      <c r="E86" s="121">
        <f t="shared" si="2"/>
        <v>14162.197065607317</v>
      </c>
      <c r="F86" s="121">
        <f t="shared" si="3"/>
        <v>2446.5602856407531</v>
      </c>
      <c r="G86" s="121">
        <f t="shared" si="4"/>
        <v>32151.610930612853</v>
      </c>
      <c r="H86" s="121">
        <f t="shared" si="5"/>
        <v>34598.171216253606</v>
      </c>
      <c r="I86" s="122">
        <f t="shared" si="12"/>
        <v>13384.123915564118</v>
      </c>
      <c r="J86" s="121">
        <f t="shared" si="6"/>
        <v>1820.2408525167202</v>
      </c>
      <c r="K86" s="121">
        <f t="shared" si="7"/>
        <v>27546.320981171433</v>
      </c>
      <c r="L86" s="121">
        <f t="shared" si="8"/>
        <v>29366.561833688153</v>
      </c>
      <c r="M86" s="121">
        <f t="shared" si="9"/>
        <v>1424990.9121348355</v>
      </c>
    </row>
    <row r="87" spans="1:13" x14ac:dyDescent="0.35">
      <c r="A87" s="80">
        <f t="shared" si="10"/>
        <v>57</v>
      </c>
      <c r="B87" s="120">
        <f t="shared" si="0"/>
        <v>57</v>
      </c>
      <c r="C87" s="121">
        <f t="shared" si="11"/>
        <v>1424990.9121348355</v>
      </c>
      <c r="D87" s="122">
        <f t="shared" si="1"/>
        <v>17812.386401685446</v>
      </c>
      <c r="E87" s="121">
        <f t="shared" si="2"/>
        <v>14339.224528927407</v>
      </c>
      <c r="F87" s="121">
        <f t="shared" si="3"/>
        <v>2422.4845506292204</v>
      </c>
      <c r="G87" s="121">
        <f t="shared" si="4"/>
        <v>32151.610930612853</v>
      </c>
      <c r="H87" s="121">
        <f t="shared" si="5"/>
        <v>34574.095481242075</v>
      </c>
      <c r="I87" s="122">
        <f t="shared" si="12"/>
        <v>13252.415482853972</v>
      </c>
      <c r="J87" s="121">
        <f t="shared" si="6"/>
        <v>1802.32850566814</v>
      </c>
      <c r="K87" s="121">
        <f t="shared" si="7"/>
        <v>27591.640011781379</v>
      </c>
      <c r="L87" s="121">
        <f t="shared" si="8"/>
        <v>29393.968517449521</v>
      </c>
      <c r="M87" s="121">
        <f t="shared" si="9"/>
        <v>1410651.6876059081</v>
      </c>
    </row>
    <row r="88" spans="1:13" x14ac:dyDescent="0.35">
      <c r="A88" s="80">
        <f t="shared" si="10"/>
        <v>58</v>
      </c>
      <c r="B88" s="120">
        <f t="shared" si="0"/>
        <v>58</v>
      </c>
      <c r="C88" s="121">
        <f t="shared" si="11"/>
        <v>1410651.6876059081</v>
      </c>
      <c r="D88" s="122">
        <f t="shared" si="1"/>
        <v>17633.146095073851</v>
      </c>
      <c r="E88" s="121">
        <f t="shared" si="2"/>
        <v>14518.464835539002</v>
      </c>
      <c r="F88" s="121">
        <f t="shared" si="3"/>
        <v>2398.1078689300439</v>
      </c>
      <c r="G88" s="121">
        <f t="shared" si="4"/>
        <v>32151.610930612853</v>
      </c>
      <c r="H88" s="121">
        <f t="shared" si="5"/>
        <v>34549.718799542898</v>
      </c>
      <c r="I88" s="122">
        <f t="shared" si="12"/>
        <v>13119.060694734944</v>
      </c>
      <c r="J88" s="121">
        <f t="shared" si="6"/>
        <v>1784.1922544839526</v>
      </c>
      <c r="K88" s="121">
        <f t="shared" si="7"/>
        <v>27637.525530273946</v>
      </c>
      <c r="L88" s="121">
        <f t="shared" si="8"/>
        <v>29421.717784757901</v>
      </c>
      <c r="M88" s="121">
        <f t="shared" si="9"/>
        <v>1396133.2227703691</v>
      </c>
    </row>
    <row r="89" spans="1:13" x14ac:dyDescent="0.35">
      <c r="A89" s="80">
        <f t="shared" si="10"/>
        <v>59</v>
      </c>
      <c r="B89" s="120">
        <f t="shared" si="0"/>
        <v>59</v>
      </c>
      <c r="C89" s="121">
        <f t="shared" si="11"/>
        <v>1396133.2227703691</v>
      </c>
      <c r="D89" s="122">
        <f t="shared" si="1"/>
        <v>17451.665284629617</v>
      </c>
      <c r="E89" s="121">
        <f t="shared" si="2"/>
        <v>14699.945645983236</v>
      </c>
      <c r="F89" s="121">
        <f t="shared" si="3"/>
        <v>2373.4264787096276</v>
      </c>
      <c r="G89" s="121">
        <f t="shared" si="4"/>
        <v>32151.610930612853</v>
      </c>
      <c r="H89" s="121">
        <f t="shared" si="5"/>
        <v>34525.037409322482</v>
      </c>
      <c r="I89" s="122">
        <f t="shared" si="12"/>
        <v>12984.038971764434</v>
      </c>
      <c r="J89" s="121">
        <f t="shared" si="6"/>
        <v>1765.8293001599629</v>
      </c>
      <c r="K89" s="121">
        <f t="shared" si="7"/>
        <v>27683.984617747672</v>
      </c>
      <c r="L89" s="121">
        <f t="shared" si="8"/>
        <v>29449.813917907635</v>
      </c>
      <c r="M89" s="121">
        <f t="shared" si="9"/>
        <v>1381433.2771243858</v>
      </c>
    </row>
    <row r="90" spans="1:13" x14ac:dyDescent="0.35">
      <c r="A90" s="80">
        <f t="shared" si="10"/>
        <v>60</v>
      </c>
      <c r="B90" s="120">
        <f t="shared" si="0"/>
        <v>60</v>
      </c>
      <c r="C90" s="121">
        <f t="shared" si="11"/>
        <v>1381433.2771243858</v>
      </c>
      <c r="D90" s="122">
        <f t="shared" si="1"/>
        <v>17267.915964054824</v>
      </c>
      <c r="E90" s="121">
        <f t="shared" si="2"/>
        <v>14883.694966558029</v>
      </c>
      <c r="F90" s="121">
        <f t="shared" si="3"/>
        <v>2348.436571111456</v>
      </c>
      <c r="G90" s="121">
        <f t="shared" si="4"/>
        <v>32151.610930612853</v>
      </c>
      <c r="H90" s="121">
        <f t="shared" si="5"/>
        <v>34500.047501724308</v>
      </c>
      <c r="I90" s="122">
        <f t="shared" si="12"/>
        <v>12847.32947725679</v>
      </c>
      <c r="J90" s="121">
        <f t="shared" si="6"/>
        <v>1747.2368089069232</v>
      </c>
      <c r="K90" s="121">
        <f t="shared" si="7"/>
        <v>27731.024443814818</v>
      </c>
      <c r="L90" s="121">
        <f t="shared" si="8"/>
        <v>29478.261252721742</v>
      </c>
      <c r="M90" s="121">
        <f t="shared" si="9"/>
        <v>1366549.5821578277</v>
      </c>
    </row>
    <row r="91" spans="1:13" x14ac:dyDescent="0.35">
      <c r="A91" s="80">
        <f t="shared" si="10"/>
        <v>61</v>
      </c>
      <c r="B91" s="120">
        <f t="shared" si="0"/>
        <v>61</v>
      </c>
      <c r="C91" s="121">
        <f t="shared" si="11"/>
        <v>1366549.5821578277</v>
      </c>
      <c r="D91" s="122">
        <f t="shared" si="1"/>
        <v>17081.869776972846</v>
      </c>
      <c r="E91" s="121">
        <f t="shared" si="2"/>
        <v>15069.741153640007</v>
      </c>
      <c r="F91" s="121">
        <f t="shared" si="3"/>
        <v>2323.1342896683072</v>
      </c>
      <c r="G91" s="121">
        <f t="shared" si="4"/>
        <v>32151.610930612853</v>
      </c>
      <c r="H91" s="121">
        <f t="shared" si="5"/>
        <v>34474.745220281162</v>
      </c>
      <c r="I91" s="122">
        <f t="shared" si="12"/>
        <v>12708.911114067798</v>
      </c>
      <c r="J91" s="121">
        <f t="shared" si="6"/>
        <v>1728.4119115132205</v>
      </c>
      <c r="K91" s="121">
        <f t="shared" si="7"/>
        <v>27778.652267707803</v>
      </c>
      <c r="L91" s="121">
        <f t="shared" si="8"/>
        <v>29507.064179221023</v>
      </c>
      <c r="M91" s="121">
        <f t="shared" si="9"/>
        <v>1351479.8410041877</v>
      </c>
    </row>
    <row r="92" spans="1:13" x14ac:dyDescent="0.35">
      <c r="A92" s="80">
        <f t="shared" si="10"/>
        <v>62</v>
      </c>
      <c r="B92" s="120">
        <f t="shared" si="0"/>
        <v>62</v>
      </c>
      <c r="C92" s="121">
        <f t="shared" si="11"/>
        <v>1351479.8410041877</v>
      </c>
      <c r="D92" s="122">
        <f t="shared" si="1"/>
        <v>16893.498012552347</v>
      </c>
      <c r="E92" s="121">
        <f t="shared" si="2"/>
        <v>15258.112918060506</v>
      </c>
      <c r="F92" s="121">
        <f t="shared" si="3"/>
        <v>2297.5157297071191</v>
      </c>
      <c r="G92" s="121">
        <f t="shared" si="4"/>
        <v>32151.610930612853</v>
      </c>
      <c r="H92" s="121">
        <f t="shared" si="5"/>
        <v>34449.126660319969</v>
      </c>
      <c r="I92" s="122">
        <f t="shared" si="12"/>
        <v>12568.762521338946</v>
      </c>
      <c r="J92" s="121">
        <f t="shared" si="6"/>
        <v>1709.3517029020966</v>
      </c>
      <c r="K92" s="121">
        <f t="shared" si="7"/>
        <v>27826.875439399453</v>
      </c>
      <c r="L92" s="121">
        <f t="shared" si="8"/>
        <v>29536.227142301548</v>
      </c>
      <c r="M92" s="121">
        <f t="shared" si="9"/>
        <v>1336221.7280861272</v>
      </c>
    </row>
    <row r="93" spans="1:13" x14ac:dyDescent="0.35">
      <c r="A93" s="80">
        <f t="shared" si="10"/>
        <v>63</v>
      </c>
      <c r="B93" s="120">
        <f t="shared" si="0"/>
        <v>63</v>
      </c>
      <c r="C93" s="121">
        <f t="shared" si="11"/>
        <v>1336221.7280861272</v>
      </c>
      <c r="D93" s="122">
        <f t="shared" si="1"/>
        <v>16702.771601076591</v>
      </c>
      <c r="E93" s="121">
        <f t="shared" si="2"/>
        <v>15448.839329536262</v>
      </c>
      <c r="F93" s="121">
        <f t="shared" si="3"/>
        <v>2271.5769377464162</v>
      </c>
      <c r="G93" s="121">
        <f t="shared" si="4"/>
        <v>32151.610930612853</v>
      </c>
      <c r="H93" s="121">
        <f t="shared" si="5"/>
        <v>34423.187868359266</v>
      </c>
      <c r="I93" s="122">
        <f t="shared" si="12"/>
        <v>12426.862071200983</v>
      </c>
      <c r="J93" s="121">
        <f t="shared" si="6"/>
        <v>1690.0532416833337</v>
      </c>
      <c r="K93" s="121">
        <f t="shared" si="7"/>
        <v>27875.701400737245</v>
      </c>
      <c r="L93" s="121">
        <f t="shared" si="8"/>
        <v>29565.754642420579</v>
      </c>
      <c r="M93" s="121">
        <f t="shared" si="9"/>
        <v>1320772.8887565909</v>
      </c>
    </row>
    <row r="94" spans="1:13" x14ac:dyDescent="0.35">
      <c r="A94" s="80">
        <f t="shared" si="10"/>
        <v>64</v>
      </c>
      <c r="B94" s="120">
        <f t="shared" si="0"/>
        <v>64</v>
      </c>
      <c r="C94" s="121">
        <f t="shared" si="11"/>
        <v>1320772.8887565909</v>
      </c>
      <c r="D94" s="122">
        <f t="shared" si="1"/>
        <v>16509.661109457385</v>
      </c>
      <c r="E94" s="121">
        <f t="shared" si="2"/>
        <v>15641.949821155467</v>
      </c>
      <c r="F94" s="121">
        <f t="shared" si="3"/>
        <v>2245.3139108862047</v>
      </c>
      <c r="G94" s="121">
        <f t="shared" si="4"/>
        <v>32151.610930612853</v>
      </c>
      <c r="H94" s="121">
        <f t="shared" si="5"/>
        <v>34396.924841499058</v>
      </c>
      <c r="I94" s="122">
        <f t="shared" si="12"/>
        <v>12283.187865436295</v>
      </c>
      <c r="J94" s="121">
        <f t="shared" si="6"/>
        <v>1670.5135496993362</v>
      </c>
      <c r="K94" s="121">
        <f t="shared" si="7"/>
        <v>27925.137686591763</v>
      </c>
      <c r="L94" s="121">
        <f t="shared" si="8"/>
        <v>29595.651236291098</v>
      </c>
      <c r="M94" s="121">
        <f t="shared" si="9"/>
        <v>1305130.9389354354</v>
      </c>
    </row>
    <row r="95" spans="1:13" x14ac:dyDescent="0.35">
      <c r="A95" s="80">
        <f t="shared" si="10"/>
        <v>65</v>
      </c>
      <c r="B95" s="120">
        <f t="shared" ref="B95:B158" si="13">IF(A95&lt;=$F$11,A95,"")</f>
        <v>65</v>
      </c>
      <c r="C95" s="121">
        <f t="shared" si="11"/>
        <v>1305130.9389354354</v>
      </c>
      <c r="D95" s="122">
        <f t="shared" ref="D95:D158" si="14">IF(B95&lt;=$F$11,(C95*$F$13),"")</f>
        <v>16314.136736692943</v>
      </c>
      <c r="E95" s="121">
        <f t="shared" ref="E95:E158" si="15">IF(B95&lt;=$F$12,0,IF(B95&lt;=$F$11,(-$F$16-D95),""))</f>
        <v>15837.47419391991</v>
      </c>
      <c r="F95" s="121">
        <f t="shared" ref="F95:F158" si="16">IF(B95&lt;=$F$11,(($F$20*$F$2)+($F$19*$F$2)+(C95*$F$18)+($F$17*C95)),"")</f>
        <v>2218.7225961902404</v>
      </c>
      <c r="G95" s="121">
        <f t="shared" ref="G95:G158" si="17">IF(B95&lt;=$F$11,(D95+E95),"")</f>
        <v>32151.610930612853</v>
      </c>
      <c r="H95" s="121">
        <f t="shared" ref="H95:H158" si="18">IF(B95&lt;=$F$11,(F95+G95),"")</f>
        <v>34370.333526803093</v>
      </c>
      <c r="I95" s="122">
        <f t="shared" si="12"/>
        <v>12137.717732099549</v>
      </c>
      <c r="J95" s="121">
        <f t="shared" ref="J95:J158" si="19">IF(B95&lt;=$F$11,(($F$20*$F$2*(1-$F$10))+($F$19*$F$2)+((C95*$F$18)*(1-$F$10))+(($F$17*C95))),"")</f>
        <v>1650.7296115655388</v>
      </c>
      <c r="K95" s="121">
        <f t="shared" ref="K95:K158" si="20">IF(B95&lt;=$F$11,(E95+I95),"")</f>
        <v>27975.191926019459</v>
      </c>
      <c r="L95" s="121">
        <f t="shared" ref="L95:L158" si="21">IF(B95&lt;=$F$11,(J95+K95),"")</f>
        <v>29625.921537584996</v>
      </c>
      <c r="M95" s="121">
        <f t="shared" ref="M95:M158" si="22">IF(B95&lt;=$F$11,(C95-E95),IF(B95&gt;$F$11,"",0))</f>
        <v>1289293.4647415155</v>
      </c>
    </row>
    <row r="96" spans="1:13" x14ac:dyDescent="0.35">
      <c r="A96" s="80">
        <f t="shared" ref="A96:A159" si="23">A95+1</f>
        <v>66</v>
      </c>
      <c r="B96" s="120">
        <f t="shared" si="13"/>
        <v>66</v>
      </c>
      <c r="C96" s="121">
        <f t="shared" ref="C96:C159" si="24">IF(M95=0,"",M95)</f>
        <v>1289293.4647415155</v>
      </c>
      <c r="D96" s="122">
        <f t="shared" si="14"/>
        <v>16116.168309268944</v>
      </c>
      <c r="E96" s="121">
        <f t="shared" si="15"/>
        <v>16035.442621343909</v>
      </c>
      <c r="F96" s="121">
        <f t="shared" si="16"/>
        <v>2191.7988900605765</v>
      </c>
      <c r="G96" s="121">
        <f t="shared" si="17"/>
        <v>32151.610930612853</v>
      </c>
      <c r="H96" s="121">
        <f t="shared" si="18"/>
        <v>34343.409820673427</v>
      </c>
      <c r="I96" s="122">
        <f t="shared" ref="I96:I159" si="25">IF(B96&lt;=$F$11,(C96*$F$13)*(1-$F$10),"")</f>
        <v>11990.429222096094</v>
      </c>
      <c r="J96" s="121">
        <f t="shared" si="19"/>
        <v>1630.6983742050688</v>
      </c>
      <c r="K96" s="121">
        <f t="shared" si="20"/>
        <v>28025.871843440003</v>
      </c>
      <c r="L96" s="121">
        <f t="shared" si="21"/>
        <v>29656.570217645072</v>
      </c>
      <c r="M96" s="121">
        <f t="shared" si="22"/>
        <v>1273258.0221201715</v>
      </c>
    </row>
    <row r="97" spans="1:13" x14ac:dyDescent="0.35">
      <c r="A97" s="80">
        <f t="shared" si="23"/>
        <v>67</v>
      </c>
      <c r="B97" s="120">
        <f t="shared" si="13"/>
        <v>67</v>
      </c>
      <c r="C97" s="121">
        <f t="shared" si="24"/>
        <v>1273258.0221201715</v>
      </c>
      <c r="D97" s="122">
        <f t="shared" si="14"/>
        <v>15915.725276502144</v>
      </c>
      <c r="E97" s="121">
        <f t="shared" si="15"/>
        <v>16235.885654110709</v>
      </c>
      <c r="F97" s="121">
        <f t="shared" si="16"/>
        <v>2164.5386376042916</v>
      </c>
      <c r="G97" s="121">
        <f t="shared" si="17"/>
        <v>32151.610930612853</v>
      </c>
      <c r="H97" s="121">
        <f t="shared" si="18"/>
        <v>34316.149568217144</v>
      </c>
      <c r="I97" s="122">
        <f t="shared" si="25"/>
        <v>11841.299605717595</v>
      </c>
      <c r="J97" s="121">
        <f t="shared" si="19"/>
        <v>1610.416746377593</v>
      </c>
      <c r="K97" s="121">
        <f t="shared" si="20"/>
        <v>28077.185259828304</v>
      </c>
      <c r="L97" s="121">
        <f t="shared" si="21"/>
        <v>29687.602006205896</v>
      </c>
      <c r="M97" s="121">
        <f t="shared" si="22"/>
        <v>1257022.1364660608</v>
      </c>
    </row>
    <row r="98" spans="1:13" x14ac:dyDescent="0.35">
      <c r="A98" s="80">
        <f t="shared" si="23"/>
        <v>68</v>
      </c>
      <c r="B98" s="120">
        <f t="shared" si="13"/>
        <v>68</v>
      </c>
      <c r="C98" s="121">
        <f t="shared" si="24"/>
        <v>1257022.1364660608</v>
      </c>
      <c r="D98" s="122">
        <f t="shared" si="14"/>
        <v>15712.77670582576</v>
      </c>
      <c r="E98" s="121">
        <f t="shared" si="15"/>
        <v>16438.834224787093</v>
      </c>
      <c r="F98" s="121">
        <f t="shared" si="16"/>
        <v>2136.9376319923035</v>
      </c>
      <c r="G98" s="121">
        <f t="shared" si="17"/>
        <v>32151.610930612853</v>
      </c>
      <c r="H98" s="121">
        <f t="shared" si="18"/>
        <v>34288.54856260516</v>
      </c>
      <c r="I98" s="122">
        <f t="shared" si="25"/>
        <v>11690.305869134365</v>
      </c>
      <c r="J98" s="121">
        <f t="shared" si="19"/>
        <v>1589.8815982022738</v>
      </c>
      <c r="K98" s="121">
        <f t="shared" si="20"/>
        <v>28129.140093921458</v>
      </c>
      <c r="L98" s="121">
        <f t="shared" si="21"/>
        <v>29719.021692123733</v>
      </c>
      <c r="M98" s="121">
        <f t="shared" si="22"/>
        <v>1240583.3022412737</v>
      </c>
    </row>
    <row r="99" spans="1:13" x14ac:dyDescent="0.35">
      <c r="A99" s="80">
        <f t="shared" si="23"/>
        <v>69</v>
      </c>
      <c r="B99" s="120">
        <f t="shared" si="13"/>
        <v>69</v>
      </c>
      <c r="C99" s="121">
        <f t="shared" si="24"/>
        <v>1240583.3022412737</v>
      </c>
      <c r="D99" s="122">
        <f t="shared" si="14"/>
        <v>15507.291278015922</v>
      </c>
      <c r="E99" s="121">
        <f t="shared" si="15"/>
        <v>16644.319652596932</v>
      </c>
      <c r="F99" s="121">
        <f t="shared" si="16"/>
        <v>2108.9916138101653</v>
      </c>
      <c r="G99" s="121">
        <f t="shared" si="17"/>
        <v>32151.610930612856</v>
      </c>
      <c r="H99" s="121">
        <f t="shared" si="18"/>
        <v>34260.602544423018</v>
      </c>
      <c r="I99" s="122">
        <f t="shared" si="25"/>
        <v>11537.424710843847</v>
      </c>
      <c r="J99" s="121">
        <f t="shared" si="19"/>
        <v>1569.0897606747631</v>
      </c>
      <c r="K99" s="121">
        <f t="shared" si="20"/>
        <v>28181.744363440779</v>
      </c>
      <c r="L99" s="121">
        <f t="shared" si="21"/>
        <v>29750.834124115543</v>
      </c>
      <c r="M99" s="121">
        <f t="shared" si="22"/>
        <v>1223938.9825886767</v>
      </c>
    </row>
    <row r="100" spans="1:13" x14ac:dyDescent="0.35">
      <c r="A100" s="80">
        <f t="shared" si="23"/>
        <v>70</v>
      </c>
      <c r="B100" s="120">
        <f t="shared" si="13"/>
        <v>70</v>
      </c>
      <c r="C100" s="121">
        <f t="shared" si="24"/>
        <v>1223938.9825886767</v>
      </c>
      <c r="D100" s="122">
        <f t="shared" si="14"/>
        <v>15299.237282358459</v>
      </c>
      <c r="E100" s="121">
        <f t="shared" si="15"/>
        <v>16852.373648254394</v>
      </c>
      <c r="F100" s="121">
        <f t="shared" si="16"/>
        <v>2080.6962704007506</v>
      </c>
      <c r="G100" s="121">
        <f t="shared" si="17"/>
        <v>32151.610930612853</v>
      </c>
      <c r="H100" s="121">
        <f t="shared" si="18"/>
        <v>34232.307201013602</v>
      </c>
      <c r="I100" s="122">
        <f t="shared" si="25"/>
        <v>11382.632538074693</v>
      </c>
      <c r="J100" s="121">
        <f t="shared" si="19"/>
        <v>1548.0380251781585</v>
      </c>
      <c r="K100" s="121">
        <f t="shared" si="20"/>
        <v>28235.006186329087</v>
      </c>
      <c r="L100" s="121">
        <f t="shared" si="21"/>
        <v>29783.044211507244</v>
      </c>
      <c r="M100" s="121">
        <f t="shared" si="22"/>
        <v>1207086.6089404223</v>
      </c>
    </row>
    <row r="101" spans="1:13" x14ac:dyDescent="0.35">
      <c r="A101" s="80">
        <f t="shared" si="23"/>
        <v>71</v>
      </c>
      <c r="B101" s="120">
        <f t="shared" si="13"/>
        <v>71</v>
      </c>
      <c r="C101" s="121">
        <f t="shared" si="24"/>
        <v>1207086.6089404223</v>
      </c>
      <c r="D101" s="122">
        <f t="shared" si="14"/>
        <v>15088.582611755279</v>
      </c>
      <c r="E101" s="121">
        <f t="shared" si="15"/>
        <v>17063.028318857574</v>
      </c>
      <c r="F101" s="121">
        <f t="shared" si="16"/>
        <v>2052.0472351987182</v>
      </c>
      <c r="G101" s="121">
        <f t="shared" si="17"/>
        <v>32151.610930612853</v>
      </c>
      <c r="H101" s="121">
        <f t="shared" si="18"/>
        <v>34203.658165811568</v>
      </c>
      <c r="I101" s="122">
        <f t="shared" si="25"/>
        <v>11225.905463145928</v>
      </c>
      <c r="J101" s="121">
        <f t="shared" si="19"/>
        <v>1526.7231429878464</v>
      </c>
      <c r="K101" s="121">
        <f t="shared" si="20"/>
        <v>28288.9337820035</v>
      </c>
      <c r="L101" s="121">
        <f t="shared" si="21"/>
        <v>29815.656924991345</v>
      </c>
      <c r="M101" s="121">
        <f t="shared" si="22"/>
        <v>1190023.5806215648</v>
      </c>
    </row>
    <row r="102" spans="1:13" x14ac:dyDescent="0.35">
      <c r="A102" s="80">
        <f t="shared" si="23"/>
        <v>72</v>
      </c>
      <c r="B102" s="120">
        <f t="shared" si="13"/>
        <v>72</v>
      </c>
      <c r="C102" s="121">
        <f t="shared" si="24"/>
        <v>1190023.5806215648</v>
      </c>
      <c r="D102" s="122">
        <f t="shared" si="14"/>
        <v>14875.29475776956</v>
      </c>
      <c r="E102" s="121">
        <f t="shared" si="15"/>
        <v>17276.316172843293</v>
      </c>
      <c r="F102" s="121">
        <f t="shared" si="16"/>
        <v>2023.0400870566602</v>
      </c>
      <c r="G102" s="121">
        <f t="shared" si="17"/>
        <v>32151.610930612853</v>
      </c>
      <c r="H102" s="121">
        <f t="shared" si="18"/>
        <v>34174.651017669516</v>
      </c>
      <c r="I102" s="122">
        <f t="shared" si="25"/>
        <v>11067.219299780552</v>
      </c>
      <c r="J102" s="121">
        <f t="shared" si="19"/>
        <v>1505.1418247701552</v>
      </c>
      <c r="K102" s="121">
        <f t="shared" si="20"/>
        <v>28343.535472623844</v>
      </c>
      <c r="L102" s="121">
        <f t="shared" si="21"/>
        <v>29848.677297393999</v>
      </c>
      <c r="M102" s="121">
        <f t="shared" si="22"/>
        <v>1172747.2644487214</v>
      </c>
    </row>
    <row r="103" spans="1:13" x14ac:dyDescent="0.35">
      <c r="A103" s="80">
        <f t="shared" si="23"/>
        <v>73</v>
      </c>
      <c r="B103" s="120">
        <f t="shared" si="13"/>
        <v>73</v>
      </c>
      <c r="C103" s="121">
        <f t="shared" si="24"/>
        <v>1172747.2644487214</v>
      </c>
      <c r="D103" s="122">
        <f t="shared" si="14"/>
        <v>14659.340805609019</v>
      </c>
      <c r="E103" s="121">
        <f t="shared" si="15"/>
        <v>17492.270125003834</v>
      </c>
      <c r="F103" s="121">
        <f t="shared" si="16"/>
        <v>1993.6703495628265</v>
      </c>
      <c r="G103" s="121">
        <f t="shared" si="17"/>
        <v>32151.610930612853</v>
      </c>
      <c r="H103" s="121">
        <f t="shared" si="18"/>
        <v>34145.281280175681</v>
      </c>
      <c r="I103" s="122">
        <f t="shared" si="25"/>
        <v>10906.54955937311</v>
      </c>
      <c r="J103" s="121">
        <f t="shared" si="19"/>
        <v>1483.2907400747429</v>
      </c>
      <c r="K103" s="121">
        <f t="shared" si="20"/>
        <v>28398.819684376944</v>
      </c>
      <c r="L103" s="121">
        <f t="shared" si="21"/>
        <v>29882.110424451686</v>
      </c>
      <c r="M103" s="121">
        <f t="shared" si="22"/>
        <v>1155254.9943237177</v>
      </c>
    </row>
    <row r="104" spans="1:13" x14ac:dyDescent="0.35">
      <c r="A104" s="80">
        <f t="shared" si="23"/>
        <v>74</v>
      </c>
      <c r="B104" s="120">
        <f t="shared" si="13"/>
        <v>74</v>
      </c>
      <c r="C104" s="121">
        <f t="shared" si="24"/>
        <v>1155254.9943237177</v>
      </c>
      <c r="D104" s="122">
        <f t="shared" si="14"/>
        <v>14440.687429046471</v>
      </c>
      <c r="E104" s="121">
        <f t="shared" si="15"/>
        <v>17710.92350156638</v>
      </c>
      <c r="F104" s="121">
        <f t="shared" si="16"/>
        <v>1963.9334903503202</v>
      </c>
      <c r="G104" s="121">
        <f t="shared" si="17"/>
        <v>32151.610930612849</v>
      </c>
      <c r="H104" s="121">
        <f t="shared" si="18"/>
        <v>34115.544420963168</v>
      </c>
      <c r="I104" s="122">
        <f t="shared" si="25"/>
        <v>10743.871447210575</v>
      </c>
      <c r="J104" s="121">
        <f t="shared" si="19"/>
        <v>1461.1665168206382</v>
      </c>
      <c r="K104" s="121">
        <f t="shared" si="20"/>
        <v>28454.794948776955</v>
      </c>
      <c r="L104" s="121">
        <f t="shared" si="21"/>
        <v>29915.961465597593</v>
      </c>
      <c r="M104" s="121">
        <f t="shared" si="22"/>
        <v>1137544.0708221514</v>
      </c>
    </row>
    <row r="105" spans="1:13" x14ac:dyDescent="0.35">
      <c r="A105" s="80">
        <f t="shared" si="23"/>
        <v>75</v>
      </c>
      <c r="B105" s="120">
        <f t="shared" si="13"/>
        <v>75</v>
      </c>
      <c r="C105" s="121">
        <f t="shared" si="24"/>
        <v>1137544.0708221514</v>
      </c>
      <c r="D105" s="122">
        <f t="shared" si="14"/>
        <v>14219.300885276893</v>
      </c>
      <c r="E105" s="121">
        <f t="shared" si="15"/>
        <v>17932.310045335958</v>
      </c>
      <c r="F105" s="121">
        <f t="shared" si="16"/>
        <v>1933.8249203976575</v>
      </c>
      <c r="G105" s="121">
        <f t="shared" si="17"/>
        <v>32151.610930612849</v>
      </c>
      <c r="H105" s="121">
        <f t="shared" si="18"/>
        <v>34085.435851010508</v>
      </c>
      <c r="I105" s="122">
        <f t="shared" si="25"/>
        <v>10579.159858646008</v>
      </c>
      <c r="J105" s="121">
        <f t="shared" si="19"/>
        <v>1438.7657407758572</v>
      </c>
      <c r="K105" s="121">
        <f t="shared" si="20"/>
        <v>28511.469903981968</v>
      </c>
      <c r="L105" s="121">
        <f t="shared" si="21"/>
        <v>29950.235644757824</v>
      </c>
      <c r="M105" s="121">
        <f t="shared" si="22"/>
        <v>1119611.7607768155</v>
      </c>
    </row>
    <row r="106" spans="1:13" x14ac:dyDescent="0.35">
      <c r="A106" s="80">
        <f t="shared" si="23"/>
        <v>76</v>
      </c>
      <c r="B106" s="120">
        <f t="shared" si="13"/>
        <v>76</v>
      </c>
      <c r="C106" s="121">
        <f t="shared" si="24"/>
        <v>1119611.7607768155</v>
      </c>
      <c r="D106" s="122">
        <f t="shared" si="14"/>
        <v>13995.147009710194</v>
      </c>
      <c r="E106" s="121">
        <f t="shared" si="15"/>
        <v>18156.463920902657</v>
      </c>
      <c r="F106" s="121">
        <f t="shared" si="16"/>
        <v>1903.3399933205865</v>
      </c>
      <c r="G106" s="121">
        <f t="shared" si="17"/>
        <v>32151.610930612849</v>
      </c>
      <c r="H106" s="121">
        <f t="shared" si="18"/>
        <v>34054.950923933437</v>
      </c>
      <c r="I106" s="122">
        <f t="shared" si="25"/>
        <v>10412.389375224384</v>
      </c>
      <c r="J106" s="121">
        <f t="shared" si="19"/>
        <v>1416.0849550305163</v>
      </c>
      <c r="K106" s="121">
        <f t="shared" si="20"/>
        <v>28568.853296127039</v>
      </c>
      <c r="L106" s="121">
        <f t="shared" si="21"/>
        <v>29984.938251157557</v>
      </c>
      <c r="M106" s="121">
        <f t="shared" si="22"/>
        <v>1101455.2968559128</v>
      </c>
    </row>
    <row r="107" spans="1:13" x14ac:dyDescent="0.35">
      <c r="A107" s="80">
        <f t="shared" si="23"/>
        <v>77</v>
      </c>
      <c r="B107" s="120">
        <f t="shared" si="13"/>
        <v>77</v>
      </c>
      <c r="C107" s="121">
        <f t="shared" si="24"/>
        <v>1101455.2968559128</v>
      </c>
      <c r="D107" s="122">
        <f t="shared" si="14"/>
        <v>13768.191210698911</v>
      </c>
      <c r="E107" s="121">
        <f t="shared" si="15"/>
        <v>18383.419719913942</v>
      </c>
      <c r="F107" s="121">
        <f t="shared" si="16"/>
        <v>1872.4740046550519</v>
      </c>
      <c r="G107" s="121">
        <f t="shared" si="17"/>
        <v>32151.610930612853</v>
      </c>
      <c r="H107" s="121">
        <f t="shared" si="18"/>
        <v>34024.084935267907</v>
      </c>
      <c r="I107" s="122">
        <f t="shared" si="25"/>
        <v>10243.534260759991</v>
      </c>
      <c r="J107" s="121">
        <f t="shared" si="19"/>
        <v>1393.1206594633586</v>
      </c>
      <c r="K107" s="121">
        <f t="shared" si="20"/>
        <v>28626.953980673934</v>
      </c>
      <c r="L107" s="121">
        <f t="shared" si="21"/>
        <v>30020.074640137293</v>
      </c>
      <c r="M107" s="121">
        <f t="shared" si="22"/>
        <v>1083071.8771359988</v>
      </c>
    </row>
    <row r="108" spans="1:13" x14ac:dyDescent="0.35">
      <c r="A108" s="80">
        <f t="shared" si="23"/>
        <v>78</v>
      </c>
      <c r="B108" s="120">
        <f t="shared" si="13"/>
        <v>78</v>
      </c>
      <c r="C108" s="121">
        <f t="shared" si="24"/>
        <v>1083071.8771359988</v>
      </c>
      <c r="D108" s="122">
        <f t="shared" si="14"/>
        <v>13538.398464199985</v>
      </c>
      <c r="E108" s="121">
        <f t="shared" si="15"/>
        <v>18613.212466412868</v>
      </c>
      <c r="F108" s="121">
        <f t="shared" si="16"/>
        <v>1841.2221911311981</v>
      </c>
      <c r="G108" s="121">
        <f t="shared" si="17"/>
        <v>32151.610930612853</v>
      </c>
      <c r="H108" s="121">
        <f t="shared" si="18"/>
        <v>33992.83312174405</v>
      </c>
      <c r="I108" s="122">
        <f t="shared" si="25"/>
        <v>10072.568457364789</v>
      </c>
      <c r="J108" s="121">
        <f t="shared" si="19"/>
        <v>1369.8693102016114</v>
      </c>
      <c r="K108" s="121">
        <f t="shared" si="20"/>
        <v>28685.780923777656</v>
      </c>
      <c r="L108" s="121">
        <f t="shared" si="21"/>
        <v>30055.650233979268</v>
      </c>
      <c r="M108" s="121">
        <f t="shared" si="22"/>
        <v>1064458.6646695859</v>
      </c>
    </row>
    <row r="109" spans="1:13" x14ac:dyDescent="0.35">
      <c r="A109" s="80">
        <f t="shared" si="23"/>
        <v>79</v>
      </c>
      <c r="B109" s="120">
        <f t="shared" si="13"/>
        <v>79</v>
      </c>
      <c r="C109" s="121">
        <f t="shared" si="24"/>
        <v>1064458.6646695859</v>
      </c>
      <c r="D109" s="122">
        <f t="shared" si="14"/>
        <v>13305.733308369825</v>
      </c>
      <c r="E109" s="121">
        <f t="shared" si="15"/>
        <v>18845.877622243028</v>
      </c>
      <c r="F109" s="121">
        <f t="shared" si="16"/>
        <v>1809.5797299382962</v>
      </c>
      <c r="G109" s="121">
        <f t="shared" si="17"/>
        <v>32151.610930612853</v>
      </c>
      <c r="H109" s="121">
        <f t="shared" si="18"/>
        <v>33961.190660551147</v>
      </c>
      <c r="I109" s="122">
        <f t="shared" si="25"/>
        <v>9899.46558142715</v>
      </c>
      <c r="J109" s="121">
        <f t="shared" si="19"/>
        <v>1346.3273190740924</v>
      </c>
      <c r="K109" s="121">
        <f t="shared" si="20"/>
        <v>28745.343203670178</v>
      </c>
      <c r="L109" s="121">
        <f t="shared" si="21"/>
        <v>30091.670522744269</v>
      </c>
      <c r="M109" s="121">
        <f t="shared" si="22"/>
        <v>1045612.7870473429</v>
      </c>
    </row>
    <row r="110" spans="1:13" x14ac:dyDescent="0.35">
      <c r="A110" s="80">
        <f t="shared" si="23"/>
        <v>80</v>
      </c>
      <c r="B110" s="120">
        <f t="shared" si="13"/>
        <v>80</v>
      </c>
      <c r="C110" s="121">
        <f t="shared" si="24"/>
        <v>1045612.7870473429</v>
      </c>
      <c r="D110" s="122">
        <f t="shared" si="14"/>
        <v>13070.159838091786</v>
      </c>
      <c r="E110" s="121">
        <f t="shared" si="15"/>
        <v>19081.451092521067</v>
      </c>
      <c r="F110" s="121">
        <f t="shared" si="16"/>
        <v>1777.541737980483</v>
      </c>
      <c r="G110" s="121">
        <f t="shared" si="17"/>
        <v>32151.610930612853</v>
      </c>
      <c r="H110" s="121">
        <f t="shared" si="18"/>
        <v>33929.152668593335</v>
      </c>
      <c r="I110" s="122">
        <f t="shared" si="25"/>
        <v>9724.1989195402894</v>
      </c>
      <c r="J110" s="121">
        <f t="shared" si="19"/>
        <v>1322.4910530574793</v>
      </c>
      <c r="K110" s="121">
        <f t="shared" si="20"/>
        <v>28805.650012061356</v>
      </c>
      <c r="L110" s="121">
        <f t="shared" si="21"/>
        <v>30128.141065118834</v>
      </c>
      <c r="M110" s="121">
        <f t="shared" si="22"/>
        <v>1026531.3359548218</v>
      </c>
    </row>
    <row r="111" spans="1:13" x14ac:dyDescent="0.35">
      <c r="A111" s="80">
        <f t="shared" si="23"/>
        <v>81</v>
      </c>
      <c r="B111" s="120">
        <f t="shared" si="13"/>
        <v>81</v>
      </c>
      <c r="C111" s="121">
        <f t="shared" si="24"/>
        <v>1026531.3359548218</v>
      </c>
      <c r="D111" s="122">
        <f t="shared" si="14"/>
        <v>12831.641699435273</v>
      </c>
      <c r="E111" s="121">
        <f t="shared" si="15"/>
        <v>19319.96923117758</v>
      </c>
      <c r="F111" s="121">
        <f t="shared" si="16"/>
        <v>1745.1032711231971</v>
      </c>
      <c r="G111" s="121">
        <f t="shared" si="17"/>
        <v>32151.610930612853</v>
      </c>
      <c r="H111" s="121">
        <f t="shared" si="18"/>
        <v>33896.714201736053</v>
      </c>
      <c r="I111" s="122">
        <f t="shared" si="25"/>
        <v>9546.741424379843</v>
      </c>
      <c r="J111" s="121">
        <f t="shared" si="19"/>
        <v>1298.3568337156587</v>
      </c>
      <c r="K111" s="121">
        <f t="shared" si="20"/>
        <v>28866.710655557421</v>
      </c>
      <c r="L111" s="121">
        <f t="shared" si="21"/>
        <v>30165.067489273079</v>
      </c>
      <c r="M111" s="121">
        <f t="shared" si="22"/>
        <v>1007211.3667236442</v>
      </c>
    </row>
    <row r="112" spans="1:13" x14ac:dyDescent="0.35">
      <c r="A112" s="80">
        <f t="shared" si="23"/>
        <v>82</v>
      </c>
      <c r="B112" s="120">
        <f t="shared" si="13"/>
        <v>82</v>
      </c>
      <c r="C112" s="121">
        <f t="shared" si="24"/>
        <v>1007211.3667236442</v>
      </c>
      <c r="D112" s="122">
        <f t="shared" si="14"/>
        <v>12590.142084045554</v>
      </c>
      <c r="E112" s="121">
        <f t="shared" si="15"/>
        <v>19561.468846567299</v>
      </c>
      <c r="F112" s="121">
        <f t="shared" si="16"/>
        <v>1712.2593234301953</v>
      </c>
      <c r="G112" s="121">
        <f t="shared" si="17"/>
        <v>32151.610930612853</v>
      </c>
      <c r="H112" s="121">
        <f t="shared" si="18"/>
        <v>33863.870254043046</v>
      </c>
      <c r="I112" s="122">
        <f t="shared" si="25"/>
        <v>9367.0657105298924</v>
      </c>
      <c r="J112" s="121">
        <f t="shared" si="19"/>
        <v>1273.9209366320654</v>
      </c>
      <c r="K112" s="121">
        <f t="shared" si="20"/>
        <v>28928.534557097191</v>
      </c>
      <c r="L112" s="121">
        <f t="shared" si="21"/>
        <v>30202.455493729256</v>
      </c>
      <c r="M112" s="121">
        <f t="shared" si="22"/>
        <v>987649.89787707687</v>
      </c>
    </row>
    <row r="113" spans="1:13" x14ac:dyDescent="0.35">
      <c r="A113" s="80">
        <f t="shared" si="23"/>
        <v>83</v>
      </c>
      <c r="B113" s="120">
        <f t="shared" si="13"/>
        <v>83</v>
      </c>
      <c r="C113" s="121">
        <f t="shared" si="24"/>
        <v>987649.89787707687</v>
      </c>
      <c r="D113" s="122">
        <f t="shared" si="14"/>
        <v>12345.623723463461</v>
      </c>
      <c r="E113" s="121">
        <f t="shared" si="15"/>
        <v>19805.987207149392</v>
      </c>
      <c r="F113" s="121">
        <f t="shared" si="16"/>
        <v>1679.0048263910307</v>
      </c>
      <c r="G113" s="121">
        <f t="shared" si="17"/>
        <v>32151.610930612853</v>
      </c>
      <c r="H113" s="121">
        <f t="shared" si="18"/>
        <v>33830.615757003885</v>
      </c>
      <c r="I113" s="122">
        <f t="shared" si="25"/>
        <v>9185.1440502568148</v>
      </c>
      <c r="J113" s="121">
        <f t="shared" si="19"/>
        <v>1249.1795908349268</v>
      </c>
      <c r="K113" s="121">
        <f t="shared" si="20"/>
        <v>28991.131257406207</v>
      </c>
      <c r="L113" s="121">
        <f t="shared" si="21"/>
        <v>30240.310848241133</v>
      </c>
      <c r="M113" s="121">
        <f t="shared" si="22"/>
        <v>967843.91066992749</v>
      </c>
    </row>
    <row r="114" spans="1:13" x14ac:dyDescent="0.35">
      <c r="A114" s="80">
        <f t="shared" si="23"/>
        <v>84</v>
      </c>
      <c r="B114" s="120">
        <f t="shared" si="13"/>
        <v>84</v>
      </c>
      <c r="C114" s="121">
        <f t="shared" si="24"/>
        <v>967843.91066992749</v>
      </c>
      <c r="D114" s="122">
        <f t="shared" si="14"/>
        <v>12098.048883374095</v>
      </c>
      <c r="E114" s="121">
        <f t="shared" si="15"/>
        <v>20053.56204723876</v>
      </c>
      <c r="F114" s="121">
        <f t="shared" si="16"/>
        <v>1645.3346481388769</v>
      </c>
      <c r="G114" s="121">
        <f t="shared" si="17"/>
        <v>32151.610930612856</v>
      </c>
      <c r="H114" s="121">
        <f t="shared" si="18"/>
        <v>33796.945578751736</v>
      </c>
      <c r="I114" s="122">
        <f t="shared" si="25"/>
        <v>9000.9483692303256</v>
      </c>
      <c r="J114" s="121">
        <f t="shared" si="19"/>
        <v>1224.1289782153244</v>
      </c>
      <c r="K114" s="121">
        <f t="shared" si="20"/>
        <v>29054.510416469086</v>
      </c>
      <c r="L114" s="121">
        <f t="shared" si="21"/>
        <v>30278.639394684411</v>
      </c>
      <c r="M114" s="121">
        <f t="shared" si="22"/>
        <v>947790.34862268867</v>
      </c>
    </row>
    <row r="115" spans="1:13" x14ac:dyDescent="0.35">
      <c r="A115" s="80">
        <f t="shared" si="23"/>
        <v>85</v>
      </c>
      <c r="B115" s="120">
        <f t="shared" si="13"/>
        <v>85</v>
      </c>
      <c r="C115" s="121">
        <f t="shared" si="24"/>
        <v>947790.34862268867</v>
      </c>
      <c r="D115" s="122">
        <f t="shared" si="14"/>
        <v>11847.37935778361</v>
      </c>
      <c r="E115" s="121">
        <f t="shared" si="15"/>
        <v>20304.231572829245</v>
      </c>
      <c r="F115" s="121">
        <f t="shared" si="16"/>
        <v>1611.2435926585708</v>
      </c>
      <c r="G115" s="121">
        <f t="shared" si="17"/>
        <v>32151.610930612856</v>
      </c>
      <c r="H115" s="121">
        <f t="shared" si="18"/>
        <v>33762.854523271424</v>
      </c>
      <c r="I115" s="122">
        <f t="shared" si="25"/>
        <v>8814.4502421910056</v>
      </c>
      <c r="J115" s="121">
        <f t="shared" si="19"/>
        <v>1198.7652329379766</v>
      </c>
      <c r="K115" s="121">
        <f t="shared" si="20"/>
        <v>29118.681815020253</v>
      </c>
      <c r="L115" s="121">
        <f t="shared" si="21"/>
        <v>30317.447047958231</v>
      </c>
      <c r="M115" s="121">
        <f t="shared" si="22"/>
        <v>927486.11704985937</v>
      </c>
    </row>
    <row r="116" spans="1:13" x14ac:dyDescent="0.35">
      <c r="A116" s="80">
        <f t="shared" si="23"/>
        <v>86</v>
      </c>
      <c r="B116" s="120">
        <f t="shared" si="13"/>
        <v>86</v>
      </c>
      <c r="C116" s="121">
        <f t="shared" si="24"/>
        <v>927486.11704985937</v>
      </c>
      <c r="D116" s="122">
        <f t="shared" si="14"/>
        <v>11593.576463123243</v>
      </c>
      <c r="E116" s="121">
        <f t="shared" si="15"/>
        <v>20558.034467489611</v>
      </c>
      <c r="F116" s="121">
        <f t="shared" si="16"/>
        <v>1576.7263989847611</v>
      </c>
      <c r="G116" s="121">
        <f t="shared" si="17"/>
        <v>32151.610930612856</v>
      </c>
      <c r="H116" s="121">
        <f t="shared" si="18"/>
        <v>33728.33732959762</v>
      </c>
      <c r="I116" s="122">
        <f t="shared" si="25"/>
        <v>8625.6208885636934</v>
      </c>
      <c r="J116" s="121">
        <f t="shared" si="19"/>
        <v>1173.0844408446621</v>
      </c>
      <c r="K116" s="121">
        <f t="shared" si="20"/>
        <v>29183.655356053307</v>
      </c>
      <c r="L116" s="121">
        <f t="shared" si="21"/>
        <v>30356.739796897968</v>
      </c>
      <c r="M116" s="121">
        <f t="shared" si="22"/>
        <v>906928.0825823698</v>
      </c>
    </row>
    <row r="117" spans="1:13" x14ac:dyDescent="0.35">
      <c r="A117" s="80">
        <f t="shared" si="23"/>
        <v>87</v>
      </c>
      <c r="B117" s="120">
        <f t="shared" si="13"/>
        <v>87</v>
      </c>
      <c r="C117" s="121">
        <f t="shared" si="24"/>
        <v>906928.0825823698</v>
      </c>
      <c r="D117" s="122">
        <f t="shared" si="14"/>
        <v>11336.601032279623</v>
      </c>
      <c r="E117" s="121">
        <f t="shared" si="15"/>
        <v>20815.009898333228</v>
      </c>
      <c r="F117" s="121">
        <f t="shared" si="16"/>
        <v>1541.7777403900288</v>
      </c>
      <c r="G117" s="121">
        <f t="shared" si="17"/>
        <v>32151.610930612849</v>
      </c>
      <c r="H117" s="121">
        <f t="shared" si="18"/>
        <v>33693.388671002875</v>
      </c>
      <c r="I117" s="122">
        <f t="shared" si="25"/>
        <v>8434.431168016039</v>
      </c>
      <c r="J117" s="121">
        <f t="shared" si="19"/>
        <v>1147.0826388501814</v>
      </c>
      <c r="K117" s="121">
        <f t="shared" si="20"/>
        <v>29249.441066349267</v>
      </c>
      <c r="L117" s="121">
        <f t="shared" si="21"/>
        <v>30396.523705199448</v>
      </c>
      <c r="M117" s="121">
        <f t="shared" si="22"/>
        <v>886113.07268403657</v>
      </c>
    </row>
    <row r="118" spans="1:13" x14ac:dyDescent="0.35">
      <c r="A118" s="80">
        <f t="shared" si="23"/>
        <v>88</v>
      </c>
      <c r="B118" s="120">
        <f t="shared" si="13"/>
        <v>88</v>
      </c>
      <c r="C118" s="121">
        <f t="shared" si="24"/>
        <v>886113.07268403657</v>
      </c>
      <c r="D118" s="122">
        <f t="shared" si="14"/>
        <v>11076.413408550457</v>
      </c>
      <c r="E118" s="121">
        <f t="shared" si="15"/>
        <v>21075.197522062394</v>
      </c>
      <c r="F118" s="121">
        <f t="shared" si="16"/>
        <v>1506.3922235628622</v>
      </c>
      <c r="G118" s="121">
        <f t="shared" si="17"/>
        <v>32151.610930612849</v>
      </c>
      <c r="H118" s="121">
        <f t="shared" si="18"/>
        <v>33658.003154175713</v>
      </c>
      <c r="I118" s="122">
        <f t="shared" si="25"/>
        <v>8240.8515759615402</v>
      </c>
      <c r="J118" s="121">
        <f t="shared" si="19"/>
        <v>1120.7558143307695</v>
      </c>
      <c r="K118" s="121">
        <f t="shared" si="20"/>
        <v>29316.049098023934</v>
      </c>
      <c r="L118" s="121">
        <f t="shared" si="21"/>
        <v>30436.804912354703</v>
      </c>
      <c r="M118" s="121">
        <f t="shared" si="22"/>
        <v>865037.87516197423</v>
      </c>
    </row>
    <row r="119" spans="1:13" x14ac:dyDescent="0.35">
      <c r="A119" s="80">
        <f t="shared" si="23"/>
        <v>89</v>
      </c>
      <c r="B119" s="120">
        <f t="shared" si="13"/>
        <v>89</v>
      </c>
      <c r="C119" s="121">
        <f t="shared" si="24"/>
        <v>865037.87516197423</v>
      </c>
      <c r="D119" s="122">
        <f t="shared" si="14"/>
        <v>10812.973439524678</v>
      </c>
      <c r="E119" s="121">
        <f t="shared" si="15"/>
        <v>21338.637491088175</v>
      </c>
      <c r="F119" s="121">
        <f t="shared" si="16"/>
        <v>1470.5643877753562</v>
      </c>
      <c r="G119" s="121">
        <f t="shared" si="17"/>
        <v>32151.610930612853</v>
      </c>
      <c r="H119" s="121">
        <f t="shared" si="18"/>
        <v>33622.17531838821</v>
      </c>
      <c r="I119" s="122">
        <f t="shared" si="25"/>
        <v>8044.8522390063599</v>
      </c>
      <c r="J119" s="121">
        <f t="shared" si="19"/>
        <v>1094.099904504865</v>
      </c>
      <c r="K119" s="121">
        <f t="shared" si="20"/>
        <v>29383.489730094534</v>
      </c>
      <c r="L119" s="121">
        <f t="shared" si="21"/>
        <v>30477.589634599401</v>
      </c>
      <c r="M119" s="121">
        <f t="shared" si="22"/>
        <v>843699.2376708861</v>
      </c>
    </row>
    <row r="120" spans="1:13" x14ac:dyDescent="0.35">
      <c r="A120" s="80">
        <f t="shared" si="23"/>
        <v>90</v>
      </c>
      <c r="B120" s="120">
        <f t="shared" si="13"/>
        <v>90</v>
      </c>
      <c r="C120" s="121">
        <f t="shared" si="24"/>
        <v>843699.2376708861</v>
      </c>
      <c r="D120" s="122">
        <f t="shared" si="14"/>
        <v>10546.240470886078</v>
      </c>
      <c r="E120" s="121">
        <f t="shared" si="15"/>
        <v>21605.370459726775</v>
      </c>
      <c r="F120" s="121">
        <f t="shared" si="16"/>
        <v>1434.2887040405064</v>
      </c>
      <c r="G120" s="121">
        <f t="shared" si="17"/>
        <v>32151.610930612853</v>
      </c>
      <c r="H120" s="121">
        <f t="shared" si="18"/>
        <v>33585.89963465336</v>
      </c>
      <c r="I120" s="122">
        <f t="shared" si="25"/>
        <v>7846.4029103392413</v>
      </c>
      <c r="J120" s="121">
        <f t="shared" si="19"/>
        <v>1067.1107958061368</v>
      </c>
      <c r="K120" s="121">
        <f t="shared" si="20"/>
        <v>29451.773370066017</v>
      </c>
      <c r="L120" s="121">
        <f t="shared" si="21"/>
        <v>30518.884165872154</v>
      </c>
      <c r="M120" s="121">
        <f t="shared" si="22"/>
        <v>822093.86721115932</v>
      </c>
    </row>
    <row r="121" spans="1:13" x14ac:dyDescent="0.35">
      <c r="A121" s="80">
        <f t="shared" si="23"/>
        <v>91</v>
      </c>
      <c r="B121" s="120">
        <f t="shared" si="13"/>
        <v>91</v>
      </c>
      <c r="C121" s="121">
        <f t="shared" si="24"/>
        <v>822093.86721115932</v>
      </c>
      <c r="D121" s="122">
        <f t="shared" si="14"/>
        <v>10276.173340139492</v>
      </c>
      <c r="E121" s="121">
        <f t="shared" si="15"/>
        <v>21875.437590473361</v>
      </c>
      <c r="F121" s="121">
        <f t="shared" si="16"/>
        <v>1397.559574258971</v>
      </c>
      <c r="G121" s="121">
        <f t="shared" si="17"/>
        <v>32151.610930612853</v>
      </c>
      <c r="H121" s="121">
        <f t="shared" si="18"/>
        <v>33549.170504871821</v>
      </c>
      <c r="I121" s="122">
        <f t="shared" si="25"/>
        <v>7645.4729650637819</v>
      </c>
      <c r="J121" s="121">
        <f t="shared" si="19"/>
        <v>1039.7843232486744</v>
      </c>
      <c r="K121" s="121">
        <f t="shared" si="20"/>
        <v>29520.910555537142</v>
      </c>
      <c r="L121" s="121">
        <f t="shared" si="21"/>
        <v>30560.694878785816</v>
      </c>
      <c r="M121" s="121">
        <f t="shared" si="22"/>
        <v>800218.42962068599</v>
      </c>
    </row>
    <row r="122" spans="1:13" x14ac:dyDescent="0.35">
      <c r="A122" s="80">
        <f t="shared" si="23"/>
        <v>92</v>
      </c>
      <c r="B122" s="120">
        <f t="shared" si="13"/>
        <v>92</v>
      </c>
      <c r="C122" s="121">
        <f t="shared" si="24"/>
        <v>800218.42962068599</v>
      </c>
      <c r="D122" s="122">
        <f t="shared" si="14"/>
        <v>10002.730370258576</v>
      </c>
      <c r="E122" s="121">
        <f t="shared" si="15"/>
        <v>22148.880560354279</v>
      </c>
      <c r="F122" s="121">
        <f t="shared" si="16"/>
        <v>1360.3713303551663</v>
      </c>
      <c r="G122" s="121">
        <f t="shared" si="17"/>
        <v>32151.610930612856</v>
      </c>
      <c r="H122" s="121">
        <f t="shared" si="18"/>
        <v>33511.98226096802</v>
      </c>
      <c r="I122" s="122">
        <f t="shared" si="25"/>
        <v>7442.0313954723806</v>
      </c>
      <c r="J122" s="121">
        <f t="shared" si="19"/>
        <v>1012.1162697842437</v>
      </c>
      <c r="K122" s="121">
        <f t="shared" si="20"/>
        <v>29590.911955826661</v>
      </c>
      <c r="L122" s="121">
        <f t="shared" si="21"/>
        <v>30603.028225610906</v>
      </c>
      <c r="M122" s="121">
        <f t="shared" si="22"/>
        <v>778069.54906033166</v>
      </c>
    </row>
    <row r="123" spans="1:13" x14ac:dyDescent="0.35">
      <c r="A123" s="80">
        <f t="shared" si="23"/>
        <v>93</v>
      </c>
      <c r="B123" s="120">
        <f t="shared" si="13"/>
        <v>93</v>
      </c>
      <c r="C123" s="121">
        <f t="shared" si="24"/>
        <v>778069.54906033166</v>
      </c>
      <c r="D123" s="122">
        <f t="shared" si="14"/>
        <v>9725.8693632541454</v>
      </c>
      <c r="E123" s="121">
        <f t="shared" si="15"/>
        <v>22425.741567358709</v>
      </c>
      <c r="F123" s="121">
        <f t="shared" si="16"/>
        <v>1322.718233402564</v>
      </c>
      <c r="G123" s="121">
        <f t="shared" si="17"/>
        <v>32151.610930612856</v>
      </c>
      <c r="H123" s="121">
        <f t="shared" si="18"/>
        <v>33474.32916401542</v>
      </c>
      <c r="I123" s="122">
        <f t="shared" si="25"/>
        <v>7236.0468062610844</v>
      </c>
      <c r="J123" s="121">
        <f t="shared" si="19"/>
        <v>984.10236565150763</v>
      </c>
      <c r="K123" s="121">
        <f t="shared" si="20"/>
        <v>29661.788373619795</v>
      </c>
      <c r="L123" s="121">
        <f t="shared" si="21"/>
        <v>30645.890739271301</v>
      </c>
      <c r="M123" s="121">
        <f t="shared" si="22"/>
        <v>755643.80749297293</v>
      </c>
    </row>
    <row r="124" spans="1:13" x14ac:dyDescent="0.35">
      <c r="A124" s="80">
        <f t="shared" si="23"/>
        <v>94</v>
      </c>
      <c r="B124" s="120">
        <f t="shared" si="13"/>
        <v>94</v>
      </c>
      <c r="C124" s="121">
        <f t="shared" si="24"/>
        <v>755643.80749297293</v>
      </c>
      <c r="D124" s="122">
        <f t="shared" si="14"/>
        <v>9445.5475936621624</v>
      </c>
      <c r="E124" s="121">
        <f t="shared" si="15"/>
        <v>22706.06333695069</v>
      </c>
      <c r="F124" s="121">
        <f t="shared" si="16"/>
        <v>1284.594472738054</v>
      </c>
      <c r="G124" s="121">
        <f t="shared" si="17"/>
        <v>32151.610930612853</v>
      </c>
      <c r="H124" s="121">
        <f t="shared" si="18"/>
        <v>33436.205403350905</v>
      </c>
      <c r="I124" s="122">
        <f t="shared" si="25"/>
        <v>7027.4874096846488</v>
      </c>
      <c r="J124" s="121">
        <f t="shared" si="19"/>
        <v>955.73828771711214</v>
      </c>
      <c r="K124" s="121">
        <f t="shared" si="20"/>
        <v>29733.550746635337</v>
      </c>
      <c r="L124" s="121">
        <f t="shared" si="21"/>
        <v>30689.289034352449</v>
      </c>
      <c r="M124" s="121">
        <f t="shared" si="22"/>
        <v>732937.74415602221</v>
      </c>
    </row>
    <row r="125" spans="1:13" x14ac:dyDescent="0.35">
      <c r="A125" s="80">
        <f t="shared" si="23"/>
        <v>95</v>
      </c>
      <c r="B125" s="120">
        <f t="shared" si="13"/>
        <v>95</v>
      </c>
      <c r="C125" s="121">
        <f t="shared" si="24"/>
        <v>732937.74415602221</v>
      </c>
      <c r="D125" s="122">
        <f t="shared" si="14"/>
        <v>9161.7218019502779</v>
      </c>
      <c r="E125" s="121">
        <f t="shared" si="15"/>
        <v>22989.889128662573</v>
      </c>
      <c r="F125" s="121">
        <f t="shared" si="16"/>
        <v>1245.9941650652379</v>
      </c>
      <c r="G125" s="121">
        <f t="shared" si="17"/>
        <v>32151.610930612849</v>
      </c>
      <c r="H125" s="121">
        <f t="shared" si="18"/>
        <v>33397.605095678089</v>
      </c>
      <c r="I125" s="122">
        <f t="shared" si="25"/>
        <v>6816.3210206510066</v>
      </c>
      <c r="J125" s="121">
        <f t="shared" si="19"/>
        <v>927.01965880853697</v>
      </c>
      <c r="K125" s="121">
        <f t="shared" si="20"/>
        <v>29806.210149313578</v>
      </c>
      <c r="L125" s="121">
        <f t="shared" si="21"/>
        <v>30733.229808122116</v>
      </c>
      <c r="M125" s="121">
        <f t="shared" si="22"/>
        <v>709947.85502735968</v>
      </c>
    </row>
    <row r="126" spans="1:13" x14ac:dyDescent="0.35">
      <c r="A126" s="80">
        <f t="shared" si="23"/>
        <v>96</v>
      </c>
      <c r="B126" s="120">
        <f t="shared" si="13"/>
        <v>96</v>
      </c>
      <c r="C126" s="121">
        <f t="shared" si="24"/>
        <v>709947.85502735968</v>
      </c>
      <c r="D126" s="122">
        <f t="shared" si="14"/>
        <v>8874.3481878419971</v>
      </c>
      <c r="E126" s="121">
        <f t="shared" si="15"/>
        <v>23277.262742770858</v>
      </c>
      <c r="F126" s="121">
        <f t="shared" si="16"/>
        <v>1206.9113535465115</v>
      </c>
      <c r="G126" s="121">
        <f t="shared" si="17"/>
        <v>32151.610930612856</v>
      </c>
      <c r="H126" s="121">
        <f t="shared" si="18"/>
        <v>33358.522284159371</v>
      </c>
      <c r="I126" s="122">
        <f t="shared" si="25"/>
        <v>6602.5150517544462</v>
      </c>
      <c r="J126" s="121">
        <f t="shared" si="19"/>
        <v>897.94204703860453</v>
      </c>
      <c r="K126" s="121">
        <f t="shared" si="20"/>
        <v>29879.777794525304</v>
      </c>
      <c r="L126" s="121">
        <f t="shared" si="21"/>
        <v>30777.719841563907</v>
      </c>
      <c r="M126" s="121">
        <f t="shared" si="22"/>
        <v>686670.59228458884</v>
      </c>
    </row>
    <row r="127" spans="1:13" x14ac:dyDescent="0.35">
      <c r="A127" s="80">
        <f t="shared" si="23"/>
        <v>97</v>
      </c>
      <c r="B127" s="120">
        <f t="shared" si="13"/>
        <v>97</v>
      </c>
      <c r="C127" s="121">
        <f t="shared" si="24"/>
        <v>686670.59228458884</v>
      </c>
      <c r="D127" s="122">
        <f t="shared" si="14"/>
        <v>8583.3824035573616</v>
      </c>
      <c r="E127" s="121">
        <f t="shared" si="15"/>
        <v>23568.228527055493</v>
      </c>
      <c r="F127" s="121">
        <f t="shared" si="16"/>
        <v>1167.3400068838012</v>
      </c>
      <c r="G127" s="121">
        <f t="shared" si="17"/>
        <v>32151.610930612856</v>
      </c>
      <c r="H127" s="121">
        <f t="shared" si="18"/>
        <v>33318.950937496658</v>
      </c>
      <c r="I127" s="122">
        <f t="shared" si="25"/>
        <v>6386.0365082466769</v>
      </c>
      <c r="J127" s="121">
        <f t="shared" si="19"/>
        <v>868.50096512154801</v>
      </c>
      <c r="K127" s="121">
        <f t="shared" si="20"/>
        <v>29954.265035302171</v>
      </c>
      <c r="L127" s="121">
        <f t="shared" si="21"/>
        <v>30822.766000423719</v>
      </c>
      <c r="M127" s="121">
        <f t="shared" si="22"/>
        <v>663102.36375753337</v>
      </c>
    </row>
    <row r="128" spans="1:13" x14ac:dyDescent="0.35">
      <c r="A128" s="80">
        <f t="shared" si="23"/>
        <v>98</v>
      </c>
      <c r="B128" s="120">
        <f t="shared" si="13"/>
        <v>98</v>
      </c>
      <c r="C128" s="121">
        <f t="shared" si="24"/>
        <v>663102.36375753337</v>
      </c>
      <c r="D128" s="122">
        <f t="shared" si="14"/>
        <v>8288.7795469691682</v>
      </c>
      <c r="E128" s="121">
        <f t="shared" si="15"/>
        <v>23862.831383643686</v>
      </c>
      <c r="F128" s="121">
        <f t="shared" si="16"/>
        <v>1127.2740183878068</v>
      </c>
      <c r="G128" s="121">
        <f t="shared" si="17"/>
        <v>32151.610930612856</v>
      </c>
      <c r="H128" s="121">
        <f t="shared" si="18"/>
        <v>33278.884949000661</v>
      </c>
      <c r="I128" s="122">
        <f t="shared" si="25"/>
        <v>6166.8519829450615</v>
      </c>
      <c r="J128" s="121">
        <f t="shared" si="19"/>
        <v>838.69186968052827</v>
      </c>
      <c r="K128" s="121">
        <f t="shared" si="20"/>
        <v>30029.683366588746</v>
      </c>
      <c r="L128" s="121">
        <f t="shared" si="21"/>
        <v>30868.375236269276</v>
      </c>
      <c r="M128" s="121">
        <f t="shared" si="22"/>
        <v>639239.5323738897</v>
      </c>
    </row>
    <row r="129" spans="1:13" x14ac:dyDescent="0.35">
      <c r="A129" s="80">
        <f t="shared" si="23"/>
        <v>99</v>
      </c>
      <c r="B129" s="120">
        <f t="shared" si="13"/>
        <v>99</v>
      </c>
      <c r="C129" s="121">
        <f t="shared" si="24"/>
        <v>639239.5323738897</v>
      </c>
      <c r="D129" s="122">
        <f t="shared" si="14"/>
        <v>7990.4941546736218</v>
      </c>
      <c r="E129" s="121">
        <f t="shared" si="15"/>
        <v>24161.11677593923</v>
      </c>
      <c r="F129" s="121">
        <f t="shared" si="16"/>
        <v>1086.7072050356126</v>
      </c>
      <c r="G129" s="121">
        <f t="shared" si="17"/>
        <v>32151.610930612853</v>
      </c>
      <c r="H129" s="121">
        <f t="shared" si="18"/>
        <v>33238.318135648464</v>
      </c>
      <c r="I129" s="122">
        <f t="shared" si="25"/>
        <v>5944.9276510771742</v>
      </c>
      <c r="J129" s="121">
        <f t="shared" si="19"/>
        <v>808.51016054649574</v>
      </c>
      <c r="K129" s="121">
        <f t="shared" si="20"/>
        <v>30106.044427016404</v>
      </c>
      <c r="L129" s="121">
        <f t="shared" si="21"/>
        <v>30914.5545875629</v>
      </c>
      <c r="M129" s="121">
        <f t="shared" si="22"/>
        <v>615078.41559795046</v>
      </c>
    </row>
    <row r="130" spans="1:13" x14ac:dyDescent="0.35">
      <c r="A130" s="80">
        <f t="shared" si="23"/>
        <v>100</v>
      </c>
      <c r="B130" s="120">
        <f t="shared" si="13"/>
        <v>100</v>
      </c>
      <c r="C130" s="121">
        <f t="shared" si="24"/>
        <v>615078.41559795046</v>
      </c>
      <c r="D130" s="122">
        <f t="shared" si="14"/>
        <v>7688.4801949743814</v>
      </c>
      <c r="E130" s="121">
        <f t="shared" si="15"/>
        <v>24463.130735638471</v>
      </c>
      <c r="F130" s="121">
        <f t="shared" si="16"/>
        <v>1045.6333065165159</v>
      </c>
      <c r="G130" s="121">
        <f t="shared" si="17"/>
        <v>32151.610930612853</v>
      </c>
      <c r="H130" s="121">
        <f t="shared" si="18"/>
        <v>33197.244237129366</v>
      </c>
      <c r="I130" s="122">
        <f t="shared" si="25"/>
        <v>5720.2292650609397</v>
      </c>
      <c r="J130" s="121">
        <f t="shared" si="19"/>
        <v>777.95118004828782</v>
      </c>
      <c r="K130" s="121">
        <f t="shared" si="20"/>
        <v>30183.360000699409</v>
      </c>
      <c r="L130" s="121">
        <f t="shared" si="21"/>
        <v>30961.311180747696</v>
      </c>
      <c r="M130" s="121">
        <f t="shared" si="22"/>
        <v>590615.28486231202</v>
      </c>
    </row>
    <row r="131" spans="1:13" x14ac:dyDescent="0.35">
      <c r="A131" s="80">
        <f t="shared" si="23"/>
        <v>101</v>
      </c>
      <c r="B131" s="120">
        <f t="shared" si="13"/>
        <v>101</v>
      </c>
      <c r="C131" s="121">
        <f t="shared" si="24"/>
        <v>590615.28486231202</v>
      </c>
      <c r="D131" s="122">
        <f t="shared" si="14"/>
        <v>7382.6910607789005</v>
      </c>
      <c r="E131" s="121">
        <f t="shared" si="15"/>
        <v>24768.919869833953</v>
      </c>
      <c r="F131" s="121">
        <f t="shared" si="16"/>
        <v>1004.0459842659305</v>
      </c>
      <c r="G131" s="121">
        <f t="shared" si="17"/>
        <v>32151.610930612853</v>
      </c>
      <c r="H131" s="121">
        <f t="shared" si="18"/>
        <v>33155.656914878782</v>
      </c>
      <c r="I131" s="122">
        <f t="shared" si="25"/>
        <v>5492.7221492195022</v>
      </c>
      <c r="J131" s="121">
        <f t="shared" si="19"/>
        <v>747.01021229385231</v>
      </c>
      <c r="K131" s="121">
        <f t="shared" si="20"/>
        <v>30261.642019053455</v>
      </c>
      <c r="L131" s="121">
        <f t="shared" si="21"/>
        <v>31008.652231347307</v>
      </c>
      <c r="M131" s="121">
        <f t="shared" si="22"/>
        <v>565846.36499247805</v>
      </c>
    </row>
    <row r="132" spans="1:13" x14ac:dyDescent="0.35">
      <c r="A132" s="80">
        <f t="shared" si="23"/>
        <v>102</v>
      </c>
      <c r="B132" s="120">
        <f t="shared" si="13"/>
        <v>102</v>
      </c>
      <c r="C132" s="121">
        <f t="shared" si="24"/>
        <v>565846.36499247805</v>
      </c>
      <c r="D132" s="122">
        <f t="shared" si="14"/>
        <v>7073.0795624059756</v>
      </c>
      <c r="E132" s="121">
        <f t="shared" si="15"/>
        <v>25078.531368206877</v>
      </c>
      <c r="F132" s="121">
        <f t="shared" si="16"/>
        <v>961.93882048721275</v>
      </c>
      <c r="G132" s="121">
        <f t="shared" si="17"/>
        <v>32151.610930612853</v>
      </c>
      <c r="H132" s="121">
        <f t="shared" si="18"/>
        <v>33113.549751100065</v>
      </c>
      <c r="I132" s="122">
        <f t="shared" si="25"/>
        <v>5262.3711944300458</v>
      </c>
      <c r="J132" s="121">
        <f t="shared" si="19"/>
        <v>715.68248244248628</v>
      </c>
      <c r="K132" s="121">
        <f t="shared" si="20"/>
        <v>30340.902562636922</v>
      </c>
      <c r="L132" s="121">
        <f t="shared" si="21"/>
        <v>31056.58504507941</v>
      </c>
      <c r="M132" s="121">
        <f t="shared" si="22"/>
        <v>540767.83362427121</v>
      </c>
    </row>
    <row r="133" spans="1:13" x14ac:dyDescent="0.35">
      <c r="A133" s="80">
        <f t="shared" si="23"/>
        <v>103</v>
      </c>
      <c r="B133" s="120">
        <f t="shared" si="13"/>
        <v>103</v>
      </c>
      <c r="C133" s="121">
        <f t="shared" si="24"/>
        <v>540767.83362427121</v>
      </c>
      <c r="D133" s="122">
        <f t="shared" si="14"/>
        <v>6759.5979203033903</v>
      </c>
      <c r="E133" s="121">
        <f t="shared" si="15"/>
        <v>25392.013010309463</v>
      </c>
      <c r="F133" s="121">
        <f t="shared" si="16"/>
        <v>919.30531716126109</v>
      </c>
      <c r="G133" s="121">
        <f t="shared" si="17"/>
        <v>32151.610930612853</v>
      </c>
      <c r="H133" s="121">
        <f t="shared" si="18"/>
        <v>33070.916247774112</v>
      </c>
      <c r="I133" s="122">
        <f t="shared" si="25"/>
        <v>5029.140852705722</v>
      </c>
      <c r="J133" s="121">
        <f t="shared" si="19"/>
        <v>683.9631559679782</v>
      </c>
      <c r="K133" s="121">
        <f t="shared" si="20"/>
        <v>30421.153863015184</v>
      </c>
      <c r="L133" s="121">
        <f t="shared" si="21"/>
        <v>31105.117018983161</v>
      </c>
      <c r="M133" s="121">
        <f t="shared" si="22"/>
        <v>515375.82061396173</v>
      </c>
    </row>
    <row r="134" spans="1:13" x14ac:dyDescent="0.35">
      <c r="A134" s="80">
        <f t="shared" si="23"/>
        <v>104</v>
      </c>
      <c r="B134" s="120">
        <f t="shared" si="13"/>
        <v>104</v>
      </c>
      <c r="C134" s="121">
        <f t="shared" si="24"/>
        <v>515375.82061396173</v>
      </c>
      <c r="D134" s="122">
        <f t="shared" si="14"/>
        <v>6442.1977576745221</v>
      </c>
      <c r="E134" s="121">
        <f t="shared" si="15"/>
        <v>25709.41317293833</v>
      </c>
      <c r="F134" s="121">
        <f t="shared" si="16"/>
        <v>876.13889504373503</v>
      </c>
      <c r="G134" s="121">
        <f t="shared" si="17"/>
        <v>32151.610930612853</v>
      </c>
      <c r="H134" s="121">
        <f t="shared" si="18"/>
        <v>33027.749825656589</v>
      </c>
      <c r="I134" s="122">
        <f t="shared" si="25"/>
        <v>4792.9951317098448</v>
      </c>
      <c r="J134" s="121">
        <f t="shared" si="19"/>
        <v>651.84733791253882</v>
      </c>
      <c r="K134" s="121">
        <f t="shared" si="20"/>
        <v>30502.408304648176</v>
      </c>
      <c r="L134" s="121">
        <f t="shared" si="21"/>
        <v>31154.255642560714</v>
      </c>
      <c r="M134" s="121">
        <f t="shared" si="22"/>
        <v>489666.40744102339</v>
      </c>
    </row>
    <row r="135" spans="1:13" x14ac:dyDescent="0.35">
      <c r="A135" s="80">
        <f t="shared" si="23"/>
        <v>105</v>
      </c>
      <c r="B135" s="120">
        <f t="shared" si="13"/>
        <v>105</v>
      </c>
      <c r="C135" s="121">
        <f t="shared" si="24"/>
        <v>489666.40744102339</v>
      </c>
      <c r="D135" s="122">
        <f t="shared" si="14"/>
        <v>6120.8300930127925</v>
      </c>
      <c r="E135" s="121">
        <f t="shared" si="15"/>
        <v>26030.780837600061</v>
      </c>
      <c r="F135" s="121">
        <f t="shared" si="16"/>
        <v>832.43289264973987</v>
      </c>
      <c r="G135" s="121">
        <f t="shared" si="17"/>
        <v>32151.610930612853</v>
      </c>
      <c r="H135" s="121">
        <f t="shared" si="18"/>
        <v>32984.043823262589</v>
      </c>
      <c r="I135" s="122">
        <f t="shared" si="25"/>
        <v>4553.8975892015178</v>
      </c>
      <c r="J135" s="121">
        <f t="shared" si="19"/>
        <v>619.3300721314065</v>
      </c>
      <c r="K135" s="121">
        <f t="shared" si="20"/>
        <v>30584.67842680158</v>
      </c>
      <c r="L135" s="121">
        <f t="shared" si="21"/>
        <v>31204.008498932988</v>
      </c>
      <c r="M135" s="121">
        <f t="shared" si="22"/>
        <v>463635.62660342333</v>
      </c>
    </row>
    <row r="136" spans="1:13" x14ac:dyDescent="0.35">
      <c r="A136" s="80">
        <f t="shared" si="23"/>
        <v>106</v>
      </c>
      <c r="B136" s="120">
        <f t="shared" si="13"/>
        <v>106</v>
      </c>
      <c r="C136" s="121">
        <f t="shared" si="24"/>
        <v>463635.62660342333</v>
      </c>
      <c r="D136" s="122">
        <f t="shared" si="14"/>
        <v>5795.4453325427921</v>
      </c>
      <c r="E136" s="121">
        <f t="shared" si="15"/>
        <v>26356.16559807006</v>
      </c>
      <c r="F136" s="121">
        <f t="shared" si="16"/>
        <v>788.18056522581969</v>
      </c>
      <c r="G136" s="121">
        <f t="shared" si="17"/>
        <v>32151.610930612853</v>
      </c>
      <c r="H136" s="121">
        <f t="shared" si="18"/>
        <v>32939.791495838675</v>
      </c>
      <c r="I136" s="122">
        <f t="shared" si="25"/>
        <v>4311.8113274118377</v>
      </c>
      <c r="J136" s="121">
        <f t="shared" si="19"/>
        <v>586.40634052800988</v>
      </c>
      <c r="K136" s="121">
        <f t="shared" si="20"/>
        <v>30667.976925481897</v>
      </c>
      <c r="L136" s="121">
        <f t="shared" si="21"/>
        <v>31254.383266009907</v>
      </c>
      <c r="M136" s="121">
        <f t="shared" si="22"/>
        <v>437279.46100535325</v>
      </c>
    </row>
    <row r="137" spans="1:13" x14ac:dyDescent="0.35">
      <c r="A137" s="80">
        <f t="shared" si="23"/>
        <v>107</v>
      </c>
      <c r="B137" s="120">
        <f t="shared" si="13"/>
        <v>107</v>
      </c>
      <c r="C137" s="121">
        <f t="shared" si="24"/>
        <v>437279.46100535325</v>
      </c>
      <c r="D137" s="122">
        <f t="shared" si="14"/>
        <v>5465.9932625669162</v>
      </c>
      <c r="E137" s="121">
        <f t="shared" si="15"/>
        <v>26685.617668045936</v>
      </c>
      <c r="F137" s="121">
        <f t="shared" si="16"/>
        <v>743.37508370910064</v>
      </c>
      <c r="G137" s="121">
        <f t="shared" si="17"/>
        <v>32151.610930612853</v>
      </c>
      <c r="H137" s="121">
        <f t="shared" si="18"/>
        <v>32894.986014321956</v>
      </c>
      <c r="I137" s="122">
        <f t="shared" si="25"/>
        <v>4066.6989873497855</v>
      </c>
      <c r="J137" s="121">
        <f t="shared" si="19"/>
        <v>553.07106227957092</v>
      </c>
      <c r="K137" s="121">
        <f t="shared" si="20"/>
        <v>30752.31665539572</v>
      </c>
      <c r="L137" s="121">
        <f t="shared" si="21"/>
        <v>31305.38771767529</v>
      </c>
      <c r="M137" s="121">
        <f t="shared" si="22"/>
        <v>410593.84333730733</v>
      </c>
    </row>
    <row r="138" spans="1:13" x14ac:dyDescent="0.35">
      <c r="A138" s="80">
        <f t="shared" si="23"/>
        <v>108</v>
      </c>
      <c r="B138" s="120">
        <f t="shared" si="13"/>
        <v>108</v>
      </c>
      <c r="C138" s="121">
        <f t="shared" si="24"/>
        <v>410593.84333730733</v>
      </c>
      <c r="D138" s="122">
        <f t="shared" si="14"/>
        <v>5132.4230417163417</v>
      </c>
      <c r="E138" s="121">
        <f t="shared" si="15"/>
        <v>27019.187888896511</v>
      </c>
      <c r="F138" s="121">
        <f t="shared" si="16"/>
        <v>698.00953367342254</v>
      </c>
      <c r="G138" s="121">
        <f t="shared" si="17"/>
        <v>32151.610930612853</v>
      </c>
      <c r="H138" s="121">
        <f t="shared" si="18"/>
        <v>32849.620464286272</v>
      </c>
      <c r="I138" s="122">
        <f t="shared" si="25"/>
        <v>3818.5227430369582</v>
      </c>
      <c r="J138" s="121">
        <f t="shared" si="19"/>
        <v>519.31909305302634</v>
      </c>
      <c r="K138" s="121">
        <f t="shared" si="20"/>
        <v>30837.710631933471</v>
      </c>
      <c r="L138" s="121">
        <f t="shared" si="21"/>
        <v>31357.029724986496</v>
      </c>
      <c r="M138" s="121">
        <f t="shared" si="22"/>
        <v>383574.65544841083</v>
      </c>
    </row>
    <row r="139" spans="1:13" x14ac:dyDescent="0.35">
      <c r="A139" s="80">
        <f t="shared" si="23"/>
        <v>109</v>
      </c>
      <c r="B139" s="120">
        <f t="shared" si="13"/>
        <v>109</v>
      </c>
      <c r="C139" s="121">
        <f t="shared" si="24"/>
        <v>383574.65544841083</v>
      </c>
      <c r="D139" s="122">
        <f t="shared" si="14"/>
        <v>4794.6831931051356</v>
      </c>
      <c r="E139" s="121">
        <f t="shared" si="15"/>
        <v>27356.927737507718</v>
      </c>
      <c r="F139" s="121">
        <f t="shared" si="16"/>
        <v>652.07691426229849</v>
      </c>
      <c r="G139" s="121">
        <f t="shared" si="17"/>
        <v>32151.610930612853</v>
      </c>
      <c r="H139" s="121">
        <f t="shared" si="18"/>
        <v>32803.687844875152</v>
      </c>
      <c r="I139" s="122">
        <f t="shared" si="25"/>
        <v>3567.2442956702207</v>
      </c>
      <c r="J139" s="121">
        <f t="shared" si="19"/>
        <v>485.14522421115009</v>
      </c>
      <c r="K139" s="121">
        <f t="shared" si="20"/>
        <v>30924.17203317794</v>
      </c>
      <c r="L139" s="121">
        <f t="shared" si="21"/>
        <v>31409.317257389092</v>
      </c>
      <c r="M139" s="121">
        <f t="shared" si="22"/>
        <v>356217.7277109031</v>
      </c>
    </row>
    <row r="140" spans="1:13" x14ac:dyDescent="0.35">
      <c r="A140" s="80">
        <f t="shared" si="23"/>
        <v>110</v>
      </c>
      <c r="B140" s="120">
        <f t="shared" si="13"/>
        <v>110</v>
      </c>
      <c r="C140" s="121">
        <f t="shared" si="24"/>
        <v>356217.7277109031</v>
      </c>
      <c r="D140" s="122">
        <f t="shared" si="14"/>
        <v>4452.7215963862891</v>
      </c>
      <c r="E140" s="121">
        <f t="shared" si="15"/>
        <v>27698.889334226566</v>
      </c>
      <c r="F140" s="121">
        <f t="shared" si="16"/>
        <v>605.57013710853528</v>
      </c>
      <c r="G140" s="121">
        <f t="shared" si="17"/>
        <v>32151.610930612856</v>
      </c>
      <c r="H140" s="121">
        <f t="shared" si="18"/>
        <v>32757.181067721391</v>
      </c>
      <c r="I140" s="122">
        <f t="shared" si="25"/>
        <v>3312.8248677113988</v>
      </c>
      <c r="J140" s="121">
        <f t="shared" si="19"/>
        <v>450.54418200875023</v>
      </c>
      <c r="K140" s="121">
        <f t="shared" si="20"/>
        <v>31011.714201937964</v>
      </c>
      <c r="L140" s="121">
        <f t="shared" si="21"/>
        <v>31462.258383946715</v>
      </c>
      <c r="M140" s="121">
        <f t="shared" si="22"/>
        <v>328518.83837667655</v>
      </c>
    </row>
    <row r="141" spans="1:13" x14ac:dyDescent="0.35">
      <c r="A141" s="80">
        <f t="shared" si="23"/>
        <v>111</v>
      </c>
      <c r="B141" s="120">
        <f t="shared" si="13"/>
        <v>111</v>
      </c>
      <c r="C141" s="121">
        <f t="shared" si="24"/>
        <v>328518.83837667655</v>
      </c>
      <c r="D141" s="122">
        <f t="shared" si="14"/>
        <v>4106.4854797084572</v>
      </c>
      <c r="E141" s="121">
        <f t="shared" si="15"/>
        <v>28045.125450904394</v>
      </c>
      <c r="F141" s="121">
        <f t="shared" si="16"/>
        <v>558.48202524035014</v>
      </c>
      <c r="G141" s="121">
        <f t="shared" si="17"/>
        <v>32151.610930612849</v>
      </c>
      <c r="H141" s="121">
        <f t="shared" si="18"/>
        <v>32710.092955853201</v>
      </c>
      <c r="I141" s="122">
        <f t="shared" si="25"/>
        <v>3055.2251969030922</v>
      </c>
      <c r="J141" s="121">
        <f t="shared" si="19"/>
        <v>415.51062677882049</v>
      </c>
      <c r="K141" s="121">
        <f t="shared" si="20"/>
        <v>31100.350647807485</v>
      </c>
      <c r="L141" s="121">
        <f t="shared" si="21"/>
        <v>31515.861274586307</v>
      </c>
      <c r="M141" s="121">
        <f t="shared" si="22"/>
        <v>300473.71292577218</v>
      </c>
    </row>
    <row r="142" spans="1:13" x14ac:dyDescent="0.35">
      <c r="A142" s="80">
        <f t="shared" si="23"/>
        <v>112</v>
      </c>
      <c r="B142" s="120">
        <f t="shared" si="13"/>
        <v>112</v>
      </c>
      <c r="C142" s="121">
        <f t="shared" si="24"/>
        <v>300473.71292577218</v>
      </c>
      <c r="D142" s="122">
        <f t="shared" si="14"/>
        <v>3755.9214115721525</v>
      </c>
      <c r="E142" s="121">
        <f t="shared" si="15"/>
        <v>28395.689519040701</v>
      </c>
      <c r="F142" s="121">
        <f t="shared" si="16"/>
        <v>510.80531197381276</v>
      </c>
      <c r="G142" s="121">
        <f t="shared" si="17"/>
        <v>32151.610930612853</v>
      </c>
      <c r="H142" s="121">
        <f t="shared" si="18"/>
        <v>32662.416242586667</v>
      </c>
      <c r="I142" s="122">
        <f t="shared" si="25"/>
        <v>2794.4055302096813</v>
      </c>
      <c r="J142" s="121">
        <f t="shared" si="19"/>
        <v>380.0391521085167</v>
      </c>
      <c r="K142" s="121">
        <f t="shared" si="20"/>
        <v>31190.095049250383</v>
      </c>
      <c r="L142" s="121">
        <f t="shared" si="21"/>
        <v>31570.134201358902</v>
      </c>
      <c r="M142" s="121">
        <f t="shared" si="22"/>
        <v>272078.02340673149</v>
      </c>
    </row>
    <row r="143" spans="1:13" x14ac:dyDescent="0.35">
      <c r="A143" s="80">
        <f t="shared" si="23"/>
        <v>113</v>
      </c>
      <c r="B143" s="120">
        <f t="shared" si="13"/>
        <v>113</v>
      </c>
      <c r="C143" s="121">
        <f t="shared" si="24"/>
        <v>272078.02340673149</v>
      </c>
      <c r="D143" s="122">
        <f t="shared" si="14"/>
        <v>3400.975292584144</v>
      </c>
      <c r="E143" s="121">
        <f t="shared" si="15"/>
        <v>28750.635638028711</v>
      </c>
      <c r="F143" s="121">
        <f t="shared" si="16"/>
        <v>462.53263979144356</v>
      </c>
      <c r="G143" s="121">
        <f t="shared" si="17"/>
        <v>32151.610930612856</v>
      </c>
      <c r="H143" s="121">
        <f t="shared" si="18"/>
        <v>32614.1435704043</v>
      </c>
      <c r="I143" s="122">
        <f t="shared" si="25"/>
        <v>2530.325617682603</v>
      </c>
      <c r="J143" s="121">
        <f t="shared" si="19"/>
        <v>344.12428400483401</v>
      </c>
      <c r="K143" s="121">
        <f t="shared" si="20"/>
        <v>31280.961255711314</v>
      </c>
      <c r="L143" s="121">
        <f t="shared" si="21"/>
        <v>31625.085539716147</v>
      </c>
      <c r="M143" s="121">
        <f t="shared" si="22"/>
        <v>243327.38776870279</v>
      </c>
    </row>
    <row r="144" spans="1:13" x14ac:dyDescent="0.35">
      <c r="A144" s="80">
        <f t="shared" si="23"/>
        <v>114</v>
      </c>
      <c r="B144" s="120">
        <f t="shared" si="13"/>
        <v>114</v>
      </c>
      <c r="C144" s="121">
        <f t="shared" si="24"/>
        <v>243327.38776870279</v>
      </c>
      <c r="D144" s="122">
        <f t="shared" si="14"/>
        <v>3041.5923471087849</v>
      </c>
      <c r="E144" s="121">
        <f t="shared" si="15"/>
        <v>29110.018583504068</v>
      </c>
      <c r="F144" s="121">
        <f t="shared" si="16"/>
        <v>413.65655920679478</v>
      </c>
      <c r="G144" s="121">
        <f t="shared" si="17"/>
        <v>32151.610930612853</v>
      </c>
      <c r="H144" s="121">
        <f t="shared" si="18"/>
        <v>32565.267489819649</v>
      </c>
      <c r="I144" s="122">
        <f t="shared" si="25"/>
        <v>2262.9447062489357</v>
      </c>
      <c r="J144" s="121">
        <f t="shared" si="19"/>
        <v>307.76048004985529</v>
      </c>
      <c r="K144" s="121">
        <f t="shared" si="20"/>
        <v>31372.963289753003</v>
      </c>
      <c r="L144" s="121">
        <f t="shared" si="21"/>
        <v>31680.723769802858</v>
      </c>
      <c r="M144" s="121">
        <f t="shared" si="22"/>
        <v>214217.36918519871</v>
      </c>
    </row>
    <row r="145" spans="1:13" x14ac:dyDescent="0.35">
      <c r="A145" s="80">
        <f t="shared" si="23"/>
        <v>115</v>
      </c>
      <c r="B145" s="120">
        <f t="shared" si="13"/>
        <v>115</v>
      </c>
      <c r="C145" s="121">
        <f t="shared" si="24"/>
        <v>214217.36918519871</v>
      </c>
      <c r="D145" s="122">
        <f t="shared" si="14"/>
        <v>2677.7171148149841</v>
      </c>
      <c r="E145" s="121">
        <f t="shared" si="15"/>
        <v>29473.89381579787</v>
      </c>
      <c r="F145" s="121">
        <f t="shared" si="16"/>
        <v>364.16952761483782</v>
      </c>
      <c r="G145" s="121">
        <f t="shared" si="17"/>
        <v>32151.610930612853</v>
      </c>
      <c r="H145" s="121">
        <f t="shared" si="18"/>
        <v>32515.780458227691</v>
      </c>
      <c r="I145" s="122">
        <f t="shared" si="25"/>
        <v>1992.2215334223481</v>
      </c>
      <c r="J145" s="121">
        <f t="shared" si="19"/>
        <v>270.94212854543935</v>
      </c>
      <c r="K145" s="121">
        <f t="shared" si="20"/>
        <v>31466.115349220217</v>
      </c>
      <c r="L145" s="121">
        <f t="shared" si="21"/>
        <v>31737.057477765658</v>
      </c>
      <c r="M145" s="121">
        <f t="shared" si="22"/>
        <v>184743.47536940084</v>
      </c>
    </row>
    <row r="146" spans="1:13" x14ac:dyDescent="0.35">
      <c r="A146" s="80">
        <f t="shared" si="23"/>
        <v>116</v>
      </c>
      <c r="B146" s="120">
        <f t="shared" si="13"/>
        <v>116</v>
      </c>
      <c r="C146" s="121">
        <f t="shared" si="24"/>
        <v>184743.47536940084</v>
      </c>
      <c r="D146" s="122">
        <f t="shared" si="14"/>
        <v>2309.2934421175105</v>
      </c>
      <c r="E146" s="121">
        <f t="shared" si="15"/>
        <v>29842.317488495341</v>
      </c>
      <c r="F146" s="121">
        <f t="shared" si="16"/>
        <v>314.06390812798145</v>
      </c>
      <c r="G146" s="121">
        <f t="shared" si="17"/>
        <v>32151.610930612849</v>
      </c>
      <c r="H146" s="121">
        <f t="shared" si="18"/>
        <v>32465.67483874083</v>
      </c>
      <c r="I146" s="122">
        <f t="shared" si="25"/>
        <v>1718.1143209354277</v>
      </c>
      <c r="J146" s="121">
        <f t="shared" si="19"/>
        <v>233.66354764721819</v>
      </c>
      <c r="K146" s="121">
        <f t="shared" si="20"/>
        <v>31560.431809430767</v>
      </c>
      <c r="L146" s="121">
        <f t="shared" si="21"/>
        <v>31794.095357077986</v>
      </c>
      <c r="M146" s="121">
        <f t="shared" si="22"/>
        <v>154901.15788090549</v>
      </c>
    </row>
    <row r="147" spans="1:13" x14ac:dyDescent="0.35">
      <c r="A147" s="80">
        <f t="shared" si="23"/>
        <v>117</v>
      </c>
      <c r="B147" s="120">
        <f t="shared" si="13"/>
        <v>117</v>
      </c>
      <c r="C147" s="121">
        <f t="shared" si="24"/>
        <v>154901.15788090549</v>
      </c>
      <c r="D147" s="122">
        <f t="shared" si="14"/>
        <v>1936.2644735113188</v>
      </c>
      <c r="E147" s="121">
        <f t="shared" si="15"/>
        <v>30215.346457101536</v>
      </c>
      <c r="F147" s="121">
        <f t="shared" si="16"/>
        <v>263.33196839753936</v>
      </c>
      <c r="G147" s="121">
        <f t="shared" si="17"/>
        <v>32151.610930612853</v>
      </c>
      <c r="H147" s="121">
        <f t="shared" si="18"/>
        <v>32414.942899010392</v>
      </c>
      <c r="I147" s="122">
        <f t="shared" si="25"/>
        <v>1440.5807682924212</v>
      </c>
      <c r="J147" s="121">
        <f t="shared" si="19"/>
        <v>195.91898448776928</v>
      </c>
      <c r="K147" s="121">
        <f t="shared" si="20"/>
        <v>31655.927225393956</v>
      </c>
      <c r="L147" s="121">
        <f t="shared" si="21"/>
        <v>31851.846209881725</v>
      </c>
      <c r="M147" s="121">
        <f t="shared" si="22"/>
        <v>124685.81142380396</v>
      </c>
    </row>
    <row r="148" spans="1:13" x14ac:dyDescent="0.35">
      <c r="A148" s="80">
        <f t="shared" si="23"/>
        <v>118</v>
      </c>
      <c r="B148" s="120">
        <f t="shared" si="13"/>
        <v>118</v>
      </c>
      <c r="C148" s="121">
        <f t="shared" si="24"/>
        <v>124685.81142380396</v>
      </c>
      <c r="D148" s="122">
        <f t="shared" si="14"/>
        <v>1558.5726427975496</v>
      </c>
      <c r="E148" s="121">
        <f t="shared" si="15"/>
        <v>30593.038287815303</v>
      </c>
      <c r="F148" s="121">
        <f t="shared" si="16"/>
        <v>211.96587942046673</v>
      </c>
      <c r="G148" s="121">
        <f t="shared" si="17"/>
        <v>32151.610930612853</v>
      </c>
      <c r="H148" s="121">
        <f t="shared" si="18"/>
        <v>32363.576810033319</v>
      </c>
      <c r="I148" s="122">
        <f t="shared" si="25"/>
        <v>1159.578046241377</v>
      </c>
      <c r="J148" s="121">
        <f t="shared" si="19"/>
        <v>157.70261428882725</v>
      </c>
      <c r="K148" s="121">
        <f t="shared" si="20"/>
        <v>31752.616334056682</v>
      </c>
      <c r="L148" s="121">
        <f t="shared" si="21"/>
        <v>31910.31894834551</v>
      </c>
      <c r="M148" s="121">
        <f t="shared" si="22"/>
        <v>94092.773135988653</v>
      </c>
    </row>
    <row r="149" spans="1:13" x14ac:dyDescent="0.35">
      <c r="A149" s="80">
        <f t="shared" si="23"/>
        <v>119</v>
      </c>
      <c r="B149" s="120">
        <f t="shared" si="13"/>
        <v>119</v>
      </c>
      <c r="C149" s="121">
        <f t="shared" si="24"/>
        <v>94092.773135988653</v>
      </c>
      <c r="D149" s="122">
        <f t="shared" si="14"/>
        <v>1176.1596641998583</v>
      </c>
      <c r="E149" s="121">
        <f t="shared" si="15"/>
        <v>30975.451266412994</v>
      </c>
      <c r="F149" s="121">
        <f t="shared" si="16"/>
        <v>159.95771433118071</v>
      </c>
      <c r="G149" s="121">
        <f t="shared" si="17"/>
        <v>32151.610930612853</v>
      </c>
      <c r="H149" s="121">
        <f t="shared" si="18"/>
        <v>32311.568644944033</v>
      </c>
      <c r="I149" s="122">
        <f t="shared" si="25"/>
        <v>875.06279016469455</v>
      </c>
      <c r="J149" s="121">
        <f t="shared" si="19"/>
        <v>119.00853946239845</v>
      </c>
      <c r="K149" s="121">
        <f t="shared" si="20"/>
        <v>31850.514056577689</v>
      </c>
      <c r="L149" s="121">
        <f t="shared" si="21"/>
        <v>31969.522596040089</v>
      </c>
      <c r="M149" s="121">
        <f t="shared" si="22"/>
        <v>63117.321869575659</v>
      </c>
    </row>
    <row r="150" spans="1:13" x14ac:dyDescent="0.35">
      <c r="A150" s="80">
        <f t="shared" si="23"/>
        <v>120</v>
      </c>
      <c r="B150" s="120">
        <f t="shared" si="13"/>
        <v>120</v>
      </c>
      <c r="C150" s="121">
        <f t="shared" si="24"/>
        <v>63117.321869575659</v>
      </c>
      <c r="D150" s="122">
        <f t="shared" si="14"/>
        <v>788.96652336969578</v>
      </c>
      <c r="E150" s="121">
        <f t="shared" si="15"/>
        <v>31362.644407243159</v>
      </c>
      <c r="F150" s="121">
        <f t="shared" si="16"/>
        <v>107.29944717827863</v>
      </c>
      <c r="G150" s="121">
        <f t="shared" si="17"/>
        <v>32151.610930612853</v>
      </c>
      <c r="H150" s="121">
        <f t="shared" si="18"/>
        <v>32258.910377791133</v>
      </c>
      <c r="I150" s="122">
        <f t="shared" si="25"/>
        <v>586.99109338705364</v>
      </c>
      <c r="J150" s="121">
        <f t="shared" si="19"/>
        <v>79.830788700639303</v>
      </c>
      <c r="K150" s="121">
        <f t="shared" si="20"/>
        <v>31949.635500630211</v>
      </c>
      <c r="L150" s="121">
        <f t="shared" si="21"/>
        <v>32029.466289330849</v>
      </c>
      <c r="M150" s="121">
        <f t="shared" si="22"/>
        <v>31754.6774623325</v>
      </c>
    </row>
    <row r="151" spans="1:13" x14ac:dyDescent="0.35">
      <c r="A151" s="80">
        <f t="shared" si="23"/>
        <v>121</v>
      </c>
      <c r="B151" s="120">
        <f t="shared" si="13"/>
        <v>121</v>
      </c>
      <c r="C151" s="121">
        <f t="shared" si="24"/>
        <v>31754.6774623325</v>
      </c>
      <c r="D151" s="122">
        <f t="shared" si="14"/>
        <v>396.93346827915627</v>
      </c>
      <c r="E151" s="121">
        <f t="shared" si="15"/>
        <v>31754.677462333697</v>
      </c>
      <c r="F151" s="121">
        <f t="shared" si="16"/>
        <v>53.982951685965254</v>
      </c>
      <c r="G151" s="121">
        <f t="shared" si="17"/>
        <v>32151.610930612853</v>
      </c>
      <c r="H151" s="121">
        <f t="shared" si="18"/>
        <v>32205.593882298817</v>
      </c>
      <c r="I151" s="122">
        <f t="shared" si="25"/>
        <v>295.31850039969225</v>
      </c>
      <c r="J151" s="121">
        <f t="shared" si="19"/>
        <v>40.163316054358148</v>
      </c>
      <c r="K151" s="121">
        <f t="shared" si="20"/>
        <v>32049.995962733388</v>
      </c>
      <c r="L151" s="121">
        <f t="shared" si="21"/>
        <v>32090.159278787745</v>
      </c>
      <c r="M151" s="121">
        <f t="shared" si="22"/>
        <v>-1.1968950275331736E-9</v>
      </c>
    </row>
    <row r="152" spans="1:13" x14ac:dyDescent="0.35">
      <c r="A152" s="80">
        <f t="shared" si="23"/>
        <v>122</v>
      </c>
      <c r="B152" s="120" t="str">
        <f t="shared" si="13"/>
        <v/>
      </c>
      <c r="C152" s="121">
        <f t="shared" si="24"/>
        <v>-1.1968950275331736E-9</v>
      </c>
      <c r="D152" s="122" t="str">
        <f t="shared" si="14"/>
        <v/>
      </c>
      <c r="E152" s="121" t="str">
        <f t="shared" si="15"/>
        <v/>
      </c>
      <c r="F152" s="121" t="str">
        <f t="shared" si="16"/>
        <v/>
      </c>
      <c r="G152" s="121" t="str">
        <f t="shared" si="17"/>
        <v/>
      </c>
      <c r="H152" s="121" t="str">
        <f t="shared" si="18"/>
        <v/>
      </c>
      <c r="I152" s="122" t="str">
        <f t="shared" si="25"/>
        <v/>
      </c>
      <c r="J152" s="121" t="str">
        <f t="shared" si="19"/>
        <v/>
      </c>
      <c r="K152" s="121" t="str">
        <f t="shared" si="20"/>
        <v/>
      </c>
      <c r="L152" s="121" t="str">
        <f t="shared" si="21"/>
        <v/>
      </c>
      <c r="M152" s="121" t="str">
        <f t="shared" si="22"/>
        <v/>
      </c>
    </row>
    <row r="153" spans="1:13" x14ac:dyDescent="0.35">
      <c r="A153" s="80">
        <f t="shared" si="23"/>
        <v>123</v>
      </c>
      <c r="B153" s="120" t="str">
        <f t="shared" si="13"/>
        <v/>
      </c>
      <c r="C153" s="121" t="str">
        <f t="shared" si="24"/>
        <v/>
      </c>
      <c r="D153" s="122" t="str">
        <f t="shared" si="14"/>
        <v/>
      </c>
      <c r="E153" s="121" t="str">
        <f t="shared" si="15"/>
        <v/>
      </c>
      <c r="F153" s="121" t="str">
        <f t="shared" si="16"/>
        <v/>
      </c>
      <c r="G153" s="121" t="str">
        <f t="shared" si="17"/>
        <v/>
      </c>
      <c r="H153" s="121" t="str">
        <f t="shared" si="18"/>
        <v/>
      </c>
      <c r="I153" s="122" t="str">
        <f t="shared" si="25"/>
        <v/>
      </c>
      <c r="J153" s="121" t="str">
        <f t="shared" si="19"/>
        <v/>
      </c>
      <c r="K153" s="121" t="str">
        <f t="shared" si="20"/>
        <v/>
      </c>
      <c r="L153" s="121" t="str">
        <f t="shared" si="21"/>
        <v/>
      </c>
      <c r="M153" s="121" t="str">
        <f t="shared" si="22"/>
        <v/>
      </c>
    </row>
    <row r="154" spans="1:13" x14ac:dyDescent="0.35">
      <c r="A154" s="80">
        <f t="shared" si="23"/>
        <v>124</v>
      </c>
      <c r="B154" s="120" t="str">
        <f t="shared" si="13"/>
        <v/>
      </c>
      <c r="C154" s="121" t="str">
        <f t="shared" si="24"/>
        <v/>
      </c>
      <c r="D154" s="122" t="str">
        <f t="shared" si="14"/>
        <v/>
      </c>
      <c r="E154" s="121" t="str">
        <f t="shared" si="15"/>
        <v/>
      </c>
      <c r="F154" s="121" t="str">
        <f t="shared" si="16"/>
        <v/>
      </c>
      <c r="G154" s="121" t="str">
        <f t="shared" si="17"/>
        <v/>
      </c>
      <c r="H154" s="121" t="str">
        <f t="shared" si="18"/>
        <v/>
      </c>
      <c r="I154" s="122" t="str">
        <f t="shared" si="25"/>
        <v/>
      </c>
      <c r="J154" s="121" t="str">
        <f t="shared" si="19"/>
        <v/>
      </c>
      <c r="K154" s="121" t="str">
        <f t="shared" si="20"/>
        <v/>
      </c>
      <c r="L154" s="121" t="str">
        <f t="shared" si="21"/>
        <v/>
      </c>
      <c r="M154" s="121" t="str">
        <f t="shared" si="22"/>
        <v/>
      </c>
    </row>
    <row r="155" spans="1:13" x14ac:dyDescent="0.35">
      <c r="A155" s="80">
        <f t="shared" si="23"/>
        <v>125</v>
      </c>
      <c r="B155" s="120" t="str">
        <f t="shared" si="13"/>
        <v/>
      </c>
      <c r="C155" s="121" t="str">
        <f t="shared" si="24"/>
        <v/>
      </c>
      <c r="D155" s="122" t="str">
        <f t="shared" si="14"/>
        <v/>
      </c>
      <c r="E155" s="121" t="str">
        <f t="shared" si="15"/>
        <v/>
      </c>
      <c r="F155" s="121" t="str">
        <f t="shared" si="16"/>
        <v/>
      </c>
      <c r="G155" s="121" t="str">
        <f t="shared" si="17"/>
        <v/>
      </c>
      <c r="H155" s="121" t="str">
        <f t="shared" si="18"/>
        <v/>
      </c>
      <c r="I155" s="122" t="str">
        <f t="shared" si="25"/>
        <v/>
      </c>
      <c r="J155" s="121" t="str">
        <f t="shared" si="19"/>
        <v/>
      </c>
      <c r="K155" s="121" t="str">
        <f t="shared" si="20"/>
        <v/>
      </c>
      <c r="L155" s="121" t="str">
        <f t="shared" si="21"/>
        <v/>
      </c>
      <c r="M155" s="121" t="str">
        <f t="shared" si="22"/>
        <v/>
      </c>
    </row>
    <row r="156" spans="1:13" x14ac:dyDescent="0.35">
      <c r="A156" s="80">
        <f t="shared" si="23"/>
        <v>126</v>
      </c>
      <c r="B156" s="120" t="str">
        <f t="shared" si="13"/>
        <v/>
      </c>
      <c r="C156" s="121" t="str">
        <f t="shared" si="24"/>
        <v/>
      </c>
      <c r="D156" s="122" t="str">
        <f t="shared" si="14"/>
        <v/>
      </c>
      <c r="E156" s="121" t="str">
        <f t="shared" si="15"/>
        <v/>
      </c>
      <c r="F156" s="121" t="str">
        <f t="shared" si="16"/>
        <v/>
      </c>
      <c r="G156" s="121" t="str">
        <f t="shared" si="17"/>
        <v/>
      </c>
      <c r="H156" s="121" t="str">
        <f t="shared" si="18"/>
        <v/>
      </c>
      <c r="I156" s="122" t="str">
        <f t="shared" si="25"/>
        <v/>
      </c>
      <c r="J156" s="121" t="str">
        <f t="shared" si="19"/>
        <v/>
      </c>
      <c r="K156" s="121" t="str">
        <f t="shared" si="20"/>
        <v/>
      </c>
      <c r="L156" s="121" t="str">
        <f t="shared" si="21"/>
        <v/>
      </c>
      <c r="M156" s="121" t="str">
        <f t="shared" si="22"/>
        <v/>
      </c>
    </row>
    <row r="157" spans="1:13" x14ac:dyDescent="0.35">
      <c r="A157" s="80">
        <f t="shared" si="23"/>
        <v>127</v>
      </c>
      <c r="B157" s="120" t="str">
        <f t="shared" si="13"/>
        <v/>
      </c>
      <c r="C157" s="121" t="str">
        <f t="shared" si="24"/>
        <v/>
      </c>
      <c r="D157" s="122" t="str">
        <f t="shared" si="14"/>
        <v/>
      </c>
      <c r="E157" s="121" t="str">
        <f t="shared" si="15"/>
        <v/>
      </c>
      <c r="F157" s="121" t="str">
        <f t="shared" si="16"/>
        <v/>
      </c>
      <c r="G157" s="121" t="str">
        <f t="shared" si="17"/>
        <v/>
      </c>
      <c r="H157" s="121" t="str">
        <f t="shared" si="18"/>
        <v/>
      </c>
      <c r="I157" s="122" t="str">
        <f t="shared" si="25"/>
        <v/>
      </c>
      <c r="J157" s="121" t="str">
        <f t="shared" si="19"/>
        <v/>
      </c>
      <c r="K157" s="121" t="str">
        <f t="shared" si="20"/>
        <v/>
      </c>
      <c r="L157" s="121" t="str">
        <f t="shared" si="21"/>
        <v/>
      </c>
      <c r="M157" s="121" t="str">
        <f t="shared" si="22"/>
        <v/>
      </c>
    </row>
    <row r="158" spans="1:13" x14ac:dyDescent="0.35">
      <c r="A158" s="80">
        <f t="shared" si="23"/>
        <v>128</v>
      </c>
      <c r="B158" s="120" t="str">
        <f t="shared" si="13"/>
        <v/>
      </c>
      <c r="C158" s="121" t="str">
        <f t="shared" si="24"/>
        <v/>
      </c>
      <c r="D158" s="122" t="str">
        <f t="shared" si="14"/>
        <v/>
      </c>
      <c r="E158" s="121" t="str">
        <f t="shared" si="15"/>
        <v/>
      </c>
      <c r="F158" s="121" t="str">
        <f t="shared" si="16"/>
        <v/>
      </c>
      <c r="G158" s="121" t="str">
        <f t="shared" si="17"/>
        <v/>
      </c>
      <c r="H158" s="121" t="str">
        <f t="shared" si="18"/>
        <v/>
      </c>
      <c r="I158" s="122" t="str">
        <f t="shared" si="25"/>
        <v/>
      </c>
      <c r="J158" s="121" t="str">
        <f t="shared" si="19"/>
        <v/>
      </c>
      <c r="K158" s="121" t="str">
        <f t="shared" si="20"/>
        <v/>
      </c>
      <c r="L158" s="121" t="str">
        <f t="shared" si="21"/>
        <v/>
      </c>
      <c r="M158" s="121" t="str">
        <f t="shared" si="22"/>
        <v/>
      </c>
    </row>
    <row r="159" spans="1:13" x14ac:dyDescent="0.35">
      <c r="A159" s="80">
        <f t="shared" si="23"/>
        <v>129</v>
      </c>
      <c r="B159" s="120" t="str">
        <f t="shared" ref="B159:B222" si="26">IF(A159&lt;=$F$11,A159,"")</f>
        <v/>
      </c>
      <c r="C159" s="121" t="str">
        <f t="shared" si="24"/>
        <v/>
      </c>
      <c r="D159" s="122" t="str">
        <f t="shared" ref="D159:D222" si="27">IF(B159&lt;=$F$11,(C159*$F$13),"")</f>
        <v/>
      </c>
      <c r="E159" s="121" t="str">
        <f t="shared" ref="E159:E222" si="28">IF(B159&lt;=$F$12,0,IF(B159&lt;=$F$11,(-$F$16-D159),""))</f>
        <v/>
      </c>
      <c r="F159" s="121" t="str">
        <f t="shared" ref="F159:F222" si="29">IF(B159&lt;=$F$11,(($F$20*$F$2)+($F$19*$F$2)+(C159*$F$18)+($F$17*C159)),"")</f>
        <v/>
      </c>
      <c r="G159" s="121" t="str">
        <f t="shared" ref="G159:G222" si="30">IF(B159&lt;=$F$11,(D159+E159),"")</f>
        <v/>
      </c>
      <c r="H159" s="121" t="str">
        <f t="shared" ref="H159:H222" si="31">IF(B159&lt;=$F$11,(F159+G159),"")</f>
        <v/>
      </c>
      <c r="I159" s="122" t="str">
        <f t="shared" si="25"/>
        <v/>
      </c>
      <c r="J159" s="121" t="str">
        <f t="shared" ref="J159:J222" si="32">IF(B159&lt;=$F$11,(($F$20*$F$2*(1-$F$10))+($F$19*$F$2)+((C159*$F$18)*(1-$F$10))+(($F$17*C159))),"")</f>
        <v/>
      </c>
      <c r="K159" s="121" t="str">
        <f t="shared" ref="K159:K222" si="33">IF(B159&lt;=$F$11,(E159+I159),"")</f>
        <v/>
      </c>
      <c r="L159" s="121" t="str">
        <f t="shared" ref="L159:L222" si="34">IF(B159&lt;=$F$11,(J159+K159),"")</f>
        <v/>
      </c>
      <c r="M159" s="121" t="str">
        <f t="shared" ref="M159:M222" si="35">IF(B159&lt;=$F$11,(C159-E159),IF(B159&gt;$F$11,"",0))</f>
        <v/>
      </c>
    </row>
    <row r="160" spans="1:13" x14ac:dyDescent="0.35">
      <c r="A160" s="80">
        <f t="shared" ref="A160:A223" si="36">A159+1</f>
        <v>130</v>
      </c>
      <c r="B160" s="120" t="str">
        <f t="shared" si="26"/>
        <v/>
      </c>
      <c r="C160" s="121" t="str">
        <f t="shared" ref="C160:C223" si="37">IF(M159=0,"",M159)</f>
        <v/>
      </c>
      <c r="D160" s="122" t="str">
        <f t="shared" si="27"/>
        <v/>
      </c>
      <c r="E160" s="121" t="str">
        <f t="shared" si="28"/>
        <v/>
      </c>
      <c r="F160" s="121" t="str">
        <f t="shared" si="29"/>
        <v/>
      </c>
      <c r="G160" s="121" t="str">
        <f t="shared" si="30"/>
        <v/>
      </c>
      <c r="H160" s="121" t="str">
        <f t="shared" si="31"/>
        <v/>
      </c>
      <c r="I160" s="122" t="str">
        <f t="shared" ref="I160:I223" si="38">IF(B160&lt;=$F$11,(C160*$F$13)*(1-$F$10),"")</f>
        <v/>
      </c>
      <c r="J160" s="121" t="str">
        <f t="shared" si="32"/>
        <v/>
      </c>
      <c r="K160" s="121" t="str">
        <f t="shared" si="33"/>
        <v/>
      </c>
      <c r="L160" s="121" t="str">
        <f t="shared" si="34"/>
        <v/>
      </c>
      <c r="M160" s="121" t="str">
        <f t="shared" si="35"/>
        <v/>
      </c>
    </row>
    <row r="161" spans="1:13" x14ac:dyDescent="0.35">
      <c r="A161" s="80">
        <f t="shared" si="36"/>
        <v>131</v>
      </c>
      <c r="B161" s="120" t="str">
        <f t="shared" si="26"/>
        <v/>
      </c>
      <c r="C161" s="121" t="str">
        <f t="shared" si="37"/>
        <v/>
      </c>
      <c r="D161" s="122" t="str">
        <f t="shared" si="27"/>
        <v/>
      </c>
      <c r="E161" s="121" t="str">
        <f t="shared" si="28"/>
        <v/>
      </c>
      <c r="F161" s="121" t="str">
        <f t="shared" si="29"/>
        <v/>
      </c>
      <c r="G161" s="121" t="str">
        <f t="shared" si="30"/>
        <v/>
      </c>
      <c r="H161" s="121" t="str">
        <f t="shared" si="31"/>
        <v/>
      </c>
      <c r="I161" s="122" t="str">
        <f t="shared" si="38"/>
        <v/>
      </c>
      <c r="J161" s="121" t="str">
        <f t="shared" si="32"/>
        <v/>
      </c>
      <c r="K161" s="121" t="str">
        <f t="shared" si="33"/>
        <v/>
      </c>
      <c r="L161" s="121" t="str">
        <f t="shared" si="34"/>
        <v/>
      </c>
      <c r="M161" s="121" t="str">
        <f t="shared" si="35"/>
        <v/>
      </c>
    </row>
    <row r="162" spans="1:13" x14ac:dyDescent="0.35">
      <c r="A162" s="80">
        <f t="shared" si="36"/>
        <v>132</v>
      </c>
      <c r="B162" s="120" t="str">
        <f t="shared" si="26"/>
        <v/>
      </c>
      <c r="C162" s="121" t="str">
        <f t="shared" si="37"/>
        <v/>
      </c>
      <c r="D162" s="122" t="str">
        <f t="shared" si="27"/>
        <v/>
      </c>
      <c r="E162" s="121" t="str">
        <f t="shared" si="28"/>
        <v/>
      </c>
      <c r="F162" s="121" t="str">
        <f t="shared" si="29"/>
        <v/>
      </c>
      <c r="G162" s="121" t="str">
        <f t="shared" si="30"/>
        <v/>
      </c>
      <c r="H162" s="121" t="str">
        <f t="shared" si="31"/>
        <v/>
      </c>
      <c r="I162" s="122" t="str">
        <f t="shared" si="38"/>
        <v/>
      </c>
      <c r="J162" s="121" t="str">
        <f t="shared" si="32"/>
        <v/>
      </c>
      <c r="K162" s="121" t="str">
        <f t="shared" si="33"/>
        <v/>
      </c>
      <c r="L162" s="121" t="str">
        <f t="shared" si="34"/>
        <v/>
      </c>
      <c r="M162" s="121" t="str">
        <f t="shared" si="35"/>
        <v/>
      </c>
    </row>
    <row r="163" spans="1:13" x14ac:dyDescent="0.35">
      <c r="A163" s="80">
        <f t="shared" si="36"/>
        <v>133</v>
      </c>
      <c r="B163" s="120" t="str">
        <f t="shared" si="26"/>
        <v/>
      </c>
      <c r="C163" s="121" t="str">
        <f t="shared" si="37"/>
        <v/>
      </c>
      <c r="D163" s="122" t="str">
        <f t="shared" si="27"/>
        <v/>
      </c>
      <c r="E163" s="121" t="str">
        <f t="shared" si="28"/>
        <v/>
      </c>
      <c r="F163" s="121" t="str">
        <f t="shared" si="29"/>
        <v/>
      </c>
      <c r="G163" s="121" t="str">
        <f t="shared" si="30"/>
        <v/>
      </c>
      <c r="H163" s="121" t="str">
        <f t="shared" si="31"/>
        <v/>
      </c>
      <c r="I163" s="122" t="str">
        <f t="shared" si="38"/>
        <v/>
      </c>
      <c r="J163" s="121" t="str">
        <f t="shared" si="32"/>
        <v/>
      </c>
      <c r="K163" s="121" t="str">
        <f t="shared" si="33"/>
        <v/>
      </c>
      <c r="L163" s="121" t="str">
        <f t="shared" si="34"/>
        <v/>
      </c>
      <c r="M163" s="121" t="str">
        <f t="shared" si="35"/>
        <v/>
      </c>
    </row>
    <row r="164" spans="1:13" x14ac:dyDescent="0.35">
      <c r="A164" s="80">
        <f t="shared" si="36"/>
        <v>134</v>
      </c>
      <c r="B164" s="120" t="str">
        <f t="shared" si="26"/>
        <v/>
      </c>
      <c r="C164" s="121" t="str">
        <f t="shared" si="37"/>
        <v/>
      </c>
      <c r="D164" s="122" t="str">
        <f t="shared" si="27"/>
        <v/>
      </c>
      <c r="E164" s="121" t="str">
        <f t="shared" si="28"/>
        <v/>
      </c>
      <c r="F164" s="121" t="str">
        <f t="shared" si="29"/>
        <v/>
      </c>
      <c r="G164" s="121" t="str">
        <f t="shared" si="30"/>
        <v/>
      </c>
      <c r="H164" s="121" t="str">
        <f t="shared" si="31"/>
        <v/>
      </c>
      <c r="I164" s="122" t="str">
        <f t="shared" si="38"/>
        <v/>
      </c>
      <c r="J164" s="121" t="str">
        <f t="shared" si="32"/>
        <v/>
      </c>
      <c r="K164" s="121" t="str">
        <f t="shared" si="33"/>
        <v/>
      </c>
      <c r="L164" s="121" t="str">
        <f t="shared" si="34"/>
        <v/>
      </c>
      <c r="M164" s="121" t="str">
        <f t="shared" si="35"/>
        <v/>
      </c>
    </row>
    <row r="165" spans="1:13" x14ac:dyDescent="0.35">
      <c r="A165" s="80">
        <f t="shared" si="36"/>
        <v>135</v>
      </c>
      <c r="B165" s="120" t="str">
        <f t="shared" si="26"/>
        <v/>
      </c>
      <c r="C165" s="121" t="str">
        <f t="shared" si="37"/>
        <v/>
      </c>
      <c r="D165" s="122" t="str">
        <f t="shared" si="27"/>
        <v/>
      </c>
      <c r="E165" s="121" t="str">
        <f t="shared" si="28"/>
        <v/>
      </c>
      <c r="F165" s="121" t="str">
        <f t="shared" si="29"/>
        <v/>
      </c>
      <c r="G165" s="121" t="str">
        <f t="shared" si="30"/>
        <v/>
      </c>
      <c r="H165" s="121" t="str">
        <f t="shared" si="31"/>
        <v/>
      </c>
      <c r="I165" s="122" t="str">
        <f t="shared" si="38"/>
        <v/>
      </c>
      <c r="J165" s="121" t="str">
        <f t="shared" si="32"/>
        <v/>
      </c>
      <c r="K165" s="121" t="str">
        <f t="shared" si="33"/>
        <v/>
      </c>
      <c r="L165" s="121" t="str">
        <f t="shared" si="34"/>
        <v/>
      </c>
      <c r="M165" s="121" t="str">
        <f t="shared" si="35"/>
        <v/>
      </c>
    </row>
    <row r="166" spans="1:13" x14ac:dyDescent="0.35">
      <c r="A166" s="80">
        <f t="shared" si="36"/>
        <v>136</v>
      </c>
      <c r="B166" s="120" t="str">
        <f t="shared" si="26"/>
        <v/>
      </c>
      <c r="C166" s="121" t="str">
        <f t="shared" si="37"/>
        <v/>
      </c>
      <c r="D166" s="122" t="str">
        <f t="shared" si="27"/>
        <v/>
      </c>
      <c r="E166" s="121" t="str">
        <f t="shared" si="28"/>
        <v/>
      </c>
      <c r="F166" s="121" t="str">
        <f t="shared" si="29"/>
        <v/>
      </c>
      <c r="G166" s="121" t="str">
        <f t="shared" si="30"/>
        <v/>
      </c>
      <c r="H166" s="121" t="str">
        <f t="shared" si="31"/>
        <v/>
      </c>
      <c r="I166" s="122" t="str">
        <f t="shared" si="38"/>
        <v/>
      </c>
      <c r="J166" s="121" t="str">
        <f t="shared" si="32"/>
        <v/>
      </c>
      <c r="K166" s="121" t="str">
        <f t="shared" si="33"/>
        <v/>
      </c>
      <c r="L166" s="121" t="str">
        <f t="shared" si="34"/>
        <v/>
      </c>
      <c r="M166" s="121" t="str">
        <f t="shared" si="35"/>
        <v/>
      </c>
    </row>
    <row r="167" spans="1:13" x14ac:dyDescent="0.35">
      <c r="A167" s="80">
        <f t="shared" si="36"/>
        <v>137</v>
      </c>
      <c r="B167" s="120" t="str">
        <f t="shared" si="26"/>
        <v/>
      </c>
      <c r="C167" s="121" t="str">
        <f t="shared" si="37"/>
        <v/>
      </c>
      <c r="D167" s="122" t="str">
        <f t="shared" si="27"/>
        <v/>
      </c>
      <c r="E167" s="121" t="str">
        <f t="shared" si="28"/>
        <v/>
      </c>
      <c r="F167" s="121" t="str">
        <f t="shared" si="29"/>
        <v/>
      </c>
      <c r="G167" s="121" t="str">
        <f t="shared" si="30"/>
        <v/>
      </c>
      <c r="H167" s="121" t="str">
        <f t="shared" si="31"/>
        <v/>
      </c>
      <c r="I167" s="122" t="str">
        <f t="shared" si="38"/>
        <v/>
      </c>
      <c r="J167" s="121" t="str">
        <f t="shared" si="32"/>
        <v/>
      </c>
      <c r="K167" s="121" t="str">
        <f t="shared" si="33"/>
        <v/>
      </c>
      <c r="L167" s="121" t="str">
        <f t="shared" si="34"/>
        <v/>
      </c>
      <c r="M167" s="121" t="str">
        <f t="shared" si="35"/>
        <v/>
      </c>
    </row>
    <row r="168" spans="1:13" x14ac:dyDescent="0.35">
      <c r="A168" s="80">
        <f t="shared" si="36"/>
        <v>138</v>
      </c>
      <c r="B168" s="120" t="str">
        <f t="shared" si="26"/>
        <v/>
      </c>
      <c r="C168" s="121" t="str">
        <f t="shared" si="37"/>
        <v/>
      </c>
      <c r="D168" s="122" t="str">
        <f t="shared" si="27"/>
        <v/>
      </c>
      <c r="E168" s="121" t="str">
        <f t="shared" si="28"/>
        <v/>
      </c>
      <c r="F168" s="121" t="str">
        <f t="shared" si="29"/>
        <v/>
      </c>
      <c r="G168" s="121" t="str">
        <f t="shared" si="30"/>
        <v/>
      </c>
      <c r="H168" s="121" t="str">
        <f t="shared" si="31"/>
        <v/>
      </c>
      <c r="I168" s="122" t="str">
        <f t="shared" si="38"/>
        <v/>
      </c>
      <c r="J168" s="121" t="str">
        <f t="shared" si="32"/>
        <v/>
      </c>
      <c r="K168" s="121" t="str">
        <f t="shared" si="33"/>
        <v/>
      </c>
      <c r="L168" s="121" t="str">
        <f t="shared" si="34"/>
        <v/>
      </c>
      <c r="M168" s="121" t="str">
        <f t="shared" si="35"/>
        <v/>
      </c>
    </row>
    <row r="169" spans="1:13" x14ac:dyDescent="0.35">
      <c r="A169" s="80">
        <f t="shared" si="36"/>
        <v>139</v>
      </c>
      <c r="B169" s="120" t="str">
        <f t="shared" si="26"/>
        <v/>
      </c>
      <c r="C169" s="121" t="str">
        <f t="shared" si="37"/>
        <v/>
      </c>
      <c r="D169" s="122" t="str">
        <f t="shared" si="27"/>
        <v/>
      </c>
      <c r="E169" s="121" t="str">
        <f t="shared" si="28"/>
        <v/>
      </c>
      <c r="F169" s="121" t="str">
        <f t="shared" si="29"/>
        <v/>
      </c>
      <c r="G169" s="121" t="str">
        <f t="shared" si="30"/>
        <v/>
      </c>
      <c r="H169" s="121" t="str">
        <f t="shared" si="31"/>
        <v/>
      </c>
      <c r="I169" s="122" t="str">
        <f t="shared" si="38"/>
        <v/>
      </c>
      <c r="J169" s="121" t="str">
        <f t="shared" si="32"/>
        <v/>
      </c>
      <c r="K169" s="121" t="str">
        <f t="shared" si="33"/>
        <v/>
      </c>
      <c r="L169" s="121" t="str">
        <f t="shared" si="34"/>
        <v/>
      </c>
      <c r="M169" s="121" t="str">
        <f t="shared" si="35"/>
        <v/>
      </c>
    </row>
    <row r="170" spans="1:13" x14ac:dyDescent="0.35">
      <c r="A170" s="80">
        <f t="shared" si="36"/>
        <v>140</v>
      </c>
      <c r="B170" s="120" t="str">
        <f t="shared" si="26"/>
        <v/>
      </c>
      <c r="C170" s="121" t="str">
        <f t="shared" si="37"/>
        <v/>
      </c>
      <c r="D170" s="122" t="str">
        <f t="shared" si="27"/>
        <v/>
      </c>
      <c r="E170" s="121" t="str">
        <f t="shared" si="28"/>
        <v/>
      </c>
      <c r="F170" s="121" t="str">
        <f t="shared" si="29"/>
        <v/>
      </c>
      <c r="G170" s="121" t="str">
        <f t="shared" si="30"/>
        <v/>
      </c>
      <c r="H170" s="121" t="str">
        <f t="shared" si="31"/>
        <v/>
      </c>
      <c r="I170" s="122" t="str">
        <f t="shared" si="38"/>
        <v/>
      </c>
      <c r="J170" s="121" t="str">
        <f t="shared" si="32"/>
        <v/>
      </c>
      <c r="K170" s="121" t="str">
        <f t="shared" si="33"/>
        <v/>
      </c>
      <c r="L170" s="121" t="str">
        <f t="shared" si="34"/>
        <v/>
      </c>
      <c r="M170" s="121" t="str">
        <f t="shared" si="35"/>
        <v/>
      </c>
    </row>
    <row r="171" spans="1:13" x14ac:dyDescent="0.35">
      <c r="A171" s="80">
        <f t="shared" si="36"/>
        <v>141</v>
      </c>
      <c r="B171" s="120" t="str">
        <f t="shared" si="26"/>
        <v/>
      </c>
      <c r="C171" s="121" t="str">
        <f t="shared" si="37"/>
        <v/>
      </c>
      <c r="D171" s="122" t="str">
        <f t="shared" si="27"/>
        <v/>
      </c>
      <c r="E171" s="121" t="str">
        <f t="shared" si="28"/>
        <v/>
      </c>
      <c r="F171" s="121" t="str">
        <f t="shared" si="29"/>
        <v/>
      </c>
      <c r="G171" s="121" t="str">
        <f t="shared" si="30"/>
        <v/>
      </c>
      <c r="H171" s="121" t="str">
        <f t="shared" si="31"/>
        <v/>
      </c>
      <c r="I171" s="122" t="str">
        <f t="shared" si="38"/>
        <v/>
      </c>
      <c r="J171" s="121" t="str">
        <f t="shared" si="32"/>
        <v/>
      </c>
      <c r="K171" s="121" t="str">
        <f t="shared" si="33"/>
        <v/>
      </c>
      <c r="L171" s="121" t="str">
        <f t="shared" si="34"/>
        <v/>
      </c>
      <c r="M171" s="121" t="str">
        <f t="shared" si="35"/>
        <v/>
      </c>
    </row>
    <row r="172" spans="1:13" x14ac:dyDescent="0.35">
      <c r="A172" s="80">
        <f t="shared" si="36"/>
        <v>142</v>
      </c>
      <c r="B172" s="120" t="str">
        <f t="shared" si="26"/>
        <v/>
      </c>
      <c r="C172" s="121" t="str">
        <f t="shared" si="37"/>
        <v/>
      </c>
      <c r="D172" s="122" t="str">
        <f t="shared" si="27"/>
        <v/>
      </c>
      <c r="E172" s="121" t="str">
        <f t="shared" si="28"/>
        <v/>
      </c>
      <c r="F172" s="121" t="str">
        <f t="shared" si="29"/>
        <v/>
      </c>
      <c r="G172" s="121" t="str">
        <f t="shared" si="30"/>
        <v/>
      </c>
      <c r="H172" s="121" t="str">
        <f t="shared" si="31"/>
        <v/>
      </c>
      <c r="I172" s="122" t="str">
        <f t="shared" si="38"/>
        <v/>
      </c>
      <c r="J172" s="121" t="str">
        <f t="shared" si="32"/>
        <v/>
      </c>
      <c r="K172" s="121" t="str">
        <f t="shared" si="33"/>
        <v/>
      </c>
      <c r="L172" s="121" t="str">
        <f t="shared" si="34"/>
        <v/>
      </c>
      <c r="M172" s="121" t="str">
        <f t="shared" si="35"/>
        <v/>
      </c>
    </row>
    <row r="173" spans="1:13" x14ac:dyDescent="0.35">
      <c r="A173" s="80">
        <f t="shared" si="36"/>
        <v>143</v>
      </c>
      <c r="B173" s="120" t="str">
        <f t="shared" si="26"/>
        <v/>
      </c>
      <c r="C173" s="121" t="str">
        <f t="shared" si="37"/>
        <v/>
      </c>
      <c r="D173" s="122" t="str">
        <f t="shared" si="27"/>
        <v/>
      </c>
      <c r="E173" s="121" t="str">
        <f t="shared" si="28"/>
        <v/>
      </c>
      <c r="F173" s="121" t="str">
        <f t="shared" si="29"/>
        <v/>
      </c>
      <c r="G173" s="121" t="str">
        <f t="shared" si="30"/>
        <v/>
      </c>
      <c r="H173" s="121" t="str">
        <f t="shared" si="31"/>
        <v/>
      </c>
      <c r="I173" s="122" t="str">
        <f t="shared" si="38"/>
        <v/>
      </c>
      <c r="J173" s="121" t="str">
        <f t="shared" si="32"/>
        <v/>
      </c>
      <c r="K173" s="121" t="str">
        <f t="shared" si="33"/>
        <v/>
      </c>
      <c r="L173" s="121" t="str">
        <f t="shared" si="34"/>
        <v/>
      </c>
      <c r="M173" s="121" t="str">
        <f t="shared" si="35"/>
        <v/>
      </c>
    </row>
    <row r="174" spans="1:13" x14ac:dyDescent="0.35">
      <c r="A174" s="80">
        <f t="shared" si="36"/>
        <v>144</v>
      </c>
      <c r="B174" s="120" t="str">
        <f t="shared" si="26"/>
        <v/>
      </c>
      <c r="C174" s="121" t="str">
        <f t="shared" si="37"/>
        <v/>
      </c>
      <c r="D174" s="122" t="str">
        <f t="shared" si="27"/>
        <v/>
      </c>
      <c r="E174" s="121" t="str">
        <f t="shared" si="28"/>
        <v/>
      </c>
      <c r="F174" s="121" t="str">
        <f t="shared" si="29"/>
        <v/>
      </c>
      <c r="G174" s="121" t="str">
        <f t="shared" si="30"/>
        <v/>
      </c>
      <c r="H174" s="121" t="str">
        <f t="shared" si="31"/>
        <v/>
      </c>
      <c r="I174" s="122" t="str">
        <f t="shared" si="38"/>
        <v/>
      </c>
      <c r="J174" s="121" t="str">
        <f t="shared" si="32"/>
        <v/>
      </c>
      <c r="K174" s="121" t="str">
        <f t="shared" si="33"/>
        <v/>
      </c>
      <c r="L174" s="121" t="str">
        <f t="shared" si="34"/>
        <v/>
      </c>
      <c r="M174" s="121" t="str">
        <f t="shared" si="35"/>
        <v/>
      </c>
    </row>
    <row r="175" spans="1:13" x14ac:dyDescent="0.35">
      <c r="A175" s="80">
        <f t="shared" si="36"/>
        <v>145</v>
      </c>
      <c r="B175" s="120" t="str">
        <f t="shared" si="26"/>
        <v/>
      </c>
      <c r="C175" s="121" t="str">
        <f t="shared" si="37"/>
        <v/>
      </c>
      <c r="D175" s="122" t="str">
        <f t="shared" si="27"/>
        <v/>
      </c>
      <c r="E175" s="121" t="str">
        <f t="shared" si="28"/>
        <v/>
      </c>
      <c r="F175" s="121" t="str">
        <f t="shared" si="29"/>
        <v/>
      </c>
      <c r="G175" s="121" t="str">
        <f t="shared" si="30"/>
        <v/>
      </c>
      <c r="H175" s="121" t="str">
        <f t="shared" si="31"/>
        <v/>
      </c>
      <c r="I175" s="122" t="str">
        <f t="shared" si="38"/>
        <v/>
      </c>
      <c r="J175" s="121" t="str">
        <f t="shared" si="32"/>
        <v/>
      </c>
      <c r="K175" s="121" t="str">
        <f t="shared" si="33"/>
        <v/>
      </c>
      <c r="L175" s="121" t="str">
        <f t="shared" si="34"/>
        <v/>
      </c>
      <c r="M175" s="121" t="str">
        <f t="shared" si="35"/>
        <v/>
      </c>
    </row>
    <row r="176" spans="1:13" x14ac:dyDescent="0.35">
      <c r="A176" s="80">
        <f t="shared" si="36"/>
        <v>146</v>
      </c>
      <c r="B176" s="120" t="str">
        <f t="shared" si="26"/>
        <v/>
      </c>
      <c r="C176" s="121" t="str">
        <f t="shared" si="37"/>
        <v/>
      </c>
      <c r="D176" s="122" t="str">
        <f t="shared" si="27"/>
        <v/>
      </c>
      <c r="E176" s="121" t="str">
        <f t="shared" si="28"/>
        <v/>
      </c>
      <c r="F176" s="121" t="str">
        <f t="shared" si="29"/>
        <v/>
      </c>
      <c r="G176" s="121" t="str">
        <f t="shared" si="30"/>
        <v/>
      </c>
      <c r="H176" s="121" t="str">
        <f t="shared" si="31"/>
        <v/>
      </c>
      <c r="I176" s="122" t="str">
        <f t="shared" si="38"/>
        <v/>
      </c>
      <c r="J176" s="121" t="str">
        <f t="shared" si="32"/>
        <v/>
      </c>
      <c r="K176" s="121" t="str">
        <f t="shared" si="33"/>
        <v/>
      </c>
      <c r="L176" s="121" t="str">
        <f t="shared" si="34"/>
        <v/>
      </c>
      <c r="M176" s="121" t="str">
        <f t="shared" si="35"/>
        <v/>
      </c>
    </row>
    <row r="177" spans="1:13" x14ac:dyDescent="0.35">
      <c r="A177" s="80">
        <f t="shared" si="36"/>
        <v>147</v>
      </c>
      <c r="B177" s="120" t="str">
        <f t="shared" si="26"/>
        <v/>
      </c>
      <c r="C177" s="121" t="str">
        <f t="shared" si="37"/>
        <v/>
      </c>
      <c r="D177" s="122" t="str">
        <f t="shared" si="27"/>
        <v/>
      </c>
      <c r="E177" s="121" t="str">
        <f t="shared" si="28"/>
        <v/>
      </c>
      <c r="F177" s="121" t="str">
        <f t="shared" si="29"/>
        <v/>
      </c>
      <c r="G177" s="121" t="str">
        <f t="shared" si="30"/>
        <v/>
      </c>
      <c r="H177" s="121" t="str">
        <f t="shared" si="31"/>
        <v/>
      </c>
      <c r="I177" s="122" t="str">
        <f t="shared" si="38"/>
        <v/>
      </c>
      <c r="J177" s="121" t="str">
        <f t="shared" si="32"/>
        <v/>
      </c>
      <c r="K177" s="121" t="str">
        <f t="shared" si="33"/>
        <v/>
      </c>
      <c r="L177" s="121" t="str">
        <f t="shared" si="34"/>
        <v/>
      </c>
      <c r="M177" s="121" t="str">
        <f t="shared" si="35"/>
        <v/>
      </c>
    </row>
    <row r="178" spans="1:13" x14ac:dyDescent="0.35">
      <c r="A178" s="80">
        <f t="shared" si="36"/>
        <v>148</v>
      </c>
      <c r="B178" s="120" t="str">
        <f t="shared" si="26"/>
        <v/>
      </c>
      <c r="C178" s="121" t="str">
        <f t="shared" si="37"/>
        <v/>
      </c>
      <c r="D178" s="122" t="str">
        <f t="shared" si="27"/>
        <v/>
      </c>
      <c r="E178" s="121" t="str">
        <f t="shared" si="28"/>
        <v/>
      </c>
      <c r="F178" s="121" t="str">
        <f t="shared" si="29"/>
        <v/>
      </c>
      <c r="G178" s="121" t="str">
        <f t="shared" si="30"/>
        <v/>
      </c>
      <c r="H178" s="121" t="str">
        <f t="shared" si="31"/>
        <v/>
      </c>
      <c r="I178" s="122" t="str">
        <f t="shared" si="38"/>
        <v/>
      </c>
      <c r="J178" s="121" t="str">
        <f t="shared" si="32"/>
        <v/>
      </c>
      <c r="K178" s="121" t="str">
        <f t="shared" si="33"/>
        <v/>
      </c>
      <c r="L178" s="121" t="str">
        <f t="shared" si="34"/>
        <v/>
      </c>
      <c r="M178" s="121" t="str">
        <f t="shared" si="35"/>
        <v/>
      </c>
    </row>
    <row r="179" spans="1:13" x14ac:dyDescent="0.35">
      <c r="A179" s="80">
        <f t="shared" si="36"/>
        <v>149</v>
      </c>
      <c r="B179" s="120" t="str">
        <f t="shared" si="26"/>
        <v/>
      </c>
      <c r="C179" s="121" t="str">
        <f t="shared" si="37"/>
        <v/>
      </c>
      <c r="D179" s="122" t="str">
        <f t="shared" si="27"/>
        <v/>
      </c>
      <c r="E179" s="121" t="str">
        <f t="shared" si="28"/>
        <v/>
      </c>
      <c r="F179" s="121" t="str">
        <f t="shared" si="29"/>
        <v/>
      </c>
      <c r="G179" s="121" t="str">
        <f t="shared" si="30"/>
        <v/>
      </c>
      <c r="H179" s="121" t="str">
        <f t="shared" si="31"/>
        <v/>
      </c>
      <c r="I179" s="122" t="str">
        <f t="shared" si="38"/>
        <v/>
      </c>
      <c r="J179" s="121" t="str">
        <f t="shared" si="32"/>
        <v/>
      </c>
      <c r="K179" s="121" t="str">
        <f t="shared" si="33"/>
        <v/>
      </c>
      <c r="L179" s="121" t="str">
        <f t="shared" si="34"/>
        <v/>
      </c>
      <c r="M179" s="121" t="str">
        <f t="shared" si="35"/>
        <v/>
      </c>
    </row>
    <row r="180" spans="1:13" x14ac:dyDescent="0.35">
      <c r="A180" s="80">
        <f t="shared" si="36"/>
        <v>150</v>
      </c>
      <c r="B180" s="120" t="str">
        <f t="shared" si="26"/>
        <v/>
      </c>
      <c r="C180" s="121" t="str">
        <f t="shared" si="37"/>
        <v/>
      </c>
      <c r="D180" s="122" t="str">
        <f t="shared" si="27"/>
        <v/>
      </c>
      <c r="E180" s="121" t="str">
        <f t="shared" si="28"/>
        <v/>
      </c>
      <c r="F180" s="121" t="str">
        <f t="shared" si="29"/>
        <v/>
      </c>
      <c r="G180" s="121" t="str">
        <f t="shared" si="30"/>
        <v/>
      </c>
      <c r="H180" s="121" t="str">
        <f t="shared" si="31"/>
        <v/>
      </c>
      <c r="I180" s="122" t="str">
        <f t="shared" si="38"/>
        <v/>
      </c>
      <c r="J180" s="121" t="str">
        <f t="shared" si="32"/>
        <v/>
      </c>
      <c r="K180" s="121" t="str">
        <f t="shared" si="33"/>
        <v/>
      </c>
      <c r="L180" s="121" t="str">
        <f t="shared" si="34"/>
        <v/>
      </c>
      <c r="M180" s="121" t="str">
        <f t="shared" si="35"/>
        <v/>
      </c>
    </row>
    <row r="181" spans="1:13" x14ac:dyDescent="0.35">
      <c r="A181" s="80">
        <f t="shared" si="36"/>
        <v>151</v>
      </c>
      <c r="B181" s="120" t="str">
        <f t="shared" si="26"/>
        <v/>
      </c>
      <c r="C181" s="121" t="str">
        <f t="shared" si="37"/>
        <v/>
      </c>
      <c r="D181" s="122" t="str">
        <f t="shared" si="27"/>
        <v/>
      </c>
      <c r="E181" s="121" t="str">
        <f t="shared" si="28"/>
        <v/>
      </c>
      <c r="F181" s="121" t="str">
        <f t="shared" si="29"/>
        <v/>
      </c>
      <c r="G181" s="121" t="str">
        <f t="shared" si="30"/>
        <v/>
      </c>
      <c r="H181" s="121" t="str">
        <f t="shared" si="31"/>
        <v/>
      </c>
      <c r="I181" s="122" t="str">
        <f t="shared" si="38"/>
        <v/>
      </c>
      <c r="J181" s="121" t="str">
        <f t="shared" si="32"/>
        <v/>
      </c>
      <c r="K181" s="121" t="str">
        <f t="shared" si="33"/>
        <v/>
      </c>
      <c r="L181" s="121" t="str">
        <f t="shared" si="34"/>
        <v/>
      </c>
      <c r="M181" s="121" t="str">
        <f t="shared" si="35"/>
        <v/>
      </c>
    </row>
    <row r="182" spans="1:13" x14ac:dyDescent="0.35">
      <c r="A182" s="80">
        <f t="shared" si="36"/>
        <v>152</v>
      </c>
      <c r="B182" s="120" t="str">
        <f t="shared" si="26"/>
        <v/>
      </c>
      <c r="C182" s="121" t="str">
        <f t="shared" si="37"/>
        <v/>
      </c>
      <c r="D182" s="122" t="str">
        <f t="shared" si="27"/>
        <v/>
      </c>
      <c r="E182" s="121" t="str">
        <f t="shared" si="28"/>
        <v/>
      </c>
      <c r="F182" s="121" t="str">
        <f t="shared" si="29"/>
        <v/>
      </c>
      <c r="G182" s="121" t="str">
        <f t="shared" si="30"/>
        <v/>
      </c>
      <c r="H182" s="121" t="str">
        <f t="shared" si="31"/>
        <v/>
      </c>
      <c r="I182" s="122" t="str">
        <f t="shared" si="38"/>
        <v/>
      </c>
      <c r="J182" s="121" t="str">
        <f t="shared" si="32"/>
        <v/>
      </c>
      <c r="K182" s="121" t="str">
        <f t="shared" si="33"/>
        <v/>
      </c>
      <c r="L182" s="121" t="str">
        <f t="shared" si="34"/>
        <v/>
      </c>
      <c r="M182" s="121" t="str">
        <f t="shared" si="35"/>
        <v/>
      </c>
    </row>
    <row r="183" spans="1:13" x14ac:dyDescent="0.35">
      <c r="A183" s="80">
        <f t="shared" si="36"/>
        <v>153</v>
      </c>
      <c r="B183" s="120" t="str">
        <f t="shared" si="26"/>
        <v/>
      </c>
      <c r="C183" s="121" t="str">
        <f t="shared" si="37"/>
        <v/>
      </c>
      <c r="D183" s="122" t="str">
        <f t="shared" si="27"/>
        <v/>
      </c>
      <c r="E183" s="121" t="str">
        <f t="shared" si="28"/>
        <v/>
      </c>
      <c r="F183" s="121" t="str">
        <f t="shared" si="29"/>
        <v/>
      </c>
      <c r="G183" s="121" t="str">
        <f t="shared" si="30"/>
        <v/>
      </c>
      <c r="H183" s="121" t="str">
        <f t="shared" si="31"/>
        <v/>
      </c>
      <c r="I183" s="122" t="str">
        <f t="shared" si="38"/>
        <v/>
      </c>
      <c r="J183" s="121" t="str">
        <f t="shared" si="32"/>
        <v/>
      </c>
      <c r="K183" s="121" t="str">
        <f t="shared" si="33"/>
        <v/>
      </c>
      <c r="L183" s="121" t="str">
        <f t="shared" si="34"/>
        <v/>
      </c>
      <c r="M183" s="121" t="str">
        <f t="shared" si="35"/>
        <v/>
      </c>
    </row>
    <row r="184" spans="1:13" x14ac:dyDescent="0.35">
      <c r="A184" s="80">
        <f t="shared" si="36"/>
        <v>154</v>
      </c>
      <c r="B184" s="120" t="str">
        <f t="shared" si="26"/>
        <v/>
      </c>
      <c r="C184" s="121" t="str">
        <f t="shared" si="37"/>
        <v/>
      </c>
      <c r="D184" s="122" t="str">
        <f t="shared" si="27"/>
        <v/>
      </c>
      <c r="E184" s="121" t="str">
        <f t="shared" si="28"/>
        <v/>
      </c>
      <c r="F184" s="121" t="str">
        <f t="shared" si="29"/>
        <v/>
      </c>
      <c r="G184" s="121" t="str">
        <f t="shared" si="30"/>
        <v/>
      </c>
      <c r="H184" s="121" t="str">
        <f t="shared" si="31"/>
        <v/>
      </c>
      <c r="I184" s="122" t="str">
        <f t="shared" si="38"/>
        <v/>
      </c>
      <c r="J184" s="121" t="str">
        <f t="shared" si="32"/>
        <v/>
      </c>
      <c r="K184" s="121" t="str">
        <f t="shared" si="33"/>
        <v/>
      </c>
      <c r="L184" s="121" t="str">
        <f t="shared" si="34"/>
        <v/>
      </c>
      <c r="M184" s="121" t="str">
        <f t="shared" si="35"/>
        <v/>
      </c>
    </row>
    <row r="185" spans="1:13" x14ac:dyDescent="0.35">
      <c r="A185" s="80">
        <f t="shared" si="36"/>
        <v>155</v>
      </c>
      <c r="B185" s="120" t="str">
        <f t="shared" si="26"/>
        <v/>
      </c>
      <c r="C185" s="121" t="str">
        <f t="shared" si="37"/>
        <v/>
      </c>
      <c r="D185" s="122" t="str">
        <f t="shared" si="27"/>
        <v/>
      </c>
      <c r="E185" s="121" t="str">
        <f t="shared" si="28"/>
        <v/>
      </c>
      <c r="F185" s="121" t="str">
        <f t="shared" si="29"/>
        <v/>
      </c>
      <c r="G185" s="121" t="str">
        <f t="shared" si="30"/>
        <v/>
      </c>
      <c r="H185" s="121" t="str">
        <f t="shared" si="31"/>
        <v/>
      </c>
      <c r="I185" s="122" t="str">
        <f t="shared" si="38"/>
        <v/>
      </c>
      <c r="J185" s="121" t="str">
        <f t="shared" si="32"/>
        <v/>
      </c>
      <c r="K185" s="121" t="str">
        <f t="shared" si="33"/>
        <v/>
      </c>
      <c r="L185" s="121" t="str">
        <f t="shared" si="34"/>
        <v/>
      </c>
      <c r="M185" s="121" t="str">
        <f t="shared" si="35"/>
        <v/>
      </c>
    </row>
    <row r="186" spans="1:13" x14ac:dyDescent="0.35">
      <c r="A186" s="80">
        <f t="shared" si="36"/>
        <v>156</v>
      </c>
      <c r="B186" s="120" t="str">
        <f t="shared" si="26"/>
        <v/>
      </c>
      <c r="C186" s="121" t="str">
        <f t="shared" si="37"/>
        <v/>
      </c>
      <c r="D186" s="122" t="str">
        <f t="shared" si="27"/>
        <v/>
      </c>
      <c r="E186" s="121" t="str">
        <f t="shared" si="28"/>
        <v/>
      </c>
      <c r="F186" s="121" t="str">
        <f t="shared" si="29"/>
        <v/>
      </c>
      <c r="G186" s="121" t="str">
        <f t="shared" si="30"/>
        <v/>
      </c>
      <c r="H186" s="121" t="str">
        <f t="shared" si="31"/>
        <v/>
      </c>
      <c r="I186" s="122" t="str">
        <f t="shared" si="38"/>
        <v/>
      </c>
      <c r="J186" s="121" t="str">
        <f t="shared" si="32"/>
        <v/>
      </c>
      <c r="K186" s="121" t="str">
        <f t="shared" si="33"/>
        <v/>
      </c>
      <c r="L186" s="121" t="str">
        <f t="shared" si="34"/>
        <v/>
      </c>
      <c r="M186" s="121" t="str">
        <f t="shared" si="35"/>
        <v/>
      </c>
    </row>
    <row r="187" spans="1:13" x14ac:dyDescent="0.35">
      <c r="A187" s="80">
        <f t="shared" si="36"/>
        <v>157</v>
      </c>
      <c r="B187" s="120" t="str">
        <f t="shared" si="26"/>
        <v/>
      </c>
      <c r="C187" s="121" t="str">
        <f t="shared" si="37"/>
        <v/>
      </c>
      <c r="D187" s="122" t="str">
        <f t="shared" si="27"/>
        <v/>
      </c>
      <c r="E187" s="121" t="str">
        <f t="shared" si="28"/>
        <v/>
      </c>
      <c r="F187" s="121" t="str">
        <f t="shared" si="29"/>
        <v/>
      </c>
      <c r="G187" s="121" t="str">
        <f t="shared" si="30"/>
        <v/>
      </c>
      <c r="H187" s="121" t="str">
        <f t="shared" si="31"/>
        <v/>
      </c>
      <c r="I187" s="122" t="str">
        <f t="shared" si="38"/>
        <v/>
      </c>
      <c r="J187" s="121" t="str">
        <f t="shared" si="32"/>
        <v/>
      </c>
      <c r="K187" s="121" t="str">
        <f t="shared" si="33"/>
        <v/>
      </c>
      <c r="L187" s="121" t="str">
        <f t="shared" si="34"/>
        <v/>
      </c>
      <c r="M187" s="121" t="str">
        <f t="shared" si="35"/>
        <v/>
      </c>
    </row>
    <row r="188" spans="1:13" x14ac:dyDescent="0.35">
      <c r="A188" s="80">
        <f t="shared" si="36"/>
        <v>158</v>
      </c>
      <c r="B188" s="120" t="str">
        <f t="shared" si="26"/>
        <v/>
      </c>
      <c r="C188" s="121" t="str">
        <f t="shared" si="37"/>
        <v/>
      </c>
      <c r="D188" s="122" t="str">
        <f t="shared" si="27"/>
        <v/>
      </c>
      <c r="E188" s="121" t="str">
        <f t="shared" si="28"/>
        <v/>
      </c>
      <c r="F188" s="121" t="str">
        <f t="shared" si="29"/>
        <v/>
      </c>
      <c r="G188" s="121" t="str">
        <f t="shared" si="30"/>
        <v/>
      </c>
      <c r="H188" s="121" t="str">
        <f t="shared" si="31"/>
        <v/>
      </c>
      <c r="I188" s="122" t="str">
        <f t="shared" si="38"/>
        <v/>
      </c>
      <c r="J188" s="121" t="str">
        <f t="shared" si="32"/>
        <v/>
      </c>
      <c r="K188" s="121" t="str">
        <f t="shared" si="33"/>
        <v/>
      </c>
      <c r="L188" s="121" t="str">
        <f t="shared" si="34"/>
        <v/>
      </c>
      <c r="M188" s="121" t="str">
        <f t="shared" si="35"/>
        <v/>
      </c>
    </row>
    <row r="189" spans="1:13" x14ac:dyDescent="0.35">
      <c r="A189" s="80">
        <f t="shared" si="36"/>
        <v>159</v>
      </c>
      <c r="B189" s="120" t="str">
        <f t="shared" si="26"/>
        <v/>
      </c>
      <c r="C189" s="121" t="str">
        <f t="shared" si="37"/>
        <v/>
      </c>
      <c r="D189" s="122" t="str">
        <f t="shared" si="27"/>
        <v/>
      </c>
      <c r="E189" s="121" t="str">
        <f t="shared" si="28"/>
        <v/>
      </c>
      <c r="F189" s="121" t="str">
        <f t="shared" si="29"/>
        <v/>
      </c>
      <c r="G189" s="121" t="str">
        <f t="shared" si="30"/>
        <v/>
      </c>
      <c r="H189" s="121" t="str">
        <f t="shared" si="31"/>
        <v/>
      </c>
      <c r="I189" s="122" t="str">
        <f t="shared" si="38"/>
        <v/>
      </c>
      <c r="J189" s="121" t="str">
        <f t="shared" si="32"/>
        <v/>
      </c>
      <c r="K189" s="121" t="str">
        <f t="shared" si="33"/>
        <v/>
      </c>
      <c r="L189" s="121" t="str">
        <f t="shared" si="34"/>
        <v/>
      </c>
      <c r="M189" s="121" t="str">
        <f t="shared" si="35"/>
        <v/>
      </c>
    </row>
    <row r="190" spans="1:13" x14ac:dyDescent="0.35">
      <c r="A190" s="80">
        <f t="shared" si="36"/>
        <v>160</v>
      </c>
      <c r="B190" s="120" t="str">
        <f t="shared" si="26"/>
        <v/>
      </c>
      <c r="C190" s="121" t="str">
        <f t="shared" si="37"/>
        <v/>
      </c>
      <c r="D190" s="122" t="str">
        <f t="shared" si="27"/>
        <v/>
      </c>
      <c r="E190" s="121" t="str">
        <f t="shared" si="28"/>
        <v/>
      </c>
      <c r="F190" s="121" t="str">
        <f t="shared" si="29"/>
        <v/>
      </c>
      <c r="G190" s="121" t="str">
        <f t="shared" si="30"/>
        <v/>
      </c>
      <c r="H190" s="121" t="str">
        <f t="shared" si="31"/>
        <v/>
      </c>
      <c r="I190" s="122" t="str">
        <f t="shared" si="38"/>
        <v/>
      </c>
      <c r="J190" s="121" t="str">
        <f t="shared" si="32"/>
        <v/>
      </c>
      <c r="K190" s="121" t="str">
        <f t="shared" si="33"/>
        <v/>
      </c>
      <c r="L190" s="121" t="str">
        <f t="shared" si="34"/>
        <v/>
      </c>
      <c r="M190" s="121" t="str">
        <f t="shared" si="35"/>
        <v/>
      </c>
    </row>
    <row r="191" spans="1:13" x14ac:dyDescent="0.35">
      <c r="A191" s="80">
        <f t="shared" si="36"/>
        <v>161</v>
      </c>
      <c r="B191" s="120" t="str">
        <f t="shared" si="26"/>
        <v/>
      </c>
      <c r="C191" s="121" t="str">
        <f t="shared" si="37"/>
        <v/>
      </c>
      <c r="D191" s="122" t="str">
        <f t="shared" si="27"/>
        <v/>
      </c>
      <c r="E191" s="121" t="str">
        <f t="shared" si="28"/>
        <v/>
      </c>
      <c r="F191" s="121" t="str">
        <f t="shared" si="29"/>
        <v/>
      </c>
      <c r="G191" s="121" t="str">
        <f t="shared" si="30"/>
        <v/>
      </c>
      <c r="H191" s="121" t="str">
        <f t="shared" si="31"/>
        <v/>
      </c>
      <c r="I191" s="122" t="str">
        <f t="shared" si="38"/>
        <v/>
      </c>
      <c r="J191" s="121" t="str">
        <f t="shared" si="32"/>
        <v/>
      </c>
      <c r="K191" s="121" t="str">
        <f t="shared" si="33"/>
        <v/>
      </c>
      <c r="L191" s="121" t="str">
        <f t="shared" si="34"/>
        <v/>
      </c>
      <c r="M191" s="121" t="str">
        <f t="shared" si="35"/>
        <v/>
      </c>
    </row>
    <row r="192" spans="1:13" x14ac:dyDescent="0.35">
      <c r="A192" s="80">
        <f t="shared" si="36"/>
        <v>162</v>
      </c>
      <c r="B192" s="120" t="str">
        <f t="shared" si="26"/>
        <v/>
      </c>
      <c r="C192" s="121" t="str">
        <f t="shared" si="37"/>
        <v/>
      </c>
      <c r="D192" s="122" t="str">
        <f t="shared" si="27"/>
        <v/>
      </c>
      <c r="E192" s="121" t="str">
        <f t="shared" si="28"/>
        <v/>
      </c>
      <c r="F192" s="121" t="str">
        <f t="shared" si="29"/>
        <v/>
      </c>
      <c r="G192" s="121" t="str">
        <f t="shared" si="30"/>
        <v/>
      </c>
      <c r="H192" s="121" t="str">
        <f t="shared" si="31"/>
        <v/>
      </c>
      <c r="I192" s="122" t="str">
        <f t="shared" si="38"/>
        <v/>
      </c>
      <c r="J192" s="121" t="str">
        <f t="shared" si="32"/>
        <v/>
      </c>
      <c r="K192" s="121" t="str">
        <f t="shared" si="33"/>
        <v/>
      </c>
      <c r="L192" s="121" t="str">
        <f t="shared" si="34"/>
        <v/>
      </c>
      <c r="M192" s="121" t="str">
        <f t="shared" si="35"/>
        <v/>
      </c>
    </row>
    <row r="193" spans="1:13" x14ac:dyDescent="0.35">
      <c r="A193" s="80">
        <f t="shared" si="36"/>
        <v>163</v>
      </c>
      <c r="B193" s="120" t="str">
        <f t="shared" si="26"/>
        <v/>
      </c>
      <c r="C193" s="121" t="str">
        <f t="shared" si="37"/>
        <v/>
      </c>
      <c r="D193" s="122" t="str">
        <f t="shared" si="27"/>
        <v/>
      </c>
      <c r="E193" s="121" t="str">
        <f t="shared" si="28"/>
        <v/>
      </c>
      <c r="F193" s="121" t="str">
        <f t="shared" si="29"/>
        <v/>
      </c>
      <c r="G193" s="121" t="str">
        <f t="shared" si="30"/>
        <v/>
      </c>
      <c r="H193" s="121" t="str">
        <f t="shared" si="31"/>
        <v/>
      </c>
      <c r="I193" s="122" t="str">
        <f t="shared" si="38"/>
        <v/>
      </c>
      <c r="J193" s="121" t="str">
        <f t="shared" si="32"/>
        <v/>
      </c>
      <c r="K193" s="121" t="str">
        <f t="shared" si="33"/>
        <v/>
      </c>
      <c r="L193" s="121" t="str">
        <f t="shared" si="34"/>
        <v/>
      </c>
      <c r="M193" s="121" t="str">
        <f t="shared" si="35"/>
        <v/>
      </c>
    </row>
    <row r="194" spans="1:13" x14ac:dyDescent="0.35">
      <c r="A194" s="80">
        <f t="shared" si="36"/>
        <v>164</v>
      </c>
      <c r="B194" s="120" t="str">
        <f t="shared" si="26"/>
        <v/>
      </c>
      <c r="C194" s="121" t="str">
        <f t="shared" si="37"/>
        <v/>
      </c>
      <c r="D194" s="122" t="str">
        <f t="shared" si="27"/>
        <v/>
      </c>
      <c r="E194" s="121" t="str">
        <f t="shared" si="28"/>
        <v/>
      </c>
      <c r="F194" s="121" t="str">
        <f t="shared" si="29"/>
        <v/>
      </c>
      <c r="G194" s="121" t="str">
        <f t="shared" si="30"/>
        <v/>
      </c>
      <c r="H194" s="121" t="str">
        <f t="shared" si="31"/>
        <v/>
      </c>
      <c r="I194" s="122" t="str">
        <f t="shared" si="38"/>
        <v/>
      </c>
      <c r="J194" s="121" t="str">
        <f t="shared" si="32"/>
        <v/>
      </c>
      <c r="K194" s="121" t="str">
        <f t="shared" si="33"/>
        <v/>
      </c>
      <c r="L194" s="121" t="str">
        <f t="shared" si="34"/>
        <v/>
      </c>
      <c r="M194" s="121" t="str">
        <f t="shared" si="35"/>
        <v/>
      </c>
    </row>
    <row r="195" spans="1:13" x14ac:dyDescent="0.35">
      <c r="A195" s="80">
        <f t="shared" si="36"/>
        <v>165</v>
      </c>
      <c r="B195" s="120" t="str">
        <f t="shared" si="26"/>
        <v/>
      </c>
      <c r="C195" s="121" t="str">
        <f t="shared" si="37"/>
        <v/>
      </c>
      <c r="D195" s="122" t="str">
        <f t="shared" si="27"/>
        <v/>
      </c>
      <c r="E195" s="121" t="str">
        <f t="shared" si="28"/>
        <v/>
      </c>
      <c r="F195" s="121" t="str">
        <f t="shared" si="29"/>
        <v/>
      </c>
      <c r="G195" s="121" t="str">
        <f t="shared" si="30"/>
        <v/>
      </c>
      <c r="H195" s="121" t="str">
        <f t="shared" si="31"/>
        <v/>
      </c>
      <c r="I195" s="122" t="str">
        <f t="shared" si="38"/>
        <v/>
      </c>
      <c r="J195" s="121" t="str">
        <f t="shared" si="32"/>
        <v/>
      </c>
      <c r="K195" s="121" t="str">
        <f t="shared" si="33"/>
        <v/>
      </c>
      <c r="L195" s="121" t="str">
        <f t="shared" si="34"/>
        <v/>
      </c>
      <c r="M195" s="121" t="str">
        <f t="shared" si="35"/>
        <v/>
      </c>
    </row>
    <row r="196" spans="1:13" x14ac:dyDescent="0.35">
      <c r="A196" s="80">
        <f t="shared" si="36"/>
        <v>166</v>
      </c>
      <c r="B196" s="120" t="str">
        <f t="shared" si="26"/>
        <v/>
      </c>
      <c r="C196" s="121" t="str">
        <f t="shared" si="37"/>
        <v/>
      </c>
      <c r="D196" s="122" t="str">
        <f t="shared" si="27"/>
        <v/>
      </c>
      <c r="E196" s="121" t="str">
        <f t="shared" si="28"/>
        <v/>
      </c>
      <c r="F196" s="121" t="str">
        <f t="shared" si="29"/>
        <v/>
      </c>
      <c r="G196" s="121" t="str">
        <f t="shared" si="30"/>
        <v/>
      </c>
      <c r="H196" s="121" t="str">
        <f t="shared" si="31"/>
        <v/>
      </c>
      <c r="I196" s="122" t="str">
        <f t="shared" si="38"/>
        <v/>
      </c>
      <c r="J196" s="121" t="str">
        <f t="shared" si="32"/>
        <v/>
      </c>
      <c r="K196" s="121" t="str">
        <f t="shared" si="33"/>
        <v/>
      </c>
      <c r="L196" s="121" t="str">
        <f t="shared" si="34"/>
        <v/>
      </c>
      <c r="M196" s="121" t="str">
        <f t="shared" si="35"/>
        <v/>
      </c>
    </row>
    <row r="197" spans="1:13" x14ac:dyDescent="0.35">
      <c r="A197" s="80">
        <f t="shared" si="36"/>
        <v>167</v>
      </c>
      <c r="B197" s="120" t="str">
        <f t="shared" si="26"/>
        <v/>
      </c>
      <c r="C197" s="121" t="str">
        <f t="shared" si="37"/>
        <v/>
      </c>
      <c r="D197" s="122" t="str">
        <f t="shared" si="27"/>
        <v/>
      </c>
      <c r="E197" s="121" t="str">
        <f t="shared" si="28"/>
        <v/>
      </c>
      <c r="F197" s="121" t="str">
        <f t="shared" si="29"/>
        <v/>
      </c>
      <c r="G197" s="121" t="str">
        <f t="shared" si="30"/>
        <v/>
      </c>
      <c r="H197" s="121" t="str">
        <f t="shared" si="31"/>
        <v/>
      </c>
      <c r="I197" s="122" t="str">
        <f t="shared" si="38"/>
        <v/>
      </c>
      <c r="J197" s="121" t="str">
        <f t="shared" si="32"/>
        <v/>
      </c>
      <c r="K197" s="121" t="str">
        <f t="shared" si="33"/>
        <v/>
      </c>
      <c r="L197" s="121" t="str">
        <f t="shared" si="34"/>
        <v/>
      </c>
      <c r="M197" s="121" t="str">
        <f t="shared" si="35"/>
        <v/>
      </c>
    </row>
    <row r="198" spans="1:13" x14ac:dyDescent="0.35">
      <c r="A198" s="80">
        <f t="shared" si="36"/>
        <v>168</v>
      </c>
      <c r="B198" s="120" t="str">
        <f t="shared" si="26"/>
        <v/>
      </c>
      <c r="C198" s="121" t="str">
        <f t="shared" si="37"/>
        <v/>
      </c>
      <c r="D198" s="122" t="str">
        <f t="shared" si="27"/>
        <v/>
      </c>
      <c r="E198" s="121" t="str">
        <f t="shared" si="28"/>
        <v/>
      </c>
      <c r="F198" s="121" t="str">
        <f t="shared" si="29"/>
        <v/>
      </c>
      <c r="G198" s="121" t="str">
        <f t="shared" si="30"/>
        <v/>
      </c>
      <c r="H198" s="121" t="str">
        <f t="shared" si="31"/>
        <v/>
      </c>
      <c r="I198" s="122" t="str">
        <f t="shared" si="38"/>
        <v/>
      </c>
      <c r="J198" s="121" t="str">
        <f t="shared" si="32"/>
        <v/>
      </c>
      <c r="K198" s="121" t="str">
        <f t="shared" si="33"/>
        <v/>
      </c>
      <c r="L198" s="121" t="str">
        <f t="shared" si="34"/>
        <v/>
      </c>
      <c r="M198" s="121" t="str">
        <f t="shared" si="35"/>
        <v/>
      </c>
    </row>
    <row r="199" spans="1:13" x14ac:dyDescent="0.35">
      <c r="A199" s="80">
        <f t="shared" si="36"/>
        <v>169</v>
      </c>
      <c r="B199" s="120" t="str">
        <f t="shared" si="26"/>
        <v/>
      </c>
      <c r="C199" s="121" t="str">
        <f t="shared" si="37"/>
        <v/>
      </c>
      <c r="D199" s="122" t="str">
        <f t="shared" si="27"/>
        <v/>
      </c>
      <c r="E199" s="121" t="str">
        <f t="shared" si="28"/>
        <v/>
      </c>
      <c r="F199" s="121" t="str">
        <f t="shared" si="29"/>
        <v/>
      </c>
      <c r="G199" s="121" t="str">
        <f t="shared" si="30"/>
        <v/>
      </c>
      <c r="H199" s="121" t="str">
        <f t="shared" si="31"/>
        <v/>
      </c>
      <c r="I199" s="122" t="str">
        <f t="shared" si="38"/>
        <v/>
      </c>
      <c r="J199" s="121" t="str">
        <f t="shared" si="32"/>
        <v/>
      </c>
      <c r="K199" s="121" t="str">
        <f t="shared" si="33"/>
        <v/>
      </c>
      <c r="L199" s="121" t="str">
        <f t="shared" si="34"/>
        <v/>
      </c>
      <c r="M199" s="121" t="str">
        <f t="shared" si="35"/>
        <v/>
      </c>
    </row>
    <row r="200" spans="1:13" x14ac:dyDescent="0.35">
      <c r="A200" s="80">
        <f t="shared" si="36"/>
        <v>170</v>
      </c>
      <c r="B200" s="120" t="str">
        <f t="shared" si="26"/>
        <v/>
      </c>
      <c r="C200" s="121" t="str">
        <f t="shared" si="37"/>
        <v/>
      </c>
      <c r="D200" s="122" t="str">
        <f t="shared" si="27"/>
        <v/>
      </c>
      <c r="E200" s="121" t="str">
        <f t="shared" si="28"/>
        <v/>
      </c>
      <c r="F200" s="121" t="str">
        <f t="shared" si="29"/>
        <v/>
      </c>
      <c r="G200" s="121" t="str">
        <f t="shared" si="30"/>
        <v/>
      </c>
      <c r="H200" s="121" t="str">
        <f t="shared" si="31"/>
        <v/>
      </c>
      <c r="I200" s="122" t="str">
        <f t="shared" si="38"/>
        <v/>
      </c>
      <c r="J200" s="121" t="str">
        <f t="shared" si="32"/>
        <v/>
      </c>
      <c r="K200" s="121" t="str">
        <f t="shared" si="33"/>
        <v/>
      </c>
      <c r="L200" s="121" t="str">
        <f t="shared" si="34"/>
        <v/>
      </c>
      <c r="M200" s="121" t="str">
        <f t="shared" si="35"/>
        <v/>
      </c>
    </row>
    <row r="201" spans="1:13" x14ac:dyDescent="0.35">
      <c r="A201" s="80">
        <f t="shared" si="36"/>
        <v>171</v>
      </c>
      <c r="B201" s="120" t="str">
        <f t="shared" si="26"/>
        <v/>
      </c>
      <c r="C201" s="121" t="str">
        <f t="shared" si="37"/>
        <v/>
      </c>
      <c r="D201" s="122" t="str">
        <f t="shared" si="27"/>
        <v/>
      </c>
      <c r="E201" s="121" t="str">
        <f t="shared" si="28"/>
        <v/>
      </c>
      <c r="F201" s="121" t="str">
        <f t="shared" si="29"/>
        <v/>
      </c>
      <c r="G201" s="121" t="str">
        <f t="shared" si="30"/>
        <v/>
      </c>
      <c r="H201" s="121" t="str">
        <f t="shared" si="31"/>
        <v/>
      </c>
      <c r="I201" s="122" t="str">
        <f t="shared" si="38"/>
        <v/>
      </c>
      <c r="J201" s="121" t="str">
        <f t="shared" si="32"/>
        <v/>
      </c>
      <c r="K201" s="121" t="str">
        <f t="shared" si="33"/>
        <v/>
      </c>
      <c r="L201" s="121" t="str">
        <f t="shared" si="34"/>
        <v/>
      </c>
      <c r="M201" s="121" t="str">
        <f t="shared" si="35"/>
        <v/>
      </c>
    </row>
    <row r="202" spans="1:13" x14ac:dyDescent="0.35">
      <c r="A202" s="80">
        <f t="shared" si="36"/>
        <v>172</v>
      </c>
      <c r="B202" s="120" t="str">
        <f t="shared" si="26"/>
        <v/>
      </c>
      <c r="C202" s="121" t="str">
        <f t="shared" si="37"/>
        <v/>
      </c>
      <c r="D202" s="122" t="str">
        <f t="shared" si="27"/>
        <v/>
      </c>
      <c r="E202" s="121" t="str">
        <f t="shared" si="28"/>
        <v/>
      </c>
      <c r="F202" s="121" t="str">
        <f t="shared" si="29"/>
        <v/>
      </c>
      <c r="G202" s="121" t="str">
        <f t="shared" si="30"/>
        <v/>
      </c>
      <c r="H202" s="121" t="str">
        <f t="shared" si="31"/>
        <v/>
      </c>
      <c r="I202" s="122" t="str">
        <f t="shared" si="38"/>
        <v/>
      </c>
      <c r="J202" s="121" t="str">
        <f t="shared" si="32"/>
        <v/>
      </c>
      <c r="K202" s="121" t="str">
        <f t="shared" si="33"/>
        <v/>
      </c>
      <c r="L202" s="121" t="str">
        <f t="shared" si="34"/>
        <v/>
      </c>
      <c r="M202" s="121" t="str">
        <f t="shared" si="35"/>
        <v/>
      </c>
    </row>
    <row r="203" spans="1:13" x14ac:dyDescent="0.35">
      <c r="A203" s="80">
        <f t="shared" si="36"/>
        <v>173</v>
      </c>
      <c r="B203" s="120" t="str">
        <f t="shared" si="26"/>
        <v/>
      </c>
      <c r="C203" s="121" t="str">
        <f t="shared" si="37"/>
        <v/>
      </c>
      <c r="D203" s="122" t="str">
        <f t="shared" si="27"/>
        <v/>
      </c>
      <c r="E203" s="121" t="str">
        <f t="shared" si="28"/>
        <v/>
      </c>
      <c r="F203" s="121" t="str">
        <f t="shared" si="29"/>
        <v/>
      </c>
      <c r="G203" s="121" t="str">
        <f t="shared" si="30"/>
        <v/>
      </c>
      <c r="H203" s="121" t="str">
        <f t="shared" si="31"/>
        <v/>
      </c>
      <c r="I203" s="122" t="str">
        <f t="shared" si="38"/>
        <v/>
      </c>
      <c r="J203" s="121" t="str">
        <f t="shared" si="32"/>
        <v/>
      </c>
      <c r="K203" s="121" t="str">
        <f t="shared" si="33"/>
        <v/>
      </c>
      <c r="L203" s="121" t="str">
        <f t="shared" si="34"/>
        <v/>
      </c>
      <c r="M203" s="121" t="str">
        <f t="shared" si="35"/>
        <v/>
      </c>
    </row>
    <row r="204" spans="1:13" x14ac:dyDescent="0.35">
      <c r="A204" s="80">
        <f t="shared" si="36"/>
        <v>174</v>
      </c>
      <c r="B204" s="120" t="str">
        <f t="shared" si="26"/>
        <v/>
      </c>
      <c r="C204" s="121" t="str">
        <f t="shared" si="37"/>
        <v/>
      </c>
      <c r="D204" s="122" t="str">
        <f t="shared" si="27"/>
        <v/>
      </c>
      <c r="E204" s="121" t="str">
        <f t="shared" si="28"/>
        <v/>
      </c>
      <c r="F204" s="121" t="str">
        <f t="shared" si="29"/>
        <v/>
      </c>
      <c r="G204" s="121" t="str">
        <f t="shared" si="30"/>
        <v/>
      </c>
      <c r="H204" s="121" t="str">
        <f t="shared" si="31"/>
        <v/>
      </c>
      <c r="I204" s="122" t="str">
        <f t="shared" si="38"/>
        <v/>
      </c>
      <c r="J204" s="121" t="str">
        <f t="shared" si="32"/>
        <v/>
      </c>
      <c r="K204" s="121" t="str">
        <f t="shared" si="33"/>
        <v/>
      </c>
      <c r="L204" s="121" t="str">
        <f t="shared" si="34"/>
        <v/>
      </c>
      <c r="M204" s="121" t="str">
        <f t="shared" si="35"/>
        <v/>
      </c>
    </row>
    <row r="205" spans="1:13" x14ac:dyDescent="0.35">
      <c r="A205" s="80">
        <f t="shared" si="36"/>
        <v>175</v>
      </c>
      <c r="B205" s="120" t="str">
        <f t="shared" si="26"/>
        <v/>
      </c>
      <c r="C205" s="121" t="str">
        <f t="shared" si="37"/>
        <v/>
      </c>
      <c r="D205" s="122" t="str">
        <f t="shared" si="27"/>
        <v/>
      </c>
      <c r="E205" s="121" t="str">
        <f t="shared" si="28"/>
        <v/>
      </c>
      <c r="F205" s="121" t="str">
        <f t="shared" si="29"/>
        <v/>
      </c>
      <c r="G205" s="121" t="str">
        <f t="shared" si="30"/>
        <v/>
      </c>
      <c r="H205" s="121" t="str">
        <f t="shared" si="31"/>
        <v/>
      </c>
      <c r="I205" s="122" t="str">
        <f t="shared" si="38"/>
        <v/>
      </c>
      <c r="J205" s="121" t="str">
        <f t="shared" si="32"/>
        <v/>
      </c>
      <c r="K205" s="121" t="str">
        <f t="shared" si="33"/>
        <v/>
      </c>
      <c r="L205" s="121" t="str">
        <f t="shared" si="34"/>
        <v/>
      </c>
      <c r="M205" s="121" t="str">
        <f t="shared" si="35"/>
        <v/>
      </c>
    </row>
    <row r="206" spans="1:13" x14ac:dyDescent="0.35">
      <c r="A206" s="80">
        <f t="shared" si="36"/>
        <v>176</v>
      </c>
      <c r="B206" s="120" t="str">
        <f t="shared" si="26"/>
        <v/>
      </c>
      <c r="C206" s="121" t="str">
        <f t="shared" si="37"/>
        <v/>
      </c>
      <c r="D206" s="122" t="str">
        <f t="shared" si="27"/>
        <v/>
      </c>
      <c r="E206" s="121" t="str">
        <f t="shared" si="28"/>
        <v/>
      </c>
      <c r="F206" s="121" t="str">
        <f t="shared" si="29"/>
        <v/>
      </c>
      <c r="G206" s="121" t="str">
        <f t="shared" si="30"/>
        <v/>
      </c>
      <c r="H206" s="121" t="str">
        <f t="shared" si="31"/>
        <v/>
      </c>
      <c r="I206" s="122" t="str">
        <f t="shared" si="38"/>
        <v/>
      </c>
      <c r="J206" s="121" t="str">
        <f t="shared" si="32"/>
        <v/>
      </c>
      <c r="K206" s="121" t="str">
        <f t="shared" si="33"/>
        <v/>
      </c>
      <c r="L206" s="121" t="str">
        <f t="shared" si="34"/>
        <v/>
      </c>
      <c r="M206" s="121" t="str">
        <f t="shared" si="35"/>
        <v/>
      </c>
    </row>
    <row r="207" spans="1:13" x14ac:dyDescent="0.35">
      <c r="A207" s="80">
        <f t="shared" si="36"/>
        <v>177</v>
      </c>
      <c r="B207" s="120" t="str">
        <f t="shared" si="26"/>
        <v/>
      </c>
      <c r="C207" s="121" t="str">
        <f t="shared" si="37"/>
        <v/>
      </c>
      <c r="D207" s="122" t="str">
        <f t="shared" si="27"/>
        <v/>
      </c>
      <c r="E207" s="121" t="str">
        <f t="shared" si="28"/>
        <v/>
      </c>
      <c r="F207" s="121" t="str">
        <f t="shared" si="29"/>
        <v/>
      </c>
      <c r="G207" s="121" t="str">
        <f t="shared" si="30"/>
        <v/>
      </c>
      <c r="H207" s="121" t="str">
        <f t="shared" si="31"/>
        <v/>
      </c>
      <c r="I207" s="122" t="str">
        <f t="shared" si="38"/>
        <v/>
      </c>
      <c r="J207" s="121" t="str">
        <f t="shared" si="32"/>
        <v/>
      </c>
      <c r="K207" s="121" t="str">
        <f t="shared" si="33"/>
        <v/>
      </c>
      <c r="L207" s="121" t="str">
        <f t="shared" si="34"/>
        <v/>
      </c>
      <c r="M207" s="121" t="str">
        <f t="shared" si="35"/>
        <v/>
      </c>
    </row>
    <row r="208" spans="1:13" x14ac:dyDescent="0.35">
      <c r="A208" s="80">
        <f t="shared" si="36"/>
        <v>178</v>
      </c>
      <c r="B208" s="120" t="str">
        <f t="shared" si="26"/>
        <v/>
      </c>
      <c r="C208" s="121" t="str">
        <f t="shared" si="37"/>
        <v/>
      </c>
      <c r="D208" s="122" t="str">
        <f t="shared" si="27"/>
        <v/>
      </c>
      <c r="E208" s="121" t="str">
        <f t="shared" si="28"/>
        <v/>
      </c>
      <c r="F208" s="121" t="str">
        <f t="shared" si="29"/>
        <v/>
      </c>
      <c r="G208" s="121" t="str">
        <f t="shared" si="30"/>
        <v/>
      </c>
      <c r="H208" s="121" t="str">
        <f t="shared" si="31"/>
        <v/>
      </c>
      <c r="I208" s="122" t="str">
        <f t="shared" si="38"/>
        <v/>
      </c>
      <c r="J208" s="121" t="str">
        <f t="shared" si="32"/>
        <v/>
      </c>
      <c r="K208" s="121" t="str">
        <f t="shared" si="33"/>
        <v/>
      </c>
      <c r="L208" s="121" t="str">
        <f t="shared" si="34"/>
        <v/>
      </c>
      <c r="M208" s="121" t="str">
        <f t="shared" si="35"/>
        <v/>
      </c>
    </row>
    <row r="209" spans="1:13" x14ac:dyDescent="0.35">
      <c r="A209" s="80">
        <f t="shared" si="36"/>
        <v>179</v>
      </c>
      <c r="B209" s="120" t="str">
        <f t="shared" si="26"/>
        <v/>
      </c>
      <c r="C209" s="121" t="str">
        <f t="shared" si="37"/>
        <v/>
      </c>
      <c r="D209" s="122" t="str">
        <f t="shared" si="27"/>
        <v/>
      </c>
      <c r="E209" s="121" t="str">
        <f t="shared" si="28"/>
        <v/>
      </c>
      <c r="F209" s="121" t="str">
        <f t="shared" si="29"/>
        <v/>
      </c>
      <c r="G209" s="121" t="str">
        <f t="shared" si="30"/>
        <v/>
      </c>
      <c r="H209" s="121" t="str">
        <f t="shared" si="31"/>
        <v/>
      </c>
      <c r="I209" s="122" t="str">
        <f t="shared" si="38"/>
        <v/>
      </c>
      <c r="J209" s="121" t="str">
        <f t="shared" si="32"/>
        <v/>
      </c>
      <c r="K209" s="121" t="str">
        <f t="shared" si="33"/>
        <v/>
      </c>
      <c r="L209" s="121" t="str">
        <f t="shared" si="34"/>
        <v/>
      </c>
      <c r="M209" s="121" t="str">
        <f t="shared" si="35"/>
        <v/>
      </c>
    </row>
    <row r="210" spans="1:13" x14ac:dyDescent="0.35">
      <c r="A210" s="80">
        <f t="shared" si="36"/>
        <v>180</v>
      </c>
      <c r="B210" s="120" t="str">
        <f t="shared" si="26"/>
        <v/>
      </c>
      <c r="C210" s="121" t="str">
        <f t="shared" si="37"/>
        <v/>
      </c>
      <c r="D210" s="122" t="str">
        <f t="shared" si="27"/>
        <v/>
      </c>
      <c r="E210" s="121" t="str">
        <f t="shared" si="28"/>
        <v/>
      </c>
      <c r="F210" s="121" t="str">
        <f t="shared" si="29"/>
        <v/>
      </c>
      <c r="G210" s="121" t="str">
        <f t="shared" si="30"/>
        <v/>
      </c>
      <c r="H210" s="121" t="str">
        <f t="shared" si="31"/>
        <v/>
      </c>
      <c r="I210" s="122" t="str">
        <f t="shared" si="38"/>
        <v/>
      </c>
      <c r="J210" s="121" t="str">
        <f t="shared" si="32"/>
        <v/>
      </c>
      <c r="K210" s="121" t="str">
        <f t="shared" si="33"/>
        <v/>
      </c>
      <c r="L210" s="121" t="str">
        <f t="shared" si="34"/>
        <v/>
      </c>
      <c r="M210" s="121" t="str">
        <f t="shared" si="35"/>
        <v/>
      </c>
    </row>
    <row r="211" spans="1:13" x14ac:dyDescent="0.35">
      <c r="A211" s="80">
        <f t="shared" si="36"/>
        <v>181</v>
      </c>
      <c r="B211" s="120" t="str">
        <f t="shared" si="26"/>
        <v/>
      </c>
      <c r="C211" s="121" t="str">
        <f t="shared" si="37"/>
        <v/>
      </c>
      <c r="D211" s="122" t="str">
        <f t="shared" si="27"/>
        <v/>
      </c>
      <c r="E211" s="121" t="str">
        <f t="shared" si="28"/>
        <v/>
      </c>
      <c r="F211" s="121" t="str">
        <f t="shared" si="29"/>
        <v/>
      </c>
      <c r="G211" s="121" t="str">
        <f t="shared" si="30"/>
        <v/>
      </c>
      <c r="H211" s="121" t="str">
        <f t="shared" si="31"/>
        <v/>
      </c>
      <c r="I211" s="122" t="str">
        <f t="shared" si="38"/>
        <v/>
      </c>
      <c r="J211" s="121" t="str">
        <f t="shared" si="32"/>
        <v/>
      </c>
      <c r="K211" s="121" t="str">
        <f t="shared" si="33"/>
        <v/>
      </c>
      <c r="L211" s="121" t="str">
        <f t="shared" si="34"/>
        <v/>
      </c>
      <c r="M211" s="121" t="str">
        <f t="shared" si="35"/>
        <v/>
      </c>
    </row>
    <row r="212" spans="1:13" x14ac:dyDescent="0.35">
      <c r="A212" s="80">
        <f t="shared" si="36"/>
        <v>182</v>
      </c>
      <c r="B212" s="120" t="str">
        <f t="shared" si="26"/>
        <v/>
      </c>
      <c r="C212" s="121" t="str">
        <f t="shared" si="37"/>
        <v/>
      </c>
      <c r="D212" s="122" t="str">
        <f t="shared" si="27"/>
        <v/>
      </c>
      <c r="E212" s="121" t="str">
        <f t="shared" si="28"/>
        <v/>
      </c>
      <c r="F212" s="121" t="str">
        <f t="shared" si="29"/>
        <v/>
      </c>
      <c r="G212" s="121" t="str">
        <f t="shared" si="30"/>
        <v/>
      </c>
      <c r="H212" s="121" t="str">
        <f t="shared" si="31"/>
        <v/>
      </c>
      <c r="I212" s="122" t="str">
        <f t="shared" si="38"/>
        <v/>
      </c>
      <c r="J212" s="121" t="str">
        <f t="shared" si="32"/>
        <v/>
      </c>
      <c r="K212" s="121" t="str">
        <f t="shared" si="33"/>
        <v/>
      </c>
      <c r="L212" s="121" t="str">
        <f t="shared" si="34"/>
        <v/>
      </c>
      <c r="M212" s="121" t="str">
        <f t="shared" si="35"/>
        <v/>
      </c>
    </row>
    <row r="213" spans="1:13" x14ac:dyDescent="0.35">
      <c r="A213" s="80">
        <f t="shared" si="36"/>
        <v>183</v>
      </c>
      <c r="B213" s="120" t="str">
        <f t="shared" si="26"/>
        <v/>
      </c>
      <c r="C213" s="121" t="str">
        <f t="shared" si="37"/>
        <v/>
      </c>
      <c r="D213" s="122" t="str">
        <f t="shared" si="27"/>
        <v/>
      </c>
      <c r="E213" s="121" t="str">
        <f t="shared" si="28"/>
        <v/>
      </c>
      <c r="F213" s="121" t="str">
        <f t="shared" si="29"/>
        <v/>
      </c>
      <c r="G213" s="121" t="str">
        <f t="shared" si="30"/>
        <v/>
      </c>
      <c r="H213" s="121" t="str">
        <f t="shared" si="31"/>
        <v/>
      </c>
      <c r="I213" s="122" t="str">
        <f t="shared" si="38"/>
        <v/>
      </c>
      <c r="J213" s="121" t="str">
        <f t="shared" si="32"/>
        <v/>
      </c>
      <c r="K213" s="121" t="str">
        <f t="shared" si="33"/>
        <v/>
      </c>
      <c r="L213" s="121" t="str">
        <f t="shared" si="34"/>
        <v/>
      </c>
      <c r="M213" s="121" t="str">
        <f t="shared" si="35"/>
        <v/>
      </c>
    </row>
    <row r="214" spans="1:13" x14ac:dyDescent="0.35">
      <c r="A214" s="80">
        <f t="shared" si="36"/>
        <v>184</v>
      </c>
      <c r="B214" s="120" t="str">
        <f t="shared" si="26"/>
        <v/>
      </c>
      <c r="C214" s="121" t="str">
        <f t="shared" si="37"/>
        <v/>
      </c>
      <c r="D214" s="122" t="str">
        <f t="shared" si="27"/>
        <v/>
      </c>
      <c r="E214" s="121" t="str">
        <f t="shared" si="28"/>
        <v/>
      </c>
      <c r="F214" s="121" t="str">
        <f t="shared" si="29"/>
        <v/>
      </c>
      <c r="G214" s="121" t="str">
        <f t="shared" si="30"/>
        <v/>
      </c>
      <c r="H214" s="121" t="str">
        <f t="shared" si="31"/>
        <v/>
      </c>
      <c r="I214" s="122" t="str">
        <f t="shared" si="38"/>
        <v/>
      </c>
      <c r="J214" s="121" t="str">
        <f t="shared" si="32"/>
        <v/>
      </c>
      <c r="K214" s="121" t="str">
        <f t="shared" si="33"/>
        <v/>
      </c>
      <c r="L214" s="121" t="str">
        <f t="shared" si="34"/>
        <v/>
      </c>
      <c r="M214" s="121" t="str">
        <f t="shared" si="35"/>
        <v/>
      </c>
    </row>
    <row r="215" spans="1:13" x14ac:dyDescent="0.35">
      <c r="A215" s="80">
        <f t="shared" si="36"/>
        <v>185</v>
      </c>
      <c r="B215" s="120" t="str">
        <f t="shared" si="26"/>
        <v/>
      </c>
      <c r="C215" s="121" t="str">
        <f t="shared" si="37"/>
        <v/>
      </c>
      <c r="D215" s="122" t="str">
        <f t="shared" si="27"/>
        <v/>
      </c>
      <c r="E215" s="121" t="str">
        <f t="shared" si="28"/>
        <v/>
      </c>
      <c r="F215" s="121" t="str">
        <f t="shared" si="29"/>
        <v/>
      </c>
      <c r="G215" s="121" t="str">
        <f t="shared" si="30"/>
        <v/>
      </c>
      <c r="H215" s="121" t="str">
        <f t="shared" si="31"/>
        <v/>
      </c>
      <c r="I215" s="122" t="str">
        <f t="shared" si="38"/>
        <v/>
      </c>
      <c r="J215" s="121" t="str">
        <f t="shared" si="32"/>
        <v/>
      </c>
      <c r="K215" s="121" t="str">
        <f t="shared" si="33"/>
        <v/>
      </c>
      <c r="L215" s="121" t="str">
        <f t="shared" si="34"/>
        <v/>
      </c>
      <c r="M215" s="121" t="str">
        <f t="shared" si="35"/>
        <v/>
      </c>
    </row>
    <row r="216" spans="1:13" x14ac:dyDescent="0.35">
      <c r="A216" s="80">
        <f t="shared" si="36"/>
        <v>186</v>
      </c>
      <c r="B216" s="120" t="str">
        <f t="shared" si="26"/>
        <v/>
      </c>
      <c r="C216" s="121" t="str">
        <f t="shared" si="37"/>
        <v/>
      </c>
      <c r="D216" s="122" t="str">
        <f t="shared" si="27"/>
        <v/>
      </c>
      <c r="E216" s="121" t="str">
        <f t="shared" si="28"/>
        <v/>
      </c>
      <c r="F216" s="121" t="str">
        <f t="shared" si="29"/>
        <v/>
      </c>
      <c r="G216" s="121" t="str">
        <f t="shared" si="30"/>
        <v/>
      </c>
      <c r="H216" s="121" t="str">
        <f t="shared" si="31"/>
        <v/>
      </c>
      <c r="I216" s="122" t="str">
        <f t="shared" si="38"/>
        <v/>
      </c>
      <c r="J216" s="121" t="str">
        <f t="shared" si="32"/>
        <v/>
      </c>
      <c r="K216" s="121" t="str">
        <f t="shared" si="33"/>
        <v/>
      </c>
      <c r="L216" s="121" t="str">
        <f t="shared" si="34"/>
        <v/>
      </c>
      <c r="M216" s="121" t="str">
        <f t="shared" si="35"/>
        <v/>
      </c>
    </row>
    <row r="217" spans="1:13" x14ac:dyDescent="0.35">
      <c r="A217" s="80">
        <f t="shared" si="36"/>
        <v>187</v>
      </c>
      <c r="B217" s="120" t="str">
        <f t="shared" si="26"/>
        <v/>
      </c>
      <c r="C217" s="121" t="str">
        <f t="shared" si="37"/>
        <v/>
      </c>
      <c r="D217" s="122" t="str">
        <f t="shared" si="27"/>
        <v/>
      </c>
      <c r="E217" s="121" t="str">
        <f t="shared" si="28"/>
        <v/>
      </c>
      <c r="F217" s="121" t="str">
        <f t="shared" si="29"/>
        <v/>
      </c>
      <c r="G217" s="121" t="str">
        <f t="shared" si="30"/>
        <v/>
      </c>
      <c r="H217" s="121" t="str">
        <f t="shared" si="31"/>
        <v/>
      </c>
      <c r="I217" s="122" t="str">
        <f t="shared" si="38"/>
        <v/>
      </c>
      <c r="J217" s="121" t="str">
        <f t="shared" si="32"/>
        <v/>
      </c>
      <c r="K217" s="121" t="str">
        <f t="shared" si="33"/>
        <v/>
      </c>
      <c r="L217" s="121" t="str">
        <f t="shared" si="34"/>
        <v/>
      </c>
      <c r="M217" s="121" t="str">
        <f t="shared" si="35"/>
        <v/>
      </c>
    </row>
    <row r="218" spans="1:13" x14ac:dyDescent="0.35">
      <c r="A218" s="80">
        <f t="shared" si="36"/>
        <v>188</v>
      </c>
      <c r="B218" s="120" t="str">
        <f t="shared" si="26"/>
        <v/>
      </c>
      <c r="C218" s="121" t="str">
        <f t="shared" si="37"/>
        <v/>
      </c>
      <c r="D218" s="122" t="str">
        <f t="shared" si="27"/>
        <v/>
      </c>
      <c r="E218" s="121" t="str">
        <f t="shared" si="28"/>
        <v/>
      </c>
      <c r="F218" s="121" t="str">
        <f t="shared" si="29"/>
        <v/>
      </c>
      <c r="G218" s="121" t="str">
        <f t="shared" si="30"/>
        <v/>
      </c>
      <c r="H218" s="121" t="str">
        <f t="shared" si="31"/>
        <v/>
      </c>
      <c r="I218" s="122" t="str">
        <f t="shared" si="38"/>
        <v/>
      </c>
      <c r="J218" s="121" t="str">
        <f t="shared" si="32"/>
        <v/>
      </c>
      <c r="K218" s="121" t="str">
        <f t="shared" si="33"/>
        <v/>
      </c>
      <c r="L218" s="121" t="str">
        <f t="shared" si="34"/>
        <v/>
      </c>
      <c r="M218" s="121" t="str">
        <f t="shared" si="35"/>
        <v/>
      </c>
    </row>
    <row r="219" spans="1:13" x14ac:dyDescent="0.35">
      <c r="A219" s="80">
        <f t="shared" si="36"/>
        <v>189</v>
      </c>
      <c r="B219" s="120" t="str">
        <f t="shared" si="26"/>
        <v/>
      </c>
      <c r="C219" s="121" t="str">
        <f t="shared" si="37"/>
        <v/>
      </c>
      <c r="D219" s="122" t="str">
        <f t="shared" si="27"/>
        <v/>
      </c>
      <c r="E219" s="121" t="str">
        <f t="shared" si="28"/>
        <v/>
      </c>
      <c r="F219" s="121" t="str">
        <f t="shared" si="29"/>
        <v/>
      </c>
      <c r="G219" s="121" t="str">
        <f t="shared" si="30"/>
        <v/>
      </c>
      <c r="H219" s="121" t="str">
        <f t="shared" si="31"/>
        <v/>
      </c>
      <c r="I219" s="122" t="str">
        <f t="shared" si="38"/>
        <v/>
      </c>
      <c r="J219" s="121" t="str">
        <f t="shared" si="32"/>
        <v/>
      </c>
      <c r="K219" s="121" t="str">
        <f t="shared" si="33"/>
        <v/>
      </c>
      <c r="L219" s="121" t="str">
        <f t="shared" si="34"/>
        <v/>
      </c>
      <c r="M219" s="121" t="str">
        <f t="shared" si="35"/>
        <v/>
      </c>
    </row>
    <row r="220" spans="1:13" x14ac:dyDescent="0.35">
      <c r="A220" s="80">
        <f t="shared" si="36"/>
        <v>190</v>
      </c>
      <c r="B220" s="120" t="str">
        <f t="shared" si="26"/>
        <v/>
      </c>
      <c r="C220" s="121" t="str">
        <f t="shared" si="37"/>
        <v/>
      </c>
      <c r="D220" s="122" t="str">
        <f t="shared" si="27"/>
        <v/>
      </c>
      <c r="E220" s="121" t="str">
        <f t="shared" si="28"/>
        <v/>
      </c>
      <c r="F220" s="121" t="str">
        <f t="shared" si="29"/>
        <v/>
      </c>
      <c r="G220" s="121" t="str">
        <f t="shared" si="30"/>
        <v/>
      </c>
      <c r="H220" s="121" t="str">
        <f t="shared" si="31"/>
        <v/>
      </c>
      <c r="I220" s="122" t="str">
        <f t="shared" si="38"/>
        <v/>
      </c>
      <c r="J220" s="121" t="str">
        <f t="shared" si="32"/>
        <v/>
      </c>
      <c r="K220" s="121" t="str">
        <f t="shared" si="33"/>
        <v/>
      </c>
      <c r="L220" s="121" t="str">
        <f t="shared" si="34"/>
        <v/>
      </c>
      <c r="M220" s="121" t="str">
        <f t="shared" si="35"/>
        <v/>
      </c>
    </row>
    <row r="221" spans="1:13" x14ac:dyDescent="0.35">
      <c r="A221" s="80">
        <f t="shared" si="36"/>
        <v>191</v>
      </c>
      <c r="B221" s="120" t="str">
        <f t="shared" si="26"/>
        <v/>
      </c>
      <c r="C221" s="121" t="str">
        <f t="shared" si="37"/>
        <v/>
      </c>
      <c r="D221" s="122" t="str">
        <f t="shared" si="27"/>
        <v/>
      </c>
      <c r="E221" s="121" t="str">
        <f t="shared" si="28"/>
        <v/>
      </c>
      <c r="F221" s="121" t="str">
        <f t="shared" si="29"/>
        <v/>
      </c>
      <c r="G221" s="121" t="str">
        <f t="shared" si="30"/>
        <v/>
      </c>
      <c r="H221" s="121" t="str">
        <f t="shared" si="31"/>
        <v/>
      </c>
      <c r="I221" s="122" t="str">
        <f t="shared" si="38"/>
        <v/>
      </c>
      <c r="J221" s="121" t="str">
        <f t="shared" si="32"/>
        <v/>
      </c>
      <c r="K221" s="121" t="str">
        <f t="shared" si="33"/>
        <v/>
      </c>
      <c r="L221" s="121" t="str">
        <f t="shared" si="34"/>
        <v/>
      </c>
      <c r="M221" s="121" t="str">
        <f t="shared" si="35"/>
        <v/>
      </c>
    </row>
    <row r="222" spans="1:13" x14ac:dyDescent="0.35">
      <c r="A222" s="80">
        <f t="shared" si="36"/>
        <v>192</v>
      </c>
      <c r="B222" s="120" t="str">
        <f t="shared" si="26"/>
        <v/>
      </c>
      <c r="C222" s="121" t="str">
        <f t="shared" si="37"/>
        <v/>
      </c>
      <c r="D222" s="122" t="str">
        <f t="shared" si="27"/>
        <v/>
      </c>
      <c r="E222" s="121" t="str">
        <f t="shared" si="28"/>
        <v/>
      </c>
      <c r="F222" s="121" t="str">
        <f t="shared" si="29"/>
        <v/>
      </c>
      <c r="G222" s="121" t="str">
        <f t="shared" si="30"/>
        <v/>
      </c>
      <c r="H222" s="121" t="str">
        <f t="shared" si="31"/>
        <v/>
      </c>
      <c r="I222" s="122" t="str">
        <f t="shared" si="38"/>
        <v/>
      </c>
      <c r="J222" s="121" t="str">
        <f t="shared" si="32"/>
        <v/>
      </c>
      <c r="K222" s="121" t="str">
        <f t="shared" si="33"/>
        <v/>
      </c>
      <c r="L222" s="121" t="str">
        <f t="shared" si="34"/>
        <v/>
      </c>
      <c r="M222" s="121" t="str">
        <f t="shared" si="35"/>
        <v/>
      </c>
    </row>
    <row r="223" spans="1:13" x14ac:dyDescent="0.35">
      <c r="A223" s="80">
        <f t="shared" si="36"/>
        <v>193</v>
      </c>
      <c r="B223" s="120" t="str">
        <f t="shared" ref="B223:B286" si="39">IF(A223&lt;=$F$11,A223,"")</f>
        <v/>
      </c>
      <c r="C223" s="121" t="str">
        <f t="shared" si="37"/>
        <v/>
      </c>
      <c r="D223" s="122" t="str">
        <f t="shared" ref="D223:D286" si="40">IF(B223&lt;=$F$11,(C223*$F$13),"")</f>
        <v/>
      </c>
      <c r="E223" s="121" t="str">
        <f t="shared" ref="E223:E286" si="41">IF(B223&lt;=$F$12,0,IF(B223&lt;=$F$11,(-$F$16-D223),""))</f>
        <v/>
      </c>
      <c r="F223" s="121" t="str">
        <f t="shared" ref="F223:F286" si="42">IF(B223&lt;=$F$11,(($F$20*$F$2)+($F$19*$F$2)+(C223*$F$18)+($F$17*C223)),"")</f>
        <v/>
      </c>
      <c r="G223" s="121" t="str">
        <f t="shared" ref="G223:G286" si="43">IF(B223&lt;=$F$11,(D223+E223),"")</f>
        <v/>
      </c>
      <c r="H223" s="121" t="str">
        <f t="shared" ref="H223:H286" si="44">IF(B223&lt;=$F$11,(F223+G223),"")</f>
        <v/>
      </c>
      <c r="I223" s="122" t="str">
        <f t="shared" si="38"/>
        <v/>
      </c>
      <c r="J223" s="121" t="str">
        <f t="shared" ref="J223:J286" si="45">IF(B223&lt;=$F$11,(($F$20*$F$2*(1-$F$10))+($F$19*$F$2)+((C223*$F$18)*(1-$F$10))+(($F$17*C223))),"")</f>
        <v/>
      </c>
      <c r="K223" s="121" t="str">
        <f t="shared" ref="K223:K286" si="46">IF(B223&lt;=$F$11,(E223+I223),"")</f>
        <v/>
      </c>
      <c r="L223" s="121" t="str">
        <f t="shared" ref="L223:L286" si="47">IF(B223&lt;=$F$11,(J223+K223),"")</f>
        <v/>
      </c>
      <c r="M223" s="121" t="str">
        <f t="shared" ref="M223:M286" si="48">IF(B223&lt;=$F$11,(C223-E223),IF(B223&gt;$F$11,"",0))</f>
        <v/>
      </c>
    </row>
    <row r="224" spans="1:13" x14ac:dyDescent="0.35">
      <c r="A224" s="80">
        <f t="shared" ref="A224:A287" si="49">A223+1</f>
        <v>194</v>
      </c>
      <c r="B224" s="120" t="str">
        <f t="shared" si="39"/>
        <v/>
      </c>
      <c r="C224" s="121" t="str">
        <f t="shared" ref="C224:C287" si="50">IF(M223=0,"",M223)</f>
        <v/>
      </c>
      <c r="D224" s="122" t="str">
        <f t="shared" si="40"/>
        <v/>
      </c>
      <c r="E224" s="121" t="str">
        <f t="shared" si="41"/>
        <v/>
      </c>
      <c r="F224" s="121" t="str">
        <f t="shared" si="42"/>
        <v/>
      </c>
      <c r="G224" s="121" t="str">
        <f t="shared" si="43"/>
        <v/>
      </c>
      <c r="H224" s="121" t="str">
        <f t="shared" si="44"/>
        <v/>
      </c>
      <c r="I224" s="122" t="str">
        <f t="shared" ref="I224:I287" si="51">IF(B224&lt;=$F$11,(C224*$F$13)*(1-$F$10),"")</f>
        <v/>
      </c>
      <c r="J224" s="121" t="str">
        <f t="shared" si="45"/>
        <v/>
      </c>
      <c r="K224" s="121" t="str">
        <f t="shared" si="46"/>
        <v/>
      </c>
      <c r="L224" s="121" t="str">
        <f t="shared" si="47"/>
        <v/>
      </c>
      <c r="M224" s="121" t="str">
        <f t="shared" si="48"/>
        <v/>
      </c>
    </row>
    <row r="225" spans="1:13" x14ac:dyDescent="0.35">
      <c r="A225" s="80">
        <f t="shared" si="49"/>
        <v>195</v>
      </c>
      <c r="B225" s="120" t="str">
        <f t="shared" si="39"/>
        <v/>
      </c>
      <c r="C225" s="121" t="str">
        <f t="shared" si="50"/>
        <v/>
      </c>
      <c r="D225" s="122" t="str">
        <f t="shared" si="40"/>
        <v/>
      </c>
      <c r="E225" s="121" t="str">
        <f t="shared" si="41"/>
        <v/>
      </c>
      <c r="F225" s="121" t="str">
        <f t="shared" si="42"/>
        <v/>
      </c>
      <c r="G225" s="121" t="str">
        <f t="shared" si="43"/>
        <v/>
      </c>
      <c r="H225" s="121" t="str">
        <f t="shared" si="44"/>
        <v/>
      </c>
      <c r="I225" s="122" t="str">
        <f t="shared" si="51"/>
        <v/>
      </c>
      <c r="J225" s="121" t="str">
        <f t="shared" si="45"/>
        <v/>
      </c>
      <c r="K225" s="121" t="str">
        <f t="shared" si="46"/>
        <v/>
      </c>
      <c r="L225" s="121" t="str">
        <f t="shared" si="47"/>
        <v/>
      </c>
      <c r="M225" s="121" t="str">
        <f t="shared" si="48"/>
        <v/>
      </c>
    </row>
    <row r="226" spans="1:13" x14ac:dyDescent="0.35">
      <c r="A226" s="80">
        <f t="shared" si="49"/>
        <v>196</v>
      </c>
      <c r="B226" s="120" t="str">
        <f t="shared" si="39"/>
        <v/>
      </c>
      <c r="C226" s="121" t="str">
        <f t="shared" si="50"/>
        <v/>
      </c>
      <c r="D226" s="122" t="str">
        <f t="shared" si="40"/>
        <v/>
      </c>
      <c r="E226" s="121" t="str">
        <f t="shared" si="41"/>
        <v/>
      </c>
      <c r="F226" s="121" t="str">
        <f t="shared" si="42"/>
        <v/>
      </c>
      <c r="G226" s="121" t="str">
        <f t="shared" si="43"/>
        <v/>
      </c>
      <c r="H226" s="121" t="str">
        <f t="shared" si="44"/>
        <v/>
      </c>
      <c r="I226" s="122" t="str">
        <f t="shared" si="51"/>
        <v/>
      </c>
      <c r="J226" s="121" t="str">
        <f t="shared" si="45"/>
        <v/>
      </c>
      <c r="K226" s="121" t="str">
        <f t="shared" si="46"/>
        <v/>
      </c>
      <c r="L226" s="121" t="str">
        <f t="shared" si="47"/>
        <v/>
      </c>
      <c r="M226" s="121" t="str">
        <f t="shared" si="48"/>
        <v/>
      </c>
    </row>
    <row r="227" spans="1:13" x14ac:dyDescent="0.35">
      <c r="A227" s="80">
        <f t="shared" si="49"/>
        <v>197</v>
      </c>
      <c r="B227" s="120" t="str">
        <f t="shared" si="39"/>
        <v/>
      </c>
      <c r="C227" s="121" t="str">
        <f t="shared" si="50"/>
        <v/>
      </c>
      <c r="D227" s="122" t="str">
        <f t="shared" si="40"/>
        <v/>
      </c>
      <c r="E227" s="121" t="str">
        <f t="shared" si="41"/>
        <v/>
      </c>
      <c r="F227" s="121" t="str">
        <f t="shared" si="42"/>
        <v/>
      </c>
      <c r="G227" s="121" t="str">
        <f t="shared" si="43"/>
        <v/>
      </c>
      <c r="H227" s="121" t="str">
        <f t="shared" si="44"/>
        <v/>
      </c>
      <c r="I227" s="122" t="str">
        <f t="shared" si="51"/>
        <v/>
      </c>
      <c r="J227" s="121" t="str">
        <f t="shared" si="45"/>
        <v/>
      </c>
      <c r="K227" s="121" t="str">
        <f t="shared" si="46"/>
        <v/>
      </c>
      <c r="L227" s="121" t="str">
        <f t="shared" si="47"/>
        <v/>
      </c>
      <c r="M227" s="121" t="str">
        <f t="shared" si="48"/>
        <v/>
      </c>
    </row>
    <row r="228" spans="1:13" x14ac:dyDescent="0.35">
      <c r="A228" s="80">
        <f t="shared" si="49"/>
        <v>198</v>
      </c>
      <c r="B228" s="120" t="str">
        <f t="shared" si="39"/>
        <v/>
      </c>
      <c r="C228" s="121" t="str">
        <f t="shared" si="50"/>
        <v/>
      </c>
      <c r="D228" s="122" t="str">
        <f t="shared" si="40"/>
        <v/>
      </c>
      <c r="E228" s="121" t="str">
        <f t="shared" si="41"/>
        <v/>
      </c>
      <c r="F228" s="121" t="str">
        <f t="shared" si="42"/>
        <v/>
      </c>
      <c r="G228" s="121" t="str">
        <f t="shared" si="43"/>
        <v/>
      </c>
      <c r="H228" s="121" t="str">
        <f t="shared" si="44"/>
        <v/>
      </c>
      <c r="I228" s="122" t="str">
        <f t="shared" si="51"/>
        <v/>
      </c>
      <c r="J228" s="121" t="str">
        <f t="shared" si="45"/>
        <v/>
      </c>
      <c r="K228" s="121" t="str">
        <f t="shared" si="46"/>
        <v/>
      </c>
      <c r="L228" s="121" t="str">
        <f t="shared" si="47"/>
        <v/>
      </c>
      <c r="M228" s="121" t="str">
        <f t="shared" si="48"/>
        <v/>
      </c>
    </row>
    <row r="229" spans="1:13" x14ac:dyDescent="0.35">
      <c r="A229" s="80">
        <f t="shared" si="49"/>
        <v>199</v>
      </c>
      <c r="B229" s="120" t="str">
        <f t="shared" si="39"/>
        <v/>
      </c>
      <c r="C229" s="121" t="str">
        <f t="shared" si="50"/>
        <v/>
      </c>
      <c r="D229" s="122" t="str">
        <f t="shared" si="40"/>
        <v/>
      </c>
      <c r="E229" s="121" t="str">
        <f t="shared" si="41"/>
        <v/>
      </c>
      <c r="F229" s="121" t="str">
        <f t="shared" si="42"/>
        <v/>
      </c>
      <c r="G229" s="121" t="str">
        <f t="shared" si="43"/>
        <v/>
      </c>
      <c r="H229" s="121" t="str">
        <f t="shared" si="44"/>
        <v/>
      </c>
      <c r="I229" s="122" t="str">
        <f t="shared" si="51"/>
        <v/>
      </c>
      <c r="J229" s="121" t="str">
        <f t="shared" si="45"/>
        <v/>
      </c>
      <c r="K229" s="121" t="str">
        <f t="shared" si="46"/>
        <v/>
      </c>
      <c r="L229" s="121" t="str">
        <f t="shared" si="47"/>
        <v/>
      </c>
      <c r="M229" s="121" t="str">
        <f t="shared" si="48"/>
        <v/>
      </c>
    </row>
    <row r="230" spans="1:13" x14ac:dyDescent="0.35">
      <c r="A230" s="80">
        <f t="shared" si="49"/>
        <v>200</v>
      </c>
      <c r="B230" s="120" t="str">
        <f t="shared" si="39"/>
        <v/>
      </c>
      <c r="C230" s="121" t="str">
        <f t="shared" si="50"/>
        <v/>
      </c>
      <c r="D230" s="122" t="str">
        <f t="shared" si="40"/>
        <v/>
      </c>
      <c r="E230" s="121" t="str">
        <f t="shared" si="41"/>
        <v/>
      </c>
      <c r="F230" s="121" t="str">
        <f t="shared" si="42"/>
        <v/>
      </c>
      <c r="G230" s="121" t="str">
        <f t="shared" si="43"/>
        <v/>
      </c>
      <c r="H230" s="121" t="str">
        <f t="shared" si="44"/>
        <v/>
      </c>
      <c r="I230" s="122" t="str">
        <f t="shared" si="51"/>
        <v/>
      </c>
      <c r="J230" s="121" t="str">
        <f t="shared" si="45"/>
        <v/>
      </c>
      <c r="K230" s="121" t="str">
        <f t="shared" si="46"/>
        <v/>
      </c>
      <c r="L230" s="121" t="str">
        <f t="shared" si="47"/>
        <v/>
      </c>
      <c r="M230" s="121" t="str">
        <f t="shared" si="48"/>
        <v/>
      </c>
    </row>
    <row r="231" spans="1:13" x14ac:dyDescent="0.35">
      <c r="A231" s="80">
        <f t="shared" si="49"/>
        <v>201</v>
      </c>
      <c r="B231" s="120" t="str">
        <f t="shared" si="39"/>
        <v/>
      </c>
      <c r="C231" s="121" t="str">
        <f t="shared" si="50"/>
        <v/>
      </c>
      <c r="D231" s="122" t="str">
        <f t="shared" si="40"/>
        <v/>
      </c>
      <c r="E231" s="121" t="str">
        <f t="shared" si="41"/>
        <v/>
      </c>
      <c r="F231" s="121" t="str">
        <f t="shared" si="42"/>
        <v/>
      </c>
      <c r="G231" s="121" t="str">
        <f t="shared" si="43"/>
        <v/>
      </c>
      <c r="H231" s="121" t="str">
        <f t="shared" si="44"/>
        <v/>
      </c>
      <c r="I231" s="122" t="str">
        <f t="shared" si="51"/>
        <v/>
      </c>
      <c r="J231" s="121" t="str">
        <f t="shared" si="45"/>
        <v/>
      </c>
      <c r="K231" s="121" t="str">
        <f t="shared" si="46"/>
        <v/>
      </c>
      <c r="L231" s="121" t="str">
        <f t="shared" si="47"/>
        <v/>
      </c>
      <c r="M231" s="121" t="str">
        <f t="shared" si="48"/>
        <v/>
      </c>
    </row>
    <row r="232" spans="1:13" x14ac:dyDescent="0.35">
      <c r="A232" s="80">
        <f t="shared" si="49"/>
        <v>202</v>
      </c>
      <c r="B232" s="120" t="str">
        <f t="shared" si="39"/>
        <v/>
      </c>
      <c r="C232" s="121" t="str">
        <f t="shared" si="50"/>
        <v/>
      </c>
      <c r="D232" s="122" t="str">
        <f t="shared" si="40"/>
        <v/>
      </c>
      <c r="E232" s="121" t="str">
        <f t="shared" si="41"/>
        <v/>
      </c>
      <c r="F232" s="121" t="str">
        <f t="shared" si="42"/>
        <v/>
      </c>
      <c r="G232" s="121" t="str">
        <f t="shared" si="43"/>
        <v/>
      </c>
      <c r="H232" s="121" t="str">
        <f t="shared" si="44"/>
        <v/>
      </c>
      <c r="I232" s="122" t="str">
        <f t="shared" si="51"/>
        <v/>
      </c>
      <c r="J232" s="121" t="str">
        <f t="shared" si="45"/>
        <v/>
      </c>
      <c r="K232" s="121" t="str">
        <f t="shared" si="46"/>
        <v/>
      </c>
      <c r="L232" s="121" t="str">
        <f t="shared" si="47"/>
        <v/>
      </c>
      <c r="M232" s="121" t="str">
        <f t="shared" si="48"/>
        <v/>
      </c>
    </row>
    <row r="233" spans="1:13" x14ac:dyDescent="0.35">
      <c r="A233" s="80">
        <f t="shared" si="49"/>
        <v>203</v>
      </c>
      <c r="B233" s="120" t="str">
        <f t="shared" si="39"/>
        <v/>
      </c>
      <c r="C233" s="121" t="str">
        <f t="shared" si="50"/>
        <v/>
      </c>
      <c r="D233" s="122" t="str">
        <f t="shared" si="40"/>
        <v/>
      </c>
      <c r="E233" s="121" t="str">
        <f t="shared" si="41"/>
        <v/>
      </c>
      <c r="F233" s="121" t="str">
        <f t="shared" si="42"/>
        <v/>
      </c>
      <c r="G233" s="121" t="str">
        <f t="shared" si="43"/>
        <v/>
      </c>
      <c r="H233" s="121" t="str">
        <f t="shared" si="44"/>
        <v/>
      </c>
      <c r="I233" s="122" t="str">
        <f t="shared" si="51"/>
        <v/>
      </c>
      <c r="J233" s="121" t="str">
        <f t="shared" si="45"/>
        <v/>
      </c>
      <c r="K233" s="121" t="str">
        <f t="shared" si="46"/>
        <v/>
      </c>
      <c r="L233" s="121" t="str">
        <f t="shared" si="47"/>
        <v/>
      </c>
      <c r="M233" s="121" t="str">
        <f t="shared" si="48"/>
        <v/>
      </c>
    </row>
    <row r="234" spans="1:13" x14ac:dyDescent="0.35">
      <c r="A234" s="80">
        <f t="shared" si="49"/>
        <v>204</v>
      </c>
      <c r="B234" s="120" t="str">
        <f t="shared" si="39"/>
        <v/>
      </c>
      <c r="C234" s="121" t="str">
        <f t="shared" si="50"/>
        <v/>
      </c>
      <c r="D234" s="122" t="str">
        <f t="shared" si="40"/>
        <v/>
      </c>
      <c r="E234" s="121" t="str">
        <f t="shared" si="41"/>
        <v/>
      </c>
      <c r="F234" s="121" t="str">
        <f t="shared" si="42"/>
        <v/>
      </c>
      <c r="G234" s="121" t="str">
        <f t="shared" si="43"/>
        <v/>
      </c>
      <c r="H234" s="121" t="str">
        <f t="shared" si="44"/>
        <v/>
      </c>
      <c r="I234" s="122" t="str">
        <f t="shared" si="51"/>
        <v/>
      </c>
      <c r="J234" s="121" t="str">
        <f t="shared" si="45"/>
        <v/>
      </c>
      <c r="K234" s="121" t="str">
        <f t="shared" si="46"/>
        <v/>
      </c>
      <c r="L234" s="121" t="str">
        <f t="shared" si="47"/>
        <v/>
      </c>
      <c r="M234" s="121" t="str">
        <f t="shared" si="48"/>
        <v/>
      </c>
    </row>
    <row r="235" spans="1:13" x14ac:dyDescent="0.35">
      <c r="A235" s="80">
        <f t="shared" si="49"/>
        <v>205</v>
      </c>
      <c r="B235" s="120" t="str">
        <f t="shared" si="39"/>
        <v/>
      </c>
      <c r="C235" s="121" t="str">
        <f t="shared" si="50"/>
        <v/>
      </c>
      <c r="D235" s="122" t="str">
        <f t="shared" si="40"/>
        <v/>
      </c>
      <c r="E235" s="121" t="str">
        <f t="shared" si="41"/>
        <v/>
      </c>
      <c r="F235" s="121" t="str">
        <f t="shared" si="42"/>
        <v/>
      </c>
      <c r="G235" s="121" t="str">
        <f t="shared" si="43"/>
        <v/>
      </c>
      <c r="H235" s="121" t="str">
        <f t="shared" si="44"/>
        <v/>
      </c>
      <c r="I235" s="122" t="str">
        <f t="shared" si="51"/>
        <v/>
      </c>
      <c r="J235" s="121" t="str">
        <f t="shared" si="45"/>
        <v/>
      </c>
      <c r="K235" s="121" t="str">
        <f t="shared" si="46"/>
        <v/>
      </c>
      <c r="L235" s="121" t="str">
        <f t="shared" si="47"/>
        <v/>
      </c>
      <c r="M235" s="121" t="str">
        <f t="shared" si="48"/>
        <v/>
      </c>
    </row>
    <row r="236" spans="1:13" x14ac:dyDescent="0.35">
      <c r="A236" s="80">
        <f t="shared" si="49"/>
        <v>206</v>
      </c>
      <c r="B236" s="120" t="str">
        <f t="shared" si="39"/>
        <v/>
      </c>
      <c r="C236" s="121" t="str">
        <f t="shared" si="50"/>
        <v/>
      </c>
      <c r="D236" s="122" t="str">
        <f t="shared" si="40"/>
        <v/>
      </c>
      <c r="E236" s="121" t="str">
        <f t="shared" si="41"/>
        <v/>
      </c>
      <c r="F236" s="121" t="str">
        <f t="shared" si="42"/>
        <v/>
      </c>
      <c r="G236" s="121" t="str">
        <f t="shared" si="43"/>
        <v/>
      </c>
      <c r="H236" s="121" t="str">
        <f t="shared" si="44"/>
        <v/>
      </c>
      <c r="I236" s="122" t="str">
        <f t="shared" si="51"/>
        <v/>
      </c>
      <c r="J236" s="121" t="str">
        <f t="shared" si="45"/>
        <v/>
      </c>
      <c r="K236" s="121" t="str">
        <f t="shared" si="46"/>
        <v/>
      </c>
      <c r="L236" s="121" t="str">
        <f t="shared" si="47"/>
        <v/>
      </c>
      <c r="M236" s="121" t="str">
        <f t="shared" si="48"/>
        <v/>
      </c>
    </row>
    <row r="237" spans="1:13" x14ac:dyDescent="0.35">
      <c r="A237" s="80">
        <f t="shared" si="49"/>
        <v>207</v>
      </c>
      <c r="B237" s="120" t="str">
        <f t="shared" si="39"/>
        <v/>
      </c>
      <c r="C237" s="121" t="str">
        <f t="shared" si="50"/>
        <v/>
      </c>
      <c r="D237" s="122" t="str">
        <f t="shared" si="40"/>
        <v/>
      </c>
      <c r="E237" s="121" t="str">
        <f t="shared" si="41"/>
        <v/>
      </c>
      <c r="F237" s="121" t="str">
        <f t="shared" si="42"/>
        <v/>
      </c>
      <c r="G237" s="121" t="str">
        <f t="shared" si="43"/>
        <v/>
      </c>
      <c r="H237" s="121" t="str">
        <f t="shared" si="44"/>
        <v/>
      </c>
      <c r="I237" s="122" t="str">
        <f t="shared" si="51"/>
        <v/>
      </c>
      <c r="J237" s="121" t="str">
        <f t="shared" si="45"/>
        <v/>
      </c>
      <c r="K237" s="121" t="str">
        <f t="shared" si="46"/>
        <v/>
      </c>
      <c r="L237" s="121" t="str">
        <f t="shared" si="47"/>
        <v/>
      </c>
      <c r="M237" s="121" t="str">
        <f t="shared" si="48"/>
        <v/>
      </c>
    </row>
    <row r="238" spans="1:13" x14ac:dyDescent="0.35">
      <c r="A238" s="80">
        <f t="shared" si="49"/>
        <v>208</v>
      </c>
      <c r="B238" s="120" t="str">
        <f t="shared" si="39"/>
        <v/>
      </c>
      <c r="C238" s="121" t="str">
        <f t="shared" si="50"/>
        <v/>
      </c>
      <c r="D238" s="122" t="str">
        <f t="shared" si="40"/>
        <v/>
      </c>
      <c r="E238" s="121" t="str">
        <f t="shared" si="41"/>
        <v/>
      </c>
      <c r="F238" s="121" t="str">
        <f t="shared" si="42"/>
        <v/>
      </c>
      <c r="G238" s="121" t="str">
        <f t="shared" si="43"/>
        <v/>
      </c>
      <c r="H238" s="121" t="str">
        <f t="shared" si="44"/>
        <v/>
      </c>
      <c r="I238" s="122" t="str">
        <f t="shared" si="51"/>
        <v/>
      </c>
      <c r="J238" s="121" t="str">
        <f t="shared" si="45"/>
        <v/>
      </c>
      <c r="K238" s="121" t="str">
        <f t="shared" si="46"/>
        <v/>
      </c>
      <c r="L238" s="121" t="str">
        <f t="shared" si="47"/>
        <v/>
      </c>
      <c r="M238" s="121" t="str">
        <f t="shared" si="48"/>
        <v/>
      </c>
    </row>
    <row r="239" spans="1:13" x14ac:dyDescent="0.35">
      <c r="A239" s="80">
        <f t="shared" si="49"/>
        <v>209</v>
      </c>
      <c r="B239" s="120" t="str">
        <f t="shared" si="39"/>
        <v/>
      </c>
      <c r="C239" s="121" t="str">
        <f t="shared" si="50"/>
        <v/>
      </c>
      <c r="D239" s="122" t="str">
        <f t="shared" si="40"/>
        <v/>
      </c>
      <c r="E239" s="121" t="str">
        <f t="shared" si="41"/>
        <v/>
      </c>
      <c r="F239" s="121" t="str">
        <f t="shared" si="42"/>
        <v/>
      </c>
      <c r="G239" s="121" t="str">
        <f t="shared" si="43"/>
        <v/>
      </c>
      <c r="H239" s="121" t="str">
        <f t="shared" si="44"/>
        <v/>
      </c>
      <c r="I239" s="122" t="str">
        <f t="shared" si="51"/>
        <v/>
      </c>
      <c r="J239" s="121" t="str">
        <f t="shared" si="45"/>
        <v/>
      </c>
      <c r="K239" s="121" t="str">
        <f t="shared" si="46"/>
        <v/>
      </c>
      <c r="L239" s="121" t="str">
        <f t="shared" si="47"/>
        <v/>
      </c>
      <c r="M239" s="121" t="str">
        <f t="shared" si="48"/>
        <v/>
      </c>
    </row>
    <row r="240" spans="1:13" x14ac:dyDescent="0.35">
      <c r="A240" s="80">
        <f t="shared" si="49"/>
        <v>210</v>
      </c>
      <c r="B240" s="120" t="str">
        <f t="shared" si="39"/>
        <v/>
      </c>
      <c r="C240" s="121" t="str">
        <f t="shared" si="50"/>
        <v/>
      </c>
      <c r="D240" s="122" t="str">
        <f t="shared" si="40"/>
        <v/>
      </c>
      <c r="E240" s="121" t="str">
        <f t="shared" si="41"/>
        <v/>
      </c>
      <c r="F240" s="121" t="str">
        <f t="shared" si="42"/>
        <v/>
      </c>
      <c r="G240" s="121" t="str">
        <f t="shared" si="43"/>
        <v/>
      </c>
      <c r="H240" s="121" t="str">
        <f t="shared" si="44"/>
        <v/>
      </c>
      <c r="I240" s="122" t="str">
        <f t="shared" si="51"/>
        <v/>
      </c>
      <c r="J240" s="121" t="str">
        <f t="shared" si="45"/>
        <v/>
      </c>
      <c r="K240" s="121" t="str">
        <f t="shared" si="46"/>
        <v/>
      </c>
      <c r="L240" s="121" t="str">
        <f t="shared" si="47"/>
        <v/>
      </c>
      <c r="M240" s="121" t="str">
        <f t="shared" si="48"/>
        <v/>
      </c>
    </row>
    <row r="241" spans="1:13" x14ac:dyDescent="0.35">
      <c r="A241" s="80">
        <f t="shared" si="49"/>
        <v>211</v>
      </c>
      <c r="B241" s="120" t="str">
        <f t="shared" si="39"/>
        <v/>
      </c>
      <c r="C241" s="121" t="str">
        <f t="shared" si="50"/>
        <v/>
      </c>
      <c r="D241" s="122" t="str">
        <f t="shared" si="40"/>
        <v/>
      </c>
      <c r="E241" s="121" t="str">
        <f t="shared" si="41"/>
        <v/>
      </c>
      <c r="F241" s="121" t="str">
        <f t="shared" si="42"/>
        <v/>
      </c>
      <c r="G241" s="121" t="str">
        <f t="shared" si="43"/>
        <v/>
      </c>
      <c r="H241" s="121" t="str">
        <f t="shared" si="44"/>
        <v/>
      </c>
      <c r="I241" s="122" t="str">
        <f t="shared" si="51"/>
        <v/>
      </c>
      <c r="J241" s="121" t="str">
        <f t="shared" si="45"/>
        <v/>
      </c>
      <c r="K241" s="121" t="str">
        <f t="shared" si="46"/>
        <v/>
      </c>
      <c r="L241" s="121" t="str">
        <f t="shared" si="47"/>
        <v/>
      </c>
      <c r="M241" s="121" t="str">
        <f t="shared" si="48"/>
        <v/>
      </c>
    </row>
    <row r="242" spans="1:13" x14ac:dyDescent="0.35">
      <c r="A242" s="80">
        <f t="shared" si="49"/>
        <v>212</v>
      </c>
      <c r="B242" s="120" t="str">
        <f t="shared" si="39"/>
        <v/>
      </c>
      <c r="C242" s="121" t="str">
        <f t="shared" si="50"/>
        <v/>
      </c>
      <c r="D242" s="122" t="str">
        <f t="shared" si="40"/>
        <v/>
      </c>
      <c r="E242" s="121" t="str">
        <f t="shared" si="41"/>
        <v/>
      </c>
      <c r="F242" s="121" t="str">
        <f t="shared" si="42"/>
        <v/>
      </c>
      <c r="G242" s="121" t="str">
        <f t="shared" si="43"/>
        <v/>
      </c>
      <c r="H242" s="121" t="str">
        <f t="shared" si="44"/>
        <v/>
      </c>
      <c r="I242" s="122" t="str">
        <f t="shared" si="51"/>
        <v/>
      </c>
      <c r="J242" s="121" t="str">
        <f t="shared" si="45"/>
        <v/>
      </c>
      <c r="K242" s="121" t="str">
        <f t="shared" si="46"/>
        <v/>
      </c>
      <c r="L242" s="121" t="str">
        <f t="shared" si="47"/>
        <v/>
      </c>
      <c r="M242" s="121" t="str">
        <f t="shared" si="48"/>
        <v/>
      </c>
    </row>
    <row r="243" spans="1:13" x14ac:dyDescent="0.35">
      <c r="A243" s="80">
        <f t="shared" si="49"/>
        <v>213</v>
      </c>
      <c r="B243" s="120" t="str">
        <f t="shared" si="39"/>
        <v/>
      </c>
      <c r="C243" s="121" t="str">
        <f t="shared" si="50"/>
        <v/>
      </c>
      <c r="D243" s="122" t="str">
        <f t="shared" si="40"/>
        <v/>
      </c>
      <c r="E243" s="121" t="str">
        <f t="shared" si="41"/>
        <v/>
      </c>
      <c r="F243" s="121" t="str">
        <f t="shared" si="42"/>
        <v/>
      </c>
      <c r="G243" s="121" t="str">
        <f t="shared" si="43"/>
        <v/>
      </c>
      <c r="H243" s="121" t="str">
        <f t="shared" si="44"/>
        <v/>
      </c>
      <c r="I243" s="122" t="str">
        <f t="shared" si="51"/>
        <v/>
      </c>
      <c r="J243" s="121" t="str">
        <f t="shared" si="45"/>
        <v/>
      </c>
      <c r="K243" s="121" t="str">
        <f t="shared" si="46"/>
        <v/>
      </c>
      <c r="L243" s="121" t="str">
        <f t="shared" si="47"/>
        <v/>
      </c>
      <c r="M243" s="121" t="str">
        <f t="shared" si="48"/>
        <v/>
      </c>
    </row>
    <row r="244" spans="1:13" x14ac:dyDescent="0.35">
      <c r="A244" s="80">
        <f t="shared" si="49"/>
        <v>214</v>
      </c>
      <c r="B244" s="120" t="str">
        <f t="shared" si="39"/>
        <v/>
      </c>
      <c r="C244" s="121" t="str">
        <f t="shared" si="50"/>
        <v/>
      </c>
      <c r="D244" s="122" t="str">
        <f t="shared" si="40"/>
        <v/>
      </c>
      <c r="E244" s="121" t="str">
        <f t="shared" si="41"/>
        <v/>
      </c>
      <c r="F244" s="121" t="str">
        <f t="shared" si="42"/>
        <v/>
      </c>
      <c r="G244" s="121" t="str">
        <f t="shared" si="43"/>
        <v/>
      </c>
      <c r="H244" s="121" t="str">
        <f t="shared" si="44"/>
        <v/>
      </c>
      <c r="I244" s="122" t="str">
        <f t="shared" si="51"/>
        <v/>
      </c>
      <c r="J244" s="121" t="str">
        <f t="shared" si="45"/>
        <v/>
      </c>
      <c r="K244" s="121" t="str">
        <f t="shared" si="46"/>
        <v/>
      </c>
      <c r="L244" s="121" t="str">
        <f t="shared" si="47"/>
        <v/>
      </c>
      <c r="M244" s="121" t="str">
        <f t="shared" si="48"/>
        <v/>
      </c>
    </row>
    <row r="245" spans="1:13" x14ac:dyDescent="0.35">
      <c r="A245" s="80">
        <f t="shared" si="49"/>
        <v>215</v>
      </c>
      <c r="B245" s="120" t="str">
        <f t="shared" si="39"/>
        <v/>
      </c>
      <c r="C245" s="121" t="str">
        <f t="shared" si="50"/>
        <v/>
      </c>
      <c r="D245" s="122" t="str">
        <f t="shared" si="40"/>
        <v/>
      </c>
      <c r="E245" s="121" t="str">
        <f t="shared" si="41"/>
        <v/>
      </c>
      <c r="F245" s="121" t="str">
        <f t="shared" si="42"/>
        <v/>
      </c>
      <c r="G245" s="121" t="str">
        <f t="shared" si="43"/>
        <v/>
      </c>
      <c r="H245" s="121" t="str">
        <f t="shared" si="44"/>
        <v/>
      </c>
      <c r="I245" s="122" t="str">
        <f t="shared" si="51"/>
        <v/>
      </c>
      <c r="J245" s="121" t="str">
        <f t="shared" si="45"/>
        <v/>
      </c>
      <c r="K245" s="121" t="str">
        <f t="shared" si="46"/>
        <v/>
      </c>
      <c r="L245" s="121" t="str">
        <f t="shared" si="47"/>
        <v/>
      </c>
      <c r="M245" s="121" t="str">
        <f t="shared" si="48"/>
        <v/>
      </c>
    </row>
    <row r="246" spans="1:13" x14ac:dyDescent="0.35">
      <c r="A246" s="80">
        <f t="shared" si="49"/>
        <v>216</v>
      </c>
      <c r="B246" s="120" t="str">
        <f t="shared" si="39"/>
        <v/>
      </c>
      <c r="C246" s="121" t="str">
        <f t="shared" si="50"/>
        <v/>
      </c>
      <c r="D246" s="122" t="str">
        <f t="shared" si="40"/>
        <v/>
      </c>
      <c r="E246" s="121" t="str">
        <f t="shared" si="41"/>
        <v/>
      </c>
      <c r="F246" s="121" t="str">
        <f t="shared" si="42"/>
        <v/>
      </c>
      <c r="G246" s="121" t="str">
        <f t="shared" si="43"/>
        <v/>
      </c>
      <c r="H246" s="121" t="str">
        <f t="shared" si="44"/>
        <v/>
      </c>
      <c r="I246" s="122" t="str">
        <f t="shared" si="51"/>
        <v/>
      </c>
      <c r="J246" s="121" t="str">
        <f t="shared" si="45"/>
        <v/>
      </c>
      <c r="K246" s="121" t="str">
        <f t="shared" si="46"/>
        <v/>
      </c>
      <c r="L246" s="121" t="str">
        <f t="shared" si="47"/>
        <v/>
      </c>
      <c r="M246" s="121" t="str">
        <f t="shared" si="48"/>
        <v/>
      </c>
    </row>
    <row r="247" spans="1:13" x14ac:dyDescent="0.35">
      <c r="A247" s="80">
        <f t="shared" si="49"/>
        <v>217</v>
      </c>
      <c r="B247" s="120" t="str">
        <f t="shared" si="39"/>
        <v/>
      </c>
      <c r="C247" s="121" t="str">
        <f t="shared" si="50"/>
        <v/>
      </c>
      <c r="D247" s="122" t="str">
        <f t="shared" si="40"/>
        <v/>
      </c>
      <c r="E247" s="121" t="str">
        <f t="shared" si="41"/>
        <v/>
      </c>
      <c r="F247" s="121" t="str">
        <f t="shared" si="42"/>
        <v/>
      </c>
      <c r="G247" s="121" t="str">
        <f t="shared" si="43"/>
        <v/>
      </c>
      <c r="H247" s="121" t="str">
        <f t="shared" si="44"/>
        <v/>
      </c>
      <c r="I247" s="122" t="str">
        <f t="shared" si="51"/>
        <v/>
      </c>
      <c r="J247" s="121" t="str">
        <f t="shared" si="45"/>
        <v/>
      </c>
      <c r="K247" s="121" t="str">
        <f t="shared" si="46"/>
        <v/>
      </c>
      <c r="L247" s="121" t="str">
        <f t="shared" si="47"/>
        <v/>
      </c>
      <c r="M247" s="121" t="str">
        <f t="shared" si="48"/>
        <v/>
      </c>
    </row>
    <row r="248" spans="1:13" x14ac:dyDescent="0.35">
      <c r="A248" s="80">
        <f t="shared" si="49"/>
        <v>218</v>
      </c>
      <c r="B248" s="120" t="str">
        <f t="shared" si="39"/>
        <v/>
      </c>
      <c r="C248" s="121" t="str">
        <f t="shared" si="50"/>
        <v/>
      </c>
      <c r="D248" s="122" t="str">
        <f t="shared" si="40"/>
        <v/>
      </c>
      <c r="E248" s="121" t="str">
        <f t="shared" si="41"/>
        <v/>
      </c>
      <c r="F248" s="121" t="str">
        <f t="shared" si="42"/>
        <v/>
      </c>
      <c r="G248" s="121" t="str">
        <f t="shared" si="43"/>
        <v/>
      </c>
      <c r="H248" s="121" t="str">
        <f t="shared" si="44"/>
        <v/>
      </c>
      <c r="I248" s="122" t="str">
        <f t="shared" si="51"/>
        <v/>
      </c>
      <c r="J248" s="121" t="str">
        <f t="shared" si="45"/>
        <v/>
      </c>
      <c r="K248" s="121" t="str">
        <f t="shared" si="46"/>
        <v/>
      </c>
      <c r="L248" s="121" t="str">
        <f t="shared" si="47"/>
        <v/>
      </c>
      <c r="M248" s="121" t="str">
        <f t="shared" si="48"/>
        <v/>
      </c>
    </row>
    <row r="249" spans="1:13" x14ac:dyDescent="0.35">
      <c r="A249" s="80">
        <f t="shared" si="49"/>
        <v>219</v>
      </c>
      <c r="B249" s="120" t="str">
        <f t="shared" si="39"/>
        <v/>
      </c>
      <c r="C249" s="121" t="str">
        <f t="shared" si="50"/>
        <v/>
      </c>
      <c r="D249" s="122" t="str">
        <f t="shared" si="40"/>
        <v/>
      </c>
      <c r="E249" s="121" t="str">
        <f t="shared" si="41"/>
        <v/>
      </c>
      <c r="F249" s="121" t="str">
        <f t="shared" si="42"/>
        <v/>
      </c>
      <c r="G249" s="121" t="str">
        <f t="shared" si="43"/>
        <v/>
      </c>
      <c r="H249" s="121" t="str">
        <f t="shared" si="44"/>
        <v/>
      </c>
      <c r="I249" s="122" t="str">
        <f t="shared" si="51"/>
        <v/>
      </c>
      <c r="J249" s="121" t="str">
        <f t="shared" si="45"/>
        <v/>
      </c>
      <c r="K249" s="121" t="str">
        <f t="shared" si="46"/>
        <v/>
      </c>
      <c r="L249" s="121" t="str">
        <f t="shared" si="47"/>
        <v/>
      </c>
      <c r="M249" s="121" t="str">
        <f t="shared" si="48"/>
        <v/>
      </c>
    </row>
    <row r="250" spans="1:13" x14ac:dyDescent="0.35">
      <c r="A250" s="80">
        <f t="shared" si="49"/>
        <v>220</v>
      </c>
      <c r="B250" s="120" t="str">
        <f t="shared" si="39"/>
        <v/>
      </c>
      <c r="C250" s="121" t="str">
        <f t="shared" si="50"/>
        <v/>
      </c>
      <c r="D250" s="122" t="str">
        <f t="shared" si="40"/>
        <v/>
      </c>
      <c r="E250" s="121" t="str">
        <f t="shared" si="41"/>
        <v/>
      </c>
      <c r="F250" s="121" t="str">
        <f t="shared" si="42"/>
        <v/>
      </c>
      <c r="G250" s="121" t="str">
        <f t="shared" si="43"/>
        <v/>
      </c>
      <c r="H250" s="121" t="str">
        <f t="shared" si="44"/>
        <v/>
      </c>
      <c r="I250" s="122" t="str">
        <f t="shared" si="51"/>
        <v/>
      </c>
      <c r="J250" s="121" t="str">
        <f t="shared" si="45"/>
        <v/>
      </c>
      <c r="K250" s="121" t="str">
        <f t="shared" si="46"/>
        <v/>
      </c>
      <c r="L250" s="121" t="str">
        <f t="shared" si="47"/>
        <v/>
      </c>
      <c r="M250" s="121" t="str">
        <f t="shared" si="48"/>
        <v/>
      </c>
    </row>
    <row r="251" spans="1:13" x14ac:dyDescent="0.35">
      <c r="A251" s="80">
        <f t="shared" si="49"/>
        <v>221</v>
      </c>
      <c r="B251" s="120" t="str">
        <f t="shared" si="39"/>
        <v/>
      </c>
      <c r="C251" s="121" t="str">
        <f t="shared" si="50"/>
        <v/>
      </c>
      <c r="D251" s="122" t="str">
        <f t="shared" si="40"/>
        <v/>
      </c>
      <c r="E251" s="121" t="str">
        <f t="shared" si="41"/>
        <v/>
      </c>
      <c r="F251" s="121" t="str">
        <f t="shared" si="42"/>
        <v/>
      </c>
      <c r="G251" s="121" t="str">
        <f t="shared" si="43"/>
        <v/>
      </c>
      <c r="H251" s="121" t="str">
        <f t="shared" si="44"/>
        <v/>
      </c>
      <c r="I251" s="122" t="str">
        <f t="shared" si="51"/>
        <v/>
      </c>
      <c r="J251" s="121" t="str">
        <f t="shared" si="45"/>
        <v/>
      </c>
      <c r="K251" s="121" t="str">
        <f t="shared" si="46"/>
        <v/>
      </c>
      <c r="L251" s="121" t="str">
        <f t="shared" si="47"/>
        <v/>
      </c>
      <c r="M251" s="121" t="str">
        <f t="shared" si="48"/>
        <v/>
      </c>
    </row>
    <row r="252" spans="1:13" x14ac:dyDescent="0.35">
      <c r="A252" s="80">
        <f t="shared" si="49"/>
        <v>222</v>
      </c>
      <c r="B252" s="120" t="str">
        <f t="shared" si="39"/>
        <v/>
      </c>
      <c r="C252" s="121" t="str">
        <f t="shared" si="50"/>
        <v/>
      </c>
      <c r="D252" s="122" t="str">
        <f t="shared" si="40"/>
        <v/>
      </c>
      <c r="E252" s="121" t="str">
        <f t="shared" si="41"/>
        <v/>
      </c>
      <c r="F252" s="121" t="str">
        <f t="shared" si="42"/>
        <v/>
      </c>
      <c r="G252" s="121" t="str">
        <f t="shared" si="43"/>
        <v/>
      </c>
      <c r="H252" s="121" t="str">
        <f t="shared" si="44"/>
        <v/>
      </c>
      <c r="I252" s="122" t="str">
        <f t="shared" si="51"/>
        <v/>
      </c>
      <c r="J252" s="121" t="str">
        <f t="shared" si="45"/>
        <v/>
      </c>
      <c r="K252" s="121" t="str">
        <f t="shared" si="46"/>
        <v/>
      </c>
      <c r="L252" s="121" t="str">
        <f t="shared" si="47"/>
        <v/>
      </c>
      <c r="M252" s="121" t="str">
        <f t="shared" si="48"/>
        <v/>
      </c>
    </row>
    <row r="253" spans="1:13" x14ac:dyDescent="0.35">
      <c r="A253" s="80">
        <f t="shared" si="49"/>
        <v>223</v>
      </c>
      <c r="B253" s="120" t="str">
        <f t="shared" si="39"/>
        <v/>
      </c>
      <c r="C253" s="121" t="str">
        <f t="shared" si="50"/>
        <v/>
      </c>
      <c r="D253" s="122" t="str">
        <f t="shared" si="40"/>
        <v/>
      </c>
      <c r="E253" s="121" t="str">
        <f t="shared" si="41"/>
        <v/>
      </c>
      <c r="F253" s="121" t="str">
        <f t="shared" si="42"/>
        <v/>
      </c>
      <c r="G253" s="121" t="str">
        <f t="shared" si="43"/>
        <v/>
      </c>
      <c r="H253" s="121" t="str">
        <f t="shared" si="44"/>
        <v/>
      </c>
      <c r="I253" s="122" t="str">
        <f t="shared" si="51"/>
        <v/>
      </c>
      <c r="J253" s="121" t="str">
        <f t="shared" si="45"/>
        <v/>
      </c>
      <c r="K253" s="121" t="str">
        <f t="shared" si="46"/>
        <v/>
      </c>
      <c r="L253" s="121" t="str">
        <f t="shared" si="47"/>
        <v/>
      </c>
      <c r="M253" s="121" t="str">
        <f t="shared" si="48"/>
        <v/>
      </c>
    </row>
    <row r="254" spans="1:13" x14ac:dyDescent="0.35">
      <c r="A254" s="80">
        <f t="shared" si="49"/>
        <v>224</v>
      </c>
      <c r="B254" s="120" t="str">
        <f t="shared" si="39"/>
        <v/>
      </c>
      <c r="C254" s="121" t="str">
        <f t="shared" si="50"/>
        <v/>
      </c>
      <c r="D254" s="122" t="str">
        <f t="shared" si="40"/>
        <v/>
      </c>
      <c r="E254" s="121" t="str">
        <f t="shared" si="41"/>
        <v/>
      </c>
      <c r="F254" s="121" t="str">
        <f t="shared" si="42"/>
        <v/>
      </c>
      <c r="G254" s="121" t="str">
        <f t="shared" si="43"/>
        <v/>
      </c>
      <c r="H254" s="121" t="str">
        <f t="shared" si="44"/>
        <v/>
      </c>
      <c r="I254" s="122" t="str">
        <f t="shared" si="51"/>
        <v/>
      </c>
      <c r="J254" s="121" t="str">
        <f t="shared" si="45"/>
        <v/>
      </c>
      <c r="K254" s="121" t="str">
        <f t="shared" si="46"/>
        <v/>
      </c>
      <c r="L254" s="121" t="str">
        <f t="shared" si="47"/>
        <v/>
      </c>
      <c r="M254" s="121" t="str">
        <f t="shared" si="48"/>
        <v/>
      </c>
    </row>
    <row r="255" spans="1:13" x14ac:dyDescent="0.35">
      <c r="A255" s="80">
        <f t="shared" si="49"/>
        <v>225</v>
      </c>
      <c r="B255" s="120" t="str">
        <f t="shared" si="39"/>
        <v/>
      </c>
      <c r="C255" s="121" t="str">
        <f t="shared" si="50"/>
        <v/>
      </c>
      <c r="D255" s="122" t="str">
        <f t="shared" si="40"/>
        <v/>
      </c>
      <c r="E255" s="121" t="str">
        <f t="shared" si="41"/>
        <v/>
      </c>
      <c r="F255" s="121" t="str">
        <f t="shared" si="42"/>
        <v/>
      </c>
      <c r="G255" s="121" t="str">
        <f t="shared" si="43"/>
        <v/>
      </c>
      <c r="H255" s="121" t="str">
        <f t="shared" si="44"/>
        <v/>
      </c>
      <c r="I255" s="122" t="str">
        <f t="shared" si="51"/>
        <v/>
      </c>
      <c r="J255" s="121" t="str">
        <f t="shared" si="45"/>
        <v/>
      </c>
      <c r="K255" s="121" t="str">
        <f t="shared" si="46"/>
        <v/>
      </c>
      <c r="L255" s="121" t="str">
        <f t="shared" si="47"/>
        <v/>
      </c>
      <c r="M255" s="121" t="str">
        <f t="shared" si="48"/>
        <v/>
      </c>
    </row>
    <row r="256" spans="1:13" x14ac:dyDescent="0.35">
      <c r="A256" s="80">
        <f t="shared" si="49"/>
        <v>226</v>
      </c>
      <c r="B256" s="120" t="str">
        <f t="shared" si="39"/>
        <v/>
      </c>
      <c r="C256" s="121" t="str">
        <f t="shared" si="50"/>
        <v/>
      </c>
      <c r="D256" s="122" t="str">
        <f t="shared" si="40"/>
        <v/>
      </c>
      <c r="E256" s="121" t="str">
        <f t="shared" si="41"/>
        <v/>
      </c>
      <c r="F256" s="121" t="str">
        <f t="shared" si="42"/>
        <v/>
      </c>
      <c r="G256" s="121" t="str">
        <f t="shared" si="43"/>
        <v/>
      </c>
      <c r="H256" s="121" t="str">
        <f t="shared" si="44"/>
        <v/>
      </c>
      <c r="I256" s="122" t="str">
        <f t="shared" si="51"/>
        <v/>
      </c>
      <c r="J256" s="121" t="str">
        <f t="shared" si="45"/>
        <v/>
      </c>
      <c r="K256" s="121" t="str">
        <f t="shared" si="46"/>
        <v/>
      </c>
      <c r="L256" s="121" t="str">
        <f t="shared" si="47"/>
        <v/>
      </c>
      <c r="M256" s="121" t="str">
        <f t="shared" si="48"/>
        <v/>
      </c>
    </row>
    <row r="257" spans="1:13" x14ac:dyDescent="0.35">
      <c r="A257" s="80">
        <f t="shared" si="49"/>
        <v>227</v>
      </c>
      <c r="B257" s="120" t="str">
        <f t="shared" si="39"/>
        <v/>
      </c>
      <c r="C257" s="121" t="str">
        <f t="shared" si="50"/>
        <v/>
      </c>
      <c r="D257" s="122" t="str">
        <f t="shared" si="40"/>
        <v/>
      </c>
      <c r="E257" s="121" t="str">
        <f t="shared" si="41"/>
        <v/>
      </c>
      <c r="F257" s="121" t="str">
        <f t="shared" si="42"/>
        <v/>
      </c>
      <c r="G257" s="121" t="str">
        <f t="shared" si="43"/>
        <v/>
      </c>
      <c r="H257" s="121" t="str">
        <f t="shared" si="44"/>
        <v/>
      </c>
      <c r="I257" s="122" t="str">
        <f t="shared" si="51"/>
        <v/>
      </c>
      <c r="J257" s="121" t="str">
        <f t="shared" si="45"/>
        <v/>
      </c>
      <c r="K257" s="121" t="str">
        <f t="shared" si="46"/>
        <v/>
      </c>
      <c r="L257" s="121" t="str">
        <f t="shared" si="47"/>
        <v/>
      </c>
      <c r="M257" s="121" t="str">
        <f t="shared" si="48"/>
        <v/>
      </c>
    </row>
    <row r="258" spans="1:13" x14ac:dyDescent="0.35">
      <c r="A258" s="80">
        <f t="shared" si="49"/>
        <v>228</v>
      </c>
      <c r="B258" s="120" t="str">
        <f t="shared" si="39"/>
        <v/>
      </c>
      <c r="C258" s="121" t="str">
        <f t="shared" si="50"/>
        <v/>
      </c>
      <c r="D258" s="122" t="str">
        <f t="shared" si="40"/>
        <v/>
      </c>
      <c r="E258" s="121" t="str">
        <f t="shared" si="41"/>
        <v/>
      </c>
      <c r="F258" s="121" t="str">
        <f t="shared" si="42"/>
        <v/>
      </c>
      <c r="G258" s="121" t="str">
        <f t="shared" si="43"/>
        <v/>
      </c>
      <c r="H258" s="121" t="str">
        <f t="shared" si="44"/>
        <v/>
      </c>
      <c r="I258" s="122" t="str">
        <f t="shared" si="51"/>
        <v/>
      </c>
      <c r="J258" s="121" t="str">
        <f t="shared" si="45"/>
        <v/>
      </c>
      <c r="K258" s="121" t="str">
        <f t="shared" si="46"/>
        <v/>
      </c>
      <c r="L258" s="121" t="str">
        <f t="shared" si="47"/>
        <v/>
      </c>
      <c r="M258" s="121" t="str">
        <f t="shared" si="48"/>
        <v/>
      </c>
    </row>
    <row r="259" spans="1:13" x14ac:dyDescent="0.35">
      <c r="A259" s="80">
        <f t="shared" si="49"/>
        <v>229</v>
      </c>
      <c r="B259" s="120" t="str">
        <f t="shared" si="39"/>
        <v/>
      </c>
      <c r="C259" s="121" t="str">
        <f t="shared" si="50"/>
        <v/>
      </c>
      <c r="D259" s="122" t="str">
        <f t="shared" si="40"/>
        <v/>
      </c>
      <c r="E259" s="121" t="str">
        <f t="shared" si="41"/>
        <v/>
      </c>
      <c r="F259" s="121" t="str">
        <f t="shared" si="42"/>
        <v/>
      </c>
      <c r="G259" s="121" t="str">
        <f t="shared" si="43"/>
        <v/>
      </c>
      <c r="H259" s="121" t="str">
        <f t="shared" si="44"/>
        <v/>
      </c>
      <c r="I259" s="122" t="str">
        <f t="shared" si="51"/>
        <v/>
      </c>
      <c r="J259" s="121" t="str">
        <f t="shared" si="45"/>
        <v/>
      </c>
      <c r="K259" s="121" t="str">
        <f t="shared" si="46"/>
        <v/>
      </c>
      <c r="L259" s="121" t="str">
        <f t="shared" si="47"/>
        <v/>
      </c>
      <c r="M259" s="121" t="str">
        <f t="shared" si="48"/>
        <v/>
      </c>
    </row>
    <row r="260" spans="1:13" x14ac:dyDescent="0.35">
      <c r="A260" s="80">
        <f t="shared" si="49"/>
        <v>230</v>
      </c>
      <c r="B260" s="120" t="str">
        <f t="shared" si="39"/>
        <v/>
      </c>
      <c r="C260" s="121" t="str">
        <f t="shared" si="50"/>
        <v/>
      </c>
      <c r="D260" s="122" t="str">
        <f t="shared" si="40"/>
        <v/>
      </c>
      <c r="E260" s="121" t="str">
        <f t="shared" si="41"/>
        <v/>
      </c>
      <c r="F260" s="121" t="str">
        <f t="shared" si="42"/>
        <v/>
      </c>
      <c r="G260" s="121" t="str">
        <f t="shared" si="43"/>
        <v/>
      </c>
      <c r="H260" s="121" t="str">
        <f t="shared" si="44"/>
        <v/>
      </c>
      <c r="I260" s="122" t="str">
        <f t="shared" si="51"/>
        <v/>
      </c>
      <c r="J260" s="121" t="str">
        <f t="shared" si="45"/>
        <v/>
      </c>
      <c r="K260" s="121" t="str">
        <f t="shared" si="46"/>
        <v/>
      </c>
      <c r="L260" s="121" t="str">
        <f t="shared" si="47"/>
        <v/>
      </c>
      <c r="M260" s="121" t="str">
        <f t="shared" si="48"/>
        <v/>
      </c>
    </row>
    <row r="261" spans="1:13" x14ac:dyDescent="0.35">
      <c r="A261" s="80">
        <f t="shared" si="49"/>
        <v>231</v>
      </c>
      <c r="B261" s="120" t="str">
        <f t="shared" si="39"/>
        <v/>
      </c>
      <c r="C261" s="121" t="str">
        <f t="shared" si="50"/>
        <v/>
      </c>
      <c r="D261" s="122" t="str">
        <f t="shared" si="40"/>
        <v/>
      </c>
      <c r="E261" s="121" t="str">
        <f t="shared" si="41"/>
        <v/>
      </c>
      <c r="F261" s="121" t="str">
        <f t="shared" si="42"/>
        <v/>
      </c>
      <c r="G261" s="121" t="str">
        <f t="shared" si="43"/>
        <v/>
      </c>
      <c r="H261" s="121" t="str">
        <f t="shared" si="44"/>
        <v/>
      </c>
      <c r="I261" s="122" t="str">
        <f t="shared" si="51"/>
        <v/>
      </c>
      <c r="J261" s="121" t="str">
        <f t="shared" si="45"/>
        <v/>
      </c>
      <c r="K261" s="121" t="str">
        <f t="shared" si="46"/>
        <v/>
      </c>
      <c r="L261" s="121" t="str">
        <f t="shared" si="47"/>
        <v/>
      </c>
      <c r="M261" s="121" t="str">
        <f t="shared" si="48"/>
        <v/>
      </c>
    </row>
    <row r="262" spans="1:13" x14ac:dyDescent="0.35">
      <c r="A262" s="80">
        <f t="shared" si="49"/>
        <v>232</v>
      </c>
      <c r="B262" s="120" t="str">
        <f t="shared" si="39"/>
        <v/>
      </c>
      <c r="C262" s="121" t="str">
        <f t="shared" si="50"/>
        <v/>
      </c>
      <c r="D262" s="122" t="str">
        <f t="shared" si="40"/>
        <v/>
      </c>
      <c r="E262" s="121" t="str">
        <f t="shared" si="41"/>
        <v/>
      </c>
      <c r="F262" s="121" t="str">
        <f t="shared" si="42"/>
        <v/>
      </c>
      <c r="G262" s="121" t="str">
        <f t="shared" si="43"/>
        <v/>
      </c>
      <c r="H262" s="121" t="str">
        <f t="shared" si="44"/>
        <v/>
      </c>
      <c r="I262" s="122" t="str">
        <f t="shared" si="51"/>
        <v/>
      </c>
      <c r="J262" s="121" t="str">
        <f t="shared" si="45"/>
        <v/>
      </c>
      <c r="K262" s="121" t="str">
        <f t="shared" si="46"/>
        <v/>
      </c>
      <c r="L262" s="121" t="str">
        <f t="shared" si="47"/>
        <v/>
      </c>
      <c r="M262" s="121" t="str">
        <f t="shared" si="48"/>
        <v/>
      </c>
    </row>
    <row r="263" spans="1:13" x14ac:dyDescent="0.35">
      <c r="A263" s="80">
        <f t="shared" si="49"/>
        <v>233</v>
      </c>
      <c r="B263" s="120" t="str">
        <f t="shared" si="39"/>
        <v/>
      </c>
      <c r="C263" s="121" t="str">
        <f t="shared" si="50"/>
        <v/>
      </c>
      <c r="D263" s="122" t="str">
        <f t="shared" si="40"/>
        <v/>
      </c>
      <c r="E263" s="121" t="str">
        <f t="shared" si="41"/>
        <v/>
      </c>
      <c r="F263" s="121" t="str">
        <f t="shared" si="42"/>
        <v/>
      </c>
      <c r="G263" s="121" t="str">
        <f t="shared" si="43"/>
        <v/>
      </c>
      <c r="H263" s="121" t="str">
        <f t="shared" si="44"/>
        <v/>
      </c>
      <c r="I263" s="122" t="str">
        <f t="shared" si="51"/>
        <v/>
      </c>
      <c r="J263" s="121" t="str">
        <f t="shared" si="45"/>
        <v/>
      </c>
      <c r="K263" s="121" t="str">
        <f t="shared" si="46"/>
        <v/>
      </c>
      <c r="L263" s="121" t="str">
        <f t="shared" si="47"/>
        <v/>
      </c>
      <c r="M263" s="121" t="str">
        <f t="shared" si="48"/>
        <v/>
      </c>
    </row>
    <row r="264" spans="1:13" x14ac:dyDescent="0.35">
      <c r="A264" s="80">
        <f t="shared" si="49"/>
        <v>234</v>
      </c>
      <c r="B264" s="120" t="str">
        <f t="shared" si="39"/>
        <v/>
      </c>
      <c r="C264" s="121" t="str">
        <f t="shared" si="50"/>
        <v/>
      </c>
      <c r="D264" s="122" t="str">
        <f t="shared" si="40"/>
        <v/>
      </c>
      <c r="E264" s="121" t="str">
        <f t="shared" si="41"/>
        <v/>
      </c>
      <c r="F264" s="121" t="str">
        <f t="shared" si="42"/>
        <v/>
      </c>
      <c r="G264" s="121" t="str">
        <f t="shared" si="43"/>
        <v/>
      </c>
      <c r="H264" s="121" t="str">
        <f t="shared" si="44"/>
        <v/>
      </c>
      <c r="I264" s="122" t="str">
        <f t="shared" si="51"/>
        <v/>
      </c>
      <c r="J264" s="121" t="str">
        <f t="shared" si="45"/>
        <v/>
      </c>
      <c r="K264" s="121" t="str">
        <f t="shared" si="46"/>
        <v/>
      </c>
      <c r="L264" s="121" t="str">
        <f t="shared" si="47"/>
        <v/>
      </c>
      <c r="M264" s="121" t="str">
        <f t="shared" si="48"/>
        <v/>
      </c>
    </row>
    <row r="265" spans="1:13" x14ac:dyDescent="0.35">
      <c r="A265" s="80">
        <f t="shared" si="49"/>
        <v>235</v>
      </c>
      <c r="B265" s="120" t="str">
        <f t="shared" si="39"/>
        <v/>
      </c>
      <c r="C265" s="121" t="str">
        <f t="shared" si="50"/>
        <v/>
      </c>
      <c r="D265" s="122" t="str">
        <f t="shared" si="40"/>
        <v/>
      </c>
      <c r="E265" s="121" t="str">
        <f t="shared" si="41"/>
        <v/>
      </c>
      <c r="F265" s="121" t="str">
        <f t="shared" si="42"/>
        <v/>
      </c>
      <c r="G265" s="121" t="str">
        <f t="shared" si="43"/>
        <v/>
      </c>
      <c r="H265" s="121" t="str">
        <f t="shared" si="44"/>
        <v/>
      </c>
      <c r="I265" s="122" t="str">
        <f t="shared" si="51"/>
        <v/>
      </c>
      <c r="J265" s="121" t="str">
        <f t="shared" si="45"/>
        <v/>
      </c>
      <c r="K265" s="121" t="str">
        <f t="shared" si="46"/>
        <v/>
      </c>
      <c r="L265" s="121" t="str">
        <f t="shared" si="47"/>
        <v/>
      </c>
      <c r="M265" s="121" t="str">
        <f t="shared" si="48"/>
        <v/>
      </c>
    </row>
    <row r="266" spans="1:13" x14ac:dyDescent="0.35">
      <c r="A266" s="80">
        <f t="shared" si="49"/>
        <v>236</v>
      </c>
      <c r="B266" s="120" t="str">
        <f t="shared" si="39"/>
        <v/>
      </c>
      <c r="C266" s="121" t="str">
        <f t="shared" si="50"/>
        <v/>
      </c>
      <c r="D266" s="122" t="str">
        <f t="shared" si="40"/>
        <v/>
      </c>
      <c r="E266" s="121" t="str">
        <f t="shared" si="41"/>
        <v/>
      </c>
      <c r="F266" s="121" t="str">
        <f t="shared" si="42"/>
        <v/>
      </c>
      <c r="G266" s="121" t="str">
        <f t="shared" si="43"/>
        <v/>
      </c>
      <c r="H266" s="121" t="str">
        <f t="shared" si="44"/>
        <v/>
      </c>
      <c r="I266" s="122" t="str">
        <f t="shared" si="51"/>
        <v/>
      </c>
      <c r="J266" s="121" t="str">
        <f t="shared" si="45"/>
        <v/>
      </c>
      <c r="K266" s="121" t="str">
        <f t="shared" si="46"/>
        <v/>
      </c>
      <c r="L266" s="121" t="str">
        <f t="shared" si="47"/>
        <v/>
      </c>
      <c r="M266" s="121" t="str">
        <f t="shared" si="48"/>
        <v/>
      </c>
    </row>
    <row r="267" spans="1:13" x14ac:dyDescent="0.35">
      <c r="A267" s="80">
        <f t="shared" si="49"/>
        <v>237</v>
      </c>
      <c r="B267" s="120" t="str">
        <f t="shared" si="39"/>
        <v/>
      </c>
      <c r="C267" s="121" t="str">
        <f t="shared" si="50"/>
        <v/>
      </c>
      <c r="D267" s="122" t="str">
        <f t="shared" si="40"/>
        <v/>
      </c>
      <c r="E267" s="121" t="str">
        <f t="shared" si="41"/>
        <v/>
      </c>
      <c r="F267" s="121" t="str">
        <f t="shared" si="42"/>
        <v/>
      </c>
      <c r="G267" s="121" t="str">
        <f t="shared" si="43"/>
        <v/>
      </c>
      <c r="H267" s="121" t="str">
        <f t="shared" si="44"/>
        <v/>
      </c>
      <c r="I267" s="122" t="str">
        <f t="shared" si="51"/>
        <v/>
      </c>
      <c r="J267" s="121" t="str">
        <f t="shared" si="45"/>
        <v/>
      </c>
      <c r="K267" s="121" t="str">
        <f t="shared" si="46"/>
        <v/>
      </c>
      <c r="L267" s="121" t="str">
        <f t="shared" si="47"/>
        <v/>
      </c>
      <c r="M267" s="121" t="str">
        <f t="shared" si="48"/>
        <v/>
      </c>
    </row>
    <row r="268" spans="1:13" x14ac:dyDescent="0.35">
      <c r="A268" s="80">
        <f t="shared" si="49"/>
        <v>238</v>
      </c>
      <c r="B268" s="120" t="str">
        <f t="shared" si="39"/>
        <v/>
      </c>
      <c r="C268" s="121" t="str">
        <f t="shared" si="50"/>
        <v/>
      </c>
      <c r="D268" s="122" t="str">
        <f t="shared" si="40"/>
        <v/>
      </c>
      <c r="E268" s="121" t="str">
        <f t="shared" si="41"/>
        <v/>
      </c>
      <c r="F268" s="121" t="str">
        <f t="shared" si="42"/>
        <v/>
      </c>
      <c r="G268" s="121" t="str">
        <f t="shared" si="43"/>
        <v/>
      </c>
      <c r="H268" s="121" t="str">
        <f t="shared" si="44"/>
        <v/>
      </c>
      <c r="I268" s="122" t="str">
        <f t="shared" si="51"/>
        <v/>
      </c>
      <c r="J268" s="121" t="str">
        <f t="shared" si="45"/>
        <v/>
      </c>
      <c r="K268" s="121" t="str">
        <f t="shared" si="46"/>
        <v/>
      </c>
      <c r="L268" s="121" t="str">
        <f t="shared" si="47"/>
        <v/>
      </c>
      <c r="M268" s="121" t="str">
        <f t="shared" si="48"/>
        <v/>
      </c>
    </row>
    <row r="269" spans="1:13" x14ac:dyDescent="0.35">
      <c r="A269" s="80">
        <f t="shared" si="49"/>
        <v>239</v>
      </c>
      <c r="B269" s="120" t="str">
        <f t="shared" si="39"/>
        <v/>
      </c>
      <c r="C269" s="121" t="str">
        <f t="shared" si="50"/>
        <v/>
      </c>
      <c r="D269" s="122" t="str">
        <f t="shared" si="40"/>
        <v/>
      </c>
      <c r="E269" s="121" t="str">
        <f t="shared" si="41"/>
        <v/>
      </c>
      <c r="F269" s="121" t="str">
        <f t="shared" si="42"/>
        <v/>
      </c>
      <c r="G269" s="121" t="str">
        <f t="shared" si="43"/>
        <v/>
      </c>
      <c r="H269" s="121" t="str">
        <f t="shared" si="44"/>
        <v/>
      </c>
      <c r="I269" s="122" t="str">
        <f t="shared" si="51"/>
        <v/>
      </c>
      <c r="J269" s="121" t="str">
        <f t="shared" si="45"/>
        <v/>
      </c>
      <c r="K269" s="121" t="str">
        <f t="shared" si="46"/>
        <v/>
      </c>
      <c r="L269" s="121" t="str">
        <f t="shared" si="47"/>
        <v/>
      </c>
      <c r="M269" s="121" t="str">
        <f t="shared" si="48"/>
        <v/>
      </c>
    </row>
    <row r="270" spans="1:13" x14ac:dyDescent="0.35">
      <c r="A270" s="80">
        <f t="shared" si="49"/>
        <v>240</v>
      </c>
      <c r="B270" s="120" t="str">
        <f t="shared" si="39"/>
        <v/>
      </c>
      <c r="C270" s="121" t="str">
        <f t="shared" si="50"/>
        <v/>
      </c>
      <c r="D270" s="122" t="str">
        <f t="shared" si="40"/>
        <v/>
      </c>
      <c r="E270" s="121" t="str">
        <f t="shared" si="41"/>
        <v/>
      </c>
      <c r="F270" s="121" t="str">
        <f t="shared" si="42"/>
        <v/>
      </c>
      <c r="G270" s="121" t="str">
        <f t="shared" si="43"/>
        <v/>
      </c>
      <c r="H270" s="121" t="str">
        <f t="shared" si="44"/>
        <v/>
      </c>
      <c r="I270" s="122" t="str">
        <f t="shared" si="51"/>
        <v/>
      </c>
      <c r="J270" s="121" t="str">
        <f t="shared" si="45"/>
        <v/>
      </c>
      <c r="K270" s="121" t="str">
        <f t="shared" si="46"/>
        <v/>
      </c>
      <c r="L270" s="121" t="str">
        <f t="shared" si="47"/>
        <v/>
      </c>
      <c r="M270" s="121" t="str">
        <f t="shared" si="48"/>
        <v/>
      </c>
    </row>
    <row r="271" spans="1:13" x14ac:dyDescent="0.35">
      <c r="A271" s="80">
        <f t="shared" si="49"/>
        <v>241</v>
      </c>
      <c r="B271" s="120" t="str">
        <f t="shared" si="39"/>
        <v/>
      </c>
      <c r="C271" s="121" t="str">
        <f t="shared" si="50"/>
        <v/>
      </c>
      <c r="D271" s="122" t="str">
        <f t="shared" si="40"/>
        <v/>
      </c>
      <c r="E271" s="121" t="str">
        <f t="shared" si="41"/>
        <v/>
      </c>
      <c r="F271" s="121" t="str">
        <f t="shared" si="42"/>
        <v/>
      </c>
      <c r="G271" s="121" t="str">
        <f t="shared" si="43"/>
        <v/>
      </c>
      <c r="H271" s="121" t="str">
        <f t="shared" si="44"/>
        <v/>
      </c>
      <c r="I271" s="122" t="str">
        <f t="shared" si="51"/>
        <v/>
      </c>
      <c r="J271" s="121" t="str">
        <f t="shared" si="45"/>
        <v/>
      </c>
      <c r="K271" s="121" t="str">
        <f t="shared" si="46"/>
        <v/>
      </c>
      <c r="L271" s="121" t="str">
        <f t="shared" si="47"/>
        <v/>
      </c>
      <c r="M271" s="121" t="str">
        <f t="shared" si="48"/>
        <v/>
      </c>
    </row>
    <row r="272" spans="1:13" x14ac:dyDescent="0.35">
      <c r="A272" s="80">
        <f t="shared" si="49"/>
        <v>242</v>
      </c>
      <c r="B272" s="120" t="str">
        <f t="shared" si="39"/>
        <v/>
      </c>
      <c r="C272" s="121" t="str">
        <f t="shared" si="50"/>
        <v/>
      </c>
      <c r="D272" s="122" t="str">
        <f t="shared" si="40"/>
        <v/>
      </c>
      <c r="E272" s="121" t="str">
        <f t="shared" si="41"/>
        <v/>
      </c>
      <c r="F272" s="121" t="str">
        <f t="shared" si="42"/>
        <v/>
      </c>
      <c r="G272" s="121" t="str">
        <f t="shared" si="43"/>
        <v/>
      </c>
      <c r="H272" s="121" t="str">
        <f t="shared" si="44"/>
        <v/>
      </c>
      <c r="I272" s="122" t="str">
        <f t="shared" si="51"/>
        <v/>
      </c>
      <c r="J272" s="121" t="str">
        <f t="shared" si="45"/>
        <v/>
      </c>
      <c r="K272" s="121" t="str">
        <f t="shared" si="46"/>
        <v/>
      </c>
      <c r="L272" s="121" t="str">
        <f t="shared" si="47"/>
        <v/>
      </c>
      <c r="M272" s="121" t="str">
        <f t="shared" si="48"/>
        <v/>
      </c>
    </row>
    <row r="273" spans="1:13" x14ac:dyDescent="0.35">
      <c r="A273" s="80">
        <f t="shared" si="49"/>
        <v>243</v>
      </c>
      <c r="B273" s="120" t="str">
        <f t="shared" si="39"/>
        <v/>
      </c>
      <c r="C273" s="121" t="str">
        <f t="shared" si="50"/>
        <v/>
      </c>
      <c r="D273" s="122" t="str">
        <f t="shared" si="40"/>
        <v/>
      </c>
      <c r="E273" s="121" t="str">
        <f t="shared" si="41"/>
        <v/>
      </c>
      <c r="F273" s="121" t="str">
        <f t="shared" si="42"/>
        <v/>
      </c>
      <c r="G273" s="121" t="str">
        <f t="shared" si="43"/>
        <v/>
      </c>
      <c r="H273" s="121" t="str">
        <f t="shared" si="44"/>
        <v/>
      </c>
      <c r="I273" s="122" t="str">
        <f t="shared" si="51"/>
        <v/>
      </c>
      <c r="J273" s="121" t="str">
        <f t="shared" si="45"/>
        <v/>
      </c>
      <c r="K273" s="121" t="str">
        <f t="shared" si="46"/>
        <v/>
      </c>
      <c r="L273" s="121" t="str">
        <f t="shared" si="47"/>
        <v/>
      </c>
      <c r="M273" s="121" t="str">
        <f t="shared" si="48"/>
        <v/>
      </c>
    </row>
    <row r="274" spans="1:13" x14ac:dyDescent="0.35">
      <c r="A274" s="80">
        <f t="shared" si="49"/>
        <v>244</v>
      </c>
      <c r="B274" s="120" t="str">
        <f t="shared" si="39"/>
        <v/>
      </c>
      <c r="C274" s="121" t="str">
        <f t="shared" si="50"/>
        <v/>
      </c>
      <c r="D274" s="122" t="str">
        <f t="shared" si="40"/>
        <v/>
      </c>
      <c r="E274" s="121" t="str">
        <f t="shared" si="41"/>
        <v/>
      </c>
      <c r="F274" s="121" t="str">
        <f t="shared" si="42"/>
        <v/>
      </c>
      <c r="G274" s="121" t="str">
        <f t="shared" si="43"/>
        <v/>
      </c>
      <c r="H274" s="121" t="str">
        <f t="shared" si="44"/>
        <v/>
      </c>
      <c r="I274" s="122" t="str">
        <f t="shared" si="51"/>
        <v/>
      </c>
      <c r="J274" s="121" t="str">
        <f t="shared" si="45"/>
        <v/>
      </c>
      <c r="K274" s="121" t="str">
        <f t="shared" si="46"/>
        <v/>
      </c>
      <c r="L274" s="121" t="str">
        <f t="shared" si="47"/>
        <v/>
      </c>
      <c r="M274" s="121" t="str">
        <f t="shared" si="48"/>
        <v/>
      </c>
    </row>
    <row r="275" spans="1:13" x14ac:dyDescent="0.35">
      <c r="A275" s="80">
        <f t="shared" si="49"/>
        <v>245</v>
      </c>
      <c r="B275" s="120" t="str">
        <f t="shared" si="39"/>
        <v/>
      </c>
      <c r="C275" s="121" t="str">
        <f t="shared" si="50"/>
        <v/>
      </c>
      <c r="D275" s="122" t="str">
        <f t="shared" si="40"/>
        <v/>
      </c>
      <c r="E275" s="121" t="str">
        <f t="shared" si="41"/>
        <v/>
      </c>
      <c r="F275" s="121" t="str">
        <f t="shared" si="42"/>
        <v/>
      </c>
      <c r="G275" s="121" t="str">
        <f t="shared" si="43"/>
        <v/>
      </c>
      <c r="H275" s="121" t="str">
        <f t="shared" si="44"/>
        <v/>
      </c>
      <c r="I275" s="122" t="str">
        <f t="shared" si="51"/>
        <v/>
      </c>
      <c r="J275" s="121" t="str">
        <f t="shared" si="45"/>
        <v/>
      </c>
      <c r="K275" s="121" t="str">
        <f t="shared" si="46"/>
        <v/>
      </c>
      <c r="L275" s="121" t="str">
        <f t="shared" si="47"/>
        <v/>
      </c>
      <c r="M275" s="121" t="str">
        <f t="shared" si="48"/>
        <v/>
      </c>
    </row>
    <row r="276" spans="1:13" x14ac:dyDescent="0.35">
      <c r="A276" s="80">
        <f t="shared" si="49"/>
        <v>246</v>
      </c>
      <c r="B276" s="120" t="str">
        <f t="shared" si="39"/>
        <v/>
      </c>
      <c r="C276" s="121" t="str">
        <f t="shared" si="50"/>
        <v/>
      </c>
      <c r="D276" s="122" t="str">
        <f t="shared" si="40"/>
        <v/>
      </c>
      <c r="E276" s="121" t="str">
        <f t="shared" si="41"/>
        <v/>
      </c>
      <c r="F276" s="121" t="str">
        <f t="shared" si="42"/>
        <v/>
      </c>
      <c r="G276" s="121" t="str">
        <f t="shared" si="43"/>
        <v/>
      </c>
      <c r="H276" s="121" t="str">
        <f t="shared" si="44"/>
        <v/>
      </c>
      <c r="I276" s="122" t="str">
        <f t="shared" si="51"/>
        <v/>
      </c>
      <c r="J276" s="121" t="str">
        <f t="shared" si="45"/>
        <v/>
      </c>
      <c r="K276" s="121" t="str">
        <f t="shared" si="46"/>
        <v/>
      </c>
      <c r="L276" s="121" t="str">
        <f t="shared" si="47"/>
        <v/>
      </c>
      <c r="M276" s="121" t="str">
        <f t="shared" si="48"/>
        <v/>
      </c>
    </row>
    <row r="277" spans="1:13" x14ac:dyDescent="0.35">
      <c r="A277" s="80">
        <f t="shared" si="49"/>
        <v>247</v>
      </c>
      <c r="B277" s="120" t="str">
        <f t="shared" si="39"/>
        <v/>
      </c>
      <c r="C277" s="121" t="str">
        <f t="shared" si="50"/>
        <v/>
      </c>
      <c r="D277" s="122" t="str">
        <f t="shared" si="40"/>
        <v/>
      </c>
      <c r="E277" s="121" t="str">
        <f t="shared" si="41"/>
        <v/>
      </c>
      <c r="F277" s="121" t="str">
        <f t="shared" si="42"/>
        <v/>
      </c>
      <c r="G277" s="121" t="str">
        <f t="shared" si="43"/>
        <v/>
      </c>
      <c r="H277" s="121" t="str">
        <f t="shared" si="44"/>
        <v/>
      </c>
      <c r="I277" s="122" t="str">
        <f t="shared" si="51"/>
        <v/>
      </c>
      <c r="J277" s="121" t="str">
        <f t="shared" si="45"/>
        <v/>
      </c>
      <c r="K277" s="121" t="str">
        <f t="shared" si="46"/>
        <v/>
      </c>
      <c r="L277" s="121" t="str">
        <f t="shared" si="47"/>
        <v/>
      </c>
      <c r="M277" s="121" t="str">
        <f t="shared" si="48"/>
        <v/>
      </c>
    </row>
    <row r="278" spans="1:13" x14ac:dyDescent="0.35">
      <c r="A278" s="80">
        <f t="shared" si="49"/>
        <v>248</v>
      </c>
      <c r="B278" s="120" t="str">
        <f t="shared" si="39"/>
        <v/>
      </c>
      <c r="C278" s="121" t="str">
        <f t="shared" si="50"/>
        <v/>
      </c>
      <c r="D278" s="122" t="str">
        <f t="shared" si="40"/>
        <v/>
      </c>
      <c r="E278" s="121" t="str">
        <f t="shared" si="41"/>
        <v/>
      </c>
      <c r="F278" s="121" t="str">
        <f t="shared" si="42"/>
        <v/>
      </c>
      <c r="G278" s="121" t="str">
        <f t="shared" si="43"/>
        <v/>
      </c>
      <c r="H278" s="121" t="str">
        <f t="shared" si="44"/>
        <v/>
      </c>
      <c r="I278" s="122" t="str">
        <f t="shared" si="51"/>
        <v/>
      </c>
      <c r="J278" s="121" t="str">
        <f t="shared" si="45"/>
        <v/>
      </c>
      <c r="K278" s="121" t="str">
        <f t="shared" si="46"/>
        <v/>
      </c>
      <c r="L278" s="121" t="str">
        <f t="shared" si="47"/>
        <v/>
      </c>
      <c r="M278" s="121" t="str">
        <f t="shared" si="48"/>
        <v/>
      </c>
    </row>
    <row r="279" spans="1:13" x14ac:dyDescent="0.35">
      <c r="A279" s="80">
        <f t="shared" si="49"/>
        <v>249</v>
      </c>
      <c r="B279" s="120" t="str">
        <f t="shared" si="39"/>
        <v/>
      </c>
      <c r="C279" s="121" t="str">
        <f t="shared" si="50"/>
        <v/>
      </c>
      <c r="D279" s="122" t="str">
        <f t="shared" si="40"/>
        <v/>
      </c>
      <c r="E279" s="121" t="str">
        <f t="shared" si="41"/>
        <v/>
      </c>
      <c r="F279" s="121" t="str">
        <f t="shared" si="42"/>
        <v/>
      </c>
      <c r="G279" s="121" t="str">
        <f t="shared" si="43"/>
        <v/>
      </c>
      <c r="H279" s="121" t="str">
        <f t="shared" si="44"/>
        <v/>
      </c>
      <c r="I279" s="122" t="str">
        <f t="shared" si="51"/>
        <v/>
      </c>
      <c r="J279" s="121" t="str">
        <f t="shared" si="45"/>
        <v/>
      </c>
      <c r="K279" s="121" t="str">
        <f t="shared" si="46"/>
        <v/>
      </c>
      <c r="L279" s="121" t="str">
        <f t="shared" si="47"/>
        <v/>
      </c>
      <c r="M279" s="121" t="str">
        <f t="shared" si="48"/>
        <v/>
      </c>
    </row>
    <row r="280" spans="1:13" x14ac:dyDescent="0.35">
      <c r="A280" s="80">
        <f t="shared" si="49"/>
        <v>250</v>
      </c>
      <c r="B280" s="120" t="str">
        <f t="shared" si="39"/>
        <v/>
      </c>
      <c r="C280" s="121" t="str">
        <f t="shared" si="50"/>
        <v/>
      </c>
      <c r="D280" s="122" t="str">
        <f t="shared" si="40"/>
        <v/>
      </c>
      <c r="E280" s="121" t="str">
        <f t="shared" si="41"/>
        <v/>
      </c>
      <c r="F280" s="121" t="str">
        <f t="shared" si="42"/>
        <v/>
      </c>
      <c r="G280" s="121" t="str">
        <f t="shared" si="43"/>
        <v/>
      </c>
      <c r="H280" s="121" t="str">
        <f t="shared" si="44"/>
        <v/>
      </c>
      <c r="I280" s="122" t="str">
        <f t="shared" si="51"/>
        <v/>
      </c>
      <c r="J280" s="121" t="str">
        <f t="shared" si="45"/>
        <v/>
      </c>
      <c r="K280" s="121" t="str">
        <f t="shared" si="46"/>
        <v/>
      </c>
      <c r="L280" s="121" t="str">
        <f t="shared" si="47"/>
        <v/>
      </c>
      <c r="M280" s="121" t="str">
        <f t="shared" si="48"/>
        <v/>
      </c>
    </row>
    <row r="281" spans="1:13" x14ac:dyDescent="0.35">
      <c r="A281" s="80">
        <f t="shared" si="49"/>
        <v>251</v>
      </c>
      <c r="B281" s="120" t="str">
        <f t="shared" si="39"/>
        <v/>
      </c>
      <c r="C281" s="121" t="str">
        <f t="shared" si="50"/>
        <v/>
      </c>
      <c r="D281" s="122" t="str">
        <f t="shared" si="40"/>
        <v/>
      </c>
      <c r="E281" s="121" t="str">
        <f t="shared" si="41"/>
        <v/>
      </c>
      <c r="F281" s="121" t="str">
        <f t="shared" si="42"/>
        <v/>
      </c>
      <c r="G281" s="121" t="str">
        <f t="shared" si="43"/>
        <v/>
      </c>
      <c r="H281" s="121" t="str">
        <f t="shared" si="44"/>
        <v/>
      </c>
      <c r="I281" s="122" t="str">
        <f t="shared" si="51"/>
        <v/>
      </c>
      <c r="J281" s="121" t="str">
        <f t="shared" si="45"/>
        <v/>
      </c>
      <c r="K281" s="121" t="str">
        <f t="shared" si="46"/>
        <v/>
      </c>
      <c r="L281" s="121" t="str">
        <f t="shared" si="47"/>
        <v/>
      </c>
      <c r="M281" s="121" t="str">
        <f t="shared" si="48"/>
        <v/>
      </c>
    </row>
    <row r="282" spans="1:13" x14ac:dyDescent="0.35">
      <c r="A282" s="80">
        <f t="shared" si="49"/>
        <v>252</v>
      </c>
      <c r="B282" s="120" t="str">
        <f t="shared" si="39"/>
        <v/>
      </c>
      <c r="C282" s="121" t="str">
        <f t="shared" si="50"/>
        <v/>
      </c>
      <c r="D282" s="122" t="str">
        <f t="shared" si="40"/>
        <v/>
      </c>
      <c r="E282" s="121" t="str">
        <f t="shared" si="41"/>
        <v/>
      </c>
      <c r="F282" s="121" t="str">
        <f t="shared" si="42"/>
        <v/>
      </c>
      <c r="G282" s="121" t="str">
        <f t="shared" si="43"/>
        <v/>
      </c>
      <c r="H282" s="121" t="str">
        <f t="shared" si="44"/>
        <v/>
      </c>
      <c r="I282" s="122" t="str">
        <f t="shared" si="51"/>
        <v/>
      </c>
      <c r="J282" s="121" t="str">
        <f t="shared" si="45"/>
        <v/>
      </c>
      <c r="K282" s="121" t="str">
        <f t="shared" si="46"/>
        <v/>
      </c>
      <c r="L282" s="121" t="str">
        <f t="shared" si="47"/>
        <v/>
      </c>
      <c r="M282" s="121" t="str">
        <f t="shared" si="48"/>
        <v/>
      </c>
    </row>
    <row r="283" spans="1:13" x14ac:dyDescent="0.35">
      <c r="A283" s="80">
        <f t="shared" si="49"/>
        <v>253</v>
      </c>
      <c r="B283" s="120" t="str">
        <f t="shared" si="39"/>
        <v/>
      </c>
      <c r="C283" s="121" t="str">
        <f t="shared" si="50"/>
        <v/>
      </c>
      <c r="D283" s="122" t="str">
        <f t="shared" si="40"/>
        <v/>
      </c>
      <c r="E283" s="121" t="str">
        <f t="shared" si="41"/>
        <v/>
      </c>
      <c r="F283" s="121" t="str">
        <f t="shared" si="42"/>
        <v/>
      </c>
      <c r="G283" s="121" t="str">
        <f t="shared" si="43"/>
        <v/>
      </c>
      <c r="H283" s="121" t="str">
        <f t="shared" si="44"/>
        <v/>
      </c>
      <c r="I283" s="122" t="str">
        <f t="shared" si="51"/>
        <v/>
      </c>
      <c r="J283" s="121" t="str">
        <f t="shared" si="45"/>
        <v/>
      </c>
      <c r="K283" s="121" t="str">
        <f t="shared" si="46"/>
        <v/>
      </c>
      <c r="L283" s="121" t="str">
        <f t="shared" si="47"/>
        <v/>
      </c>
      <c r="M283" s="121" t="str">
        <f t="shared" si="48"/>
        <v/>
      </c>
    </row>
    <row r="284" spans="1:13" x14ac:dyDescent="0.35">
      <c r="A284" s="80">
        <f t="shared" si="49"/>
        <v>254</v>
      </c>
      <c r="B284" s="120" t="str">
        <f t="shared" si="39"/>
        <v/>
      </c>
      <c r="C284" s="121" t="str">
        <f t="shared" si="50"/>
        <v/>
      </c>
      <c r="D284" s="122" t="str">
        <f t="shared" si="40"/>
        <v/>
      </c>
      <c r="E284" s="121" t="str">
        <f t="shared" si="41"/>
        <v/>
      </c>
      <c r="F284" s="121" t="str">
        <f t="shared" si="42"/>
        <v/>
      </c>
      <c r="G284" s="121" t="str">
        <f t="shared" si="43"/>
        <v/>
      </c>
      <c r="H284" s="121" t="str">
        <f t="shared" si="44"/>
        <v/>
      </c>
      <c r="I284" s="122" t="str">
        <f t="shared" si="51"/>
        <v/>
      </c>
      <c r="J284" s="121" t="str">
        <f t="shared" si="45"/>
        <v/>
      </c>
      <c r="K284" s="121" t="str">
        <f t="shared" si="46"/>
        <v/>
      </c>
      <c r="L284" s="121" t="str">
        <f t="shared" si="47"/>
        <v/>
      </c>
      <c r="M284" s="121" t="str">
        <f t="shared" si="48"/>
        <v/>
      </c>
    </row>
    <row r="285" spans="1:13" x14ac:dyDescent="0.35">
      <c r="A285" s="80">
        <f t="shared" si="49"/>
        <v>255</v>
      </c>
      <c r="B285" s="120" t="str">
        <f t="shared" si="39"/>
        <v/>
      </c>
      <c r="C285" s="121" t="str">
        <f t="shared" si="50"/>
        <v/>
      </c>
      <c r="D285" s="122" t="str">
        <f t="shared" si="40"/>
        <v/>
      </c>
      <c r="E285" s="121" t="str">
        <f t="shared" si="41"/>
        <v/>
      </c>
      <c r="F285" s="121" t="str">
        <f t="shared" si="42"/>
        <v/>
      </c>
      <c r="G285" s="121" t="str">
        <f t="shared" si="43"/>
        <v/>
      </c>
      <c r="H285" s="121" t="str">
        <f t="shared" si="44"/>
        <v/>
      </c>
      <c r="I285" s="122" t="str">
        <f t="shared" si="51"/>
        <v/>
      </c>
      <c r="J285" s="121" t="str">
        <f t="shared" si="45"/>
        <v/>
      </c>
      <c r="K285" s="121" t="str">
        <f t="shared" si="46"/>
        <v/>
      </c>
      <c r="L285" s="121" t="str">
        <f t="shared" si="47"/>
        <v/>
      </c>
      <c r="M285" s="121" t="str">
        <f t="shared" si="48"/>
        <v/>
      </c>
    </row>
    <row r="286" spans="1:13" x14ac:dyDescent="0.35">
      <c r="A286" s="80">
        <f t="shared" si="49"/>
        <v>256</v>
      </c>
      <c r="B286" s="120" t="str">
        <f t="shared" si="39"/>
        <v/>
      </c>
      <c r="C286" s="121" t="str">
        <f t="shared" si="50"/>
        <v/>
      </c>
      <c r="D286" s="122" t="str">
        <f t="shared" si="40"/>
        <v/>
      </c>
      <c r="E286" s="121" t="str">
        <f t="shared" si="41"/>
        <v/>
      </c>
      <c r="F286" s="121" t="str">
        <f t="shared" si="42"/>
        <v/>
      </c>
      <c r="G286" s="121" t="str">
        <f t="shared" si="43"/>
        <v/>
      </c>
      <c r="H286" s="121" t="str">
        <f t="shared" si="44"/>
        <v/>
      </c>
      <c r="I286" s="122" t="str">
        <f t="shared" si="51"/>
        <v/>
      </c>
      <c r="J286" s="121" t="str">
        <f t="shared" si="45"/>
        <v/>
      </c>
      <c r="K286" s="121" t="str">
        <f t="shared" si="46"/>
        <v/>
      </c>
      <c r="L286" s="121" t="str">
        <f t="shared" si="47"/>
        <v/>
      </c>
      <c r="M286" s="121" t="str">
        <f t="shared" si="48"/>
        <v/>
      </c>
    </row>
    <row r="287" spans="1:13" x14ac:dyDescent="0.35">
      <c r="A287" s="80">
        <f t="shared" si="49"/>
        <v>257</v>
      </c>
      <c r="B287" s="120" t="str">
        <f t="shared" ref="B287:B350" si="52">IF(A287&lt;=$F$11,A287,"")</f>
        <v/>
      </c>
      <c r="C287" s="121" t="str">
        <f t="shared" si="50"/>
        <v/>
      </c>
      <c r="D287" s="122" t="str">
        <f t="shared" ref="D287:D350" si="53">IF(B287&lt;=$F$11,(C287*$F$13),"")</f>
        <v/>
      </c>
      <c r="E287" s="121" t="str">
        <f t="shared" ref="E287:E350" si="54">IF(B287&lt;=$F$12,0,IF(B287&lt;=$F$11,(-$F$16-D287),""))</f>
        <v/>
      </c>
      <c r="F287" s="121" t="str">
        <f t="shared" ref="F287:F350" si="55">IF(B287&lt;=$F$11,(($F$20*$F$2)+($F$19*$F$2)+(C287*$F$18)+($F$17*C287)),"")</f>
        <v/>
      </c>
      <c r="G287" s="121" t="str">
        <f t="shared" ref="G287:G350" si="56">IF(B287&lt;=$F$11,(D287+E287),"")</f>
        <v/>
      </c>
      <c r="H287" s="121" t="str">
        <f t="shared" ref="H287:H350" si="57">IF(B287&lt;=$F$11,(F287+G287),"")</f>
        <v/>
      </c>
      <c r="I287" s="122" t="str">
        <f t="shared" si="51"/>
        <v/>
      </c>
      <c r="J287" s="121" t="str">
        <f t="shared" ref="J287:J350" si="58">IF(B287&lt;=$F$11,(($F$20*$F$2*(1-$F$10))+($F$19*$F$2)+((C287*$F$18)*(1-$F$10))+(($F$17*C287))),"")</f>
        <v/>
      </c>
      <c r="K287" s="121" t="str">
        <f t="shared" ref="K287:K350" si="59">IF(B287&lt;=$F$11,(E287+I287),"")</f>
        <v/>
      </c>
      <c r="L287" s="121" t="str">
        <f t="shared" ref="L287:L350" si="60">IF(B287&lt;=$F$11,(J287+K287),"")</f>
        <v/>
      </c>
      <c r="M287" s="121" t="str">
        <f t="shared" ref="M287:M350" si="61">IF(B287&lt;=$F$11,(C287-E287),IF(B287&gt;$F$11,"",0))</f>
        <v/>
      </c>
    </row>
    <row r="288" spans="1:13" x14ac:dyDescent="0.35">
      <c r="A288" s="80">
        <f t="shared" ref="A288:A351" si="62">A287+1</f>
        <v>258</v>
      </c>
      <c r="B288" s="120" t="str">
        <f t="shared" si="52"/>
        <v/>
      </c>
      <c r="C288" s="121" t="str">
        <f t="shared" ref="C288:C351" si="63">IF(M287=0,"",M287)</f>
        <v/>
      </c>
      <c r="D288" s="122" t="str">
        <f t="shared" si="53"/>
        <v/>
      </c>
      <c r="E288" s="121" t="str">
        <f t="shared" si="54"/>
        <v/>
      </c>
      <c r="F288" s="121" t="str">
        <f t="shared" si="55"/>
        <v/>
      </c>
      <c r="G288" s="121" t="str">
        <f t="shared" si="56"/>
        <v/>
      </c>
      <c r="H288" s="121" t="str">
        <f t="shared" si="57"/>
        <v/>
      </c>
      <c r="I288" s="122" t="str">
        <f t="shared" ref="I288:I351" si="64">IF(B288&lt;=$F$11,(C288*$F$13)*(1-$F$10),"")</f>
        <v/>
      </c>
      <c r="J288" s="121" t="str">
        <f t="shared" si="58"/>
        <v/>
      </c>
      <c r="K288" s="121" t="str">
        <f t="shared" si="59"/>
        <v/>
      </c>
      <c r="L288" s="121" t="str">
        <f t="shared" si="60"/>
        <v/>
      </c>
      <c r="M288" s="121" t="str">
        <f t="shared" si="61"/>
        <v/>
      </c>
    </row>
    <row r="289" spans="1:13" x14ac:dyDescent="0.35">
      <c r="A289" s="80">
        <f t="shared" si="62"/>
        <v>259</v>
      </c>
      <c r="B289" s="120" t="str">
        <f t="shared" si="52"/>
        <v/>
      </c>
      <c r="C289" s="121" t="str">
        <f t="shared" si="63"/>
        <v/>
      </c>
      <c r="D289" s="122" t="str">
        <f t="shared" si="53"/>
        <v/>
      </c>
      <c r="E289" s="121" t="str">
        <f t="shared" si="54"/>
        <v/>
      </c>
      <c r="F289" s="121" t="str">
        <f t="shared" si="55"/>
        <v/>
      </c>
      <c r="G289" s="121" t="str">
        <f t="shared" si="56"/>
        <v/>
      </c>
      <c r="H289" s="121" t="str">
        <f t="shared" si="57"/>
        <v/>
      </c>
      <c r="I289" s="122" t="str">
        <f t="shared" si="64"/>
        <v/>
      </c>
      <c r="J289" s="121" t="str">
        <f t="shared" si="58"/>
        <v/>
      </c>
      <c r="K289" s="121" t="str">
        <f t="shared" si="59"/>
        <v/>
      </c>
      <c r="L289" s="121" t="str">
        <f t="shared" si="60"/>
        <v/>
      </c>
      <c r="M289" s="121" t="str">
        <f t="shared" si="61"/>
        <v/>
      </c>
    </row>
    <row r="290" spans="1:13" x14ac:dyDescent="0.35">
      <c r="A290" s="80">
        <f t="shared" si="62"/>
        <v>260</v>
      </c>
      <c r="B290" s="120" t="str">
        <f t="shared" si="52"/>
        <v/>
      </c>
      <c r="C290" s="121" t="str">
        <f t="shared" si="63"/>
        <v/>
      </c>
      <c r="D290" s="122" t="str">
        <f t="shared" si="53"/>
        <v/>
      </c>
      <c r="E290" s="121" t="str">
        <f t="shared" si="54"/>
        <v/>
      </c>
      <c r="F290" s="121" t="str">
        <f t="shared" si="55"/>
        <v/>
      </c>
      <c r="G290" s="121" t="str">
        <f t="shared" si="56"/>
        <v/>
      </c>
      <c r="H290" s="121" t="str">
        <f t="shared" si="57"/>
        <v/>
      </c>
      <c r="I290" s="122" t="str">
        <f t="shared" si="64"/>
        <v/>
      </c>
      <c r="J290" s="121" t="str">
        <f t="shared" si="58"/>
        <v/>
      </c>
      <c r="K290" s="121" t="str">
        <f t="shared" si="59"/>
        <v/>
      </c>
      <c r="L290" s="121" t="str">
        <f t="shared" si="60"/>
        <v/>
      </c>
      <c r="M290" s="121" t="str">
        <f t="shared" si="61"/>
        <v/>
      </c>
    </row>
    <row r="291" spans="1:13" x14ac:dyDescent="0.35">
      <c r="A291" s="80">
        <f t="shared" si="62"/>
        <v>261</v>
      </c>
      <c r="B291" s="120" t="str">
        <f t="shared" si="52"/>
        <v/>
      </c>
      <c r="C291" s="121" t="str">
        <f t="shared" si="63"/>
        <v/>
      </c>
      <c r="D291" s="122" t="str">
        <f t="shared" si="53"/>
        <v/>
      </c>
      <c r="E291" s="121" t="str">
        <f t="shared" si="54"/>
        <v/>
      </c>
      <c r="F291" s="121" t="str">
        <f t="shared" si="55"/>
        <v/>
      </c>
      <c r="G291" s="121" t="str">
        <f t="shared" si="56"/>
        <v/>
      </c>
      <c r="H291" s="121" t="str">
        <f t="shared" si="57"/>
        <v/>
      </c>
      <c r="I291" s="122" t="str">
        <f t="shared" si="64"/>
        <v/>
      </c>
      <c r="J291" s="121" t="str">
        <f t="shared" si="58"/>
        <v/>
      </c>
      <c r="K291" s="121" t="str">
        <f t="shared" si="59"/>
        <v/>
      </c>
      <c r="L291" s="121" t="str">
        <f t="shared" si="60"/>
        <v/>
      </c>
      <c r="M291" s="121" t="str">
        <f t="shared" si="61"/>
        <v/>
      </c>
    </row>
    <row r="292" spans="1:13" x14ac:dyDescent="0.35">
      <c r="A292" s="80">
        <f t="shared" si="62"/>
        <v>262</v>
      </c>
      <c r="B292" s="120" t="str">
        <f t="shared" si="52"/>
        <v/>
      </c>
      <c r="C292" s="121" t="str">
        <f t="shared" si="63"/>
        <v/>
      </c>
      <c r="D292" s="122" t="str">
        <f t="shared" si="53"/>
        <v/>
      </c>
      <c r="E292" s="121" t="str">
        <f t="shared" si="54"/>
        <v/>
      </c>
      <c r="F292" s="121" t="str">
        <f t="shared" si="55"/>
        <v/>
      </c>
      <c r="G292" s="121" t="str">
        <f t="shared" si="56"/>
        <v/>
      </c>
      <c r="H292" s="121" t="str">
        <f t="shared" si="57"/>
        <v/>
      </c>
      <c r="I292" s="122" t="str">
        <f t="shared" si="64"/>
        <v/>
      </c>
      <c r="J292" s="121" t="str">
        <f t="shared" si="58"/>
        <v/>
      </c>
      <c r="K292" s="121" t="str">
        <f t="shared" si="59"/>
        <v/>
      </c>
      <c r="L292" s="121" t="str">
        <f t="shared" si="60"/>
        <v/>
      </c>
      <c r="M292" s="121" t="str">
        <f t="shared" si="61"/>
        <v/>
      </c>
    </row>
    <row r="293" spans="1:13" x14ac:dyDescent="0.35">
      <c r="A293" s="80">
        <f t="shared" si="62"/>
        <v>263</v>
      </c>
      <c r="B293" s="120" t="str">
        <f t="shared" si="52"/>
        <v/>
      </c>
      <c r="C293" s="121" t="str">
        <f t="shared" si="63"/>
        <v/>
      </c>
      <c r="D293" s="122" t="str">
        <f t="shared" si="53"/>
        <v/>
      </c>
      <c r="E293" s="121" t="str">
        <f t="shared" si="54"/>
        <v/>
      </c>
      <c r="F293" s="121" t="str">
        <f t="shared" si="55"/>
        <v/>
      </c>
      <c r="G293" s="121" t="str">
        <f t="shared" si="56"/>
        <v/>
      </c>
      <c r="H293" s="121" t="str">
        <f t="shared" si="57"/>
        <v/>
      </c>
      <c r="I293" s="122" t="str">
        <f t="shared" si="64"/>
        <v/>
      </c>
      <c r="J293" s="121" t="str">
        <f t="shared" si="58"/>
        <v/>
      </c>
      <c r="K293" s="121" t="str">
        <f t="shared" si="59"/>
        <v/>
      </c>
      <c r="L293" s="121" t="str">
        <f t="shared" si="60"/>
        <v/>
      </c>
      <c r="M293" s="121" t="str">
        <f t="shared" si="61"/>
        <v/>
      </c>
    </row>
    <row r="294" spans="1:13" x14ac:dyDescent="0.35">
      <c r="A294" s="80">
        <f t="shared" si="62"/>
        <v>264</v>
      </c>
      <c r="B294" s="120" t="str">
        <f t="shared" si="52"/>
        <v/>
      </c>
      <c r="C294" s="121" t="str">
        <f t="shared" si="63"/>
        <v/>
      </c>
      <c r="D294" s="122" t="str">
        <f t="shared" si="53"/>
        <v/>
      </c>
      <c r="E294" s="121" t="str">
        <f t="shared" si="54"/>
        <v/>
      </c>
      <c r="F294" s="121" t="str">
        <f t="shared" si="55"/>
        <v/>
      </c>
      <c r="G294" s="121" t="str">
        <f t="shared" si="56"/>
        <v/>
      </c>
      <c r="H294" s="121" t="str">
        <f t="shared" si="57"/>
        <v/>
      </c>
      <c r="I294" s="122" t="str">
        <f t="shared" si="64"/>
        <v/>
      </c>
      <c r="J294" s="121" t="str">
        <f t="shared" si="58"/>
        <v/>
      </c>
      <c r="K294" s="121" t="str">
        <f t="shared" si="59"/>
        <v/>
      </c>
      <c r="L294" s="121" t="str">
        <f t="shared" si="60"/>
        <v/>
      </c>
      <c r="M294" s="121" t="str">
        <f t="shared" si="61"/>
        <v/>
      </c>
    </row>
    <row r="295" spans="1:13" x14ac:dyDescent="0.35">
      <c r="A295" s="80">
        <f t="shared" si="62"/>
        <v>265</v>
      </c>
      <c r="B295" s="120" t="str">
        <f t="shared" si="52"/>
        <v/>
      </c>
      <c r="C295" s="121" t="str">
        <f t="shared" si="63"/>
        <v/>
      </c>
      <c r="D295" s="122" t="str">
        <f t="shared" si="53"/>
        <v/>
      </c>
      <c r="E295" s="121" t="str">
        <f t="shared" si="54"/>
        <v/>
      </c>
      <c r="F295" s="121" t="str">
        <f t="shared" si="55"/>
        <v/>
      </c>
      <c r="G295" s="121" t="str">
        <f t="shared" si="56"/>
        <v/>
      </c>
      <c r="H295" s="121" t="str">
        <f t="shared" si="57"/>
        <v/>
      </c>
      <c r="I295" s="122" t="str">
        <f t="shared" si="64"/>
        <v/>
      </c>
      <c r="J295" s="121" t="str">
        <f t="shared" si="58"/>
        <v/>
      </c>
      <c r="K295" s="121" t="str">
        <f t="shared" si="59"/>
        <v/>
      </c>
      <c r="L295" s="121" t="str">
        <f t="shared" si="60"/>
        <v/>
      </c>
      <c r="M295" s="121" t="str">
        <f t="shared" si="61"/>
        <v/>
      </c>
    </row>
    <row r="296" spans="1:13" x14ac:dyDescent="0.35">
      <c r="A296" s="80">
        <f t="shared" si="62"/>
        <v>266</v>
      </c>
      <c r="B296" s="120" t="str">
        <f t="shared" si="52"/>
        <v/>
      </c>
      <c r="C296" s="121" t="str">
        <f t="shared" si="63"/>
        <v/>
      </c>
      <c r="D296" s="122" t="str">
        <f t="shared" si="53"/>
        <v/>
      </c>
      <c r="E296" s="121" t="str">
        <f t="shared" si="54"/>
        <v/>
      </c>
      <c r="F296" s="121" t="str">
        <f t="shared" si="55"/>
        <v/>
      </c>
      <c r="G296" s="121" t="str">
        <f t="shared" si="56"/>
        <v/>
      </c>
      <c r="H296" s="121" t="str">
        <f t="shared" si="57"/>
        <v/>
      </c>
      <c r="I296" s="122" t="str">
        <f t="shared" si="64"/>
        <v/>
      </c>
      <c r="J296" s="121" t="str">
        <f t="shared" si="58"/>
        <v/>
      </c>
      <c r="K296" s="121" t="str">
        <f t="shared" si="59"/>
        <v/>
      </c>
      <c r="L296" s="121" t="str">
        <f t="shared" si="60"/>
        <v/>
      </c>
      <c r="M296" s="121" t="str">
        <f t="shared" si="61"/>
        <v/>
      </c>
    </row>
    <row r="297" spans="1:13" x14ac:dyDescent="0.35">
      <c r="A297" s="80">
        <f t="shared" si="62"/>
        <v>267</v>
      </c>
      <c r="B297" s="120" t="str">
        <f t="shared" si="52"/>
        <v/>
      </c>
      <c r="C297" s="121" t="str">
        <f t="shared" si="63"/>
        <v/>
      </c>
      <c r="D297" s="122" t="str">
        <f t="shared" si="53"/>
        <v/>
      </c>
      <c r="E297" s="121" t="str">
        <f t="shared" si="54"/>
        <v/>
      </c>
      <c r="F297" s="121" t="str">
        <f t="shared" si="55"/>
        <v/>
      </c>
      <c r="G297" s="121" t="str">
        <f t="shared" si="56"/>
        <v/>
      </c>
      <c r="H297" s="121" t="str">
        <f t="shared" si="57"/>
        <v/>
      </c>
      <c r="I297" s="122" t="str">
        <f t="shared" si="64"/>
        <v/>
      </c>
      <c r="J297" s="121" t="str">
        <f t="shared" si="58"/>
        <v/>
      </c>
      <c r="K297" s="121" t="str">
        <f t="shared" si="59"/>
        <v/>
      </c>
      <c r="L297" s="121" t="str">
        <f t="shared" si="60"/>
        <v/>
      </c>
      <c r="M297" s="121" t="str">
        <f t="shared" si="61"/>
        <v/>
      </c>
    </row>
    <row r="298" spans="1:13" x14ac:dyDescent="0.35">
      <c r="A298" s="80">
        <f t="shared" si="62"/>
        <v>268</v>
      </c>
      <c r="B298" s="120" t="str">
        <f t="shared" si="52"/>
        <v/>
      </c>
      <c r="C298" s="121" t="str">
        <f t="shared" si="63"/>
        <v/>
      </c>
      <c r="D298" s="122" t="str">
        <f t="shared" si="53"/>
        <v/>
      </c>
      <c r="E298" s="121" t="str">
        <f t="shared" si="54"/>
        <v/>
      </c>
      <c r="F298" s="121" t="str">
        <f t="shared" si="55"/>
        <v/>
      </c>
      <c r="G298" s="121" t="str">
        <f t="shared" si="56"/>
        <v/>
      </c>
      <c r="H298" s="121" t="str">
        <f t="shared" si="57"/>
        <v/>
      </c>
      <c r="I298" s="122" t="str">
        <f t="shared" si="64"/>
        <v/>
      </c>
      <c r="J298" s="121" t="str">
        <f t="shared" si="58"/>
        <v/>
      </c>
      <c r="K298" s="121" t="str">
        <f t="shared" si="59"/>
        <v/>
      </c>
      <c r="L298" s="121" t="str">
        <f t="shared" si="60"/>
        <v/>
      </c>
      <c r="M298" s="121" t="str">
        <f t="shared" si="61"/>
        <v/>
      </c>
    </row>
    <row r="299" spans="1:13" x14ac:dyDescent="0.35">
      <c r="A299" s="80">
        <f t="shared" si="62"/>
        <v>269</v>
      </c>
      <c r="B299" s="120" t="str">
        <f t="shared" si="52"/>
        <v/>
      </c>
      <c r="C299" s="121" t="str">
        <f t="shared" si="63"/>
        <v/>
      </c>
      <c r="D299" s="122" t="str">
        <f t="shared" si="53"/>
        <v/>
      </c>
      <c r="E299" s="121" t="str">
        <f t="shared" si="54"/>
        <v/>
      </c>
      <c r="F299" s="121" t="str">
        <f t="shared" si="55"/>
        <v/>
      </c>
      <c r="G299" s="121" t="str">
        <f t="shared" si="56"/>
        <v/>
      </c>
      <c r="H299" s="121" t="str">
        <f t="shared" si="57"/>
        <v/>
      </c>
      <c r="I299" s="122" t="str">
        <f t="shared" si="64"/>
        <v/>
      </c>
      <c r="J299" s="121" t="str">
        <f t="shared" si="58"/>
        <v/>
      </c>
      <c r="K299" s="121" t="str">
        <f t="shared" si="59"/>
        <v/>
      </c>
      <c r="L299" s="121" t="str">
        <f t="shared" si="60"/>
        <v/>
      </c>
      <c r="M299" s="121" t="str">
        <f t="shared" si="61"/>
        <v/>
      </c>
    </row>
    <row r="300" spans="1:13" x14ac:dyDescent="0.35">
      <c r="A300" s="80">
        <f t="shared" si="62"/>
        <v>270</v>
      </c>
      <c r="B300" s="120" t="str">
        <f t="shared" si="52"/>
        <v/>
      </c>
      <c r="C300" s="121" t="str">
        <f t="shared" si="63"/>
        <v/>
      </c>
      <c r="D300" s="122" t="str">
        <f t="shared" si="53"/>
        <v/>
      </c>
      <c r="E300" s="121" t="str">
        <f t="shared" si="54"/>
        <v/>
      </c>
      <c r="F300" s="121" t="str">
        <f t="shared" si="55"/>
        <v/>
      </c>
      <c r="G300" s="121" t="str">
        <f t="shared" si="56"/>
        <v/>
      </c>
      <c r="H300" s="121" t="str">
        <f t="shared" si="57"/>
        <v/>
      </c>
      <c r="I300" s="122" t="str">
        <f t="shared" si="64"/>
        <v/>
      </c>
      <c r="J300" s="121" t="str">
        <f t="shared" si="58"/>
        <v/>
      </c>
      <c r="K300" s="121" t="str">
        <f t="shared" si="59"/>
        <v/>
      </c>
      <c r="L300" s="121" t="str">
        <f t="shared" si="60"/>
        <v/>
      </c>
      <c r="M300" s="121" t="str">
        <f t="shared" si="61"/>
        <v/>
      </c>
    </row>
    <row r="301" spans="1:13" x14ac:dyDescent="0.35">
      <c r="A301" s="80">
        <f t="shared" si="62"/>
        <v>271</v>
      </c>
      <c r="B301" s="120" t="str">
        <f t="shared" si="52"/>
        <v/>
      </c>
      <c r="C301" s="121" t="str">
        <f t="shared" si="63"/>
        <v/>
      </c>
      <c r="D301" s="122" t="str">
        <f t="shared" si="53"/>
        <v/>
      </c>
      <c r="E301" s="121" t="str">
        <f t="shared" si="54"/>
        <v/>
      </c>
      <c r="F301" s="121" t="str">
        <f t="shared" si="55"/>
        <v/>
      </c>
      <c r="G301" s="121" t="str">
        <f t="shared" si="56"/>
        <v/>
      </c>
      <c r="H301" s="121" t="str">
        <f t="shared" si="57"/>
        <v/>
      </c>
      <c r="I301" s="122" t="str">
        <f t="shared" si="64"/>
        <v/>
      </c>
      <c r="J301" s="121" t="str">
        <f t="shared" si="58"/>
        <v/>
      </c>
      <c r="K301" s="121" t="str">
        <f t="shared" si="59"/>
        <v/>
      </c>
      <c r="L301" s="121" t="str">
        <f t="shared" si="60"/>
        <v/>
      </c>
      <c r="M301" s="121" t="str">
        <f t="shared" si="61"/>
        <v/>
      </c>
    </row>
    <row r="302" spans="1:13" x14ac:dyDescent="0.35">
      <c r="A302" s="80">
        <f t="shared" si="62"/>
        <v>272</v>
      </c>
      <c r="B302" s="120" t="str">
        <f t="shared" si="52"/>
        <v/>
      </c>
      <c r="C302" s="121" t="str">
        <f t="shared" si="63"/>
        <v/>
      </c>
      <c r="D302" s="122" t="str">
        <f t="shared" si="53"/>
        <v/>
      </c>
      <c r="E302" s="121" t="str">
        <f t="shared" si="54"/>
        <v/>
      </c>
      <c r="F302" s="121" t="str">
        <f t="shared" si="55"/>
        <v/>
      </c>
      <c r="G302" s="121" t="str">
        <f t="shared" si="56"/>
        <v/>
      </c>
      <c r="H302" s="121" t="str">
        <f t="shared" si="57"/>
        <v/>
      </c>
      <c r="I302" s="122" t="str">
        <f t="shared" si="64"/>
        <v/>
      </c>
      <c r="J302" s="121" t="str">
        <f t="shared" si="58"/>
        <v/>
      </c>
      <c r="K302" s="121" t="str">
        <f t="shared" si="59"/>
        <v/>
      </c>
      <c r="L302" s="121" t="str">
        <f t="shared" si="60"/>
        <v/>
      </c>
      <c r="M302" s="121" t="str">
        <f t="shared" si="61"/>
        <v/>
      </c>
    </row>
    <row r="303" spans="1:13" x14ac:dyDescent="0.35">
      <c r="A303" s="80">
        <f t="shared" si="62"/>
        <v>273</v>
      </c>
      <c r="B303" s="120" t="str">
        <f t="shared" si="52"/>
        <v/>
      </c>
      <c r="C303" s="121" t="str">
        <f t="shared" si="63"/>
        <v/>
      </c>
      <c r="D303" s="122" t="str">
        <f t="shared" si="53"/>
        <v/>
      </c>
      <c r="E303" s="121" t="str">
        <f t="shared" si="54"/>
        <v/>
      </c>
      <c r="F303" s="121" t="str">
        <f t="shared" si="55"/>
        <v/>
      </c>
      <c r="G303" s="121" t="str">
        <f t="shared" si="56"/>
        <v/>
      </c>
      <c r="H303" s="121" t="str">
        <f t="shared" si="57"/>
        <v/>
      </c>
      <c r="I303" s="122" t="str">
        <f t="shared" si="64"/>
        <v/>
      </c>
      <c r="J303" s="121" t="str">
        <f t="shared" si="58"/>
        <v/>
      </c>
      <c r="K303" s="121" t="str">
        <f t="shared" si="59"/>
        <v/>
      </c>
      <c r="L303" s="121" t="str">
        <f t="shared" si="60"/>
        <v/>
      </c>
      <c r="M303" s="121" t="str">
        <f t="shared" si="61"/>
        <v/>
      </c>
    </row>
    <row r="304" spans="1:13" x14ac:dyDescent="0.35">
      <c r="A304" s="80">
        <f t="shared" si="62"/>
        <v>274</v>
      </c>
      <c r="B304" s="120" t="str">
        <f t="shared" si="52"/>
        <v/>
      </c>
      <c r="C304" s="121" t="str">
        <f t="shared" si="63"/>
        <v/>
      </c>
      <c r="D304" s="122" t="str">
        <f t="shared" si="53"/>
        <v/>
      </c>
      <c r="E304" s="121" t="str">
        <f t="shared" si="54"/>
        <v/>
      </c>
      <c r="F304" s="121" t="str">
        <f t="shared" si="55"/>
        <v/>
      </c>
      <c r="G304" s="121" t="str">
        <f t="shared" si="56"/>
        <v/>
      </c>
      <c r="H304" s="121" t="str">
        <f t="shared" si="57"/>
        <v/>
      </c>
      <c r="I304" s="122" t="str">
        <f t="shared" si="64"/>
        <v/>
      </c>
      <c r="J304" s="121" t="str">
        <f t="shared" si="58"/>
        <v/>
      </c>
      <c r="K304" s="121" t="str">
        <f t="shared" si="59"/>
        <v/>
      </c>
      <c r="L304" s="121" t="str">
        <f t="shared" si="60"/>
        <v/>
      </c>
      <c r="M304" s="121" t="str">
        <f t="shared" si="61"/>
        <v/>
      </c>
    </row>
    <row r="305" spans="1:13" x14ac:dyDescent="0.35">
      <c r="A305" s="80">
        <f t="shared" si="62"/>
        <v>275</v>
      </c>
      <c r="B305" s="120" t="str">
        <f t="shared" si="52"/>
        <v/>
      </c>
      <c r="C305" s="121" t="str">
        <f t="shared" si="63"/>
        <v/>
      </c>
      <c r="D305" s="122" t="str">
        <f t="shared" si="53"/>
        <v/>
      </c>
      <c r="E305" s="121" t="str">
        <f t="shared" si="54"/>
        <v/>
      </c>
      <c r="F305" s="121" t="str">
        <f t="shared" si="55"/>
        <v/>
      </c>
      <c r="G305" s="121" t="str">
        <f t="shared" si="56"/>
        <v/>
      </c>
      <c r="H305" s="121" t="str">
        <f t="shared" si="57"/>
        <v/>
      </c>
      <c r="I305" s="122" t="str">
        <f t="shared" si="64"/>
        <v/>
      </c>
      <c r="J305" s="121" t="str">
        <f t="shared" si="58"/>
        <v/>
      </c>
      <c r="K305" s="121" t="str">
        <f t="shared" si="59"/>
        <v/>
      </c>
      <c r="L305" s="121" t="str">
        <f t="shared" si="60"/>
        <v/>
      </c>
      <c r="M305" s="121" t="str">
        <f t="shared" si="61"/>
        <v/>
      </c>
    </row>
    <row r="306" spans="1:13" x14ac:dyDescent="0.35">
      <c r="A306" s="80">
        <f t="shared" si="62"/>
        <v>276</v>
      </c>
      <c r="B306" s="120" t="str">
        <f t="shared" si="52"/>
        <v/>
      </c>
      <c r="C306" s="121" t="str">
        <f t="shared" si="63"/>
        <v/>
      </c>
      <c r="D306" s="122" t="str">
        <f t="shared" si="53"/>
        <v/>
      </c>
      <c r="E306" s="121" t="str">
        <f t="shared" si="54"/>
        <v/>
      </c>
      <c r="F306" s="121" t="str">
        <f t="shared" si="55"/>
        <v/>
      </c>
      <c r="G306" s="121" t="str">
        <f t="shared" si="56"/>
        <v/>
      </c>
      <c r="H306" s="121" t="str">
        <f t="shared" si="57"/>
        <v/>
      </c>
      <c r="I306" s="122" t="str">
        <f t="shared" si="64"/>
        <v/>
      </c>
      <c r="J306" s="121" t="str">
        <f t="shared" si="58"/>
        <v/>
      </c>
      <c r="K306" s="121" t="str">
        <f t="shared" si="59"/>
        <v/>
      </c>
      <c r="L306" s="121" t="str">
        <f t="shared" si="60"/>
        <v/>
      </c>
      <c r="M306" s="121" t="str">
        <f t="shared" si="61"/>
        <v/>
      </c>
    </row>
    <row r="307" spans="1:13" x14ac:dyDescent="0.35">
      <c r="A307" s="80">
        <f t="shared" si="62"/>
        <v>277</v>
      </c>
      <c r="B307" s="120" t="str">
        <f t="shared" si="52"/>
        <v/>
      </c>
      <c r="C307" s="121" t="str">
        <f t="shared" si="63"/>
        <v/>
      </c>
      <c r="D307" s="122" t="str">
        <f t="shared" si="53"/>
        <v/>
      </c>
      <c r="E307" s="121" t="str">
        <f t="shared" si="54"/>
        <v/>
      </c>
      <c r="F307" s="121" t="str">
        <f t="shared" si="55"/>
        <v/>
      </c>
      <c r="G307" s="121" t="str">
        <f t="shared" si="56"/>
        <v/>
      </c>
      <c r="H307" s="121" t="str">
        <f t="shared" si="57"/>
        <v/>
      </c>
      <c r="I307" s="122" t="str">
        <f t="shared" si="64"/>
        <v/>
      </c>
      <c r="J307" s="121" t="str">
        <f t="shared" si="58"/>
        <v/>
      </c>
      <c r="K307" s="121" t="str">
        <f t="shared" si="59"/>
        <v/>
      </c>
      <c r="L307" s="121" t="str">
        <f t="shared" si="60"/>
        <v/>
      </c>
      <c r="M307" s="121" t="str">
        <f t="shared" si="61"/>
        <v/>
      </c>
    </row>
    <row r="308" spans="1:13" x14ac:dyDescent="0.35">
      <c r="A308" s="80">
        <f t="shared" si="62"/>
        <v>278</v>
      </c>
      <c r="B308" s="120" t="str">
        <f t="shared" si="52"/>
        <v/>
      </c>
      <c r="C308" s="121" t="str">
        <f t="shared" si="63"/>
        <v/>
      </c>
      <c r="D308" s="122" t="str">
        <f t="shared" si="53"/>
        <v/>
      </c>
      <c r="E308" s="121" t="str">
        <f t="shared" si="54"/>
        <v/>
      </c>
      <c r="F308" s="121" t="str">
        <f t="shared" si="55"/>
        <v/>
      </c>
      <c r="G308" s="121" t="str">
        <f t="shared" si="56"/>
        <v/>
      </c>
      <c r="H308" s="121" t="str">
        <f t="shared" si="57"/>
        <v/>
      </c>
      <c r="I308" s="122" t="str">
        <f t="shared" si="64"/>
        <v/>
      </c>
      <c r="J308" s="121" t="str">
        <f t="shared" si="58"/>
        <v/>
      </c>
      <c r="K308" s="121" t="str">
        <f t="shared" si="59"/>
        <v/>
      </c>
      <c r="L308" s="121" t="str">
        <f t="shared" si="60"/>
        <v/>
      </c>
      <c r="M308" s="121" t="str">
        <f t="shared" si="61"/>
        <v/>
      </c>
    </row>
    <row r="309" spans="1:13" x14ac:dyDescent="0.35">
      <c r="A309" s="80">
        <f t="shared" si="62"/>
        <v>279</v>
      </c>
      <c r="B309" s="120" t="str">
        <f t="shared" si="52"/>
        <v/>
      </c>
      <c r="C309" s="121" t="str">
        <f t="shared" si="63"/>
        <v/>
      </c>
      <c r="D309" s="122" t="str">
        <f t="shared" si="53"/>
        <v/>
      </c>
      <c r="E309" s="121" t="str">
        <f t="shared" si="54"/>
        <v/>
      </c>
      <c r="F309" s="121" t="str">
        <f t="shared" si="55"/>
        <v/>
      </c>
      <c r="G309" s="121" t="str">
        <f t="shared" si="56"/>
        <v/>
      </c>
      <c r="H309" s="121" t="str">
        <f t="shared" si="57"/>
        <v/>
      </c>
      <c r="I309" s="122" t="str">
        <f t="shared" si="64"/>
        <v/>
      </c>
      <c r="J309" s="121" t="str">
        <f t="shared" si="58"/>
        <v/>
      </c>
      <c r="K309" s="121" t="str">
        <f t="shared" si="59"/>
        <v/>
      </c>
      <c r="L309" s="121" t="str">
        <f t="shared" si="60"/>
        <v/>
      </c>
      <c r="M309" s="121" t="str">
        <f t="shared" si="61"/>
        <v/>
      </c>
    </row>
    <row r="310" spans="1:13" x14ac:dyDescent="0.35">
      <c r="A310" s="80">
        <f t="shared" si="62"/>
        <v>280</v>
      </c>
      <c r="B310" s="120" t="str">
        <f t="shared" si="52"/>
        <v/>
      </c>
      <c r="C310" s="121" t="str">
        <f t="shared" si="63"/>
        <v/>
      </c>
      <c r="D310" s="122" t="str">
        <f t="shared" si="53"/>
        <v/>
      </c>
      <c r="E310" s="121" t="str">
        <f t="shared" si="54"/>
        <v/>
      </c>
      <c r="F310" s="121" t="str">
        <f t="shared" si="55"/>
        <v/>
      </c>
      <c r="G310" s="121" t="str">
        <f t="shared" si="56"/>
        <v/>
      </c>
      <c r="H310" s="121" t="str">
        <f t="shared" si="57"/>
        <v/>
      </c>
      <c r="I310" s="122" t="str">
        <f t="shared" si="64"/>
        <v/>
      </c>
      <c r="J310" s="121" t="str">
        <f t="shared" si="58"/>
        <v/>
      </c>
      <c r="K310" s="121" t="str">
        <f t="shared" si="59"/>
        <v/>
      </c>
      <c r="L310" s="121" t="str">
        <f t="shared" si="60"/>
        <v/>
      </c>
      <c r="M310" s="121" t="str">
        <f t="shared" si="61"/>
        <v/>
      </c>
    </row>
    <row r="311" spans="1:13" x14ac:dyDescent="0.35">
      <c r="A311" s="80">
        <f t="shared" si="62"/>
        <v>281</v>
      </c>
      <c r="B311" s="120" t="str">
        <f t="shared" si="52"/>
        <v/>
      </c>
      <c r="C311" s="121" t="str">
        <f t="shared" si="63"/>
        <v/>
      </c>
      <c r="D311" s="122" t="str">
        <f t="shared" si="53"/>
        <v/>
      </c>
      <c r="E311" s="121" t="str">
        <f t="shared" si="54"/>
        <v/>
      </c>
      <c r="F311" s="121" t="str">
        <f t="shared" si="55"/>
        <v/>
      </c>
      <c r="G311" s="121" t="str">
        <f t="shared" si="56"/>
        <v/>
      </c>
      <c r="H311" s="121" t="str">
        <f t="shared" si="57"/>
        <v/>
      </c>
      <c r="I311" s="122" t="str">
        <f t="shared" si="64"/>
        <v/>
      </c>
      <c r="J311" s="121" t="str">
        <f t="shared" si="58"/>
        <v/>
      </c>
      <c r="K311" s="121" t="str">
        <f t="shared" si="59"/>
        <v/>
      </c>
      <c r="L311" s="121" t="str">
        <f t="shared" si="60"/>
        <v/>
      </c>
      <c r="M311" s="121" t="str">
        <f t="shared" si="61"/>
        <v/>
      </c>
    </row>
    <row r="312" spans="1:13" x14ac:dyDescent="0.35">
      <c r="A312" s="80">
        <f t="shared" si="62"/>
        <v>282</v>
      </c>
      <c r="B312" s="120" t="str">
        <f t="shared" si="52"/>
        <v/>
      </c>
      <c r="C312" s="121" t="str">
        <f t="shared" si="63"/>
        <v/>
      </c>
      <c r="D312" s="122" t="str">
        <f t="shared" si="53"/>
        <v/>
      </c>
      <c r="E312" s="121" t="str">
        <f t="shared" si="54"/>
        <v/>
      </c>
      <c r="F312" s="121" t="str">
        <f t="shared" si="55"/>
        <v/>
      </c>
      <c r="G312" s="121" t="str">
        <f t="shared" si="56"/>
        <v/>
      </c>
      <c r="H312" s="121" t="str">
        <f t="shared" si="57"/>
        <v/>
      </c>
      <c r="I312" s="122" t="str">
        <f t="shared" si="64"/>
        <v/>
      </c>
      <c r="J312" s="121" t="str">
        <f t="shared" si="58"/>
        <v/>
      </c>
      <c r="K312" s="121" t="str">
        <f t="shared" si="59"/>
        <v/>
      </c>
      <c r="L312" s="121" t="str">
        <f t="shared" si="60"/>
        <v/>
      </c>
      <c r="M312" s="121" t="str">
        <f t="shared" si="61"/>
        <v/>
      </c>
    </row>
    <row r="313" spans="1:13" x14ac:dyDescent="0.35">
      <c r="A313" s="80">
        <f t="shared" si="62"/>
        <v>283</v>
      </c>
      <c r="B313" s="120" t="str">
        <f t="shared" si="52"/>
        <v/>
      </c>
      <c r="C313" s="121" t="str">
        <f t="shared" si="63"/>
        <v/>
      </c>
      <c r="D313" s="122" t="str">
        <f t="shared" si="53"/>
        <v/>
      </c>
      <c r="E313" s="121" t="str">
        <f t="shared" si="54"/>
        <v/>
      </c>
      <c r="F313" s="121" t="str">
        <f t="shared" si="55"/>
        <v/>
      </c>
      <c r="G313" s="121" t="str">
        <f t="shared" si="56"/>
        <v/>
      </c>
      <c r="H313" s="121" t="str">
        <f t="shared" si="57"/>
        <v/>
      </c>
      <c r="I313" s="122" t="str">
        <f t="shared" si="64"/>
        <v/>
      </c>
      <c r="J313" s="121" t="str">
        <f t="shared" si="58"/>
        <v/>
      </c>
      <c r="K313" s="121" t="str">
        <f t="shared" si="59"/>
        <v/>
      </c>
      <c r="L313" s="121" t="str">
        <f t="shared" si="60"/>
        <v/>
      </c>
      <c r="M313" s="121" t="str">
        <f t="shared" si="61"/>
        <v/>
      </c>
    </row>
    <row r="314" spans="1:13" x14ac:dyDescent="0.35">
      <c r="A314" s="80">
        <f t="shared" si="62"/>
        <v>284</v>
      </c>
      <c r="B314" s="120" t="str">
        <f t="shared" si="52"/>
        <v/>
      </c>
      <c r="C314" s="121" t="str">
        <f t="shared" si="63"/>
        <v/>
      </c>
      <c r="D314" s="122" t="str">
        <f t="shared" si="53"/>
        <v/>
      </c>
      <c r="E314" s="121" t="str">
        <f t="shared" si="54"/>
        <v/>
      </c>
      <c r="F314" s="121" t="str">
        <f t="shared" si="55"/>
        <v/>
      </c>
      <c r="G314" s="121" t="str">
        <f t="shared" si="56"/>
        <v/>
      </c>
      <c r="H314" s="121" t="str">
        <f t="shared" si="57"/>
        <v/>
      </c>
      <c r="I314" s="122" t="str">
        <f t="shared" si="64"/>
        <v/>
      </c>
      <c r="J314" s="121" t="str">
        <f t="shared" si="58"/>
        <v/>
      </c>
      <c r="K314" s="121" t="str">
        <f t="shared" si="59"/>
        <v/>
      </c>
      <c r="L314" s="121" t="str">
        <f t="shared" si="60"/>
        <v/>
      </c>
      <c r="M314" s="121" t="str">
        <f t="shared" si="61"/>
        <v/>
      </c>
    </row>
    <row r="315" spans="1:13" x14ac:dyDescent="0.35">
      <c r="A315" s="80">
        <f t="shared" si="62"/>
        <v>285</v>
      </c>
      <c r="B315" s="120" t="str">
        <f t="shared" si="52"/>
        <v/>
      </c>
      <c r="C315" s="121" t="str">
        <f t="shared" si="63"/>
        <v/>
      </c>
      <c r="D315" s="122" t="str">
        <f t="shared" si="53"/>
        <v/>
      </c>
      <c r="E315" s="121" t="str">
        <f t="shared" si="54"/>
        <v/>
      </c>
      <c r="F315" s="121" t="str">
        <f t="shared" si="55"/>
        <v/>
      </c>
      <c r="G315" s="121" t="str">
        <f t="shared" si="56"/>
        <v/>
      </c>
      <c r="H315" s="121" t="str">
        <f t="shared" si="57"/>
        <v/>
      </c>
      <c r="I315" s="122" t="str">
        <f t="shared" si="64"/>
        <v/>
      </c>
      <c r="J315" s="121" t="str">
        <f t="shared" si="58"/>
        <v/>
      </c>
      <c r="K315" s="121" t="str">
        <f t="shared" si="59"/>
        <v/>
      </c>
      <c r="L315" s="121" t="str">
        <f t="shared" si="60"/>
        <v/>
      </c>
      <c r="M315" s="121" t="str">
        <f t="shared" si="61"/>
        <v/>
      </c>
    </row>
    <row r="316" spans="1:13" x14ac:dyDescent="0.35">
      <c r="A316" s="80">
        <f t="shared" si="62"/>
        <v>286</v>
      </c>
      <c r="B316" s="120" t="str">
        <f t="shared" si="52"/>
        <v/>
      </c>
      <c r="C316" s="121" t="str">
        <f t="shared" si="63"/>
        <v/>
      </c>
      <c r="D316" s="122" t="str">
        <f t="shared" si="53"/>
        <v/>
      </c>
      <c r="E316" s="121" t="str">
        <f t="shared" si="54"/>
        <v/>
      </c>
      <c r="F316" s="121" t="str">
        <f t="shared" si="55"/>
        <v/>
      </c>
      <c r="G316" s="121" t="str">
        <f t="shared" si="56"/>
        <v/>
      </c>
      <c r="H316" s="121" t="str">
        <f t="shared" si="57"/>
        <v/>
      </c>
      <c r="I316" s="122" t="str">
        <f t="shared" si="64"/>
        <v/>
      </c>
      <c r="J316" s="121" t="str">
        <f t="shared" si="58"/>
        <v/>
      </c>
      <c r="K316" s="121" t="str">
        <f t="shared" si="59"/>
        <v/>
      </c>
      <c r="L316" s="121" t="str">
        <f t="shared" si="60"/>
        <v/>
      </c>
      <c r="M316" s="121" t="str">
        <f t="shared" si="61"/>
        <v/>
      </c>
    </row>
    <row r="317" spans="1:13" x14ac:dyDescent="0.35">
      <c r="A317" s="80">
        <f t="shared" si="62"/>
        <v>287</v>
      </c>
      <c r="B317" s="120" t="str">
        <f t="shared" si="52"/>
        <v/>
      </c>
      <c r="C317" s="121" t="str">
        <f t="shared" si="63"/>
        <v/>
      </c>
      <c r="D317" s="122" t="str">
        <f t="shared" si="53"/>
        <v/>
      </c>
      <c r="E317" s="121" t="str">
        <f t="shared" si="54"/>
        <v/>
      </c>
      <c r="F317" s="121" t="str">
        <f t="shared" si="55"/>
        <v/>
      </c>
      <c r="G317" s="121" t="str">
        <f t="shared" si="56"/>
        <v/>
      </c>
      <c r="H317" s="121" t="str">
        <f t="shared" si="57"/>
        <v/>
      </c>
      <c r="I317" s="122" t="str">
        <f t="shared" si="64"/>
        <v/>
      </c>
      <c r="J317" s="121" t="str">
        <f t="shared" si="58"/>
        <v/>
      </c>
      <c r="K317" s="121" t="str">
        <f t="shared" si="59"/>
        <v/>
      </c>
      <c r="L317" s="121" t="str">
        <f t="shared" si="60"/>
        <v/>
      </c>
      <c r="M317" s="121" t="str">
        <f t="shared" si="61"/>
        <v/>
      </c>
    </row>
    <row r="318" spans="1:13" x14ac:dyDescent="0.35">
      <c r="A318" s="80">
        <f t="shared" si="62"/>
        <v>288</v>
      </c>
      <c r="B318" s="120" t="str">
        <f t="shared" si="52"/>
        <v/>
      </c>
      <c r="C318" s="121" t="str">
        <f t="shared" si="63"/>
        <v/>
      </c>
      <c r="D318" s="122" t="str">
        <f t="shared" si="53"/>
        <v/>
      </c>
      <c r="E318" s="121" t="str">
        <f t="shared" si="54"/>
        <v/>
      </c>
      <c r="F318" s="121" t="str">
        <f t="shared" si="55"/>
        <v/>
      </c>
      <c r="G318" s="121" t="str">
        <f t="shared" si="56"/>
        <v/>
      </c>
      <c r="H318" s="121" t="str">
        <f t="shared" si="57"/>
        <v/>
      </c>
      <c r="I318" s="122" t="str">
        <f t="shared" si="64"/>
        <v/>
      </c>
      <c r="J318" s="121" t="str">
        <f t="shared" si="58"/>
        <v/>
      </c>
      <c r="K318" s="121" t="str">
        <f t="shared" si="59"/>
        <v/>
      </c>
      <c r="L318" s="121" t="str">
        <f t="shared" si="60"/>
        <v/>
      </c>
      <c r="M318" s="121" t="str">
        <f t="shared" si="61"/>
        <v/>
      </c>
    </row>
    <row r="319" spans="1:13" x14ac:dyDescent="0.35">
      <c r="A319" s="80">
        <f t="shared" si="62"/>
        <v>289</v>
      </c>
      <c r="B319" s="120" t="str">
        <f t="shared" si="52"/>
        <v/>
      </c>
      <c r="C319" s="121" t="str">
        <f t="shared" si="63"/>
        <v/>
      </c>
      <c r="D319" s="122" t="str">
        <f t="shared" si="53"/>
        <v/>
      </c>
      <c r="E319" s="121" t="str">
        <f t="shared" si="54"/>
        <v/>
      </c>
      <c r="F319" s="121" t="str">
        <f t="shared" si="55"/>
        <v/>
      </c>
      <c r="G319" s="121" t="str">
        <f t="shared" si="56"/>
        <v/>
      </c>
      <c r="H319" s="121" t="str">
        <f t="shared" si="57"/>
        <v/>
      </c>
      <c r="I319" s="122" t="str">
        <f t="shared" si="64"/>
        <v/>
      </c>
      <c r="J319" s="121" t="str">
        <f t="shared" si="58"/>
        <v/>
      </c>
      <c r="K319" s="121" t="str">
        <f t="shared" si="59"/>
        <v/>
      </c>
      <c r="L319" s="121" t="str">
        <f t="shared" si="60"/>
        <v/>
      </c>
      <c r="M319" s="121" t="str">
        <f t="shared" si="61"/>
        <v/>
      </c>
    </row>
    <row r="320" spans="1:13" x14ac:dyDescent="0.35">
      <c r="A320" s="80">
        <f t="shared" si="62"/>
        <v>290</v>
      </c>
      <c r="B320" s="120" t="str">
        <f t="shared" si="52"/>
        <v/>
      </c>
      <c r="C320" s="121" t="str">
        <f t="shared" si="63"/>
        <v/>
      </c>
      <c r="D320" s="122" t="str">
        <f t="shared" si="53"/>
        <v/>
      </c>
      <c r="E320" s="121" t="str">
        <f t="shared" si="54"/>
        <v/>
      </c>
      <c r="F320" s="121" t="str">
        <f t="shared" si="55"/>
        <v/>
      </c>
      <c r="G320" s="121" t="str">
        <f t="shared" si="56"/>
        <v/>
      </c>
      <c r="H320" s="121" t="str">
        <f t="shared" si="57"/>
        <v/>
      </c>
      <c r="I320" s="122" t="str">
        <f t="shared" si="64"/>
        <v/>
      </c>
      <c r="J320" s="121" t="str">
        <f t="shared" si="58"/>
        <v/>
      </c>
      <c r="K320" s="121" t="str">
        <f t="shared" si="59"/>
        <v/>
      </c>
      <c r="L320" s="121" t="str">
        <f t="shared" si="60"/>
        <v/>
      </c>
      <c r="M320" s="121" t="str">
        <f t="shared" si="61"/>
        <v/>
      </c>
    </row>
    <row r="321" spans="1:13" x14ac:dyDescent="0.35">
      <c r="A321" s="80">
        <f t="shared" si="62"/>
        <v>291</v>
      </c>
      <c r="B321" s="120" t="str">
        <f t="shared" si="52"/>
        <v/>
      </c>
      <c r="C321" s="121" t="str">
        <f t="shared" si="63"/>
        <v/>
      </c>
      <c r="D321" s="122" t="str">
        <f t="shared" si="53"/>
        <v/>
      </c>
      <c r="E321" s="121" t="str">
        <f t="shared" si="54"/>
        <v/>
      </c>
      <c r="F321" s="121" t="str">
        <f t="shared" si="55"/>
        <v/>
      </c>
      <c r="G321" s="121" t="str">
        <f t="shared" si="56"/>
        <v/>
      </c>
      <c r="H321" s="121" t="str">
        <f t="shared" si="57"/>
        <v/>
      </c>
      <c r="I321" s="122" t="str">
        <f t="shared" si="64"/>
        <v/>
      </c>
      <c r="J321" s="121" t="str">
        <f t="shared" si="58"/>
        <v/>
      </c>
      <c r="K321" s="121" t="str">
        <f t="shared" si="59"/>
        <v/>
      </c>
      <c r="L321" s="121" t="str">
        <f t="shared" si="60"/>
        <v/>
      </c>
      <c r="M321" s="121" t="str">
        <f t="shared" si="61"/>
        <v/>
      </c>
    </row>
    <row r="322" spans="1:13" x14ac:dyDescent="0.35">
      <c r="A322" s="80">
        <f t="shared" si="62"/>
        <v>292</v>
      </c>
      <c r="B322" s="120" t="str">
        <f t="shared" si="52"/>
        <v/>
      </c>
      <c r="C322" s="121" t="str">
        <f t="shared" si="63"/>
        <v/>
      </c>
      <c r="D322" s="122" t="str">
        <f t="shared" si="53"/>
        <v/>
      </c>
      <c r="E322" s="121" t="str">
        <f t="shared" si="54"/>
        <v/>
      </c>
      <c r="F322" s="121" t="str">
        <f t="shared" si="55"/>
        <v/>
      </c>
      <c r="G322" s="121" t="str">
        <f t="shared" si="56"/>
        <v/>
      </c>
      <c r="H322" s="121" t="str">
        <f t="shared" si="57"/>
        <v/>
      </c>
      <c r="I322" s="122" t="str">
        <f t="shared" si="64"/>
        <v/>
      </c>
      <c r="J322" s="121" t="str">
        <f t="shared" si="58"/>
        <v/>
      </c>
      <c r="K322" s="121" t="str">
        <f t="shared" si="59"/>
        <v/>
      </c>
      <c r="L322" s="121" t="str">
        <f t="shared" si="60"/>
        <v/>
      </c>
      <c r="M322" s="121" t="str">
        <f t="shared" si="61"/>
        <v/>
      </c>
    </row>
    <row r="323" spans="1:13" x14ac:dyDescent="0.35">
      <c r="A323" s="80">
        <f t="shared" si="62"/>
        <v>293</v>
      </c>
      <c r="B323" s="120" t="str">
        <f t="shared" si="52"/>
        <v/>
      </c>
      <c r="C323" s="121" t="str">
        <f t="shared" si="63"/>
        <v/>
      </c>
      <c r="D323" s="122" t="str">
        <f t="shared" si="53"/>
        <v/>
      </c>
      <c r="E323" s="121" t="str">
        <f t="shared" si="54"/>
        <v/>
      </c>
      <c r="F323" s="121" t="str">
        <f t="shared" si="55"/>
        <v/>
      </c>
      <c r="G323" s="121" t="str">
        <f t="shared" si="56"/>
        <v/>
      </c>
      <c r="H323" s="121" t="str">
        <f t="shared" si="57"/>
        <v/>
      </c>
      <c r="I323" s="122" t="str">
        <f t="shared" si="64"/>
        <v/>
      </c>
      <c r="J323" s="121" t="str">
        <f t="shared" si="58"/>
        <v/>
      </c>
      <c r="K323" s="121" t="str">
        <f t="shared" si="59"/>
        <v/>
      </c>
      <c r="L323" s="121" t="str">
        <f t="shared" si="60"/>
        <v/>
      </c>
      <c r="M323" s="121" t="str">
        <f t="shared" si="61"/>
        <v/>
      </c>
    </row>
    <row r="324" spans="1:13" x14ac:dyDescent="0.35">
      <c r="A324" s="80">
        <f t="shared" si="62"/>
        <v>294</v>
      </c>
      <c r="B324" s="120" t="str">
        <f t="shared" si="52"/>
        <v/>
      </c>
      <c r="C324" s="121" t="str">
        <f t="shared" si="63"/>
        <v/>
      </c>
      <c r="D324" s="122" t="str">
        <f t="shared" si="53"/>
        <v/>
      </c>
      <c r="E324" s="121" t="str">
        <f t="shared" si="54"/>
        <v/>
      </c>
      <c r="F324" s="121" t="str">
        <f t="shared" si="55"/>
        <v/>
      </c>
      <c r="G324" s="121" t="str">
        <f t="shared" si="56"/>
        <v/>
      </c>
      <c r="H324" s="121" t="str">
        <f t="shared" si="57"/>
        <v/>
      </c>
      <c r="I324" s="122" t="str">
        <f t="shared" si="64"/>
        <v/>
      </c>
      <c r="J324" s="121" t="str">
        <f t="shared" si="58"/>
        <v/>
      </c>
      <c r="K324" s="121" t="str">
        <f t="shared" si="59"/>
        <v/>
      </c>
      <c r="L324" s="121" t="str">
        <f t="shared" si="60"/>
        <v/>
      </c>
      <c r="M324" s="121" t="str">
        <f t="shared" si="61"/>
        <v/>
      </c>
    </row>
    <row r="325" spans="1:13" x14ac:dyDescent="0.35">
      <c r="A325" s="80">
        <f t="shared" si="62"/>
        <v>295</v>
      </c>
      <c r="B325" s="120" t="str">
        <f t="shared" si="52"/>
        <v/>
      </c>
      <c r="C325" s="121" t="str">
        <f t="shared" si="63"/>
        <v/>
      </c>
      <c r="D325" s="122" t="str">
        <f t="shared" si="53"/>
        <v/>
      </c>
      <c r="E325" s="121" t="str">
        <f t="shared" si="54"/>
        <v/>
      </c>
      <c r="F325" s="121" t="str">
        <f t="shared" si="55"/>
        <v/>
      </c>
      <c r="G325" s="121" t="str">
        <f t="shared" si="56"/>
        <v/>
      </c>
      <c r="H325" s="121" t="str">
        <f t="shared" si="57"/>
        <v/>
      </c>
      <c r="I325" s="122" t="str">
        <f t="shared" si="64"/>
        <v/>
      </c>
      <c r="J325" s="121" t="str">
        <f t="shared" si="58"/>
        <v/>
      </c>
      <c r="K325" s="121" t="str">
        <f t="shared" si="59"/>
        <v/>
      </c>
      <c r="L325" s="121" t="str">
        <f t="shared" si="60"/>
        <v/>
      </c>
      <c r="M325" s="121" t="str">
        <f t="shared" si="61"/>
        <v/>
      </c>
    </row>
    <row r="326" spans="1:13" x14ac:dyDescent="0.35">
      <c r="A326" s="80">
        <f t="shared" si="62"/>
        <v>296</v>
      </c>
      <c r="B326" s="120" t="str">
        <f t="shared" si="52"/>
        <v/>
      </c>
      <c r="C326" s="121" t="str">
        <f t="shared" si="63"/>
        <v/>
      </c>
      <c r="D326" s="122" t="str">
        <f t="shared" si="53"/>
        <v/>
      </c>
      <c r="E326" s="121" t="str">
        <f t="shared" si="54"/>
        <v/>
      </c>
      <c r="F326" s="121" t="str">
        <f t="shared" si="55"/>
        <v/>
      </c>
      <c r="G326" s="121" t="str">
        <f t="shared" si="56"/>
        <v/>
      </c>
      <c r="H326" s="121" t="str">
        <f t="shared" si="57"/>
        <v/>
      </c>
      <c r="I326" s="122" t="str">
        <f t="shared" si="64"/>
        <v/>
      </c>
      <c r="J326" s="121" t="str">
        <f t="shared" si="58"/>
        <v/>
      </c>
      <c r="K326" s="121" t="str">
        <f t="shared" si="59"/>
        <v/>
      </c>
      <c r="L326" s="121" t="str">
        <f t="shared" si="60"/>
        <v/>
      </c>
      <c r="M326" s="121" t="str">
        <f t="shared" si="61"/>
        <v/>
      </c>
    </row>
    <row r="327" spans="1:13" x14ac:dyDescent="0.35">
      <c r="A327" s="80">
        <f t="shared" si="62"/>
        <v>297</v>
      </c>
      <c r="B327" s="120" t="str">
        <f t="shared" si="52"/>
        <v/>
      </c>
      <c r="C327" s="121" t="str">
        <f t="shared" si="63"/>
        <v/>
      </c>
      <c r="D327" s="122" t="str">
        <f t="shared" si="53"/>
        <v/>
      </c>
      <c r="E327" s="121" t="str">
        <f t="shared" si="54"/>
        <v/>
      </c>
      <c r="F327" s="121" t="str">
        <f t="shared" si="55"/>
        <v/>
      </c>
      <c r="G327" s="121" t="str">
        <f t="shared" si="56"/>
        <v/>
      </c>
      <c r="H327" s="121" t="str">
        <f t="shared" si="57"/>
        <v/>
      </c>
      <c r="I327" s="122" t="str">
        <f t="shared" si="64"/>
        <v/>
      </c>
      <c r="J327" s="121" t="str">
        <f t="shared" si="58"/>
        <v/>
      </c>
      <c r="K327" s="121" t="str">
        <f t="shared" si="59"/>
        <v/>
      </c>
      <c r="L327" s="121" t="str">
        <f t="shared" si="60"/>
        <v/>
      </c>
      <c r="M327" s="121" t="str">
        <f t="shared" si="61"/>
        <v/>
      </c>
    </row>
    <row r="328" spans="1:13" x14ac:dyDescent="0.35">
      <c r="A328" s="80">
        <f t="shared" si="62"/>
        <v>298</v>
      </c>
      <c r="B328" s="120" t="str">
        <f t="shared" si="52"/>
        <v/>
      </c>
      <c r="C328" s="121" t="str">
        <f t="shared" si="63"/>
        <v/>
      </c>
      <c r="D328" s="122" t="str">
        <f t="shared" si="53"/>
        <v/>
      </c>
      <c r="E328" s="121" t="str">
        <f t="shared" si="54"/>
        <v/>
      </c>
      <c r="F328" s="121" t="str">
        <f t="shared" si="55"/>
        <v/>
      </c>
      <c r="G328" s="121" t="str">
        <f t="shared" si="56"/>
        <v/>
      </c>
      <c r="H328" s="121" t="str">
        <f t="shared" si="57"/>
        <v/>
      </c>
      <c r="I328" s="122" t="str">
        <f t="shared" si="64"/>
        <v/>
      </c>
      <c r="J328" s="121" t="str">
        <f t="shared" si="58"/>
        <v/>
      </c>
      <c r="K328" s="121" t="str">
        <f t="shared" si="59"/>
        <v/>
      </c>
      <c r="L328" s="121" t="str">
        <f t="shared" si="60"/>
        <v/>
      </c>
      <c r="M328" s="121" t="str">
        <f t="shared" si="61"/>
        <v/>
      </c>
    </row>
    <row r="329" spans="1:13" x14ac:dyDescent="0.35">
      <c r="A329" s="80">
        <f t="shared" si="62"/>
        <v>299</v>
      </c>
      <c r="B329" s="120" t="str">
        <f t="shared" si="52"/>
        <v/>
      </c>
      <c r="C329" s="121" t="str">
        <f t="shared" si="63"/>
        <v/>
      </c>
      <c r="D329" s="122" t="str">
        <f t="shared" si="53"/>
        <v/>
      </c>
      <c r="E329" s="121" t="str">
        <f t="shared" si="54"/>
        <v/>
      </c>
      <c r="F329" s="121" t="str">
        <f t="shared" si="55"/>
        <v/>
      </c>
      <c r="G329" s="121" t="str">
        <f t="shared" si="56"/>
        <v/>
      </c>
      <c r="H329" s="121" t="str">
        <f t="shared" si="57"/>
        <v/>
      </c>
      <c r="I329" s="122" t="str">
        <f t="shared" si="64"/>
        <v/>
      </c>
      <c r="J329" s="121" t="str">
        <f t="shared" si="58"/>
        <v/>
      </c>
      <c r="K329" s="121" t="str">
        <f t="shared" si="59"/>
        <v/>
      </c>
      <c r="L329" s="121" t="str">
        <f t="shared" si="60"/>
        <v/>
      </c>
      <c r="M329" s="121" t="str">
        <f t="shared" si="61"/>
        <v/>
      </c>
    </row>
    <row r="330" spans="1:13" x14ac:dyDescent="0.35">
      <c r="A330" s="80">
        <f t="shared" si="62"/>
        <v>300</v>
      </c>
      <c r="B330" s="120" t="str">
        <f t="shared" si="52"/>
        <v/>
      </c>
      <c r="C330" s="121" t="str">
        <f t="shared" si="63"/>
        <v/>
      </c>
      <c r="D330" s="122" t="str">
        <f t="shared" si="53"/>
        <v/>
      </c>
      <c r="E330" s="121" t="str">
        <f t="shared" si="54"/>
        <v/>
      </c>
      <c r="F330" s="121" t="str">
        <f t="shared" si="55"/>
        <v/>
      </c>
      <c r="G330" s="121" t="str">
        <f t="shared" si="56"/>
        <v/>
      </c>
      <c r="H330" s="121" t="str">
        <f t="shared" si="57"/>
        <v/>
      </c>
      <c r="I330" s="122" t="str">
        <f t="shared" si="64"/>
        <v/>
      </c>
      <c r="J330" s="121" t="str">
        <f t="shared" si="58"/>
        <v/>
      </c>
      <c r="K330" s="121" t="str">
        <f t="shared" si="59"/>
        <v/>
      </c>
      <c r="L330" s="121" t="str">
        <f t="shared" si="60"/>
        <v/>
      </c>
      <c r="M330" s="121" t="str">
        <f t="shared" si="61"/>
        <v/>
      </c>
    </row>
    <row r="331" spans="1:13" x14ac:dyDescent="0.35">
      <c r="A331" s="80">
        <f t="shared" si="62"/>
        <v>301</v>
      </c>
      <c r="B331" s="120" t="str">
        <f t="shared" si="52"/>
        <v/>
      </c>
      <c r="C331" s="121" t="str">
        <f t="shared" si="63"/>
        <v/>
      </c>
      <c r="D331" s="122" t="str">
        <f t="shared" si="53"/>
        <v/>
      </c>
      <c r="E331" s="121" t="str">
        <f t="shared" si="54"/>
        <v/>
      </c>
      <c r="F331" s="121" t="str">
        <f t="shared" si="55"/>
        <v/>
      </c>
      <c r="G331" s="121" t="str">
        <f t="shared" si="56"/>
        <v/>
      </c>
      <c r="H331" s="121" t="str">
        <f t="shared" si="57"/>
        <v/>
      </c>
      <c r="I331" s="122" t="str">
        <f t="shared" si="64"/>
        <v/>
      </c>
      <c r="J331" s="121" t="str">
        <f t="shared" si="58"/>
        <v/>
      </c>
      <c r="K331" s="121" t="str">
        <f t="shared" si="59"/>
        <v/>
      </c>
      <c r="L331" s="121" t="str">
        <f t="shared" si="60"/>
        <v/>
      </c>
      <c r="M331" s="121" t="str">
        <f t="shared" si="61"/>
        <v/>
      </c>
    </row>
    <row r="332" spans="1:13" x14ac:dyDescent="0.35">
      <c r="A332" s="80">
        <f t="shared" si="62"/>
        <v>302</v>
      </c>
      <c r="B332" s="120" t="str">
        <f t="shared" si="52"/>
        <v/>
      </c>
      <c r="C332" s="121" t="str">
        <f t="shared" si="63"/>
        <v/>
      </c>
      <c r="D332" s="122" t="str">
        <f t="shared" si="53"/>
        <v/>
      </c>
      <c r="E332" s="121" t="str">
        <f t="shared" si="54"/>
        <v/>
      </c>
      <c r="F332" s="121" t="str">
        <f t="shared" si="55"/>
        <v/>
      </c>
      <c r="G332" s="121" t="str">
        <f t="shared" si="56"/>
        <v/>
      </c>
      <c r="H332" s="121" t="str">
        <f t="shared" si="57"/>
        <v/>
      </c>
      <c r="I332" s="122" t="str">
        <f t="shared" si="64"/>
        <v/>
      </c>
      <c r="J332" s="121" t="str">
        <f t="shared" si="58"/>
        <v/>
      </c>
      <c r="K332" s="121" t="str">
        <f t="shared" si="59"/>
        <v/>
      </c>
      <c r="L332" s="121" t="str">
        <f t="shared" si="60"/>
        <v/>
      </c>
      <c r="M332" s="121" t="str">
        <f t="shared" si="61"/>
        <v/>
      </c>
    </row>
    <row r="333" spans="1:13" x14ac:dyDescent="0.35">
      <c r="A333" s="80">
        <f t="shared" si="62"/>
        <v>303</v>
      </c>
      <c r="B333" s="120" t="str">
        <f t="shared" si="52"/>
        <v/>
      </c>
      <c r="C333" s="121" t="str">
        <f t="shared" si="63"/>
        <v/>
      </c>
      <c r="D333" s="122" t="str">
        <f t="shared" si="53"/>
        <v/>
      </c>
      <c r="E333" s="121" t="str">
        <f t="shared" si="54"/>
        <v/>
      </c>
      <c r="F333" s="121" t="str">
        <f t="shared" si="55"/>
        <v/>
      </c>
      <c r="G333" s="121" t="str">
        <f t="shared" si="56"/>
        <v/>
      </c>
      <c r="H333" s="121" t="str">
        <f t="shared" si="57"/>
        <v/>
      </c>
      <c r="I333" s="122" t="str">
        <f t="shared" si="64"/>
        <v/>
      </c>
      <c r="J333" s="121" t="str">
        <f t="shared" si="58"/>
        <v/>
      </c>
      <c r="K333" s="121" t="str">
        <f t="shared" si="59"/>
        <v/>
      </c>
      <c r="L333" s="121" t="str">
        <f t="shared" si="60"/>
        <v/>
      </c>
      <c r="M333" s="121" t="str">
        <f t="shared" si="61"/>
        <v/>
      </c>
    </row>
    <row r="334" spans="1:13" x14ac:dyDescent="0.35">
      <c r="A334" s="80">
        <f t="shared" si="62"/>
        <v>304</v>
      </c>
      <c r="B334" s="120" t="str">
        <f t="shared" si="52"/>
        <v/>
      </c>
      <c r="C334" s="121" t="str">
        <f t="shared" si="63"/>
        <v/>
      </c>
      <c r="D334" s="122" t="str">
        <f t="shared" si="53"/>
        <v/>
      </c>
      <c r="E334" s="121" t="str">
        <f t="shared" si="54"/>
        <v/>
      </c>
      <c r="F334" s="121" t="str">
        <f t="shared" si="55"/>
        <v/>
      </c>
      <c r="G334" s="121" t="str">
        <f t="shared" si="56"/>
        <v/>
      </c>
      <c r="H334" s="121" t="str">
        <f t="shared" si="57"/>
        <v/>
      </c>
      <c r="I334" s="122" t="str">
        <f t="shared" si="64"/>
        <v/>
      </c>
      <c r="J334" s="121" t="str">
        <f t="shared" si="58"/>
        <v/>
      </c>
      <c r="K334" s="121" t="str">
        <f t="shared" si="59"/>
        <v/>
      </c>
      <c r="L334" s="121" t="str">
        <f t="shared" si="60"/>
        <v/>
      </c>
      <c r="M334" s="121" t="str">
        <f t="shared" si="61"/>
        <v/>
      </c>
    </row>
    <row r="335" spans="1:13" x14ac:dyDescent="0.35">
      <c r="A335" s="80">
        <f t="shared" si="62"/>
        <v>305</v>
      </c>
      <c r="B335" s="120" t="str">
        <f t="shared" si="52"/>
        <v/>
      </c>
      <c r="C335" s="121" t="str">
        <f t="shared" si="63"/>
        <v/>
      </c>
      <c r="D335" s="122" t="str">
        <f t="shared" si="53"/>
        <v/>
      </c>
      <c r="E335" s="121" t="str">
        <f t="shared" si="54"/>
        <v/>
      </c>
      <c r="F335" s="121" t="str">
        <f t="shared" si="55"/>
        <v/>
      </c>
      <c r="G335" s="121" t="str">
        <f t="shared" si="56"/>
        <v/>
      </c>
      <c r="H335" s="121" t="str">
        <f t="shared" si="57"/>
        <v/>
      </c>
      <c r="I335" s="122" t="str">
        <f t="shared" si="64"/>
        <v/>
      </c>
      <c r="J335" s="121" t="str">
        <f t="shared" si="58"/>
        <v/>
      </c>
      <c r="K335" s="121" t="str">
        <f t="shared" si="59"/>
        <v/>
      </c>
      <c r="L335" s="121" t="str">
        <f t="shared" si="60"/>
        <v/>
      </c>
      <c r="M335" s="121" t="str">
        <f t="shared" si="61"/>
        <v/>
      </c>
    </row>
    <row r="336" spans="1:13" x14ac:dyDescent="0.35">
      <c r="A336" s="80">
        <f t="shared" si="62"/>
        <v>306</v>
      </c>
      <c r="B336" s="120" t="str">
        <f t="shared" si="52"/>
        <v/>
      </c>
      <c r="C336" s="121" t="str">
        <f t="shared" si="63"/>
        <v/>
      </c>
      <c r="D336" s="122" t="str">
        <f t="shared" si="53"/>
        <v/>
      </c>
      <c r="E336" s="121" t="str">
        <f t="shared" si="54"/>
        <v/>
      </c>
      <c r="F336" s="121" t="str">
        <f t="shared" si="55"/>
        <v/>
      </c>
      <c r="G336" s="121" t="str">
        <f t="shared" si="56"/>
        <v/>
      </c>
      <c r="H336" s="121" t="str">
        <f t="shared" si="57"/>
        <v/>
      </c>
      <c r="I336" s="122" t="str">
        <f t="shared" si="64"/>
        <v/>
      </c>
      <c r="J336" s="121" t="str">
        <f t="shared" si="58"/>
        <v/>
      </c>
      <c r="K336" s="121" t="str">
        <f t="shared" si="59"/>
        <v/>
      </c>
      <c r="L336" s="121" t="str">
        <f t="shared" si="60"/>
        <v/>
      </c>
      <c r="M336" s="121" t="str">
        <f t="shared" si="61"/>
        <v/>
      </c>
    </row>
    <row r="337" spans="1:13" x14ac:dyDescent="0.35">
      <c r="A337" s="80">
        <f t="shared" si="62"/>
        <v>307</v>
      </c>
      <c r="B337" s="120" t="str">
        <f t="shared" si="52"/>
        <v/>
      </c>
      <c r="C337" s="121" t="str">
        <f t="shared" si="63"/>
        <v/>
      </c>
      <c r="D337" s="122" t="str">
        <f t="shared" si="53"/>
        <v/>
      </c>
      <c r="E337" s="121" t="str">
        <f t="shared" si="54"/>
        <v/>
      </c>
      <c r="F337" s="121" t="str">
        <f t="shared" si="55"/>
        <v/>
      </c>
      <c r="G337" s="121" t="str">
        <f t="shared" si="56"/>
        <v/>
      </c>
      <c r="H337" s="121" t="str">
        <f t="shared" si="57"/>
        <v/>
      </c>
      <c r="I337" s="122" t="str">
        <f t="shared" si="64"/>
        <v/>
      </c>
      <c r="J337" s="121" t="str">
        <f t="shared" si="58"/>
        <v/>
      </c>
      <c r="K337" s="121" t="str">
        <f t="shared" si="59"/>
        <v/>
      </c>
      <c r="L337" s="121" t="str">
        <f t="shared" si="60"/>
        <v/>
      </c>
      <c r="M337" s="121" t="str">
        <f t="shared" si="61"/>
        <v/>
      </c>
    </row>
    <row r="338" spans="1:13" x14ac:dyDescent="0.35">
      <c r="A338" s="80">
        <f t="shared" si="62"/>
        <v>308</v>
      </c>
      <c r="B338" s="120" t="str">
        <f t="shared" si="52"/>
        <v/>
      </c>
      <c r="C338" s="121" t="str">
        <f t="shared" si="63"/>
        <v/>
      </c>
      <c r="D338" s="122" t="str">
        <f t="shared" si="53"/>
        <v/>
      </c>
      <c r="E338" s="121" t="str">
        <f t="shared" si="54"/>
        <v/>
      </c>
      <c r="F338" s="121" t="str">
        <f t="shared" si="55"/>
        <v/>
      </c>
      <c r="G338" s="121" t="str">
        <f t="shared" si="56"/>
        <v/>
      </c>
      <c r="H338" s="121" t="str">
        <f t="shared" si="57"/>
        <v/>
      </c>
      <c r="I338" s="122" t="str">
        <f t="shared" si="64"/>
        <v/>
      </c>
      <c r="J338" s="121" t="str">
        <f t="shared" si="58"/>
        <v/>
      </c>
      <c r="K338" s="121" t="str">
        <f t="shared" si="59"/>
        <v/>
      </c>
      <c r="L338" s="121" t="str">
        <f t="shared" si="60"/>
        <v/>
      </c>
      <c r="M338" s="121" t="str">
        <f t="shared" si="61"/>
        <v/>
      </c>
    </row>
    <row r="339" spans="1:13" x14ac:dyDescent="0.35">
      <c r="A339" s="80">
        <f t="shared" si="62"/>
        <v>309</v>
      </c>
      <c r="B339" s="120" t="str">
        <f t="shared" si="52"/>
        <v/>
      </c>
      <c r="C339" s="121" t="str">
        <f t="shared" si="63"/>
        <v/>
      </c>
      <c r="D339" s="122" t="str">
        <f t="shared" si="53"/>
        <v/>
      </c>
      <c r="E339" s="121" t="str">
        <f t="shared" si="54"/>
        <v/>
      </c>
      <c r="F339" s="121" t="str">
        <f t="shared" si="55"/>
        <v/>
      </c>
      <c r="G339" s="121" t="str">
        <f t="shared" si="56"/>
        <v/>
      </c>
      <c r="H339" s="121" t="str">
        <f t="shared" si="57"/>
        <v/>
      </c>
      <c r="I339" s="122" t="str">
        <f t="shared" si="64"/>
        <v/>
      </c>
      <c r="J339" s="121" t="str">
        <f t="shared" si="58"/>
        <v/>
      </c>
      <c r="K339" s="121" t="str">
        <f t="shared" si="59"/>
        <v/>
      </c>
      <c r="L339" s="121" t="str">
        <f t="shared" si="60"/>
        <v/>
      </c>
      <c r="M339" s="121" t="str">
        <f t="shared" si="61"/>
        <v/>
      </c>
    </row>
    <row r="340" spans="1:13" x14ac:dyDescent="0.35">
      <c r="A340" s="80">
        <f t="shared" si="62"/>
        <v>310</v>
      </c>
      <c r="B340" s="120" t="str">
        <f t="shared" si="52"/>
        <v/>
      </c>
      <c r="C340" s="121" t="str">
        <f t="shared" si="63"/>
        <v/>
      </c>
      <c r="D340" s="122" t="str">
        <f t="shared" si="53"/>
        <v/>
      </c>
      <c r="E340" s="121" t="str">
        <f t="shared" si="54"/>
        <v/>
      </c>
      <c r="F340" s="121" t="str">
        <f t="shared" si="55"/>
        <v/>
      </c>
      <c r="G340" s="121" t="str">
        <f t="shared" si="56"/>
        <v/>
      </c>
      <c r="H340" s="121" t="str">
        <f t="shared" si="57"/>
        <v/>
      </c>
      <c r="I340" s="122" t="str">
        <f t="shared" si="64"/>
        <v/>
      </c>
      <c r="J340" s="121" t="str">
        <f t="shared" si="58"/>
        <v/>
      </c>
      <c r="K340" s="121" t="str">
        <f t="shared" si="59"/>
        <v/>
      </c>
      <c r="L340" s="121" t="str">
        <f t="shared" si="60"/>
        <v/>
      </c>
      <c r="M340" s="121" t="str">
        <f t="shared" si="61"/>
        <v/>
      </c>
    </row>
    <row r="341" spans="1:13" x14ac:dyDescent="0.35">
      <c r="A341" s="80">
        <f t="shared" si="62"/>
        <v>311</v>
      </c>
      <c r="B341" s="120" t="str">
        <f t="shared" si="52"/>
        <v/>
      </c>
      <c r="C341" s="121" t="str">
        <f t="shared" si="63"/>
        <v/>
      </c>
      <c r="D341" s="122" t="str">
        <f t="shared" si="53"/>
        <v/>
      </c>
      <c r="E341" s="121" t="str">
        <f t="shared" si="54"/>
        <v/>
      </c>
      <c r="F341" s="121" t="str">
        <f t="shared" si="55"/>
        <v/>
      </c>
      <c r="G341" s="121" t="str">
        <f t="shared" si="56"/>
        <v/>
      </c>
      <c r="H341" s="121" t="str">
        <f t="shared" si="57"/>
        <v/>
      </c>
      <c r="I341" s="122" t="str">
        <f t="shared" si="64"/>
        <v/>
      </c>
      <c r="J341" s="121" t="str">
        <f t="shared" si="58"/>
        <v/>
      </c>
      <c r="K341" s="121" t="str">
        <f t="shared" si="59"/>
        <v/>
      </c>
      <c r="L341" s="121" t="str">
        <f t="shared" si="60"/>
        <v/>
      </c>
      <c r="M341" s="121" t="str">
        <f t="shared" si="61"/>
        <v/>
      </c>
    </row>
    <row r="342" spans="1:13" x14ac:dyDescent="0.35">
      <c r="A342" s="80">
        <f t="shared" si="62"/>
        <v>312</v>
      </c>
      <c r="B342" s="120" t="str">
        <f t="shared" si="52"/>
        <v/>
      </c>
      <c r="C342" s="121" t="str">
        <f t="shared" si="63"/>
        <v/>
      </c>
      <c r="D342" s="122" t="str">
        <f t="shared" si="53"/>
        <v/>
      </c>
      <c r="E342" s="121" t="str">
        <f t="shared" si="54"/>
        <v/>
      </c>
      <c r="F342" s="121" t="str">
        <f t="shared" si="55"/>
        <v/>
      </c>
      <c r="G342" s="121" t="str">
        <f t="shared" si="56"/>
        <v/>
      </c>
      <c r="H342" s="121" t="str">
        <f t="shared" si="57"/>
        <v/>
      </c>
      <c r="I342" s="122" t="str">
        <f t="shared" si="64"/>
        <v/>
      </c>
      <c r="J342" s="121" t="str">
        <f t="shared" si="58"/>
        <v/>
      </c>
      <c r="K342" s="121" t="str">
        <f t="shared" si="59"/>
        <v/>
      </c>
      <c r="L342" s="121" t="str">
        <f t="shared" si="60"/>
        <v/>
      </c>
      <c r="M342" s="121" t="str">
        <f t="shared" si="61"/>
        <v/>
      </c>
    </row>
    <row r="343" spans="1:13" x14ac:dyDescent="0.35">
      <c r="A343" s="80">
        <f t="shared" si="62"/>
        <v>313</v>
      </c>
      <c r="B343" s="120" t="str">
        <f t="shared" si="52"/>
        <v/>
      </c>
      <c r="C343" s="121" t="str">
        <f t="shared" si="63"/>
        <v/>
      </c>
      <c r="D343" s="122" t="str">
        <f t="shared" si="53"/>
        <v/>
      </c>
      <c r="E343" s="121" t="str">
        <f t="shared" si="54"/>
        <v/>
      </c>
      <c r="F343" s="121" t="str">
        <f t="shared" si="55"/>
        <v/>
      </c>
      <c r="G343" s="121" t="str">
        <f t="shared" si="56"/>
        <v/>
      </c>
      <c r="H343" s="121" t="str">
        <f t="shared" si="57"/>
        <v/>
      </c>
      <c r="I343" s="122" t="str">
        <f t="shared" si="64"/>
        <v/>
      </c>
      <c r="J343" s="121" t="str">
        <f t="shared" si="58"/>
        <v/>
      </c>
      <c r="K343" s="121" t="str">
        <f t="shared" si="59"/>
        <v/>
      </c>
      <c r="L343" s="121" t="str">
        <f t="shared" si="60"/>
        <v/>
      </c>
      <c r="M343" s="121" t="str">
        <f t="shared" si="61"/>
        <v/>
      </c>
    </row>
    <row r="344" spans="1:13" x14ac:dyDescent="0.35">
      <c r="A344" s="80">
        <f t="shared" si="62"/>
        <v>314</v>
      </c>
      <c r="B344" s="120" t="str">
        <f t="shared" si="52"/>
        <v/>
      </c>
      <c r="C344" s="121" t="str">
        <f t="shared" si="63"/>
        <v/>
      </c>
      <c r="D344" s="122" t="str">
        <f t="shared" si="53"/>
        <v/>
      </c>
      <c r="E344" s="121" t="str">
        <f t="shared" si="54"/>
        <v/>
      </c>
      <c r="F344" s="121" t="str">
        <f t="shared" si="55"/>
        <v/>
      </c>
      <c r="G344" s="121" t="str">
        <f t="shared" si="56"/>
        <v/>
      </c>
      <c r="H344" s="121" t="str">
        <f t="shared" si="57"/>
        <v/>
      </c>
      <c r="I344" s="122" t="str">
        <f t="shared" si="64"/>
        <v/>
      </c>
      <c r="J344" s="121" t="str">
        <f t="shared" si="58"/>
        <v/>
      </c>
      <c r="K344" s="121" t="str">
        <f t="shared" si="59"/>
        <v/>
      </c>
      <c r="L344" s="121" t="str">
        <f t="shared" si="60"/>
        <v/>
      </c>
      <c r="M344" s="121" t="str">
        <f t="shared" si="61"/>
        <v/>
      </c>
    </row>
    <row r="345" spans="1:13" x14ac:dyDescent="0.35">
      <c r="A345" s="80">
        <f t="shared" si="62"/>
        <v>315</v>
      </c>
      <c r="B345" s="120" t="str">
        <f t="shared" si="52"/>
        <v/>
      </c>
      <c r="C345" s="121" t="str">
        <f t="shared" si="63"/>
        <v/>
      </c>
      <c r="D345" s="122" t="str">
        <f t="shared" si="53"/>
        <v/>
      </c>
      <c r="E345" s="121" t="str">
        <f t="shared" si="54"/>
        <v/>
      </c>
      <c r="F345" s="121" t="str">
        <f t="shared" si="55"/>
        <v/>
      </c>
      <c r="G345" s="121" t="str">
        <f t="shared" si="56"/>
        <v/>
      </c>
      <c r="H345" s="121" t="str">
        <f t="shared" si="57"/>
        <v/>
      </c>
      <c r="I345" s="122" t="str">
        <f t="shared" si="64"/>
        <v/>
      </c>
      <c r="J345" s="121" t="str">
        <f t="shared" si="58"/>
        <v/>
      </c>
      <c r="K345" s="121" t="str">
        <f t="shared" si="59"/>
        <v/>
      </c>
      <c r="L345" s="121" t="str">
        <f t="shared" si="60"/>
        <v/>
      </c>
      <c r="M345" s="121" t="str">
        <f t="shared" si="61"/>
        <v/>
      </c>
    </row>
    <row r="346" spans="1:13" x14ac:dyDescent="0.35">
      <c r="A346" s="80">
        <f t="shared" si="62"/>
        <v>316</v>
      </c>
      <c r="B346" s="120" t="str">
        <f t="shared" si="52"/>
        <v/>
      </c>
      <c r="C346" s="121" t="str">
        <f t="shared" si="63"/>
        <v/>
      </c>
      <c r="D346" s="122" t="str">
        <f t="shared" si="53"/>
        <v/>
      </c>
      <c r="E346" s="121" t="str">
        <f t="shared" si="54"/>
        <v/>
      </c>
      <c r="F346" s="121" t="str">
        <f t="shared" si="55"/>
        <v/>
      </c>
      <c r="G346" s="121" t="str">
        <f t="shared" si="56"/>
        <v/>
      </c>
      <c r="H346" s="121" t="str">
        <f t="shared" si="57"/>
        <v/>
      </c>
      <c r="I346" s="122" t="str">
        <f t="shared" si="64"/>
        <v/>
      </c>
      <c r="J346" s="121" t="str">
        <f t="shared" si="58"/>
        <v/>
      </c>
      <c r="K346" s="121" t="str">
        <f t="shared" si="59"/>
        <v/>
      </c>
      <c r="L346" s="121" t="str">
        <f t="shared" si="60"/>
        <v/>
      </c>
      <c r="M346" s="121" t="str">
        <f t="shared" si="61"/>
        <v/>
      </c>
    </row>
    <row r="347" spans="1:13" x14ac:dyDescent="0.35">
      <c r="A347" s="80">
        <f t="shared" si="62"/>
        <v>317</v>
      </c>
      <c r="B347" s="120" t="str">
        <f t="shared" si="52"/>
        <v/>
      </c>
      <c r="C347" s="121" t="str">
        <f t="shared" si="63"/>
        <v/>
      </c>
      <c r="D347" s="122" t="str">
        <f t="shared" si="53"/>
        <v/>
      </c>
      <c r="E347" s="121" t="str">
        <f t="shared" si="54"/>
        <v/>
      </c>
      <c r="F347" s="121" t="str">
        <f t="shared" si="55"/>
        <v/>
      </c>
      <c r="G347" s="121" t="str">
        <f t="shared" si="56"/>
        <v/>
      </c>
      <c r="H347" s="121" t="str">
        <f t="shared" si="57"/>
        <v/>
      </c>
      <c r="I347" s="122" t="str">
        <f t="shared" si="64"/>
        <v/>
      </c>
      <c r="J347" s="121" t="str">
        <f t="shared" si="58"/>
        <v/>
      </c>
      <c r="K347" s="121" t="str">
        <f t="shared" si="59"/>
        <v/>
      </c>
      <c r="L347" s="121" t="str">
        <f t="shared" si="60"/>
        <v/>
      </c>
      <c r="M347" s="121" t="str">
        <f t="shared" si="61"/>
        <v/>
      </c>
    </row>
    <row r="348" spans="1:13" x14ac:dyDescent="0.35">
      <c r="A348" s="80">
        <f t="shared" si="62"/>
        <v>318</v>
      </c>
      <c r="B348" s="120" t="str">
        <f t="shared" si="52"/>
        <v/>
      </c>
      <c r="C348" s="121" t="str">
        <f t="shared" si="63"/>
        <v/>
      </c>
      <c r="D348" s="122" t="str">
        <f t="shared" si="53"/>
        <v/>
      </c>
      <c r="E348" s="121" t="str">
        <f t="shared" si="54"/>
        <v/>
      </c>
      <c r="F348" s="121" t="str">
        <f t="shared" si="55"/>
        <v/>
      </c>
      <c r="G348" s="121" t="str">
        <f t="shared" si="56"/>
        <v/>
      </c>
      <c r="H348" s="121" t="str">
        <f t="shared" si="57"/>
        <v/>
      </c>
      <c r="I348" s="122" t="str">
        <f t="shared" si="64"/>
        <v/>
      </c>
      <c r="J348" s="121" t="str">
        <f t="shared" si="58"/>
        <v/>
      </c>
      <c r="K348" s="121" t="str">
        <f t="shared" si="59"/>
        <v/>
      </c>
      <c r="L348" s="121" t="str">
        <f t="shared" si="60"/>
        <v/>
      </c>
      <c r="M348" s="121" t="str">
        <f t="shared" si="61"/>
        <v/>
      </c>
    </row>
    <row r="349" spans="1:13" x14ac:dyDescent="0.35">
      <c r="A349" s="80">
        <f t="shared" si="62"/>
        <v>319</v>
      </c>
      <c r="B349" s="120" t="str">
        <f t="shared" si="52"/>
        <v/>
      </c>
      <c r="C349" s="121" t="str">
        <f t="shared" si="63"/>
        <v/>
      </c>
      <c r="D349" s="122" t="str">
        <f t="shared" si="53"/>
        <v/>
      </c>
      <c r="E349" s="121" t="str">
        <f t="shared" si="54"/>
        <v/>
      </c>
      <c r="F349" s="121" t="str">
        <f t="shared" si="55"/>
        <v/>
      </c>
      <c r="G349" s="121" t="str">
        <f t="shared" si="56"/>
        <v/>
      </c>
      <c r="H349" s="121" t="str">
        <f t="shared" si="57"/>
        <v/>
      </c>
      <c r="I349" s="122" t="str">
        <f t="shared" si="64"/>
        <v/>
      </c>
      <c r="J349" s="121" t="str">
        <f t="shared" si="58"/>
        <v/>
      </c>
      <c r="K349" s="121" t="str">
        <f t="shared" si="59"/>
        <v/>
      </c>
      <c r="L349" s="121" t="str">
        <f t="shared" si="60"/>
        <v/>
      </c>
      <c r="M349" s="121" t="str">
        <f t="shared" si="61"/>
        <v/>
      </c>
    </row>
    <row r="350" spans="1:13" x14ac:dyDescent="0.35">
      <c r="A350" s="80">
        <f t="shared" si="62"/>
        <v>320</v>
      </c>
      <c r="B350" s="120" t="str">
        <f t="shared" si="52"/>
        <v/>
      </c>
      <c r="C350" s="121" t="str">
        <f t="shared" si="63"/>
        <v/>
      </c>
      <c r="D350" s="122" t="str">
        <f t="shared" si="53"/>
        <v/>
      </c>
      <c r="E350" s="121" t="str">
        <f t="shared" si="54"/>
        <v/>
      </c>
      <c r="F350" s="121" t="str">
        <f t="shared" si="55"/>
        <v/>
      </c>
      <c r="G350" s="121" t="str">
        <f t="shared" si="56"/>
        <v/>
      </c>
      <c r="H350" s="121" t="str">
        <f t="shared" si="57"/>
        <v/>
      </c>
      <c r="I350" s="122" t="str">
        <f t="shared" si="64"/>
        <v/>
      </c>
      <c r="J350" s="121" t="str">
        <f t="shared" si="58"/>
        <v/>
      </c>
      <c r="K350" s="121" t="str">
        <f t="shared" si="59"/>
        <v/>
      </c>
      <c r="L350" s="121" t="str">
        <f t="shared" si="60"/>
        <v/>
      </c>
      <c r="M350" s="121" t="str">
        <f t="shared" si="61"/>
        <v/>
      </c>
    </row>
    <row r="351" spans="1:13" x14ac:dyDescent="0.35">
      <c r="A351" s="80">
        <f t="shared" si="62"/>
        <v>321</v>
      </c>
      <c r="B351" s="120" t="str">
        <f t="shared" ref="B351:B390" si="65">IF(A351&lt;=$F$11,A351,"")</f>
        <v/>
      </c>
      <c r="C351" s="121" t="str">
        <f t="shared" si="63"/>
        <v/>
      </c>
      <c r="D351" s="122" t="str">
        <f t="shared" ref="D351:D390" si="66">IF(B351&lt;=$F$11,(C351*$F$13),"")</f>
        <v/>
      </c>
      <c r="E351" s="121" t="str">
        <f t="shared" ref="E351:E390" si="67">IF(B351&lt;=$F$12,0,IF(B351&lt;=$F$11,(-$F$16-D351),""))</f>
        <v/>
      </c>
      <c r="F351" s="121" t="str">
        <f t="shared" ref="F351:F390" si="68">IF(B351&lt;=$F$11,(($F$20*$F$2)+($F$19*$F$2)+(C351*$F$18)+($F$17*C351)),"")</f>
        <v/>
      </c>
      <c r="G351" s="121" t="str">
        <f t="shared" ref="G351:G390" si="69">IF(B351&lt;=$F$11,(D351+E351),"")</f>
        <v/>
      </c>
      <c r="H351" s="121" t="str">
        <f t="shared" ref="H351:H390" si="70">IF(B351&lt;=$F$11,(F351+G351),"")</f>
        <v/>
      </c>
      <c r="I351" s="122" t="str">
        <f t="shared" si="64"/>
        <v/>
      </c>
      <c r="J351" s="121" t="str">
        <f t="shared" ref="J351:J390" si="71">IF(B351&lt;=$F$11,(($F$20*$F$2*(1-$F$10))+($F$19*$F$2)+((C351*$F$18)*(1-$F$10))+(($F$17*C351))),"")</f>
        <v/>
      </c>
      <c r="K351" s="121" t="str">
        <f t="shared" ref="K351:K390" si="72">IF(B351&lt;=$F$11,(E351+I351),"")</f>
        <v/>
      </c>
      <c r="L351" s="121" t="str">
        <f t="shared" ref="L351:L390" si="73">IF(B351&lt;=$F$11,(J351+K351),"")</f>
        <v/>
      </c>
      <c r="M351" s="121" t="str">
        <f t="shared" ref="M351:M390" si="74">IF(B351&lt;=$F$11,(C351-E351),IF(B351&gt;$F$11,"",0))</f>
        <v/>
      </c>
    </row>
    <row r="352" spans="1:13" x14ac:dyDescent="0.35">
      <c r="A352" s="80">
        <f t="shared" ref="A352:A390" si="75">A351+1</f>
        <v>322</v>
      </c>
      <c r="B352" s="120" t="str">
        <f t="shared" si="65"/>
        <v/>
      </c>
      <c r="C352" s="121" t="str">
        <f t="shared" ref="C352:C390" si="76">IF(M351=0,"",M351)</f>
        <v/>
      </c>
      <c r="D352" s="122" t="str">
        <f t="shared" si="66"/>
        <v/>
      </c>
      <c r="E352" s="121" t="str">
        <f t="shared" si="67"/>
        <v/>
      </c>
      <c r="F352" s="121" t="str">
        <f t="shared" si="68"/>
        <v/>
      </c>
      <c r="G352" s="121" t="str">
        <f t="shared" si="69"/>
        <v/>
      </c>
      <c r="H352" s="121" t="str">
        <f t="shared" si="70"/>
        <v/>
      </c>
      <c r="I352" s="122" t="str">
        <f t="shared" ref="I352:I390" si="77">IF(B352&lt;=$F$11,(C352*$F$13)*(1-$F$10),"")</f>
        <v/>
      </c>
      <c r="J352" s="121" t="str">
        <f t="shared" si="71"/>
        <v/>
      </c>
      <c r="K352" s="121" t="str">
        <f t="shared" si="72"/>
        <v/>
      </c>
      <c r="L352" s="121" t="str">
        <f t="shared" si="73"/>
        <v/>
      </c>
      <c r="M352" s="121" t="str">
        <f t="shared" si="74"/>
        <v/>
      </c>
    </row>
    <row r="353" spans="1:13" x14ac:dyDescent="0.35">
      <c r="A353" s="80">
        <f t="shared" si="75"/>
        <v>323</v>
      </c>
      <c r="B353" s="120" t="str">
        <f t="shared" si="65"/>
        <v/>
      </c>
      <c r="C353" s="121" t="str">
        <f t="shared" si="76"/>
        <v/>
      </c>
      <c r="D353" s="122" t="str">
        <f t="shared" si="66"/>
        <v/>
      </c>
      <c r="E353" s="121" t="str">
        <f t="shared" si="67"/>
        <v/>
      </c>
      <c r="F353" s="121" t="str">
        <f t="shared" si="68"/>
        <v/>
      </c>
      <c r="G353" s="121" t="str">
        <f t="shared" si="69"/>
        <v/>
      </c>
      <c r="H353" s="121" t="str">
        <f t="shared" si="70"/>
        <v/>
      </c>
      <c r="I353" s="122" t="str">
        <f t="shared" si="77"/>
        <v/>
      </c>
      <c r="J353" s="121" t="str">
        <f t="shared" si="71"/>
        <v/>
      </c>
      <c r="K353" s="121" t="str">
        <f t="shared" si="72"/>
        <v/>
      </c>
      <c r="L353" s="121" t="str">
        <f t="shared" si="73"/>
        <v/>
      </c>
      <c r="M353" s="121" t="str">
        <f t="shared" si="74"/>
        <v/>
      </c>
    </row>
    <row r="354" spans="1:13" x14ac:dyDescent="0.35">
      <c r="A354" s="80">
        <f t="shared" si="75"/>
        <v>324</v>
      </c>
      <c r="B354" s="120" t="str">
        <f t="shared" si="65"/>
        <v/>
      </c>
      <c r="C354" s="121" t="str">
        <f t="shared" si="76"/>
        <v/>
      </c>
      <c r="D354" s="122" t="str">
        <f t="shared" si="66"/>
        <v/>
      </c>
      <c r="E354" s="121" t="str">
        <f t="shared" si="67"/>
        <v/>
      </c>
      <c r="F354" s="121" t="str">
        <f t="shared" si="68"/>
        <v/>
      </c>
      <c r="G354" s="121" t="str">
        <f t="shared" si="69"/>
        <v/>
      </c>
      <c r="H354" s="121" t="str">
        <f t="shared" si="70"/>
        <v/>
      </c>
      <c r="I354" s="122" t="str">
        <f t="shared" si="77"/>
        <v/>
      </c>
      <c r="J354" s="121" t="str">
        <f t="shared" si="71"/>
        <v/>
      </c>
      <c r="K354" s="121" t="str">
        <f t="shared" si="72"/>
        <v/>
      </c>
      <c r="L354" s="121" t="str">
        <f t="shared" si="73"/>
        <v/>
      </c>
      <c r="M354" s="121" t="str">
        <f t="shared" si="74"/>
        <v/>
      </c>
    </row>
    <row r="355" spans="1:13" x14ac:dyDescent="0.35">
      <c r="A355" s="80">
        <f t="shared" si="75"/>
        <v>325</v>
      </c>
      <c r="B355" s="120" t="str">
        <f t="shared" si="65"/>
        <v/>
      </c>
      <c r="C355" s="121" t="str">
        <f t="shared" si="76"/>
        <v/>
      </c>
      <c r="D355" s="122" t="str">
        <f t="shared" si="66"/>
        <v/>
      </c>
      <c r="E355" s="121" t="str">
        <f t="shared" si="67"/>
        <v/>
      </c>
      <c r="F355" s="121" t="str">
        <f t="shared" si="68"/>
        <v/>
      </c>
      <c r="G355" s="121" t="str">
        <f t="shared" si="69"/>
        <v/>
      </c>
      <c r="H355" s="121" t="str">
        <f t="shared" si="70"/>
        <v/>
      </c>
      <c r="I355" s="122" t="str">
        <f t="shared" si="77"/>
        <v/>
      </c>
      <c r="J355" s="121" t="str">
        <f t="shared" si="71"/>
        <v/>
      </c>
      <c r="K355" s="121" t="str">
        <f t="shared" si="72"/>
        <v/>
      </c>
      <c r="L355" s="121" t="str">
        <f t="shared" si="73"/>
        <v/>
      </c>
      <c r="M355" s="121" t="str">
        <f t="shared" si="74"/>
        <v/>
      </c>
    </row>
    <row r="356" spans="1:13" x14ac:dyDescent="0.35">
      <c r="A356" s="80">
        <f t="shared" si="75"/>
        <v>326</v>
      </c>
      <c r="B356" s="120" t="str">
        <f t="shared" si="65"/>
        <v/>
      </c>
      <c r="C356" s="121" t="str">
        <f t="shared" si="76"/>
        <v/>
      </c>
      <c r="D356" s="122" t="str">
        <f t="shared" si="66"/>
        <v/>
      </c>
      <c r="E356" s="121" t="str">
        <f t="shared" si="67"/>
        <v/>
      </c>
      <c r="F356" s="121" t="str">
        <f t="shared" si="68"/>
        <v/>
      </c>
      <c r="G356" s="121" t="str">
        <f t="shared" si="69"/>
        <v/>
      </c>
      <c r="H356" s="121" t="str">
        <f t="shared" si="70"/>
        <v/>
      </c>
      <c r="I356" s="122" t="str">
        <f t="shared" si="77"/>
        <v/>
      </c>
      <c r="J356" s="121" t="str">
        <f t="shared" si="71"/>
        <v/>
      </c>
      <c r="K356" s="121" t="str">
        <f t="shared" si="72"/>
        <v/>
      </c>
      <c r="L356" s="121" t="str">
        <f t="shared" si="73"/>
        <v/>
      </c>
      <c r="M356" s="121" t="str">
        <f t="shared" si="74"/>
        <v/>
      </c>
    </row>
    <row r="357" spans="1:13" x14ac:dyDescent="0.35">
      <c r="A357" s="80">
        <f t="shared" si="75"/>
        <v>327</v>
      </c>
      <c r="B357" s="120" t="str">
        <f t="shared" si="65"/>
        <v/>
      </c>
      <c r="C357" s="121" t="str">
        <f t="shared" si="76"/>
        <v/>
      </c>
      <c r="D357" s="122" t="str">
        <f t="shared" si="66"/>
        <v/>
      </c>
      <c r="E357" s="121" t="str">
        <f t="shared" si="67"/>
        <v/>
      </c>
      <c r="F357" s="121" t="str">
        <f t="shared" si="68"/>
        <v/>
      </c>
      <c r="G357" s="121" t="str">
        <f t="shared" si="69"/>
        <v/>
      </c>
      <c r="H357" s="121" t="str">
        <f t="shared" si="70"/>
        <v/>
      </c>
      <c r="I357" s="122" t="str">
        <f t="shared" si="77"/>
        <v/>
      </c>
      <c r="J357" s="121" t="str">
        <f t="shared" si="71"/>
        <v/>
      </c>
      <c r="K357" s="121" t="str">
        <f t="shared" si="72"/>
        <v/>
      </c>
      <c r="L357" s="121" t="str">
        <f t="shared" si="73"/>
        <v/>
      </c>
      <c r="M357" s="121" t="str">
        <f t="shared" si="74"/>
        <v/>
      </c>
    </row>
    <row r="358" spans="1:13" x14ac:dyDescent="0.35">
      <c r="A358" s="80">
        <f t="shared" si="75"/>
        <v>328</v>
      </c>
      <c r="B358" s="120" t="str">
        <f t="shared" si="65"/>
        <v/>
      </c>
      <c r="C358" s="121" t="str">
        <f t="shared" si="76"/>
        <v/>
      </c>
      <c r="D358" s="122" t="str">
        <f t="shared" si="66"/>
        <v/>
      </c>
      <c r="E358" s="121" t="str">
        <f t="shared" si="67"/>
        <v/>
      </c>
      <c r="F358" s="121" t="str">
        <f t="shared" si="68"/>
        <v/>
      </c>
      <c r="G358" s="121" t="str">
        <f t="shared" si="69"/>
        <v/>
      </c>
      <c r="H358" s="121" t="str">
        <f t="shared" si="70"/>
        <v/>
      </c>
      <c r="I358" s="122" t="str">
        <f t="shared" si="77"/>
        <v/>
      </c>
      <c r="J358" s="121" t="str">
        <f t="shared" si="71"/>
        <v/>
      </c>
      <c r="K358" s="121" t="str">
        <f t="shared" si="72"/>
        <v/>
      </c>
      <c r="L358" s="121" t="str">
        <f t="shared" si="73"/>
        <v/>
      </c>
      <c r="M358" s="121" t="str">
        <f t="shared" si="74"/>
        <v/>
      </c>
    </row>
    <row r="359" spans="1:13" x14ac:dyDescent="0.35">
      <c r="A359" s="80">
        <f t="shared" si="75"/>
        <v>329</v>
      </c>
      <c r="B359" s="120" t="str">
        <f t="shared" si="65"/>
        <v/>
      </c>
      <c r="C359" s="121" t="str">
        <f t="shared" si="76"/>
        <v/>
      </c>
      <c r="D359" s="122" t="str">
        <f t="shared" si="66"/>
        <v/>
      </c>
      <c r="E359" s="121" t="str">
        <f t="shared" si="67"/>
        <v/>
      </c>
      <c r="F359" s="121" t="str">
        <f t="shared" si="68"/>
        <v/>
      </c>
      <c r="G359" s="121" t="str">
        <f t="shared" si="69"/>
        <v/>
      </c>
      <c r="H359" s="121" t="str">
        <f t="shared" si="70"/>
        <v/>
      </c>
      <c r="I359" s="122" t="str">
        <f t="shared" si="77"/>
        <v/>
      </c>
      <c r="J359" s="121" t="str">
        <f t="shared" si="71"/>
        <v/>
      </c>
      <c r="K359" s="121" t="str">
        <f t="shared" si="72"/>
        <v/>
      </c>
      <c r="L359" s="121" t="str">
        <f t="shared" si="73"/>
        <v/>
      </c>
      <c r="M359" s="121" t="str">
        <f t="shared" si="74"/>
        <v/>
      </c>
    </row>
    <row r="360" spans="1:13" x14ac:dyDescent="0.35">
      <c r="A360" s="80">
        <f t="shared" si="75"/>
        <v>330</v>
      </c>
      <c r="B360" s="120" t="str">
        <f t="shared" si="65"/>
        <v/>
      </c>
      <c r="C360" s="121" t="str">
        <f t="shared" si="76"/>
        <v/>
      </c>
      <c r="D360" s="122" t="str">
        <f t="shared" si="66"/>
        <v/>
      </c>
      <c r="E360" s="121" t="str">
        <f t="shared" si="67"/>
        <v/>
      </c>
      <c r="F360" s="121" t="str">
        <f t="shared" si="68"/>
        <v/>
      </c>
      <c r="G360" s="121" t="str">
        <f t="shared" si="69"/>
        <v/>
      </c>
      <c r="H360" s="121" t="str">
        <f t="shared" si="70"/>
        <v/>
      </c>
      <c r="I360" s="122" t="str">
        <f t="shared" si="77"/>
        <v/>
      </c>
      <c r="J360" s="121" t="str">
        <f t="shared" si="71"/>
        <v/>
      </c>
      <c r="K360" s="121" t="str">
        <f t="shared" si="72"/>
        <v/>
      </c>
      <c r="L360" s="121" t="str">
        <f t="shared" si="73"/>
        <v/>
      </c>
      <c r="M360" s="121" t="str">
        <f t="shared" si="74"/>
        <v/>
      </c>
    </row>
    <row r="361" spans="1:13" x14ac:dyDescent="0.35">
      <c r="A361" s="80">
        <f t="shared" si="75"/>
        <v>331</v>
      </c>
      <c r="B361" s="120" t="str">
        <f t="shared" si="65"/>
        <v/>
      </c>
      <c r="C361" s="121" t="str">
        <f t="shared" si="76"/>
        <v/>
      </c>
      <c r="D361" s="122" t="str">
        <f t="shared" si="66"/>
        <v/>
      </c>
      <c r="E361" s="121" t="str">
        <f t="shared" si="67"/>
        <v/>
      </c>
      <c r="F361" s="121" t="str">
        <f t="shared" si="68"/>
        <v/>
      </c>
      <c r="G361" s="121" t="str">
        <f t="shared" si="69"/>
        <v/>
      </c>
      <c r="H361" s="121" t="str">
        <f t="shared" si="70"/>
        <v/>
      </c>
      <c r="I361" s="122" t="str">
        <f t="shared" si="77"/>
        <v/>
      </c>
      <c r="J361" s="121" t="str">
        <f t="shared" si="71"/>
        <v/>
      </c>
      <c r="K361" s="121" t="str">
        <f t="shared" si="72"/>
        <v/>
      </c>
      <c r="L361" s="121" t="str">
        <f t="shared" si="73"/>
        <v/>
      </c>
      <c r="M361" s="121" t="str">
        <f t="shared" si="74"/>
        <v/>
      </c>
    </row>
    <row r="362" spans="1:13" x14ac:dyDescent="0.35">
      <c r="A362" s="80">
        <f t="shared" si="75"/>
        <v>332</v>
      </c>
      <c r="B362" s="120" t="str">
        <f t="shared" si="65"/>
        <v/>
      </c>
      <c r="C362" s="121" t="str">
        <f t="shared" si="76"/>
        <v/>
      </c>
      <c r="D362" s="122" t="str">
        <f t="shared" si="66"/>
        <v/>
      </c>
      <c r="E362" s="121" t="str">
        <f t="shared" si="67"/>
        <v/>
      </c>
      <c r="F362" s="121" t="str">
        <f t="shared" si="68"/>
        <v/>
      </c>
      <c r="G362" s="121" t="str">
        <f t="shared" si="69"/>
        <v/>
      </c>
      <c r="H362" s="121" t="str">
        <f t="shared" si="70"/>
        <v/>
      </c>
      <c r="I362" s="122" t="str">
        <f t="shared" si="77"/>
        <v/>
      </c>
      <c r="J362" s="121" t="str">
        <f t="shared" si="71"/>
        <v/>
      </c>
      <c r="K362" s="121" t="str">
        <f t="shared" si="72"/>
        <v/>
      </c>
      <c r="L362" s="121" t="str">
        <f t="shared" si="73"/>
        <v/>
      </c>
      <c r="M362" s="121" t="str">
        <f t="shared" si="74"/>
        <v/>
      </c>
    </row>
    <row r="363" spans="1:13" x14ac:dyDescent="0.35">
      <c r="A363" s="80">
        <f t="shared" si="75"/>
        <v>333</v>
      </c>
      <c r="B363" s="120" t="str">
        <f t="shared" si="65"/>
        <v/>
      </c>
      <c r="C363" s="121" t="str">
        <f t="shared" si="76"/>
        <v/>
      </c>
      <c r="D363" s="122" t="str">
        <f t="shared" si="66"/>
        <v/>
      </c>
      <c r="E363" s="121" t="str">
        <f t="shared" si="67"/>
        <v/>
      </c>
      <c r="F363" s="121" t="str">
        <f t="shared" si="68"/>
        <v/>
      </c>
      <c r="G363" s="121" t="str">
        <f t="shared" si="69"/>
        <v/>
      </c>
      <c r="H363" s="121" t="str">
        <f t="shared" si="70"/>
        <v/>
      </c>
      <c r="I363" s="122" t="str">
        <f t="shared" si="77"/>
        <v/>
      </c>
      <c r="J363" s="121" t="str">
        <f t="shared" si="71"/>
        <v/>
      </c>
      <c r="K363" s="121" t="str">
        <f t="shared" si="72"/>
        <v/>
      </c>
      <c r="L363" s="121" t="str">
        <f t="shared" si="73"/>
        <v/>
      </c>
      <c r="M363" s="121" t="str">
        <f t="shared" si="74"/>
        <v/>
      </c>
    </row>
    <row r="364" spans="1:13" x14ac:dyDescent="0.35">
      <c r="A364" s="80">
        <f t="shared" si="75"/>
        <v>334</v>
      </c>
      <c r="B364" s="120" t="str">
        <f t="shared" si="65"/>
        <v/>
      </c>
      <c r="C364" s="121" t="str">
        <f t="shared" si="76"/>
        <v/>
      </c>
      <c r="D364" s="122" t="str">
        <f t="shared" si="66"/>
        <v/>
      </c>
      <c r="E364" s="121" t="str">
        <f t="shared" si="67"/>
        <v/>
      </c>
      <c r="F364" s="121" t="str">
        <f t="shared" si="68"/>
        <v/>
      </c>
      <c r="G364" s="121" t="str">
        <f t="shared" si="69"/>
        <v/>
      </c>
      <c r="H364" s="121" t="str">
        <f t="shared" si="70"/>
        <v/>
      </c>
      <c r="I364" s="122" t="str">
        <f t="shared" si="77"/>
        <v/>
      </c>
      <c r="J364" s="121" t="str">
        <f t="shared" si="71"/>
        <v/>
      </c>
      <c r="K364" s="121" t="str">
        <f t="shared" si="72"/>
        <v/>
      </c>
      <c r="L364" s="121" t="str">
        <f t="shared" si="73"/>
        <v/>
      </c>
      <c r="M364" s="121" t="str">
        <f t="shared" si="74"/>
        <v/>
      </c>
    </row>
    <row r="365" spans="1:13" x14ac:dyDescent="0.35">
      <c r="A365" s="80">
        <f t="shared" si="75"/>
        <v>335</v>
      </c>
      <c r="B365" s="120" t="str">
        <f t="shared" si="65"/>
        <v/>
      </c>
      <c r="C365" s="121" t="str">
        <f t="shared" si="76"/>
        <v/>
      </c>
      <c r="D365" s="122" t="str">
        <f t="shared" si="66"/>
        <v/>
      </c>
      <c r="E365" s="121" t="str">
        <f t="shared" si="67"/>
        <v/>
      </c>
      <c r="F365" s="121" t="str">
        <f t="shared" si="68"/>
        <v/>
      </c>
      <c r="G365" s="121" t="str">
        <f t="shared" si="69"/>
        <v/>
      </c>
      <c r="H365" s="121" t="str">
        <f t="shared" si="70"/>
        <v/>
      </c>
      <c r="I365" s="122" t="str">
        <f t="shared" si="77"/>
        <v/>
      </c>
      <c r="J365" s="121" t="str">
        <f t="shared" si="71"/>
        <v/>
      </c>
      <c r="K365" s="121" t="str">
        <f t="shared" si="72"/>
        <v/>
      </c>
      <c r="L365" s="121" t="str">
        <f t="shared" si="73"/>
        <v/>
      </c>
      <c r="M365" s="121" t="str">
        <f t="shared" si="74"/>
        <v/>
      </c>
    </row>
    <row r="366" spans="1:13" x14ac:dyDescent="0.35">
      <c r="A366" s="80">
        <f t="shared" si="75"/>
        <v>336</v>
      </c>
      <c r="B366" s="120" t="str">
        <f t="shared" si="65"/>
        <v/>
      </c>
      <c r="C366" s="121" t="str">
        <f t="shared" si="76"/>
        <v/>
      </c>
      <c r="D366" s="122" t="str">
        <f t="shared" si="66"/>
        <v/>
      </c>
      <c r="E366" s="121" t="str">
        <f t="shared" si="67"/>
        <v/>
      </c>
      <c r="F366" s="121" t="str">
        <f t="shared" si="68"/>
        <v/>
      </c>
      <c r="G366" s="121" t="str">
        <f t="shared" si="69"/>
        <v/>
      </c>
      <c r="H366" s="121" t="str">
        <f t="shared" si="70"/>
        <v/>
      </c>
      <c r="I366" s="122" t="str">
        <f t="shared" si="77"/>
        <v/>
      </c>
      <c r="J366" s="121" t="str">
        <f t="shared" si="71"/>
        <v/>
      </c>
      <c r="K366" s="121" t="str">
        <f t="shared" si="72"/>
        <v/>
      </c>
      <c r="L366" s="121" t="str">
        <f t="shared" si="73"/>
        <v/>
      </c>
      <c r="M366" s="121" t="str">
        <f t="shared" si="74"/>
        <v/>
      </c>
    </row>
    <row r="367" spans="1:13" x14ac:dyDescent="0.35">
      <c r="A367" s="80">
        <f t="shared" si="75"/>
        <v>337</v>
      </c>
      <c r="B367" s="120" t="str">
        <f t="shared" si="65"/>
        <v/>
      </c>
      <c r="C367" s="121" t="str">
        <f t="shared" si="76"/>
        <v/>
      </c>
      <c r="D367" s="122" t="str">
        <f t="shared" si="66"/>
        <v/>
      </c>
      <c r="E367" s="121" t="str">
        <f t="shared" si="67"/>
        <v/>
      </c>
      <c r="F367" s="121" t="str">
        <f t="shared" si="68"/>
        <v/>
      </c>
      <c r="G367" s="121" t="str">
        <f t="shared" si="69"/>
        <v/>
      </c>
      <c r="H367" s="121" t="str">
        <f t="shared" si="70"/>
        <v/>
      </c>
      <c r="I367" s="122" t="str">
        <f t="shared" si="77"/>
        <v/>
      </c>
      <c r="J367" s="121" t="str">
        <f t="shared" si="71"/>
        <v/>
      </c>
      <c r="K367" s="121" t="str">
        <f t="shared" si="72"/>
        <v/>
      </c>
      <c r="L367" s="121" t="str">
        <f t="shared" si="73"/>
        <v/>
      </c>
      <c r="M367" s="121" t="str">
        <f t="shared" si="74"/>
        <v/>
      </c>
    </row>
    <row r="368" spans="1:13" x14ac:dyDescent="0.35">
      <c r="A368" s="80">
        <f t="shared" si="75"/>
        <v>338</v>
      </c>
      <c r="B368" s="120" t="str">
        <f t="shared" si="65"/>
        <v/>
      </c>
      <c r="C368" s="121" t="str">
        <f t="shared" si="76"/>
        <v/>
      </c>
      <c r="D368" s="122" t="str">
        <f t="shared" si="66"/>
        <v/>
      </c>
      <c r="E368" s="121" t="str">
        <f t="shared" si="67"/>
        <v/>
      </c>
      <c r="F368" s="121" t="str">
        <f t="shared" si="68"/>
        <v/>
      </c>
      <c r="G368" s="121" t="str">
        <f t="shared" si="69"/>
        <v/>
      </c>
      <c r="H368" s="121" t="str">
        <f t="shared" si="70"/>
        <v/>
      </c>
      <c r="I368" s="122" t="str">
        <f t="shared" si="77"/>
        <v/>
      </c>
      <c r="J368" s="121" t="str">
        <f t="shared" si="71"/>
        <v/>
      </c>
      <c r="K368" s="121" t="str">
        <f t="shared" si="72"/>
        <v/>
      </c>
      <c r="L368" s="121" t="str">
        <f t="shared" si="73"/>
        <v/>
      </c>
      <c r="M368" s="121" t="str">
        <f t="shared" si="74"/>
        <v/>
      </c>
    </row>
    <row r="369" spans="1:13" x14ac:dyDescent="0.35">
      <c r="A369" s="80">
        <f t="shared" si="75"/>
        <v>339</v>
      </c>
      <c r="B369" s="120" t="str">
        <f t="shared" si="65"/>
        <v/>
      </c>
      <c r="C369" s="121" t="str">
        <f t="shared" si="76"/>
        <v/>
      </c>
      <c r="D369" s="122" t="str">
        <f t="shared" si="66"/>
        <v/>
      </c>
      <c r="E369" s="121" t="str">
        <f t="shared" si="67"/>
        <v/>
      </c>
      <c r="F369" s="121" t="str">
        <f t="shared" si="68"/>
        <v/>
      </c>
      <c r="G369" s="121" t="str">
        <f t="shared" si="69"/>
        <v/>
      </c>
      <c r="H369" s="121" t="str">
        <f t="shared" si="70"/>
        <v/>
      </c>
      <c r="I369" s="122" t="str">
        <f t="shared" si="77"/>
        <v/>
      </c>
      <c r="J369" s="121" t="str">
        <f t="shared" si="71"/>
        <v/>
      </c>
      <c r="K369" s="121" t="str">
        <f t="shared" si="72"/>
        <v/>
      </c>
      <c r="L369" s="121" t="str">
        <f t="shared" si="73"/>
        <v/>
      </c>
      <c r="M369" s="121" t="str">
        <f t="shared" si="74"/>
        <v/>
      </c>
    </row>
    <row r="370" spans="1:13" x14ac:dyDescent="0.35">
      <c r="A370" s="80">
        <f t="shared" si="75"/>
        <v>340</v>
      </c>
      <c r="B370" s="120" t="str">
        <f t="shared" si="65"/>
        <v/>
      </c>
      <c r="C370" s="121" t="str">
        <f t="shared" si="76"/>
        <v/>
      </c>
      <c r="D370" s="122" t="str">
        <f t="shared" si="66"/>
        <v/>
      </c>
      <c r="E370" s="121" t="str">
        <f t="shared" si="67"/>
        <v/>
      </c>
      <c r="F370" s="121" t="str">
        <f t="shared" si="68"/>
        <v/>
      </c>
      <c r="G370" s="121" t="str">
        <f t="shared" si="69"/>
        <v/>
      </c>
      <c r="H370" s="121" t="str">
        <f t="shared" si="70"/>
        <v/>
      </c>
      <c r="I370" s="122" t="str">
        <f t="shared" si="77"/>
        <v/>
      </c>
      <c r="J370" s="121" t="str">
        <f t="shared" si="71"/>
        <v/>
      </c>
      <c r="K370" s="121" t="str">
        <f t="shared" si="72"/>
        <v/>
      </c>
      <c r="L370" s="121" t="str">
        <f t="shared" si="73"/>
        <v/>
      </c>
      <c r="M370" s="121" t="str">
        <f t="shared" si="74"/>
        <v/>
      </c>
    </row>
    <row r="371" spans="1:13" x14ac:dyDescent="0.35">
      <c r="A371" s="80">
        <f t="shared" si="75"/>
        <v>341</v>
      </c>
      <c r="B371" s="120" t="str">
        <f t="shared" si="65"/>
        <v/>
      </c>
      <c r="C371" s="121" t="str">
        <f t="shared" si="76"/>
        <v/>
      </c>
      <c r="D371" s="122" t="str">
        <f t="shared" si="66"/>
        <v/>
      </c>
      <c r="E371" s="121" t="str">
        <f t="shared" si="67"/>
        <v/>
      </c>
      <c r="F371" s="121" t="str">
        <f t="shared" si="68"/>
        <v/>
      </c>
      <c r="G371" s="121" t="str">
        <f t="shared" si="69"/>
        <v/>
      </c>
      <c r="H371" s="121" t="str">
        <f t="shared" si="70"/>
        <v/>
      </c>
      <c r="I371" s="122" t="str">
        <f t="shared" si="77"/>
        <v/>
      </c>
      <c r="J371" s="121" t="str">
        <f t="shared" si="71"/>
        <v/>
      </c>
      <c r="K371" s="121" t="str">
        <f t="shared" si="72"/>
        <v/>
      </c>
      <c r="L371" s="121" t="str">
        <f t="shared" si="73"/>
        <v/>
      </c>
      <c r="M371" s="121" t="str">
        <f t="shared" si="74"/>
        <v/>
      </c>
    </row>
    <row r="372" spans="1:13" x14ac:dyDescent="0.35">
      <c r="A372" s="80">
        <f t="shared" si="75"/>
        <v>342</v>
      </c>
      <c r="B372" s="120" t="str">
        <f t="shared" si="65"/>
        <v/>
      </c>
      <c r="C372" s="121" t="str">
        <f t="shared" si="76"/>
        <v/>
      </c>
      <c r="D372" s="122" t="str">
        <f t="shared" si="66"/>
        <v/>
      </c>
      <c r="E372" s="121" t="str">
        <f t="shared" si="67"/>
        <v/>
      </c>
      <c r="F372" s="121" t="str">
        <f t="shared" si="68"/>
        <v/>
      </c>
      <c r="G372" s="121" t="str">
        <f t="shared" si="69"/>
        <v/>
      </c>
      <c r="H372" s="121" t="str">
        <f t="shared" si="70"/>
        <v/>
      </c>
      <c r="I372" s="122" t="str">
        <f t="shared" si="77"/>
        <v/>
      </c>
      <c r="J372" s="121" t="str">
        <f t="shared" si="71"/>
        <v/>
      </c>
      <c r="K372" s="121" t="str">
        <f t="shared" si="72"/>
        <v/>
      </c>
      <c r="L372" s="121" t="str">
        <f t="shared" si="73"/>
        <v/>
      </c>
      <c r="M372" s="121" t="str">
        <f t="shared" si="74"/>
        <v/>
      </c>
    </row>
    <row r="373" spans="1:13" x14ac:dyDescent="0.35">
      <c r="A373" s="80">
        <f t="shared" si="75"/>
        <v>343</v>
      </c>
      <c r="B373" s="120" t="str">
        <f t="shared" si="65"/>
        <v/>
      </c>
      <c r="C373" s="121" t="str">
        <f t="shared" si="76"/>
        <v/>
      </c>
      <c r="D373" s="122" t="str">
        <f t="shared" si="66"/>
        <v/>
      </c>
      <c r="E373" s="121" t="str">
        <f t="shared" si="67"/>
        <v/>
      </c>
      <c r="F373" s="121" t="str">
        <f t="shared" si="68"/>
        <v/>
      </c>
      <c r="G373" s="121" t="str">
        <f t="shared" si="69"/>
        <v/>
      </c>
      <c r="H373" s="121" t="str">
        <f t="shared" si="70"/>
        <v/>
      </c>
      <c r="I373" s="122" t="str">
        <f t="shared" si="77"/>
        <v/>
      </c>
      <c r="J373" s="121" t="str">
        <f t="shared" si="71"/>
        <v/>
      </c>
      <c r="K373" s="121" t="str">
        <f t="shared" si="72"/>
        <v/>
      </c>
      <c r="L373" s="121" t="str">
        <f t="shared" si="73"/>
        <v/>
      </c>
      <c r="M373" s="121" t="str">
        <f t="shared" si="74"/>
        <v/>
      </c>
    </row>
    <row r="374" spans="1:13" x14ac:dyDescent="0.35">
      <c r="A374" s="80">
        <f t="shared" si="75"/>
        <v>344</v>
      </c>
      <c r="B374" s="120" t="str">
        <f t="shared" si="65"/>
        <v/>
      </c>
      <c r="C374" s="121" t="str">
        <f t="shared" si="76"/>
        <v/>
      </c>
      <c r="D374" s="122" t="str">
        <f t="shared" si="66"/>
        <v/>
      </c>
      <c r="E374" s="121" t="str">
        <f t="shared" si="67"/>
        <v/>
      </c>
      <c r="F374" s="121" t="str">
        <f t="shared" si="68"/>
        <v/>
      </c>
      <c r="G374" s="121" t="str">
        <f t="shared" si="69"/>
        <v/>
      </c>
      <c r="H374" s="121" t="str">
        <f t="shared" si="70"/>
        <v/>
      </c>
      <c r="I374" s="122" t="str">
        <f t="shared" si="77"/>
        <v/>
      </c>
      <c r="J374" s="121" t="str">
        <f t="shared" si="71"/>
        <v/>
      </c>
      <c r="K374" s="121" t="str">
        <f t="shared" si="72"/>
        <v/>
      </c>
      <c r="L374" s="121" t="str">
        <f t="shared" si="73"/>
        <v/>
      </c>
      <c r="M374" s="121" t="str">
        <f t="shared" si="74"/>
        <v/>
      </c>
    </row>
    <row r="375" spans="1:13" x14ac:dyDescent="0.35">
      <c r="A375" s="80">
        <f t="shared" si="75"/>
        <v>345</v>
      </c>
      <c r="B375" s="120" t="str">
        <f t="shared" si="65"/>
        <v/>
      </c>
      <c r="C375" s="121" t="str">
        <f t="shared" si="76"/>
        <v/>
      </c>
      <c r="D375" s="122" t="str">
        <f t="shared" si="66"/>
        <v/>
      </c>
      <c r="E375" s="121" t="str">
        <f t="shared" si="67"/>
        <v/>
      </c>
      <c r="F375" s="121" t="str">
        <f t="shared" si="68"/>
        <v/>
      </c>
      <c r="G375" s="121" t="str">
        <f t="shared" si="69"/>
        <v/>
      </c>
      <c r="H375" s="121" t="str">
        <f t="shared" si="70"/>
        <v/>
      </c>
      <c r="I375" s="122" t="str">
        <f t="shared" si="77"/>
        <v/>
      </c>
      <c r="J375" s="121" t="str">
        <f t="shared" si="71"/>
        <v/>
      </c>
      <c r="K375" s="121" t="str">
        <f t="shared" si="72"/>
        <v/>
      </c>
      <c r="L375" s="121" t="str">
        <f t="shared" si="73"/>
        <v/>
      </c>
      <c r="M375" s="121" t="str">
        <f t="shared" si="74"/>
        <v/>
      </c>
    </row>
    <row r="376" spans="1:13" x14ac:dyDescent="0.35">
      <c r="A376" s="80">
        <f t="shared" si="75"/>
        <v>346</v>
      </c>
      <c r="B376" s="120" t="str">
        <f t="shared" si="65"/>
        <v/>
      </c>
      <c r="C376" s="121" t="str">
        <f t="shared" si="76"/>
        <v/>
      </c>
      <c r="D376" s="122" t="str">
        <f t="shared" si="66"/>
        <v/>
      </c>
      <c r="E376" s="121" t="str">
        <f t="shared" si="67"/>
        <v/>
      </c>
      <c r="F376" s="121" t="str">
        <f t="shared" si="68"/>
        <v/>
      </c>
      <c r="G376" s="121" t="str">
        <f t="shared" si="69"/>
        <v/>
      </c>
      <c r="H376" s="121" t="str">
        <f t="shared" si="70"/>
        <v/>
      </c>
      <c r="I376" s="122" t="str">
        <f t="shared" si="77"/>
        <v/>
      </c>
      <c r="J376" s="121" t="str">
        <f t="shared" si="71"/>
        <v/>
      </c>
      <c r="K376" s="121" t="str">
        <f t="shared" si="72"/>
        <v/>
      </c>
      <c r="L376" s="121" t="str">
        <f t="shared" si="73"/>
        <v/>
      </c>
      <c r="M376" s="121" t="str">
        <f t="shared" si="74"/>
        <v/>
      </c>
    </row>
    <row r="377" spans="1:13" x14ac:dyDescent="0.35">
      <c r="A377" s="80">
        <f t="shared" si="75"/>
        <v>347</v>
      </c>
      <c r="B377" s="120" t="str">
        <f t="shared" si="65"/>
        <v/>
      </c>
      <c r="C377" s="121" t="str">
        <f t="shared" si="76"/>
        <v/>
      </c>
      <c r="D377" s="122" t="str">
        <f t="shared" si="66"/>
        <v/>
      </c>
      <c r="E377" s="121" t="str">
        <f t="shared" si="67"/>
        <v/>
      </c>
      <c r="F377" s="121" t="str">
        <f t="shared" si="68"/>
        <v/>
      </c>
      <c r="G377" s="121" t="str">
        <f t="shared" si="69"/>
        <v/>
      </c>
      <c r="H377" s="121" t="str">
        <f t="shared" si="70"/>
        <v/>
      </c>
      <c r="I377" s="122" t="str">
        <f t="shared" si="77"/>
        <v/>
      </c>
      <c r="J377" s="121" t="str">
        <f t="shared" si="71"/>
        <v/>
      </c>
      <c r="K377" s="121" t="str">
        <f t="shared" si="72"/>
        <v/>
      </c>
      <c r="L377" s="121" t="str">
        <f t="shared" si="73"/>
        <v/>
      </c>
      <c r="M377" s="121" t="str">
        <f t="shared" si="74"/>
        <v/>
      </c>
    </row>
    <row r="378" spans="1:13" x14ac:dyDescent="0.35">
      <c r="A378" s="80">
        <f t="shared" si="75"/>
        <v>348</v>
      </c>
      <c r="B378" s="120" t="str">
        <f t="shared" si="65"/>
        <v/>
      </c>
      <c r="C378" s="121" t="str">
        <f t="shared" si="76"/>
        <v/>
      </c>
      <c r="D378" s="122" t="str">
        <f t="shared" si="66"/>
        <v/>
      </c>
      <c r="E378" s="121" t="str">
        <f t="shared" si="67"/>
        <v/>
      </c>
      <c r="F378" s="121" t="str">
        <f t="shared" si="68"/>
        <v/>
      </c>
      <c r="G378" s="121" t="str">
        <f t="shared" si="69"/>
        <v/>
      </c>
      <c r="H378" s="121" t="str">
        <f t="shared" si="70"/>
        <v/>
      </c>
      <c r="I378" s="122" t="str">
        <f t="shared" si="77"/>
        <v/>
      </c>
      <c r="J378" s="121" t="str">
        <f t="shared" si="71"/>
        <v/>
      </c>
      <c r="K378" s="121" t="str">
        <f t="shared" si="72"/>
        <v/>
      </c>
      <c r="L378" s="121" t="str">
        <f t="shared" si="73"/>
        <v/>
      </c>
      <c r="M378" s="121" t="str">
        <f t="shared" si="74"/>
        <v/>
      </c>
    </row>
    <row r="379" spans="1:13" x14ac:dyDescent="0.35">
      <c r="A379" s="80">
        <f t="shared" si="75"/>
        <v>349</v>
      </c>
      <c r="B379" s="120" t="str">
        <f t="shared" si="65"/>
        <v/>
      </c>
      <c r="C379" s="121" t="str">
        <f t="shared" si="76"/>
        <v/>
      </c>
      <c r="D379" s="122" t="str">
        <f t="shared" si="66"/>
        <v/>
      </c>
      <c r="E379" s="121" t="str">
        <f t="shared" si="67"/>
        <v/>
      </c>
      <c r="F379" s="121" t="str">
        <f t="shared" si="68"/>
        <v/>
      </c>
      <c r="G379" s="121" t="str">
        <f t="shared" si="69"/>
        <v/>
      </c>
      <c r="H379" s="121" t="str">
        <f t="shared" si="70"/>
        <v/>
      </c>
      <c r="I379" s="122" t="str">
        <f t="shared" si="77"/>
        <v/>
      </c>
      <c r="J379" s="121" t="str">
        <f t="shared" si="71"/>
        <v/>
      </c>
      <c r="K379" s="121" t="str">
        <f t="shared" si="72"/>
        <v/>
      </c>
      <c r="L379" s="121" t="str">
        <f t="shared" si="73"/>
        <v/>
      </c>
      <c r="M379" s="121" t="str">
        <f t="shared" si="74"/>
        <v/>
      </c>
    </row>
    <row r="380" spans="1:13" x14ac:dyDescent="0.35">
      <c r="A380" s="80">
        <f t="shared" si="75"/>
        <v>350</v>
      </c>
      <c r="B380" s="120" t="str">
        <f t="shared" si="65"/>
        <v/>
      </c>
      <c r="C380" s="121" t="str">
        <f t="shared" si="76"/>
        <v/>
      </c>
      <c r="D380" s="122" t="str">
        <f t="shared" si="66"/>
        <v/>
      </c>
      <c r="E380" s="121" t="str">
        <f t="shared" si="67"/>
        <v/>
      </c>
      <c r="F380" s="121" t="str">
        <f t="shared" si="68"/>
        <v/>
      </c>
      <c r="G380" s="121" t="str">
        <f t="shared" si="69"/>
        <v/>
      </c>
      <c r="H380" s="121" t="str">
        <f t="shared" si="70"/>
        <v/>
      </c>
      <c r="I380" s="122" t="str">
        <f t="shared" si="77"/>
        <v/>
      </c>
      <c r="J380" s="121" t="str">
        <f t="shared" si="71"/>
        <v/>
      </c>
      <c r="K380" s="121" t="str">
        <f t="shared" si="72"/>
        <v/>
      </c>
      <c r="L380" s="121" t="str">
        <f t="shared" si="73"/>
        <v/>
      </c>
      <c r="M380" s="121" t="str">
        <f t="shared" si="74"/>
        <v/>
      </c>
    </row>
    <row r="381" spans="1:13" x14ac:dyDescent="0.35">
      <c r="A381" s="80">
        <f t="shared" si="75"/>
        <v>351</v>
      </c>
      <c r="B381" s="120" t="str">
        <f t="shared" si="65"/>
        <v/>
      </c>
      <c r="C381" s="121" t="str">
        <f t="shared" si="76"/>
        <v/>
      </c>
      <c r="D381" s="122" t="str">
        <f t="shared" si="66"/>
        <v/>
      </c>
      <c r="E381" s="121" t="str">
        <f t="shared" si="67"/>
        <v/>
      </c>
      <c r="F381" s="121" t="str">
        <f t="shared" si="68"/>
        <v/>
      </c>
      <c r="G381" s="121" t="str">
        <f t="shared" si="69"/>
        <v/>
      </c>
      <c r="H381" s="121" t="str">
        <f t="shared" si="70"/>
        <v/>
      </c>
      <c r="I381" s="122" t="str">
        <f t="shared" si="77"/>
        <v/>
      </c>
      <c r="J381" s="121" t="str">
        <f t="shared" si="71"/>
        <v/>
      </c>
      <c r="K381" s="121" t="str">
        <f t="shared" si="72"/>
        <v/>
      </c>
      <c r="L381" s="121" t="str">
        <f t="shared" si="73"/>
        <v/>
      </c>
      <c r="M381" s="121" t="str">
        <f t="shared" si="74"/>
        <v/>
      </c>
    </row>
    <row r="382" spans="1:13" x14ac:dyDescent="0.35">
      <c r="A382" s="80">
        <f t="shared" si="75"/>
        <v>352</v>
      </c>
      <c r="B382" s="120" t="str">
        <f t="shared" si="65"/>
        <v/>
      </c>
      <c r="C382" s="121" t="str">
        <f t="shared" si="76"/>
        <v/>
      </c>
      <c r="D382" s="122" t="str">
        <f t="shared" si="66"/>
        <v/>
      </c>
      <c r="E382" s="121" t="str">
        <f t="shared" si="67"/>
        <v/>
      </c>
      <c r="F382" s="121" t="str">
        <f t="shared" si="68"/>
        <v/>
      </c>
      <c r="G382" s="121" t="str">
        <f t="shared" si="69"/>
        <v/>
      </c>
      <c r="H382" s="121" t="str">
        <f t="shared" si="70"/>
        <v/>
      </c>
      <c r="I382" s="122" t="str">
        <f t="shared" si="77"/>
        <v/>
      </c>
      <c r="J382" s="121" t="str">
        <f t="shared" si="71"/>
        <v/>
      </c>
      <c r="K382" s="121" t="str">
        <f t="shared" si="72"/>
        <v/>
      </c>
      <c r="L382" s="121" t="str">
        <f t="shared" si="73"/>
        <v/>
      </c>
      <c r="M382" s="121" t="str">
        <f t="shared" si="74"/>
        <v/>
      </c>
    </row>
    <row r="383" spans="1:13" x14ac:dyDescent="0.35">
      <c r="A383" s="80">
        <f t="shared" si="75"/>
        <v>353</v>
      </c>
      <c r="B383" s="120" t="str">
        <f t="shared" si="65"/>
        <v/>
      </c>
      <c r="C383" s="121" t="str">
        <f t="shared" si="76"/>
        <v/>
      </c>
      <c r="D383" s="122" t="str">
        <f t="shared" si="66"/>
        <v/>
      </c>
      <c r="E383" s="121" t="str">
        <f t="shared" si="67"/>
        <v/>
      </c>
      <c r="F383" s="121" t="str">
        <f t="shared" si="68"/>
        <v/>
      </c>
      <c r="G383" s="121" t="str">
        <f t="shared" si="69"/>
        <v/>
      </c>
      <c r="H383" s="121" t="str">
        <f t="shared" si="70"/>
        <v/>
      </c>
      <c r="I383" s="122" t="str">
        <f t="shared" si="77"/>
        <v/>
      </c>
      <c r="J383" s="121" t="str">
        <f t="shared" si="71"/>
        <v/>
      </c>
      <c r="K383" s="121" t="str">
        <f t="shared" si="72"/>
        <v/>
      </c>
      <c r="L383" s="121" t="str">
        <f t="shared" si="73"/>
        <v/>
      </c>
      <c r="M383" s="121" t="str">
        <f t="shared" si="74"/>
        <v/>
      </c>
    </row>
    <row r="384" spans="1:13" x14ac:dyDescent="0.35">
      <c r="A384" s="80">
        <f t="shared" si="75"/>
        <v>354</v>
      </c>
      <c r="B384" s="120" t="str">
        <f t="shared" si="65"/>
        <v/>
      </c>
      <c r="C384" s="121" t="str">
        <f t="shared" si="76"/>
        <v/>
      </c>
      <c r="D384" s="122" t="str">
        <f t="shared" si="66"/>
        <v/>
      </c>
      <c r="E384" s="121" t="str">
        <f t="shared" si="67"/>
        <v/>
      </c>
      <c r="F384" s="121" t="str">
        <f t="shared" si="68"/>
        <v/>
      </c>
      <c r="G384" s="121" t="str">
        <f t="shared" si="69"/>
        <v/>
      </c>
      <c r="H384" s="121" t="str">
        <f t="shared" si="70"/>
        <v/>
      </c>
      <c r="I384" s="122" t="str">
        <f t="shared" si="77"/>
        <v/>
      </c>
      <c r="J384" s="121" t="str">
        <f t="shared" si="71"/>
        <v/>
      </c>
      <c r="K384" s="121" t="str">
        <f t="shared" si="72"/>
        <v/>
      </c>
      <c r="L384" s="121" t="str">
        <f t="shared" si="73"/>
        <v/>
      </c>
      <c r="M384" s="121" t="str">
        <f t="shared" si="74"/>
        <v/>
      </c>
    </row>
    <row r="385" spans="1:15" x14ac:dyDescent="0.35">
      <c r="A385" s="80">
        <f t="shared" si="75"/>
        <v>355</v>
      </c>
      <c r="B385" s="120" t="str">
        <f t="shared" si="65"/>
        <v/>
      </c>
      <c r="C385" s="121" t="str">
        <f t="shared" si="76"/>
        <v/>
      </c>
      <c r="D385" s="122" t="str">
        <f t="shared" si="66"/>
        <v/>
      </c>
      <c r="E385" s="121" t="str">
        <f t="shared" si="67"/>
        <v/>
      </c>
      <c r="F385" s="121" t="str">
        <f t="shared" si="68"/>
        <v/>
      </c>
      <c r="G385" s="121" t="str">
        <f t="shared" si="69"/>
        <v/>
      </c>
      <c r="H385" s="121" t="str">
        <f t="shared" si="70"/>
        <v/>
      </c>
      <c r="I385" s="122" t="str">
        <f t="shared" si="77"/>
        <v/>
      </c>
      <c r="J385" s="121" t="str">
        <f t="shared" si="71"/>
        <v/>
      </c>
      <c r="K385" s="121" t="str">
        <f t="shared" si="72"/>
        <v/>
      </c>
      <c r="L385" s="121" t="str">
        <f t="shared" si="73"/>
        <v/>
      </c>
      <c r="M385" s="121" t="str">
        <f t="shared" si="74"/>
        <v/>
      </c>
    </row>
    <row r="386" spans="1:15" x14ac:dyDescent="0.35">
      <c r="A386" s="80">
        <f t="shared" si="75"/>
        <v>356</v>
      </c>
      <c r="B386" s="120" t="str">
        <f t="shared" si="65"/>
        <v/>
      </c>
      <c r="C386" s="121" t="str">
        <f t="shared" si="76"/>
        <v/>
      </c>
      <c r="D386" s="122" t="str">
        <f t="shared" si="66"/>
        <v/>
      </c>
      <c r="E386" s="121" t="str">
        <f t="shared" si="67"/>
        <v/>
      </c>
      <c r="F386" s="121" t="str">
        <f t="shared" si="68"/>
        <v/>
      </c>
      <c r="G386" s="121" t="str">
        <f t="shared" si="69"/>
        <v/>
      </c>
      <c r="H386" s="121" t="str">
        <f t="shared" si="70"/>
        <v/>
      </c>
      <c r="I386" s="122" t="str">
        <f t="shared" si="77"/>
        <v/>
      </c>
      <c r="J386" s="121" t="str">
        <f t="shared" si="71"/>
        <v/>
      </c>
      <c r="K386" s="121" t="str">
        <f t="shared" si="72"/>
        <v/>
      </c>
      <c r="L386" s="121" t="str">
        <f t="shared" si="73"/>
        <v/>
      </c>
      <c r="M386" s="121" t="str">
        <f t="shared" si="74"/>
        <v/>
      </c>
    </row>
    <row r="387" spans="1:15" x14ac:dyDescent="0.35">
      <c r="A387" s="80">
        <f t="shared" si="75"/>
        <v>357</v>
      </c>
      <c r="B387" s="120" t="str">
        <f t="shared" si="65"/>
        <v/>
      </c>
      <c r="C387" s="121" t="str">
        <f t="shared" si="76"/>
        <v/>
      </c>
      <c r="D387" s="122" t="str">
        <f t="shared" si="66"/>
        <v/>
      </c>
      <c r="E387" s="121" t="str">
        <f t="shared" si="67"/>
        <v/>
      </c>
      <c r="F387" s="121" t="str">
        <f t="shared" si="68"/>
        <v/>
      </c>
      <c r="G387" s="121" t="str">
        <f t="shared" si="69"/>
        <v/>
      </c>
      <c r="H387" s="121" t="str">
        <f t="shared" si="70"/>
        <v/>
      </c>
      <c r="I387" s="122" t="str">
        <f t="shared" si="77"/>
        <v/>
      </c>
      <c r="J387" s="121" t="str">
        <f t="shared" si="71"/>
        <v/>
      </c>
      <c r="K387" s="121" t="str">
        <f t="shared" si="72"/>
        <v/>
      </c>
      <c r="L387" s="121" t="str">
        <f t="shared" si="73"/>
        <v/>
      </c>
      <c r="M387" s="121" t="str">
        <f t="shared" si="74"/>
        <v/>
      </c>
    </row>
    <row r="388" spans="1:15" x14ac:dyDescent="0.35">
      <c r="A388" s="80">
        <f t="shared" si="75"/>
        <v>358</v>
      </c>
      <c r="B388" s="120" t="str">
        <f t="shared" si="65"/>
        <v/>
      </c>
      <c r="C388" s="121" t="str">
        <f t="shared" si="76"/>
        <v/>
      </c>
      <c r="D388" s="122" t="str">
        <f t="shared" si="66"/>
        <v/>
      </c>
      <c r="E388" s="121" t="str">
        <f t="shared" si="67"/>
        <v/>
      </c>
      <c r="F388" s="121" t="str">
        <f t="shared" si="68"/>
        <v/>
      </c>
      <c r="G388" s="121" t="str">
        <f t="shared" si="69"/>
        <v/>
      </c>
      <c r="H388" s="121" t="str">
        <f t="shared" si="70"/>
        <v/>
      </c>
      <c r="I388" s="122" t="str">
        <f t="shared" si="77"/>
        <v/>
      </c>
      <c r="J388" s="121" t="str">
        <f t="shared" si="71"/>
        <v/>
      </c>
      <c r="K388" s="121" t="str">
        <f t="shared" si="72"/>
        <v/>
      </c>
      <c r="L388" s="121" t="str">
        <f t="shared" si="73"/>
        <v/>
      </c>
      <c r="M388" s="121" t="str">
        <f t="shared" si="74"/>
        <v/>
      </c>
    </row>
    <row r="389" spans="1:15" x14ac:dyDescent="0.35">
      <c r="A389" s="80">
        <f t="shared" si="75"/>
        <v>359</v>
      </c>
      <c r="B389" s="120" t="str">
        <f t="shared" si="65"/>
        <v/>
      </c>
      <c r="C389" s="121" t="str">
        <f t="shared" si="76"/>
        <v/>
      </c>
      <c r="D389" s="122" t="str">
        <f t="shared" si="66"/>
        <v/>
      </c>
      <c r="E389" s="121" t="str">
        <f t="shared" si="67"/>
        <v/>
      </c>
      <c r="F389" s="121" t="str">
        <f t="shared" si="68"/>
        <v/>
      </c>
      <c r="G389" s="121" t="str">
        <f t="shared" si="69"/>
        <v/>
      </c>
      <c r="H389" s="121" t="str">
        <f t="shared" si="70"/>
        <v/>
      </c>
      <c r="I389" s="122" t="str">
        <f t="shared" si="77"/>
        <v/>
      </c>
      <c r="J389" s="121" t="str">
        <f t="shared" si="71"/>
        <v/>
      </c>
      <c r="K389" s="121" t="str">
        <f t="shared" si="72"/>
        <v/>
      </c>
      <c r="L389" s="121" t="str">
        <f t="shared" si="73"/>
        <v/>
      </c>
      <c r="M389" s="121" t="str">
        <f t="shared" si="74"/>
        <v/>
      </c>
    </row>
    <row r="390" spans="1:15" x14ac:dyDescent="0.35">
      <c r="A390" s="80">
        <f t="shared" si="75"/>
        <v>360</v>
      </c>
      <c r="B390" s="120" t="str">
        <f t="shared" si="65"/>
        <v/>
      </c>
      <c r="C390" s="121" t="str">
        <f t="shared" si="76"/>
        <v/>
      </c>
      <c r="D390" s="122" t="str">
        <f t="shared" si="66"/>
        <v/>
      </c>
      <c r="E390" s="121" t="str">
        <f t="shared" si="67"/>
        <v/>
      </c>
      <c r="F390" s="121" t="str">
        <f t="shared" si="68"/>
        <v/>
      </c>
      <c r="G390" s="121" t="str">
        <f t="shared" si="69"/>
        <v/>
      </c>
      <c r="H390" s="121" t="str">
        <f t="shared" si="70"/>
        <v/>
      </c>
      <c r="I390" s="122" t="str">
        <f t="shared" si="77"/>
        <v/>
      </c>
      <c r="J390" s="121" t="str">
        <f t="shared" si="71"/>
        <v/>
      </c>
      <c r="K390" s="121" t="str">
        <f t="shared" si="72"/>
        <v/>
      </c>
      <c r="L390" s="121" t="str">
        <f t="shared" si="73"/>
        <v/>
      </c>
      <c r="M390" s="121" t="str">
        <f t="shared" si="74"/>
        <v/>
      </c>
    </row>
    <row r="391" spans="1:15" x14ac:dyDescent="0.35">
      <c r="B391" s="123" t="s">
        <v>323</v>
      </c>
      <c r="C391" s="123"/>
      <c r="D391" s="124">
        <f t="shared" ref="D391:L391" si="78">SUM(D31:D390)</f>
        <v>1890344.9226041543</v>
      </c>
      <c r="E391" s="124">
        <f t="shared" si="78"/>
        <v>2000000.0000000019</v>
      </c>
      <c r="F391" s="124">
        <f t="shared" si="78"/>
        <v>257086.90947416495</v>
      </c>
      <c r="G391" s="124">
        <f t="shared" si="78"/>
        <v>3890344.9226041492</v>
      </c>
      <c r="H391" s="124">
        <f t="shared" si="78"/>
        <v>4147431.8320783218</v>
      </c>
      <c r="I391" s="124">
        <f t="shared" si="78"/>
        <v>1406416.6224174919</v>
      </c>
      <c r="J391" s="124">
        <f t="shared" si="78"/>
        <v>191272.66064877878</v>
      </c>
      <c r="K391" s="124">
        <f t="shared" si="78"/>
        <v>3406416.6224174942</v>
      </c>
      <c r="L391" s="124">
        <f t="shared" si="78"/>
        <v>3597689.2830662713</v>
      </c>
      <c r="M391" s="123"/>
    </row>
    <row r="392" spans="1:15" x14ac:dyDescent="0.35">
      <c r="C392" s="94"/>
      <c r="D392" s="94"/>
      <c r="E392" s="94"/>
      <c r="F392" s="94"/>
      <c r="G392" s="94"/>
      <c r="H392" s="94"/>
      <c r="I392" s="94"/>
      <c r="J392" s="125"/>
      <c r="K392" s="125"/>
      <c r="L392" s="94"/>
      <c r="M392" s="94"/>
      <c r="N392" s="94"/>
      <c r="O392" s="94"/>
    </row>
  </sheetData>
  <mergeCells count="5">
    <mergeCell ref="B22:E22"/>
    <mergeCell ref="B23:E23"/>
    <mergeCell ref="B24:E24"/>
    <mergeCell ref="B25:E25"/>
    <mergeCell ref="B26:I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0984D-ED9E-4B0A-BBAD-0FB7FC773987}">
  <dimension ref="A1:J130"/>
  <sheetViews>
    <sheetView workbookViewId="0">
      <selection activeCell="B2" sqref="B2"/>
    </sheetView>
  </sheetViews>
  <sheetFormatPr defaultColWidth="12" defaultRowHeight="12.5" x14ac:dyDescent="0.25"/>
  <cols>
    <col min="1" max="1" width="18.08984375" customWidth="1"/>
    <col min="2" max="2" width="15.81640625" customWidth="1"/>
    <col min="3" max="3" width="13.90625" customWidth="1"/>
    <col min="4" max="4" width="17" customWidth="1"/>
    <col min="6" max="6" width="15.90625" customWidth="1"/>
    <col min="7" max="7" width="13.453125" customWidth="1"/>
    <col min="10" max="10" width="12.90625" customWidth="1"/>
  </cols>
  <sheetData>
    <row r="1" spans="1:10" ht="15.5" x14ac:dyDescent="0.35">
      <c r="A1" s="60" t="s">
        <v>250</v>
      </c>
      <c r="B1" s="62">
        <v>250000</v>
      </c>
    </row>
    <row r="2" spans="1:10" ht="15.5" x14ac:dyDescent="0.35">
      <c r="A2" s="60" t="s">
        <v>251</v>
      </c>
      <c r="B2" s="62"/>
      <c r="D2" s="63"/>
    </row>
    <row r="3" spans="1:10" ht="15.5" x14ac:dyDescent="0.35">
      <c r="A3" s="60" t="s">
        <v>252</v>
      </c>
      <c r="B3" s="64">
        <f>B1-B2</f>
        <v>250000</v>
      </c>
    </row>
    <row r="4" spans="1:10" ht="15.5" x14ac:dyDescent="0.35">
      <c r="A4" s="60" t="s">
        <v>253</v>
      </c>
      <c r="B4" s="65">
        <v>7.0000000000000007E-2</v>
      </c>
      <c r="F4" s="60" t="s">
        <v>254</v>
      </c>
      <c r="G4" s="60"/>
    </row>
    <row r="5" spans="1:10" ht="15.5" x14ac:dyDescent="0.35">
      <c r="A5" s="60" t="s">
        <v>255</v>
      </c>
      <c r="B5" s="66">
        <v>10</v>
      </c>
      <c r="D5" s="67"/>
      <c r="F5" s="60" t="s">
        <v>256</v>
      </c>
      <c r="G5" s="60"/>
      <c r="H5" s="60" t="s">
        <v>123</v>
      </c>
      <c r="I5" s="60"/>
      <c r="J5">
        <f>7.22/12</f>
        <v>0.60166666666666668</v>
      </c>
    </row>
    <row r="6" spans="1:10" ht="15.5" x14ac:dyDescent="0.35">
      <c r="A6" s="60" t="s">
        <v>257</v>
      </c>
      <c r="B6" s="66">
        <v>12</v>
      </c>
      <c r="F6" s="68" t="s">
        <v>258</v>
      </c>
      <c r="G6" s="69">
        <f>SUM(B11:B22)</f>
        <v>16932.958190465171</v>
      </c>
      <c r="H6" s="70"/>
      <c r="I6" s="60"/>
      <c r="J6">
        <f t="shared" ref="J6:J16" si="0">7.22/12</f>
        <v>0.60166666666666668</v>
      </c>
    </row>
    <row r="7" spans="1:10" ht="15.5" x14ac:dyDescent="0.35">
      <c r="A7" s="60" t="s">
        <v>259</v>
      </c>
      <c r="B7" s="71">
        <f>B5*B6</f>
        <v>120</v>
      </c>
      <c r="F7" s="68" t="s">
        <v>260</v>
      </c>
      <c r="G7" s="69">
        <f>SUM(B23:B34)</f>
        <v>15638.995701946491</v>
      </c>
      <c r="H7" s="60"/>
      <c r="I7" s="60"/>
      <c r="J7">
        <f t="shared" si="0"/>
        <v>0.60166666666666668</v>
      </c>
    </row>
    <row r="8" spans="1:10" ht="15.5" x14ac:dyDescent="0.35">
      <c r="A8" s="60" t="s">
        <v>261</v>
      </c>
      <c r="B8" s="72">
        <f>PMT(B4/B6,B7,-B1)</f>
        <v>2902.7119804656013</v>
      </c>
      <c r="D8" s="73"/>
      <c r="F8" s="68" t="s">
        <v>262</v>
      </c>
      <c r="G8" s="69">
        <f>SUM(B35:B46)</f>
        <v>14251.492560507857</v>
      </c>
      <c r="H8" s="60"/>
      <c r="I8" s="60"/>
      <c r="J8">
        <f t="shared" si="0"/>
        <v>0.60166666666666668</v>
      </c>
    </row>
    <row r="9" spans="1:10" ht="15.5" x14ac:dyDescent="0.35">
      <c r="F9" s="68" t="s">
        <v>263</v>
      </c>
      <c r="G9" s="69">
        <f>SUM(B47:B58)</f>
        <v>12763.686704786338</v>
      </c>
      <c r="H9" s="60"/>
      <c r="I9" s="60"/>
      <c r="J9">
        <f t="shared" si="0"/>
        <v>0.60166666666666668</v>
      </c>
    </row>
    <row r="10" spans="1:10" ht="15.5" x14ac:dyDescent="0.35">
      <c r="A10" s="60" t="s">
        <v>264</v>
      </c>
      <c r="B10" s="60" t="s">
        <v>265</v>
      </c>
      <c r="C10" s="60" t="s">
        <v>266</v>
      </c>
      <c r="D10" s="60" t="s">
        <v>267</v>
      </c>
      <c r="F10" s="68" t="s">
        <v>268</v>
      </c>
      <c r="G10" s="69">
        <f>SUM(B59:B70)</f>
        <v>11168.327243456342</v>
      </c>
      <c r="H10" s="60"/>
      <c r="I10" s="60"/>
      <c r="J10">
        <f t="shared" si="0"/>
        <v>0.60166666666666668</v>
      </c>
    </row>
    <row r="11" spans="1:10" ht="15.5" x14ac:dyDescent="0.35">
      <c r="A11" s="74">
        <v>1</v>
      </c>
      <c r="B11" s="75">
        <f>B1*B4/B6</f>
        <v>1458.3333333333333</v>
      </c>
      <c r="C11" s="75">
        <f>$B$8-B11</f>
        <v>1444.378647132268</v>
      </c>
      <c r="D11" s="75">
        <f>B1-C11</f>
        <v>248555.62135286772</v>
      </c>
      <c r="F11" s="68" t="s">
        <v>269</v>
      </c>
      <c r="G11" s="69">
        <f>SUM(B71:B82)</f>
        <v>9457.6391176720299</v>
      </c>
      <c r="H11" s="60"/>
      <c r="I11" s="60"/>
      <c r="J11">
        <f t="shared" si="0"/>
        <v>0.60166666666666668</v>
      </c>
    </row>
    <row r="12" spans="1:10" ht="15.5" x14ac:dyDescent="0.35">
      <c r="A12" s="74">
        <f>IF(D11&lt;0.1,0,A11+1)</f>
        <v>2</v>
      </c>
      <c r="B12" s="75">
        <f>IF(D11&lt;0.1,0,D11*$B$4/$B$6)</f>
        <v>1449.9077912250616</v>
      </c>
      <c r="C12" s="75">
        <f>IF(D11&lt;0.1,0,$B$8-B12)</f>
        <v>1452.8041892405397</v>
      </c>
      <c r="D12" s="75">
        <f>IF(D11&lt;0.1,0,D11-C12)</f>
        <v>247102.81716362719</v>
      </c>
      <c r="F12" s="68" t="s">
        <v>270</v>
      </c>
      <c r="G12" s="69">
        <f>SUM(B83:B94)</f>
        <v>7623.2852089549706</v>
      </c>
      <c r="H12" s="60"/>
      <c r="I12" s="60"/>
      <c r="J12">
        <f t="shared" si="0"/>
        <v>0.60166666666666668</v>
      </c>
    </row>
    <row r="13" spans="1:10" ht="15.5" x14ac:dyDescent="0.35">
      <c r="A13" s="74">
        <f t="shared" ref="A13:A76" si="1">IF(D12&lt;0.1,0,A12+1)</f>
        <v>3</v>
      </c>
      <c r="B13" s="75">
        <f t="shared" ref="B13:B76" si="2">IF(D12&lt;0.1,0,D12*$B$4/$B$6)</f>
        <v>1441.4331001211588</v>
      </c>
      <c r="C13" s="75">
        <f t="shared" ref="C13:C76" si="3">IF(D12&lt;0.1,0,$B$8-B13)</f>
        <v>1461.2788803444425</v>
      </c>
      <c r="D13" s="75">
        <f t="shared" ref="D13:D76" si="4">IF(D12&lt;0.1,0,D12-C13)</f>
        <v>245641.53828328275</v>
      </c>
      <c r="F13" s="60"/>
      <c r="G13" s="60"/>
      <c r="H13" s="60"/>
      <c r="I13" s="60"/>
      <c r="J13">
        <f t="shared" si="0"/>
        <v>0.60166666666666668</v>
      </c>
    </row>
    <row r="14" spans="1:10" ht="15.5" x14ac:dyDescent="0.35">
      <c r="A14" s="74">
        <f t="shared" si="1"/>
        <v>4</v>
      </c>
      <c r="B14" s="75">
        <f t="shared" si="2"/>
        <v>1432.9089733191495</v>
      </c>
      <c r="C14" s="75">
        <f t="shared" si="3"/>
        <v>1469.8030071464518</v>
      </c>
      <c r="D14" s="75">
        <f t="shared" si="4"/>
        <v>244171.73527613629</v>
      </c>
      <c r="F14" s="76" t="s">
        <v>271</v>
      </c>
      <c r="G14" s="77">
        <f>B6*B8</f>
        <v>34832.543765587216</v>
      </c>
      <c r="J14">
        <f t="shared" si="0"/>
        <v>0.60166666666666668</v>
      </c>
    </row>
    <row r="15" spans="1:10" x14ac:dyDescent="0.25">
      <c r="A15" s="74">
        <f t="shared" si="1"/>
        <v>5</v>
      </c>
      <c r="B15" s="75">
        <f t="shared" si="2"/>
        <v>1424.3351224441285</v>
      </c>
      <c r="C15" s="75">
        <f t="shared" si="3"/>
        <v>1478.3768580214728</v>
      </c>
      <c r="D15" s="75">
        <f t="shared" si="4"/>
        <v>242693.3584181148</v>
      </c>
      <c r="J15">
        <f t="shared" si="0"/>
        <v>0.60166666666666668</v>
      </c>
    </row>
    <row r="16" spans="1:10" x14ac:dyDescent="0.25">
      <c r="A16" s="74">
        <f t="shared" si="1"/>
        <v>6</v>
      </c>
      <c r="B16" s="75">
        <f t="shared" si="2"/>
        <v>1415.711257439003</v>
      </c>
      <c r="C16" s="75">
        <f t="shared" si="3"/>
        <v>1487.0007230265983</v>
      </c>
      <c r="D16" s="75">
        <f t="shared" si="4"/>
        <v>241206.3576950882</v>
      </c>
      <c r="F16" t="s">
        <v>272</v>
      </c>
      <c r="H16" s="78">
        <f>RATE(B7,-B8,B3)</f>
        <v>5.8333333333331515E-3</v>
      </c>
      <c r="J16">
        <f t="shared" si="0"/>
        <v>0.60166666666666668</v>
      </c>
    </row>
    <row r="17" spans="1:7" ht="15.5" x14ac:dyDescent="0.35">
      <c r="A17" s="74">
        <f t="shared" si="1"/>
        <v>7</v>
      </c>
      <c r="B17" s="75">
        <f t="shared" si="2"/>
        <v>1407.0370865546813</v>
      </c>
      <c r="C17" s="75">
        <f t="shared" si="3"/>
        <v>1495.67489391092</v>
      </c>
      <c r="D17" s="75">
        <f t="shared" si="4"/>
        <v>239710.68280117729</v>
      </c>
      <c r="F17" s="76" t="s">
        <v>273</v>
      </c>
      <c r="G17" s="79">
        <f>(1+H16)^B6-1</f>
        <v>7.229008085623323E-2</v>
      </c>
    </row>
    <row r="18" spans="1:7" x14ac:dyDescent="0.25">
      <c r="A18" s="74">
        <f t="shared" si="1"/>
        <v>8</v>
      </c>
      <c r="B18" s="75">
        <f t="shared" si="2"/>
        <v>1398.3123163402008</v>
      </c>
      <c r="C18" s="75">
        <f t="shared" si="3"/>
        <v>1504.3996641254005</v>
      </c>
      <c r="D18" s="75">
        <f t="shared" si="4"/>
        <v>238206.28313705188</v>
      </c>
    </row>
    <row r="19" spans="1:7" x14ac:dyDescent="0.25">
      <c r="A19" s="74">
        <f t="shared" si="1"/>
        <v>9</v>
      </c>
      <c r="B19" s="75">
        <f t="shared" si="2"/>
        <v>1389.5366516328029</v>
      </c>
      <c r="C19" s="75">
        <f t="shared" si="3"/>
        <v>1513.1753288327984</v>
      </c>
      <c r="D19" s="75">
        <f t="shared" si="4"/>
        <v>236693.10780821909</v>
      </c>
    </row>
    <row r="20" spans="1:7" x14ac:dyDescent="0.25">
      <c r="A20" s="74">
        <f t="shared" si="1"/>
        <v>10</v>
      </c>
      <c r="B20" s="75">
        <f t="shared" si="2"/>
        <v>1380.7097955479449</v>
      </c>
      <c r="C20" s="75">
        <f t="shared" si="3"/>
        <v>1522.0021849176565</v>
      </c>
      <c r="D20" s="75">
        <f t="shared" si="4"/>
        <v>235171.10562330144</v>
      </c>
      <c r="F20" t="s">
        <v>123</v>
      </c>
      <c r="G20" t="s">
        <v>123</v>
      </c>
    </row>
    <row r="21" spans="1:7" x14ac:dyDescent="0.25">
      <c r="A21" s="74">
        <f t="shared" si="1"/>
        <v>11</v>
      </c>
      <c r="B21" s="75">
        <f t="shared" si="2"/>
        <v>1371.8314494692586</v>
      </c>
      <c r="C21" s="75">
        <f t="shared" si="3"/>
        <v>1530.8805309963427</v>
      </c>
      <c r="D21" s="75">
        <f t="shared" si="4"/>
        <v>233640.2250923051</v>
      </c>
    </row>
    <row r="22" spans="1:7" x14ac:dyDescent="0.25">
      <c r="A22" s="74">
        <f t="shared" si="1"/>
        <v>12</v>
      </c>
      <c r="B22" s="75">
        <f t="shared" si="2"/>
        <v>1362.9013130384467</v>
      </c>
      <c r="C22" s="75">
        <f t="shared" si="3"/>
        <v>1539.8106674271546</v>
      </c>
      <c r="D22" s="75">
        <f t="shared" si="4"/>
        <v>232100.41442487796</v>
      </c>
    </row>
    <row r="23" spans="1:7" x14ac:dyDescent="0.25">
      <c r="A23" s="74">
        <f t="shared" si="1"/>
        <v>13</v>
      </c>
      <c r="B23" s="75">
        <f t="shared" si="2"/>
        <v>1353.9190841451216</v>
      </c>
      <c r="C23" s="75">
        <f t="shared" si="3"/>
        <v>1548.7928963204797</v>
      </c>
      <c r="D23" s="75">
        <f t="shared" si="4"/>
        <v>230551.62152855747</v>
      </c>
    </row>
    <row r="24" spans="1:7" x14ac:dyDescent="0.25">
      <c r="A24" s="74">
        <f t="shared" si="1"/>
        <v>14</v>
      </c>
      <c r="B24" s="75">
        <f t="shared" si="2"/>
        <v>1344.8844589165853</v>
      </c>
      <c r="C24" s="75">
        <f t="shared" si="3"/>
        <v>1557.827521549016</v>
      </c>
      <c r="D24" s="75">
        <f t="shared" si="4"/>
        <v>228993.79400700846</v>
      </c>
    </row>
    <row r="25" spans="1:7" x14ac:dyDescent="0.25">
      <c r="A25" s="74">
        <f t="shared" si="1"/>
        <v>15</v>
      </c>
      <c r="B25" s="75">
        <f t="shared" si="2"/>
        <v>1335.7971317075494</v>
      </c>
      <c r="C25" s="75">
        <f t="shared" si="3"/>
        <v>1566.9148487580519</v>
      </c>
      <c r="D25" s="75">
        <f t="shared" si="4"/>
        <v>227426.87915825041</v>
      </c>
    </row>
    <row r="26" spans="1:7" x14ac:dyDescent="0.25">
      <c r="A26" s="74">
        <f t="shared" si="1"/>
        <v>16</v>
      </c>
      <c r="B26" s="75">
        <f t="shared" si="2"/>
        <v>1326.6567950897941</v>
      </c>
      <c r="C26" s="75">
        <f t="shared" si="3"/>
        <v>1576.0551853758072</v>
      </c>
      <c r="D26" s="75">
        <f t="shared" si="4"/>
        <v>225850.82397287461</v>
      </c>
    </row>
    <row r="27" spans="1:7" x14ac:dyDescent="0.25">
      <c r="A27" s="74">
        <f t="shared" si="1"/>
        <v>17</v>
      </c>
      <c r="B27" s="75">
        <f t="shared" si="2"/>
        <v>1317.4631398417687</v>
      </c>
      <c r="C27" s="75">
        <f t="shared" si="3"/>
        <v>1585.2488406238326</v>
      </c>
      <c r="D27" s="75">
        <f t="shared" si="4"/>
        <v>224265.57513225079</v>
      </c>
    </row>
    <row r="28" spans="1:7" x14ac:dyDescent="0.25">
      <c r="A28" s="74">
        <f t="shared" si="1"/>
        <v>18</v>
      </c>
      <c r="B28" s="75">
        <f t="shared" si="2"/>
        <v>1308.2158549381297</v>
      </c>
      <c r="C28" s="75">
        <f t="shared" si="3"/>
        <v>1594.4961255274716</v>
      </c>
      <c r="D28" s="75">
        <f t="shared" si="4"/>
        <v>222671.0790067233</v>
      </c>
    </row>
    <row r="29" spans="1:7" x14ac:dyDescent="0.25">
      <c r="A29" s="74">
        <f t="shared" si="1"/>
        <v>19</v>
      </c>
      <c r="B29" s="75">
        <f t="shared" si="2"/>
        <v>1298.9146275392193</v>
      </c>
      <c r="C29" s="75">
        <f t="shared" si="3"/>
        <v>1603.797352926382</v>
      </c>
      <c r="D29" s="75">
        <f t="shared" si="4"/>
        <v>221067.28165379693</v>
      </c>
    </row>
    <row r="30" spans="1:7" x14ac:dyDescent="0.25">
      <c r="A30" s="74">
        <f t="shared" si="1"/>
        <v>20</v>
      </c>
      <c r="B30" s="75">
        <f t="shared" si="2"/>
        <v>1289.5591429804822</v>
      </c>
      <c r="C30" s="75">
        <f t="shared" si="3"/>
        <v>1613.1528374851191</v>
      </c>
      <c r="D30" s="75">
        <f t="shared" si="4"/>
        <v>219454.1288163118</v>
      </c>
    </row>
    <row r="31" spans="1:7" x14ac:dyDescent="0.25">
      <c r="A31" s="74">
        <f t="shared" si="1"/>
        <v>21</v>
      </c>
      <c r="B31" s="75">
        <f t="shared" si="2"/>
        <v>1280.149084761819</v>
      </c>
      <c r="C31" s="75">
        <f t="shared" si="3"/>
        <v>1622.5628957037823</v>
      </c>
      <c r="D31" s="75">
        <f t="shared" si="4"/>
        <v>217831.56592060803</v>
      </c>
    </row>
    <row r="32" spans="1:7" x14ac:dyDescent="0.25">
      <c r="A32" s="74">
        <f t="shared" si="1"/>
        <v>22</v>
      </c>
      <c r="B32" s="75">
        <f t="shared" si="2"/>
        <v>1270.6841345368803</v>
      </c>
      <c r="C32" s="75">
        <f t="shared" si="3"/>
        <v>1632.027845928721</v>
      </c>
      <c r="D32" s="75">
        <f t="shared" si="4"/>
        <v>216199.53807467932</v>
      </c>
    </row>
    <row r="33" spans="1:4" x14ac:dyDescent="0.25">
      <c r="A33" s="74">
        <f t="shared" si="1"/>
        <v>23</v>
      </c>
      <c r="B33" s="75">
        <f t="shared" si="2"/>
        <v>1261.1639721022962</v>
      </c>
      <c r="C33" s="75">
        <f t="shared" si="3"/>
        <v>1641.5480083633051</v>
      </c>
      <c r="D33" s="75">
        <f t="shared" si="4"/>
        <v>214557.99006631601</v>
      </c>
    </row>
    <row r="34" spans="1:4" x14ac:dyDescent="0.25">
      <c r="A34" s="74">
        <f t="shared" si="1"/>
        <v>24</v>
      </c>
      <c r="B34" s="75">
        <f t="shared" si="2"/>
        <v>1251.5882753868434</v>
      </c>
      <c r="C34" s="75">
        <f t="shared" si="3"/>
        <v>1651.1237050787579</v>
      </c>
      <c r="D34" s="75">
        <f t="shared" si="4"/>
        <v>212906.86636123725</v>
      </c>
    </row>
    <row r="35" spans="1:4" x14ac:dyDescent="0.25">
      <c r="A35" s="74">
        <f t="shared" si="1"/>
        <v>25</v>
      </c>
      <c r="B35" s="75">
        <f t="shared" si="2"/>
        <v>1241.9567204405507</v>
      </c>
      <c r="C35" s="75">
        <f t="shared" si="3"/>
        <v>1660.7552600250506</v>
      </c>
      <c r="D35" s="75">
        <f t="shared" si="4"/>
        <v>211246.11110121218</v>
      </c>
    </row>
    <row r="36" spans="1:4" x14ac:dyDescent="0.25">
      <c r="A36" s="74">
        <f t="shared" si="1"/>
        <v>26</v>
      </c>
      <c r="B36" s="75">
        <f t="shared" si="2"/>
        <v>1232.2689814237378</v>
      </c>
      <c r="C36" s="75">
        <f t="shared" si="3"/>
        <v>1670.4429990418635</v>
      </c>
      <c r="D36" s="75">
        <f t="shared" si="4"/>
        <v>209575.66810217031</v>
      </c>
    </row>
    <row r="37" spans="1:4" x14ac:dyDescent="0.25">
      <c r="A37" s="74">
        <f t="shared" si="1"/>
        <v>27</v>
      </c>
      <c r="B37" s="75">
        <f t="shared" si="2"/>
        <v>1222.5247305959936</v>
      </c>
      <c r="C37" s="75">
        <f t="shared" si="3"/>
        <v>1680.1872498696077</v>
      </c>
      <c r="D37" s="75">
        <f t="shared" si="4"/>
        <v>207895.48085230071</v>
      </c>
    </row>
    <row r="38" spans="1:4" x14ac:dyDescent="0.25">
      <c r="A38" s="74">
        <f t="shared" si="1"/>
        <v>28</v>
      </c>
      <c r="B38" s="75">
        <f t="shared" si="2"/>
        <v>1212.7236383050874</v>
      </c>
      <c r="C38" s="75">
        <f t="shared" si="3"/>
        <v>1689.9883421605139</v>
      </c>
      <c r="D38" s="75">
        <f t="shared" si="4"/>
        <v>206205.4925101402</v>
      </c>
    </row>
    <row r="39" spans="1:4" x14ac:dyDescent="0.25">
      <c r="A39" s="74">
        <f t="shared" si="1"/>
        <v>29</v>
      </c>
      <c r="B39" s="75">
        <f t="shared" si="2"/>
        <v>1202.865372975818</v>
      </c>
      <c r="C39" s="75">
        <f t="shared" si="3"/>
        <v>1699.8466074897833</v>
      </c>
      <c r="D39" s="75">
        <f t="shared" si="4"/>
        <v>204505.64590265043</v>
      </c>
    </row>
    <row r="40" spans="1:4" x14ac:dyDescent="0.25">
      <c r="A40" s="74">
        <f t="shared" si="1"/>
        <v>30</v>
      </c>
      <c r="B40" s="75">
        <f t="shared" si="2"/>
        <v>1192.9496010987943</v>
      </c>
      <c r="C40" s="75">
        <f t="shared" si="3"/>
        <v>1709.762379366807</v>
      </c>
      <c r="D40" s="75">
        <f t="shared" si="4"/>
        <v>202795.88352328361</v>
      </c>
    </row>
    <row r="41" spans="1:4" x14ac:dyDescent="0.25">
      <c r="A41" s="74">
        <f t="shared" si="1"/>
        <v>31</v>
      </c>
      <c r="B41" s="75">
        <f t="shared" si="2"/>
        <v>1182.9759872191546</v>
      </c>
      <c r="C41" s="75">
        <f t="shared" si="3"/>
        <v>1719.7359932464467</v>
      </c>
      <c r="D41" s="75">
        <f t="shared" si="4"/>
        <v>201076.14753003715</v>
      </c>
    </row>
    <row r="42" spans="1:4" x14ac:dyDescent="0.25">
      <c r="A42" s="74">
        <f t="shared" si="1"/>
        <v>32</v>
      </c>
      <c r="B42" s="75">
        <f t="shared" si="2"/>
        <v>1172.9441939252167</v>
      </c>
      <c r="C42" s="75">
        <f t="shared" si="3"/>
        <v>1729.7677865403846</v>
      </c>
      <c r="D42" s="75">
        <f t="shared" si="4"/>
        <v>199346.37974349677</v>
      </c>
    </row>
    <row r="43" spans="1:4" x14ac:dyDescent="0.25">
      <c r="A43" s="74">
        <f t="shared" si="1"/>
        <v>33</v>
      </c>
      <c r="B43" s="75">
        <f t="shared" si="2"/>
        <v>1162.8538818370646</v>
      </c>
      <c r="C43" s="75">
        <f t="shared" si="3"/>
        <v>1739.8580986285367</v>
      </c>
      <c r="D43" s="75">
        <f t="shared" si="4"/>
        <v>197606.52164486825</v>
      </c>
    </row>
    <row r="44" spans="1:4" x14ac:dyDescent="0.25">
      <c r="A44" s="74">
        <f t="shared" si="1"/>
        <v>34</v>
      </c>
      <c r="B44" s="75">
        <f t="shared" si="2"/>
        <v>1152.704709595065</v>
      </c>
      <c r="C44" s="75">
        <f t="shared" si="3"/>
        <v>1750.0072708705363</v>
      </c>
      <c r="D44" s="75">
        <f t="shared" si="4"/>
        <v>195856.51437399772</v>
      </c>
    </row>
    <row r="45" spans="1:4" x14ac:dyDescent="0.25">
      <c r="A45" s="74">
        <f t="shared" si="1"/>
        <v>35</v>
      </c>
      <c r="B45" s="75">
        <f t="shared" si="2"/>
        <v>1142.4963338483201</v>
      </c>
      <c r="C45" s="75">
        <f t="shared" si="3"/>
        <v>1760.2156466172812</v>
      </c>
      <c r="D45" s="75">
        <f t="shared" si="4"/>
        <v>194096.29872738043</v>
      </c>
    </row>
    <row r="46" spans="1:4" x14ac:dyDescent="0.25">
      <c r="A46" s="74">
        <f t="shared" si="1"/>
        <v>36</v>
      </c>
      <c r="B46" s="75">
        <f t="shared" si="2"/>
        <v>1132.2284092430525</v>
      </c>
      <c r="C46" s="75">
        <f t="shared" si="3"/>
        <v>1770.4835712225488</v>
      </c>
      <c r="D46" s="75">
        <f t="shared" si="4"/>
        <v>192325.81515615789</v>
      </c>
    </row>
    <row r="47" spans="1:4" x14ac:dyDescent="0.25">
      <c r="A47" s="74">
        <f t="shared" si="1"/>
        <v>37</v>
      </c>
      <c r="B47" s="75">
        <f t="shared" si="2"/>
        <v>1121.900588410921</v>
      </c>
      <c r="C47" s="75">
        <f t="shared" si="3"/>
        <v>1780.8113920546803</v>
      </c>
      <c r="D47" s="75">
        <f t="shared" si="4"/>
        <v>190545.0037641032</v>
      </c>
    </row>
    <row r="48" spans="1:4" x14ac:dyDescent="0.25">
      <c r="A48" s="74">
        <f t="shared" si="1"/>
        <v>38</v>
      </c>
      <c r="B48" s="75">
        <f t="shared" si="2"/>
        <v>1111.5125219572687</v>
      </c>
      <c r="C48" s="75">
        <f t="shared" si="3"/>
        <v>1791.1994585083326</v>
      </c>
      <c r="D48" s="75">
        <f t="shared" si="4"/>
        <v>188753.80430559485</v>
      </c>
    </row>
    <row r="49" spans="1:4" x14ac:dyDescent="0.25">
      <c r="A49" s="74">
        <f t="shared" si="1"/>
        <v>39</v>
      </c>
      <c r="B49" s="75">
        <f t="shared" si="2"/>
        <v>1101.0638584493033</v>
      </c>
      <c r="C49" s="75">
        <f t="shared" si="3"/>
        <v>1801.648122016298</v>
      </c>
      <c r="D49" s="75">
        <f t="shared" si="4"/>
        <v>186952.15618357854</v>
      </c>
    </row>
    <row r="50" spans="1:4" x14ac:dyDescent="0.25">
      <c r="A50" s="74">
        <f t="shared" si="1"/>
        <v>40</v>
      </c>
      <c r="B50" s="75">
        <f t="shared" si="2"/>
        <v>1090.5542444042082</v>
      </c>
      <c r="C50" s="75">
        <f t="shared" si="3"/>
        <v>1812.1577360613931</v>
      </c>
      <c r="D50" s="75">
        <f t="shared" si="4"/>
        <v>185139.99844751714</v>
      </c>
    </row>
    <row r="51" spans="1:4" x14ac:dyDescent="0.25">
      <c r="A51" s="74">
        <f t="shared" si="1"/>
        <v>41</v>
      </c>
      <c r="B51" s="75">
        <f t="shared" si="2"/>
        <v>1079.9833242771833</v>
      </c>
      <c r="C51" s="75">
        <f t="shared" si="3"/>
        <v>1822.728656188418</v>
      </c>
      <c r="D51" s="75">
        <f t="shared" si="4"/>
        <v>183317.26979132873</v>
      </c>
    </row>
    <row r="52" spans="1:4" x14ac:dyDescent="0.25">
      <c r="A52" s="74">
        <f t="shared" si="1"/>
        <v>42</v>
      </c>
      <c r="B52" s="75">
        <f t="shared" si="2"/>
        <v>1069.3507404494178</v>
      </c>
      <c r="C52" s="75">
        <f t="shared" si="3"/>
        <v>1833.3612400161835</v>
      </c>
      <c r="D52" s="75">
        <f t="shared" si="4"/>
        <v>181483.90855131255</v>
      </c>
    </row>
    <row r="53" spans="1:4" x14ac:dyDescent="0.25">
      <c r="A53" s="74">
        <f t="shared" si="1"/>
        <v>43</v>
      </c>
      <c r="B53" s="75">
        <f t="shared" si="2"/>
        <v>1058.6561332159899</v>
      </c>
      <c r="C53" s="75">
        <f t="shared" si="3"/>
        <v>1844.0558472496114</v>
      </c>
      <c r="D53" s="75">
        <f t="shared" si="4"/>
        <v>179639.85270406294</v>
      </c>
    </row>
    <row r="54" spans="1:4" x14ac:dyDescent="0.25">
      <c r="A54" s="74">
        <f t="shared" si="1"/>
        <v>44</v>
      </c>
      <c r="B54" s="75">
        <f t="shared" si="2"/>
        <v>1047.8991407737005</v>
      </c>
      <c r="C54" s="75">
        <f t="shared" si="3"/>
        <v>1854.8128396919008</v>
      </c>
      <c r="D54" s="75">
        <f t="shared" si="4"/>
        <v>177785.03986437104</v>
      </c>
    </row>
    <row r="55" spans="1:4" x14ac:dyDescent="0.25">
      <c r="A55" s="74">
        <f t="shared" si="1"/>
        <v>45</v>
      </c>
      <c r="B55" s="75">
        <f t="shared" si="2"/>
        <v>1037.0793992088311</v>
      </c>
      <c r="C55" s="75">
        <f t="shared" si="3"/>
        <v>1865.6325812567702</v>
      </c>
      <c r="D55" s="75">
        <f t="shared" si="4"/>
        <v>175919.40728311427</v>
      </c>
    </row>
    <row r="56" spans="1:4" x14ac:dyDescent="0.25">
      <c r="A56" s="74">
        <f t="shared" si="1"/>
        <v>46</v>
      </c>
      <c r="B56" s="75">
        <f t="shared" si="2"/>
        <v>1026.1965424848333</v>
      </c>
      <c r="C56" s="75">
        <f t="shared" si="3"/>
        <v>1876.515437980768</v>
      </c>
      <c r="D56" s="75">
        <f t="shared" si="4"/>
        <v>174042.8918451335</v>
      </c>
    </row>
    <row r="57" spans="1:4" x14ac:dyDescent="0.25">
      <c r="A57" s="74">
        <f t="shared" si="1"/>
        <v>47</v>
      </c>
      <c r="B57" s="75">
        <f t="shared" si="2"/>
        <v>1015.2502024299456</v>
      </c>
      <c r="C57" s="75">
        <f t="shared" si="3"/>
        <v>1887.4617780356557</v>
      </c>
      <c r="D57" s="75">
        <f t="shared" si="4"/>
        <v>172155.43006709786</v>
      </c>
    </row>
    <row r="58" spans="1:4" x14ac:dyDescent="0.25">
      <c r="A58" s="74">
        <f t="shared" si="1"/>
        <v>48</v>
      </c>
      <c r="B58" s="75">
        <f t="shared" si="2"/>
        <v>1004.2400087247375</v>
      </c>
      <c r="C58" s="75">
        <f t="shared" si="3"/>
        <v>1898.4719717408639</v>
      </c>
      <c r="D58" s="75">
        <f t="shared" si="4"/>
        <v>170256.958095357</v>
      </c>
    </row>
    <row r="59" spans="1:4" x14ac:dyDescent="0.25">
      <c r="A59" s="74">
        <f t="shared" si="1"/>
        <v>49</v>
      </c>
      <c r="B59" s="75">
        <f t="shared" si="2"/>
        <v>993.16558888958252</v>
      </c>
      <c r="C59" s="75">
        <f t="shared" si="3"/>
        <v>1909.5463915760188</v>
      </c>
      <c r="D59" s="75">
        <f t="shared" si="4"/>
        <v>168347.41170378099</v>
      </c>
    </row>
    <row r="60" spans="1:4" x14ac:dyDescent="0.25">
      <c r="A60" s="74">
        <f t="shared" si="1"/>
        <v>50</v>
      </c>
      <c r="B60" s="75">
        <f t="shared" si="2"/>
        <v>982.0265682720559</v>
      </c>
      <c r="C60" s="75">
        <f t="shared" si="3"/>
        <v>1920.6854121935453</v>
      </c>
      <c r="D60" s="75">
        <f t="shared" si="4"/>
        <v>166426.72629158746</v>
      </c>
    </row>
    <row r="61" spans="1:4" x14ac:dyDescent="0.25">
      <c r="A61" s="74">
        <f t="shared" si="1"/>
        <v>51</v>
      </c>
      <c r="B61" s="75">
        <f t="shared" si="2"/>
        <v>970.82257003426037</v>
      </c>
      <c r="C61" s="75">
        <f t="shared" si="3"/>
        <v>1931.8894104313408</v>
      </c>
      <c r="D61" s="75">
        <f t="shared" si="4"/>
        <v>164494.83688115611</v>
      </c>
    </row>
    <row r="62" spans="1:4" x14ac:dyDescent="0.25">
      <c r="A62" s="74">
        <f t="shared" si="1"/>
        <v>52</v>
      </c>
      <c r="B62" s="75">
        <f t="shared" si="2"/>
        <v>959.55321514007744</v>
      </c>
      <c r="C62" s="75">
        <f t="shared" si="3"/>
        <v>1943.1587653255237</v>
      </c>
      <c r="D62" s="75">
        <f t="shared" si="4"/>
        <v>162551.67811583058</v>
      </c>
    </row>
    <row r="63" spans="1:4" x14ac:dyDescent="0.25">
      <c r="A63" s="74">
        <f t="shared" si="1"/>
        <v>53</v>
      </c>
      <c r="B63" s="75">
        <f t="shared" si="2"/>
        <v>948.21812234234505</v>
      </c>
      <c r="C63" s="75">
        <f t="shared" si="3"/>
        <v>1954.4938581232564</v>
      </c>
      <c r="D63" s="75">
        <f t="shared" si="4"/>
        <v>160597.18425770733</v>
      </c>
    </row>
    <row r="64" spans="1:4" x14ac:dyDescent="0.25">
      <c r="A64" s="74">
        <f t="shared" si="1"/>
        <v>54</v>
      </c>
      <c r="B64" s="75">
        <f t="shared" si="2"/>
        <v>936.81690816995945</v>
      </c>
      <c r="C64" s="75">
        <f t="shared" si="3"/>
        <v>1965.895072295642</v>
      </c>
      <c r="D64" s="75">
        <f t="shared" si="4"/>
        <v>158631.28918541168</v>
      </c>
    </row>
    <row r="65" spans="1:4" x14ac:dyDescent="0.25">
      <c r="A65" s="74">
        <f t="shared" si="1"/>
        <v>55</v>
      </c>
      <c r="B65" s="75">
        <f t="shared" si="2"/>
        <v>925.34918691490157</v>
      </c>
      <c r="C65" s="75">
        <f t="shared" si="3"/>
        <v>1977.3627935506997</v>
      </c>
      <c r="D65" s="75">
        <f t="shared" si="4"/>
        <v>156653.92639186096</v>
      </c>
    </row>
    <row r="66" spans="1:4" x14ac:dyDescent="0.25">
      <c r="A66" s="74">
        <f t="shared" si="1"/>
        <v>56</v>
      </c>
      <c r="B66" s="75">
        <f t="shared" si="2"/>
        <v>913.814570619189</v>
      </c>
      <c r="C66" s="75">
        <f t="shared" si="3"/>
        <v>1988.8974098464123</v>
      </c>
      <c r="D66" s="75">
        <f t="shared" si="4"/>
        <v>154665.02898201454</v>
      </c>
    </row>
    <row r="67" spans="1:4" x14ac:dyDescent="0.25">
      <c r="A67" s="74">
        <f t="shared" si="1"/>
        <v>57</v>
      </c>
      <c r="B67" s="75">
        <f t="shared" si="2"/>
        <v>902.21266906175151</v>
      </c>
      <c r="C67" s="75">
        <f t="shared" si="3"/>
        <v>2000.4993114038498</v>
      </c>
      <c r="D67" s="75">
        <f t="shared" si="4"/>
        <v>152664.5296706107</v>
      </c>
    </row>
    <row r="68" spans="1:4" x14ac:dyDescent="0.25">
      <c r="A68" s="74">
        <f t="shared" si="1"/>
        <v>58</v>
      </c>
      <c r="B68" s="75">
        <f t="shared" si="2"/>
        <v>890.54308974522917</v>
      </c>
      <c r="C68" s="75">
        <f t="shared" si="3"/>
        <v>2012.168890720372</v>
      </c>
      <c r="D68" s="75">
        <f t="shared" si="4"/>
        <v>150652.36077989032</v>
      </c>
    </row>
    <row r="69" spans="1:4" x14ac:dyDescent="0.25">
      <c r="A69" s="74">
        <f t="shared" si="1"/>
        <v>59</v>
      </c>
      <c r="B69" s="75">
        <f t="shared" si="2"/>
        <v>878.8054378826937</v>
      </c>
      <c r="C69" s="75">
        <f t="shared" si="3"/>
        <v>2023.9065425829076</v>
      </c>
      <c r="D69" s="75">
        <f t="shared" si="4"/>
        <v>148628.45423730742</v>
      </c>
    </row>
    <row r="70" spans="1:4" x14ac:dyDescent="0.25">
      <c r="A70" s="74">
        <f t="shared" si="1"/>
        <v>60</v>
      </c>
      <c r="B70" s="75">
        <f t="shared" si="2"/>
        <v>866.99931638429337</v>
      </c>
      <c r="C70" s="75">
        <f t="shared" si="3"/>
        <v>2035.712664081308</v>
      </c>
      <c r="D70" s="75">
        <f t="shared" si="4"/>
        <v>146592.74157322611</v>
      </c>
    </row>
    <row r="71" spans="1:4" x14ac:dyDescent="0.25">
      <c r="A71" s="74">
        <f t="shared" si="1"/>
        <v>61</v>
      </c>
      <c r="B71" s="75">
        <f t="shared" si="2"/>
        <v>855.12432584381907</v>
      </c>
      <c r="C71" s="75">
        <f t="shared" si="3"/>
        <v>2047.5876546217823</v>
      </c>
      <c r="D71" s="75">
        <f t="shared" si="4"/>
        <v>144545.15391860434</v>
      </c>
    </row>
    <row r="72" spans="1:4" x14ac:dyDescent="0.25">
      <c r="A72" s="74">
        <f t="shared" si="1"/>
        <v>62</v>
      </c>
      <c r="B72" s="75">
        <f t="shared" si="2"/>
        <v>843.18006452519205</v>
      </c>
      <c r="C72" s="75">
        <f t="shared" si="3"/>
        <v>2059.5319159404094</v>
      </c>
      <c r="D72" s="75">
        <f t="shared" si="4"/>
        <v>142485.62200266393</v>
      </c>
    </row>
    <row r="73" spans="1:4" x14ac:dyDescent="0.25">
      <c r="A73" s="74">
        <f t="shared" si="1"/>
        <v>63</v>
      </c>
      <c r="B73" s="75">
        <f t="shared" si="2"/>
        <v>831.16612834887303</v>
      </c>
      <c r="C73" s="75">
        <f t="shared" si="3"/>
        <v>2071.5458521167284</v>
      </c>
      <c r="D73" s="75">
        <f t="shared" si="4"/>
        <v>140414.07615054722</v>
      </c>
    </row>
    <row r="74" spans="1:4" x14ac:dyDescent="0.25">
      <c r="A74" s="74">
        <f t="shared" si="1"/>
        <v>64</v>
      </c>
      <c r="B74" s="75">
        <f t="shared" si="2"/>
        <v>819.08211087819211</v>
      </c>
      <c r="C74" s="75">
        <f t="shared" si="3"/>
        <v>2083.6298695874093</v>
      </c>
      <c r="D74" s="75">
        <f t="shared" si="4"/>
        <v>138330.44628095982</v>
      </c>
    </row>
    <row r="75" spans="1:4" x14ac:dyDescent="0.25">
      <c r="A75" s="74">
        <f t="shared" si="1"/>
        <v>65</v>
      </c>
      <c r="B75" s="75">
        <f t="shared" si="2"/>
        <v>806.92760330559895</v>
      </c>
      <c r="C75" s="75">
        <f t="shared" si="3"/>
        <v>2095.7843771600024</v>
      </c>
      <c r="D75" s="75">
        <f t="shared" si="4"/>
        <v>136234.6619037998</v>
      </c>
    </row>
    <row r="76" spans="1:4" x14ac:dyDescent="0.25">
      <c r="A76" s="74">
        <f t="shared" si="1"/>
        <v>66</v>
      </c>
      <c r="B76" s="75">
        <f t="shared" si="2"/>
        <v>794.70219443883218</v>
      </c>
      <c r="C76" s="75">
        <f t="shared" si="3"/>
        <v>2108.0097860267692</v>
      </c>
      <c r="D76" s="75">
        <f t="shared" si="4"/>
        <v>134126.65211777305</v>
      </c>
    </row>
    <row r="77" spans="1:4" x14ac:dyDescent="0.25">
      <c r="A77" s="74">
        <f t="shared" ref="A77:A130" si="5">IF(D76&lt;0.1,0,A76+1)</f>
        <v>67</v>
      </c>
      <c r="B77" s="75">
        <f t="shared" ref="B77:B130" si="6">IF(D76&lt;0.1,0,D76*$B$4/$B$6)</f>
        <v>782.4054706870096</v>
      </c>
      <c r="C77" s="75">
        <f t="shared" ref="C77:C130" si="7">IF(D76&lt;0.1,0,$B$8-B77)</f>
        <v>2120.3065097785916</v>
      </c>
      <c r="D77" s="75">
        <f t="shared" ref="D77:D130" si="8">IF(D76&lt;0.1,0,D76-C77)</f>
        <v>132006.34560799444</v>
      </c>
    </row>
    <row r="78" spans="1:4" x14ac:dyDescent="0.25">
      <c r="A78" s="74">
        <f t="shared" si="5"/>
        <v>68</v>
      </c>
      <c r="B78" s="75">
        <f t="shared" si="6"/>
        <v>770.03701604663422</v>
      </c>
      <c r="C78" s="75">
        <f t="shared" si="7"/>
        <v>2132.6749644189672</v>
      </c>
      <c r="D78" s="75">
        <f t="shared" si="8"/>
        <v>129873.67064357547</v>
      </c>
    </row>
    <row r="79" spans="1:4" x14ac:dyDescent="0.25">
      <c r="A79" s="74">
        <f t="shared" si="5"/>
        <v>69</v>
      </c>
      <c r="B79" s="75">
        <f t="shared" si="6"/>
        <v>757.59641208752373</v>
      </c>
      <c r="C79" s="75">
        <f t="shared" si="7"/>
        <v>2145.1155683780776</v>
      </c>
      <c r="D79" s="75">
        <f t="shared" si="8"/>
        <v>127728.55507519739</v>
      </c>
    </row>
    <row r="80" spans="1:4" x14ac:dyDescent="0.25">
      <c r="A80" s="74">
        <f t="shared" si="5"/>
        <v>70</v>
      </c>
      <c r="B80" s="75">
        <f t="shared" si="6"/>
        <v>745.08323793865156</v>
      </c>
      <c r="C80" s="75">
        <f t="shared" si="7"/>
        <v>2157.6287425269497</v>
      </c>
      <c r="D80" s="75">
        <f t="shared" si="8"/>
        <v>125570.92633267044</v>
      </c>
    </row>
    <row r="81" spans="1:4" x14ac:dyDescent="0.25">
      <c r="A81" s="74">
        <f t="shared" si="5"/>
        <v>71</v>
      </c>
      <c r="B81" s="75">
        <f t="shared" si="6"/>
        <v>732.49707027391094</v>
      </c>
      <c r="C81" s="75">
        <f t="shared" si="7"/>
        <v>2170.2149101916903</v>
      </c>
      <c r="D81" s="75">
        <f t="shared" si="8"/>
        <v>123400.71142247875</v>
      </c>
    </row>
    <row r="82" spans="1:4" x14ac:dyDescent="0.25">
      <c r="A82" s="74">
        <f t="shared" si="5"/>
        <v>72</v>
      </c>
      <c r="B82" s="75">
        <f t="shared" si="6"/>
        <v>719.8374832977928</v>
      </c>
      <c r="C82" s="75">
        <f t="shared" si="7"/>
        <v>2182.8744971678084</v>
      </c>
      <c r="D82" s="75">
        <f t="shared" si="8"/>
        <v>121217.83692531094</v>
      </c>
    </row>
    <row r="83" spans="1:4" x14ac:dyDescent="0.25">
      <c r="A83" s="74">
        <f t="shared" si="5"/>
        <v>73</v>
      </c>
      <c r="B83" s="75">
        <f t="shared" si="6"/>
        <v>707.10404873098059</v>
      </c>
      <c r="C83" s="75">
        <f t="shared" si="7"/>
        <v>2195.6079317346207</v>
      </c>
      <c r="D83" s="75">
        <f t="shared" si="8"/>
        <v>119022.22899357633</v>
      </c>
    </row>
    <row r="84" spans="1:4" x14ac:dyDescent="0.25">
      <c r="A84" s="74">
        <f t="shared" si="5"/>
        <v>74</v>
      </c>
      <c r="B84" s="75">
        <f t="shared" si="6"/>
        <v>694.29633579586198</v>
      </c>
      <c r="C84" s="75">
        <f t="shared" si="7"/>
        <v>2208.4156446697393</v>
      </c>
      <c r="D84" s="75">
        <f t="shared" si="8"/>
        <v>116813.81334890658</v>
      </c>
    </row>
    <row r="85" spans="1:4" x14ac:dyDescent="0.25">
      <c r="A85" s="74">
        <f t="shared" si="5"/>
        <v>75</v>
      </c>
      <c r="B85" s="75">
        <f t="shared" si="6"/>
        <v>681.4139112019551</v>
      </c>
      <c r="C85" s="75">
        <f t="shared" si="7"/>
        <v>2221.2980692636461</v>
      </c>
      <c r="D85" s="75">
        <f t="shared" si="8"/>
        <v>114592.51527964293</v>
      </c>
    </row>
    <row r="86" spans="1:4" x14ac:dyDescent="0.25">
      <c r="A86" s="74">
        <f t="shared" si="5"/>
        <v>76</v>
      </c>
      <c r="B86" s="75">
        <f t="shared" si="6"/>
        <v>668.4563391312505</v>
      </c>
      <c r="C86" s="75">
        <f t="shared" si="7"/>
        <v>2234.2556413343509</v>
      </c>
      <c r="D86" s="75">
        <f t="shared" si="8"/>
        <v>112358.25963830858</v>
      </c>
    </row>
    <row r="87" spans="1:4" x14ac:dyDescent="0.25">
      <c r="A87" s="74">
        <f t="shared" si="5"/>
        <v>77</v>
      </c>
      <c r="B87" s="75">
        <f t="shared" si="6"/>
        <v>655.42318122346671</v>
      </c>
      <c r="C87" s="75">
        <f t="shared" si="7"/>
        <v>2247.2887992421347</v>
      </c>
      <c r="D87" s="75">
        <f t="shared" si="8"/>
        <v>110110.97083906645</v>
      </c>
    </row>
    <row r="88" spans="1:4" x14ac:dyDescent="0.25">
      <c r="A88" s="74">
        <f t="shared" si="5"/>
        <v>78</v>
      </c>
      <c r="B88" s="75">
        <f t="shared" si="6"/>
        <v>642.31399656122096</v>
      </c>
      <c r="C88" s="75">
        <f t="shared" si="7"/>
        <v>2260.3979839043805</v>
      </c>
      <c r="D88" s="75">
        <f t="shared" si="8"/>
        <v>107850.57285516207</v>
      </c>
    </row>
    <row r="89" spans="1:4" x14ac:dyDescent="0.25">
      <c r="A89" s="74">
        <f t="shared" si="5"/>
        <v>79</v>
      </c>
      <c r="B89" s="75">
        <f t="shared" si="6"/>
        <v>629.12834165511219</v>
      </c>
      <c r="C89" s="75">
        <f t="shared" si="7"/>
        <v>2273.583638810489</v>
      </c>
      <c r="D89" s="75">
        <f t="shared" si="8"/>
        <v>105576.98921635158</v>
      </c>
    </row>
    <row r="90" spans="1:4" x14ac:dyDescent="0.25">
      <c r="A90" s="74">
        <f t="shared" si="5"/>
        <v>80</v>
      </c>
      <c r="B90" s="75">
        <f t="shared" si="6"/>
        <v>615.86577042871761</v>
      </c>
      <c r="C90" s="75">
        <f t="shared" si="7"/>
        <v>2286.8462100368838</v>
      </c>
      <c r="D90" s="75">
        <f t="shared" si="8"/>
        <v>103290.1430063147</v>
      </c>
    </row>
    <row r="91" spans="1:4" x14ac:dyDescent="0.25">
      <c r="A91" s="74">
        <f t="shared" si="5"/>
        <v>81</v>
      </c>
      <c r="B91" s="75">
        <f t="shared" si="6"/>
        <v>602.52583420350243</v>
      </c>
      <c r="C91" s="75">
        <f t="shared" si="7"/>
        <v>2300.1861462620991</v>
      </c>
      <c r="D91" s="75">
        <f t="shared" si="8"/>
        <v>100989.9568600526</v>
      </c>
    </row>
    <row r="92" spans="1:4" x14ac:dyDescent="0.25">
      <c r="A92" s="74">
        <f t="shared" si="5"/>
        <v>82</v>
      </c>
      <c r="B92" s="75">
        <f t="shared" si="6"/>
        <v>589.10808168364019</v>
      </c>
      <c r="C92" s="75">
        <f t="shared" si="7"/>
        <v>2313.6038987819611</v>
      </c>
      <c r="D92" s="75">
        <f t="shared" si="8"/>
        <v>98676.352961270633</v>
      </c>
    </row>
    <row r="93" spans="1:4" x14ac:dyDescent="0.25">
      <c r="A93" s="74">
        <f t="shared" si="5"/>
        <v>83</v>
      </c>
      <c r="B93" s="75">
        <f t="shared" si="6"/>
        <v>575.61205894074544</v>
      </c>
      <c r="C93" s="75">
        <f t="shared" si="7"/>
        <v>2327.0999215248557</v>
      </c>
      <c r="D93" s="75">
        <f t="shared" si="8"/>
        <v>96349.253039745774</v>
      </c>
    </row>
    <row r="94" spans="1:4" x14ac:dyDescent="0.25">
      <c r="A94" s="74">
        <f t="shared" si="5"/>
        <v>84</v>
      </c>
      <c r="B94" s="75">
        <f t="shared" si="6"/>
        <v>562.0373093985171</v>
      </c>
      <c r="C94" s="75">
        <f t="shared" si="7"/>
        <v>2340.6746710670841</v>
      </c>
      <c r="D94" s="75">
        <f t="shared" si="8"/>
        <v>94008.578368678689</v>
      </c>
    </row>
    <row r="95" spans="1:4" x14ac:dyDescent="0.25">
      <c r="A95" s="74">
        <f t="shared" si="5"/>
        <v>85</v>
      </c>
      <c r="B95" s="75">
        <f t="shared" si="6"/>
        <v>548.38337381729241</v>
      </c>
      <c r="C95" s="75">
        <f t="shared" si="7"/>
        <v>2354.3286066483088</v>
      </c>
      <c r="D95" s="75">
        <f t="shared" si="8"/>
        <v>91654.249762030377</v>
      </c>
    </row>
    <row r="96" spans="1:4" x14ac:dyDescent="0.25">
      <c r="A96" s="74">
        <f t="shared" si="5"/>
        <v>86</v>
      </c>
      <c r="B96" s="75">
        <f t="shared" si="6"/>
        <v>534.64979027851052</v>
      </c>
      <c r="C96" s="75">
        <f t="shared" si="7"/>
        <v>2368.0621901870909</v>
      </c>
      <c r="D96" s="75">
        <f t="shared" si="8"/>
        <v>89286.187571843286</v>
      </c>
    </row>
    <row r="97" spans="1:4" x14ac:dyDescent="0.25">
      <c r="A97" s="74">
        <f t="shared" si="5"/>
        <v>87</v>
      </c>
      <c r="B97" s="75">
        <f t="shared" si="6"/>
        <v>520.83609416908587</v>
      </c>
      <c r="C97" s="75">
        <f t="shared" si="7"/>
        <v>2381.8758862965155</v>
      </c>
      <c r="D97" s="75">
        <f t="shared" si="8"/>
        <v>86904.311685546767</v>
      </c>
    </row>
    <row r="98" spans="1:4" x14ac:dyDescent="0.25">
      <c r="A98" s="74">
        <f t="shared" si="5"/>
        <v>88</v>
      </c>
      <c r="B98" s="75">
        <f t="shared" si="6"/>
        <v>506.94181816568954</v>
      </c>
      <c r="C98" s="75">
        <f t="shared" si="7"/>
        <v>2395.7701622999116</v>
      </c>
      <c r="D98" s="75">
        <f t="shared" si="8"/>
        <v>84508.541523246851</v>
      </c>
    </row>
    <row r="99" spans="1:4" x14ac:dyDescent="0.25">
      <c r="A99" s="74">
        <f t="shared" si="5"/>
        <v>89</v>
      </c>
      <c r="B99" s="75">
        <f t="shared" si="6"/>
        <v>492.96649221894</v>
      </c>
      <c r="C99" s="75">
        <f t="shared" si="7"/>
        <v>2409.7454882466614</v>
      </c>
      <c r="D99" s="75">
        <f t="shared" si="8"/>
        <v>82098.796035000196</v>
      </c>
    </row>
    <row r="100" spans="1:4" x14ac:dyDescent="0.25">
      <c r="A100" s="74">
        <f t="shared" si="5"/>
        <v>90</v>
      </c>
      <c r="B100" s="75">
        <f t="shared" si="6"/>
        <v>478.90964353750115</v>
      </c>
      <c r="C100" s="75">
        <f t="shared" si="7"/>
        <v>2423.8023369281</v>
      </c>
      <c r="D100" s="75">
        <f t="shared" si="8"/>
        <v>79674.993698072096</v>
      </c>
    </row>
    <row r="101" spans="1:4" x14ac:dyDescent="0.25">
      <c r="A101" s="74">
        <f t="shared" si="5"/>
        <v>91</v>
      </c>
      <c r="B101" s="75">
        <f t="shared" si="6"/>
        <v>464.77079657208725</v>
      </c>
      <c r="C101" s="75">
        <f t="shared" si="7"/>
        <v>2437.9411838935139</v>
      </c>
      <c r="D101" s="75">
        <f t="shared" si="8"/>
        <v>77237.052514178577</v>
      </c>
    </row>
    <row r="102" spans="1:4" x14ac:dyDescent="0.25">
      <c r="A102" s="74">
        <f t="shared" si="5"/>
        <v>92</v>
      </c>
      <c r="B102" s="75">
        <f t="shared" si="6"/>
        <v>450.54947299937504</v>
      </c>
      <c r="C102" s="75">
        <f t="shared" si="7"/>
        <v>2452.1625074662261</v>
      </c>
      <c r="D102" s="75">
        <f t="shared" si="8"/>
        <v>74784.890006712347</v>
      </c>
    </row>
    <row r="103" spans="1:4" x14ac:dyDescent="0.25">
      <c r="A103" s="74">
        <f t="shared" si="5"/>
        <v>93</v>
      </c>
      <c r="B103" s="75">
        <f t="shared" si="6"/>
        <v>436.24519170582204</v>
      </c>
      <c r="C103" s="75">
        <f t="shared" si="7"/>
        <v>2466.4667887597793</v>
      </c>
      <c r="D103" s="75">
        <f t="shared" si="8"/>
        <v>72318.423217952572</v>
      </c>
    </row>
    <row r="104" spans="1:4" x14ac:dyDescent="0.25">
      <c r="A104" s="74">
        <f t="shared" si="5"/>
        <v>94</v>
      </c>
      <c r="B104" s="75">
        <f t="shared" si="6"/>
        <v>421.85746877139007</v>
      </c>
      <c r="C104" s="75">
        <f t="shared" si="7"/>
        <v>2480.8545116942114</v>
      </c>
      <c r="D104" s="75">
        <f t="shared" si="8"/>
        <v>69837.56870625836</v>
      </c>
    </row>
    <row r="105" spans="1:4" x14ac:dyDescent="0.25">
      <c r="A105" s="74">
        <f t="shared" si="5"/>
        <v>95</v>
      </c>
      <c r="B105" s="75">
        <f t="shared" si="6"/>
        <v>407.38581745317379</v>
      </c>
      <c r="C105" s="75">
        <f t="shared" si="7"/>
        <v>2495.3261630124275</v>
      </c>
      <c r="D105" s="75">
        <f t="shared" si="8"/>
        <v>67342.242543245928</v>
      </c>
    </row>
    <row r="106" spans="1:4" x14ac:dyDescent="0.25">
      <c r="A106" s="74">
        <f t="shared" si="5"/>
        <v>96</v>
      </c>
      <c r="B106" s="75">
        <f t="shared" si="6"/>
        <v>392.8297481689346</v>
      </c>
      <c r="C106" s="75">
        <f t="shared" si="7"/>
        <v>2509.8822322966666</v>
      </c>
      <c r="D106" s="75">
        <f t="shared" si="8"/>
        <v>64832.360310949261</v>
      </c>
    </row>
    <row r="107" spans="1:4" x14ac:dyDescent="0.25">
      <c r="A107" s="74">
        <f t="shared" si="5"/>
        <v>97</v>
      </c>
      <c r="B107" s="75">
        <f t="shared" si="6"/>
        <v>378.18876848053742</v>
      </c>
      <c r="C107" s="75">
        <f t="shared" si="7"/>
        <v>2524.5232119850639</v>
      </c>
      <c r="D107" s="75">
        <f t="shared" si="8"/>
        <v>62307.837098964199</v>
      </c>
    </row>
    <row r="108" spans="1:4" x14ac:dyDescent="0.25">
      <c r="A108" s="74">
        <f t="shared" si="5"/>
        <v>98</v>
      </c>
      <c r="B108" s="75">
        <f t="shared" si="6"/>
        <v>363.46238307729118</v>
      </c>
      <c r="C108" s="75">
        <f t="shared" si="7"/>
        <v>2539.2495973883101</v>
      </c>
      <c r="D108" s="75">
        <f t="shared" si="8"/>
        <v>59768.587501575887</v>
      </c>
    </row>
    <row r="109" spans="1:4" x14ac:dyDescent="0.25">
      <c r="A109" s="74">
        <f t="shared" si="5"/>
        <v>99</v>
      </c>
      <c r="B109" s="75">
        <f t="shared" si="6"/>
        <v>348.65009375919271</v>
      </c>
      <c r="C109" s="75">
        <f t="shared" si="7"/>
        <v>2554.0618867064086</v>
      </c>
      <c r="D109" s="75">
        <f t="shared" si="8"/>
        <v>57214.525614869475</v>
      </c>
    </row>
    <row r="110" spans="1:4" x14ac:dyDescent="0.25">
      <c r="A110" s="74">
        <f t="shared" si="5"/>
        <v>100</v>
      </c>
      <c r="B110" s="75">
        <f t="shared" si="6"/>
        <v>333.751399420072</v>
      </c>
      <c r="C110" s="75">
        <f t="shared" si="7"/>
        <v>2568.9605810455291</v>
      </c>
      <c r="D110" s="75">
        <f t="shared" si="8"/>
        <v>54645.565033823943</v>
      </c>
    </row>
    <row r="111" spans="1:4" x14ac:dyDescent="0.25">
      <c r="A111" s="74">
        <f t="shared" si="5"/>
        <v>101</v>
      </c>
      <c r="B111" s="75">
        <f t="shared" si="6"/>
        <v>318.76579603063971</v>
      </c>
      <c r="C111" s="75">
        <f t="shared" si="7"/>
        <v>2583.9461844349617</v>
      </c>
      <c r="D111" s="75">
        <f t="shared" si="8"/>
        <v>52061.618849388979</v>
      </c>
    </row>
    <row r="112" spans="1:4" x14ac:dyDescent="0.25">
      <c r="A112" s="74">
        <f t="shared" si="5"/>
        <v>102</v>
      </c>
      <c r="B112" s="75">
        <f t="shared" si="6"/>
        <v>303.69277662143571</v>
      </c>
      <c r="C112" s="75">
        <f t="shared" si="7"/>
        <v>2599.0192038441655</v>
      </c>
      <c r="D112" s="75">
        <f t="shared" si="8"/>
        <v>49462.599645544811</v>
      </c>
    </row>
    <row r="113" spans="1:4" x14ac:dyDescent="0.25">
      <c r="A113" s="74">
        <f t="shared" si="5"/>
        <v>103</v>
      </c>
      <c r="B113" s="75">
        <f t="shared" si="6"/>
        <v>288.53183126567808</v>
      </c>
      <c r="C113" s="75">
        <f t="shared" si="7"/>
        <v>2614.1801491999231</v>
      </c>
      <c r="D113" s="75">
        <f t="shared" si="8"/>
        <v>46848.41949634489</v>
      </c>
    </row>
    <row r="114" spans="1:4" x14ac:dyDescent="0.25">
      <c r="A114" s="74">
        <f t="shared" si="5"/>
        <v>104</v>
      </c>
      <c r="B114" s="75">
        <f t="shared" si="6"/>
        <v>273.2824470620119</v>
      </c>
      <c r="C114" s="75">
        <f t="shared" si="7"/>
        <v>2629.4295334035896</v>
      </c>
      <c r="D114" s="75">
        <f t="shared" si="8"/>
        <v>44218.989962941298</v>
      </c>
    </row>
    <row r="115" spans="1:4" x14ac:dyDescent="0.25">
      <c r="A115" s="74">
        <f t="shared" si="5"/>
        <v>105</v>
      </c>
      <c r="B115" s="75">
        <f t="shared" si="6"/>
        <v>257.94410811715761</v>
      </c>
      <c r="C115" s="75">
        <f t="shared" si="7"/>
        <v>2644.7678723484437</v>
      </c>
      <c r="D115" s="75">
        <f t="shared" si="8"/>
        <v>41574.222090592855</v>
      </c>
    </row>
    <row r="116" spans="1:4" x14ac:dyDescent="0.25">
      <c r="A116" s="74">
        <f t="shared" si="5"/>
        <v>106</v>
      </c>
      <c r="B116" s="75">
        <f t="shared" si="6"/>
        <v>242.51629552845836</v>
      </c>
      <c r="C116" s="75">
        <f t="shared" si="7"/>
        <v>2660.1956849371431</v>
      </c>
      <c r="D116" s="75">
        <f t="shared" si="8"/>
        <v>38914.026405655713</v>
      </c>
    </row>
    <row r="117" spans="1:4" x14ac:dyDescent="0.25">
      <c r="A117" s="74">
        <f t="shared" si="5"/>
        <v>107</v>
      </c>
      <c r="B117" s="75">
        <f t="shared" si="6"/>
        <v>226.99848736632501</v>
      </c>
      <c r="C117" s="75">
        <f t="shared" si="7"/>
        <v>2675.7134930992761</v>
      </c>
      <c r="D117" s="75">
        <f t="shared" si="8"/>
        <v>36238.312912556437</v>
      </c>
    </row>
    <row r="118" spans="1:4" x14ac:dyDescent="0.25">
      <c r="A118" s="74">
        <f t="shared" si="5"/>
        <v>108</v>
      </c>
      <c r="B118" s="75">
        <f t="shared" si="6"/>
        <v>211.39015865657925</v>
      </c>
      <c r="C118" s="75">
        <f t="shared" si="7"/>
        <v>2691.3218218090219</v>
      </c>
      <c r="D118" s="75">
        <f t="shared" si="8"/>
        <v>33546.991090747419</v>
      </c>
    </row>
    <row r="119" spans="1:4" x14ac:dyDescent="0.25">
      <c r="A119" s="74">
        <f t="shared" si="5"/>
        <v>109</v>
      </c>
      <c r="B119" s="75">
        <f t="shared" si="6"/>
        <v>195.69078136269329</v>
      </c>
      <c r="C119" s="75">
        <f t="shared" si="7"/>
        <v>2707.0211991029082</v>
      </c>
      <c r="D119" s="75">
        <f t="shared" si="8"/>
        <v>30839.969891644512</v>
      </c>
    </row>
    <row r="120" spans="1:4" x14ac:dyDescent="0.25">
      <c r="A120" s="74">
        <f t="shared" si="5"/>
        <v>110</v>
      </c>
      <c r="B120" s="75">
        <f t="shared" si="6"/>
        <v>179.89982436792636</v>
      </c>
      <c r="C120" s="75">
        <f t="shared" si="7"/>
        <v>2722.8121560976751</v>
      </c>
      <c r="D120" s="75">
        <f t="shared" si="8"/>
        <v>28117.157735546836</v>
      </c>
    </row>
    <row r="121" spans="1:4" x14ac:dyDescent="0.25">
      <c r="A121" s="74">
        <f t="shared" si="5"/>
        <v>111</v>
      </c>
      <c r="B121" s="75">
        <f t="shared" si="6"/>
        <v>164.01675345735654</v>
      </c>
      <c r="C121" s="75">
        <f t="shared" si="7"/>
        <v>2738.6952270082447</v>
      </c>
      <c r="D121" s="75">
        <f t="shared" si="8"/>
        <v>25378.462508538592</v>
      </c>
    </row>
    <row r="122" spans="1:4" x14ac:dyDescent="0.25">
      <c r="A122" s="74">
        <f t="shared" si="5"/>
        <v>112</v>
      </c>
      <c r="B122" s="75">
        <f t="shared" si="6"/>
        <v>148.04103129980845</v>
      </c>
      <c r="C122" s="75">
        <f t="shared" si="7"/>
        <v>2754.670949165793</v>
      </c>
      <c r="D122" s="75">
        <f t="shared" si="8"/>
        <v>22623.791559372799</v>
      </c>
    </row>
    <row r="123" spans="1:4" x14ac:dyDescent="0.25">
      <c r="A123" s="74">
        <f t="shared" si="5"/>
        <v>113</v>
      </c>
      <c r="B123" s="75">
        <f t="shared" si="6"/>
        <v>131.97211742967468</v>
      </c>
      <c r="C123" s="75">
        <f t="shared" si="7"/>
        <v>2770.7398630359266</v>
      </c>
      <c r="D123" s="75">
        <f t="shared" si="8"/>
        <v>19853.051696336872</v>
      </c>
    </row>
    <row r="124" spans="1:4" x14ac:dyDescent="0.25">
      <c r="A124" s="74">
        <f t="shared" si="5"/>
        <v>114</v>
      </c>
      <c r="B124" s="75">
        <f t="shared" si="6"/>
        <v>115.80946822863177</v>
      </c>
      <c r="C124" s="75">
        <f t="shared" si="7"/>
        <v>2786.9025122369694</v>
      </c>
      <c r="D124" s="75">
        <f t="shared" si="8"/>
        <v>17066.149184099901</v>
      </c>
    </row>
    <row r="125" spans="1:4" x14ac:dyDescent="0.25">
      <c r="A125" s="74">
        <f t="shared" si="5"/>
        <v>115</v>
      </c>
      <c r="B125" s="75">
        <f t="shared" si="6"/>
        <v>99.552536907249433</v>
      </c>
      <c r="C125" s="75">
        <f t="shared" si="7"/>
        <v>2803.159443558352</v>
      </c>
      <c r="D125" s="75">
        <f t="shared" si="8"/>
        <v>14262.989740541549</v>
      </c>
    </row>
    <row r="126" spans="1:4" x14ac:dyDescent="0.25">
      <c r="A126" s="74">
        <f t="shared" si="5"/>
        <v>116</v>
      </c>
      <c r="B126" s="75">
        <f t="shared" si="6"/>
        <v>83.200773486492366</v>
      </c>
      <c r="C126" s="75">
        <f t="shared" si="7"/>
        <v>2819.5112069791089</v>
      </c>
      <c r="D126" s="75">
        <f t="shared" si="8"/>
        <v>11443.47853356244</v>
      </c>
    </row>
    <row r="127" spans="1:4" x14ac:dyDescent="0.25">
      <c r="A127" s="74">
        <f t="shared" si="5"/>
        <v>117</v>
      </c>
      <c r="B127" s="75">
        <f t="shared" si="6"/>
        <v>66.753624779114247</v>
      </c>
      <c r="C127" s="75">
        <f t="shared" si="7"/>
        <v>2835.9583556864873</v>
      </c>
      <c r="D127" s="75">
        <f t="shared" si="8"/>
        <v>8607.5201778759529</v>
      </c>
    </row>
    <row r="128" spans="1:4" x14ac:dyDescent="0.25">
      <c r="A128" s="74">
        <f t="shared" si="5"/>
        <v>118</v>
      </c>
      <c r="B128" s="75">
        <f t="shared" si="6"/>
        <v>50.210534370943066</v>
      </c>
      <c r="C128" s="75">
        <f t="shared" si="7"/>
        <v>2852.5014460946581</v>
      </c>
      <c r="D128" s="75">
        <f t="shared" si="8"/>
        <v>5755.0187317812943</v>
      </c>
    </row>
    <row r="129" spans="1:4" x14ac:dyDescent="0.25">
      <c r="A129" s="74">
        <f t="shared" si="5"/>
        <v>119</v>
      </c>
      <c r="B129" s="75">
        <f t="shared" si="6"/>
        <v>33.570942602057549</v>
      </c>
      <c r="C129" s="75">
        <f t="shared" si="7"/>
        <v>2869.1410378635437</v>
      </c>
      <c r="D129" s="75">
        <f t="shared" si="8"/>
        <v>2885.8776939177505</v>
      </c>
    </row>
    <row r="130" spans="1:4" x14ac:dyDescent="0.25">
      <c r="A130" s="74">
        <f t="shared" si="5"/>
        <v>120</v>
      </c>
      <c r="B130" s="75">
        <f t="shared" si="6"/>
        <v>16.834286547853548</v>
      </c>
      <c r="C130" s="75">
        <f t="shared" si="7"/>
        <v>2885.8776939177478</v>
      </c>
      <c r="D130" s="75">
        <f t="shared" si="8"/>
        <v>2.7284841053187847E-12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ac6e9a-87b1-4d42-8e4b-874341318658">
      <Terms xmlns="http://schemas.microsoft.com/office/infopath/2007/PartnerControls"/>
    </lcf76f155ced4ddcb4097134ff3c332f>
    <TaxCatchAll xmlns="94403252-ad3d-48b3-8d14-394b12702ae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57703E81A8C4F4F84C4D3E91E8B5630" ma:contentTypeVersion="20" ma:contentTypeDescription="Opret et nyt dokument." ma:contentTypeScope="" ma:versionID="22358ece56b26247a36be34b619d3e05">
  <xsd:schema xmlns:xsd="http://www.w3.org/2001/XMLSchema" xmlns:xs="http://www.w3.org/2001/XMLSchema" xmlns:p="http://schemas.microsoft.com/office/2006/metadata/properties" xmlns:ns2="16ac6e9a-87b1-4d42-8e4b-874341318658" xmlns:ns3="94403252-ad3d-48b3-8d14-394b12702aee" targetNamespace="http://schemas.microsoft.com/office/2006/metadata/properties" ma:root="true" ma:fieldsID="3dc62b1a53c011a4034baa3eacfede45" ns2:_="" ns3:_="">
    <xsd:import namespace="16ac6e9a-87b1-4d42-8e4b-874341318658"/>
    <xsd:import namespace="94403252-ad3d-48b3-8d14-394b12702a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c6e9a-87b1-4d42-8e4b-874341318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9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03252-ad3d-48b3-8d14-394b12702aee" elementFormDefault="qualified">
    <xsd:import namespace="http://schemas.microsoft.com/office/2006/documentManagement/types"/>
    <xsd:import namespace="http://schemas.microsoft.com/office/infopath/2007/PartnerControls"/>
    <xsd:element name="SharedWithUsers" ma:index="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8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d25629c-bc10-454f-b0c3-96032a508a10}" ma:internalName="TaxCatchAll" ma:showField="CatchAllData" ma:web="94403252-ad3d-48b3-8d14-394b12702a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4A8396-2F97-4F2A-84DA-D22533C9BE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8D1D68-1129-40A4-A370-2B15FADED9BC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94403252-ad3d-48b3-8d14-394b12702aee"/>
    <ds:schemaRef ds:uri="16ac6e9a-87b1-4d42-8e4b-874341318658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476EC0C-D8C4-4616-B152-DED5D46723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ac6e9a-87b1-4d42-8e4b-874341318658"/>
    <ds:schemaRef ds:uri="94403252-ad3d-48b3-8d14-394b12702a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29427a-4ed3-4f0e-a3ff-ced1342f64ac}" enabled="0" method="" siteId="{1b29427a-4ed3-4f0e-a3ff-ced1342f64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Navngivne områder</vt:lpstr>
      </vt:variant>
      <vt:variant>
        <vt:i4>58</vt:i4>
      </vt:variant>
    </vt:vector>
  </HeadingPairs>
  <TitlesOfParts>
    <vt:vector size="62" baseType="lpstr">
      <vt:lpstr>Budget før skilsmisse</vt:lpstr>
      <vt:lpstr>Skatteberegning</vt:lpstr>
      <vt:lpstr>Realkredit</vt:lpstr>
      <vt:lpstr>Billån</vt:lpstr>
      <vt:lpstr>Gift</vt:lpstr>
      <vt:lpstr>Skatteberegning!TABLE</vt:lpstr>
      <vt:lpstr>Skatteberegning!TABLE_10</vt:lpstr>
      <vt:lpstr>Skatteberegning!TABLE_11</vt:lpstr>
      <vt:lpstr>Skatteberegning!TABLE_13</vt:lpstr>
      <vt:lpstr>Skatteberegning!TABLE_14</vt:lpstr>
      <vt:lpstr>Skatteberegning!TABLE_16</vt:lpstr>
      <vt:lpstr>Skatteberegning!TABLE_17</vt:lpstr>
      <vt:lpstr>Skatteberegning!TABLE_18</vt:lpstr>
      <vt:lpstr>Skatteberegning!TABLE_19</vt:lpstr>
      <vt:lpstr>Skatteberegning!TABLE_2</vt:lpstr>
      <vt:lpstr>Skatteberegning!TABLE_20</vt:lpstr>
      <vt:lpstr>Skatteberegning!TABLE_21</vt:lpstr>
      <vt:lpstr>Skatteberegning!TABLE_22</vt:lpstr>
      <vt:lpstr>Skatteberegning!TABLE_23</vt:lpstr>
      <vt:lpstr>Skatteberegning!TABLE_24</vt:lpstr>
      <vt:lpstr>Skatteberegning!TABLE_25</vt:lpstr>
      <vt:lpstr>Skatteberegning!TABLE_26</vt:lpstr>
      <vt:lpstr>Skatteberegning!TABLE_27</vt:lpstr>
      <vt:lpstr>Skatteberegning!TABLE_28</vt:lpstr>
      <vt:lpstr>Skatteberegning!TABLE_29</vt:lpstr>
      <vt:lpstr>Skatteberegning!TABLE_3</vt:lpstr>
      <vt:lpstr>Skatteberegning!TABLE_30</vt:lpstr>
      <vt:lpstr>Skatteberegning!TABLE_31</vt:lpstr>
      <vt:lpstr>Skatteberegning!TABLE_32</vt:lpstr>
      <vt:lpstr>Skatteberegning!TABLE_33</vt:lpstr>
      <vt:lpstr>Skatteberegning!TABLE_34</vt:lpstr>
      <vt:lpstr>Skatteberegning!TABLE_35</vt:lpstr>
      <vt:lpstr>Skatteberegning!TABLE_36</vt:lpstr>
      <vt:lpstr>Skatteberegning!TABLE_37</vt:lpstr>
      <vt:lpstr>Skatteberegning!TABLE_38</vt:lpstr>
      <vt:lpstr>Skatteberegning!TABLE_39</vt:lpstr>
      <vt:lpstr>Skatteberegning!TABLE_4</vt:lpstr>
      <vt:lpstr>Skatteberegning!TABLE_40</vt:lpstr>
      <vt:lpstr>Skatteberegning!TABLE_41</vt:lpstr>
      <vt:lpstr>Skatteberegning!TABLE_42</vt:lpstr>
      <vt:lpstr>Skatteberegning!TABLE_45</vt:lpstr>
      <vt:lpstr>Skatteberegning!TABLE_46</vt:lpstr>
      <vt:lpstr>Skatteberegning!TABLE_47</vt:lpstr>
      <vt:lpstr>Skatteberegning!TABLE_48</vt:lpstr>
      <vt:lpstr>Skatteberegning!TABLE_49</vt:lpstr>
      <vt:lpstr>Skatteberegning!TABLE_5</vt:lpstr>
      <vt:lpstr>Skatteberegning!TABLE_50</vt:lpstr>
      <vt:lpstr>Skatteberegning!TABLE_51</vt:lpstr>
      <vt:lpstr>Skatteberegning!TABLE_52</vt:lpstr>
      <vt:lpstr>Skatteberegning!TABLE_56</vt:lpstr>
      <vt:lpstr>Skatteberegning!TABLE_57</vt:lpstr>
      <vt:lpstr>Skatteberegning!TABLE_58</vt:lpstr>
      <vt:lpstr>Skatteberegning!TABLE_59</vt:lpstr>
      <vt:lpstr>Skatteberegning!TABLE_6</vt:lpstr>
      <vt:lpstr>Skatteberegning!TABLE_60</vt:lpstr>
      <vt:lpstr>Skatteberegning!TABLE_61</vt:lpstr>
      <vt:lpstr>Skatteberegning!TABLE_62</vt:lpstr>
      <vt:lpstr>Skatteberegning!TABLE_63</vt:lpstr>
      <vt:lpstr>Skatteberegning!TABLE_7</vt:lpstr>
      <vt:lpstr>Skatteberegning!TABLE_8</vt:lpstr>
      <vt:lpstr>Skatteberegning!TABLE_9</vt:lpstr>
      <vt:lpstr>Skatteberegning!Udskriftsområde</vt:lpstr>
    </vt:vector>
  </TitlesOfParts>
  <Manager/>
  <Company>Spies Information ApS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TAX.DK skat &amp; afgift - Skatteberegning 2019</dc:title>
  <dc:subject/>
  <dc:creator>Hans Christian Spies</dc:creator>
  <cp:keywords/>
  <dc:description/>
  <cp:lastModifiedBy>Søren Møller Jensen (SMJ - Lektor - Cphbusiness)</cp:lastModifiedBy>
  <cp:revision/>
  <dcterms:created xsi:type="dcterms:W3CDTF">2010-09-19T07:25:55Z</dcterms:created>
  <dcterms:modified xsi:type="dcterms:W3CDTF">2024-06-11T08:42:58Z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0x010100E57703E81A8C4F4F84C4D3E91E8B5630</vt:lpwstr>
  </property>
  <property fmtid="{D5CDD505-2E9C-101B-9397-08002B2CF9AE}" pid="3" name="MediaServiceImageTags">
    <vt:lpwstr/>
  </property>
</Properties>
</file>