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"/>
    </mc:Choice>
  </mc:AlternateContent>
  <xr:revisionPtr revIDLastSave="0" documentId="8_{77FB2FAA-0845-C948-88F7-9B522B6B053C}" xr6:coauthVersionLast="47" xr6:coauthVersionMax="47" xr10:uidLastSave="{00000000-0000-0000-0000-000000000000}"/>
  <bookViews>
    <workbookView xWindow="31480" yWindow="-21100" windowWidth="19200" windowHeight="21100" xr2:uid="{A4D60305-1F21-CE45-A7DA-BD0BEC885DFF}"/>
  </bookViews>
  <sheets>
    <sheet name="Byg realkredit beregn restgæl20" sheetId="1" r:id="rId1"/>
    <sheet name="Byg realkredit beregn restgæl30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1" i="2"/>
  <c r="B3" i="2"/>
  <c r="E14" i="1"/>
  <c r="E11" i="1"/>
  <c r="B3" i="1"/>
  <c r="B8" i="2" l="1"/>
  <c r="E5" i="2"/>
  <c r="B8" i="1"/>
  <c r="E5" i="1"/>
  <c r="K3" i="2" l="1"/>
  <c r="E3" i="2"/>
  <c r="K3" i="1"/>
  <c r="E3" i="1"/>
  <c r="H3" i="2" l="1"/>
  <c r="B6" i="2"/>
  <c r="B9" i="2" s="1"/>
  <c r="E6" i="2" s="1"/>
  <c r="E7" i="2" s="1"/>
  <c r="E22" i="2"/>
  <c r="E16" i="2"/>
  <c r="E21" i="2"/>
  <c r="B6" i="1"/>
  <c r="B9" i="1" s="1"/>
  <c r="E6" i="1" s="1"/>
  <c r="E7" i="1" s="1"/>
  <c r="H3" i="1"/>
  <c r="E16" i="1"/>
  <c r="E21" i="1"/>
  <c r="E22" i="1"/>
  <c r="K6" i="2" l="1"/>
  <c r="K15" i="2"/>
  <c r="K42" i="2"/>
  <c r="K128" i="2"/>
  <c r="E17" i="2"/>
  <c r="K11" i="2"/>
  <c r="K89" i="2"/>
  <c r="K55" i="2"/>
  <c r="K7" i="2"/>
  <c r="K16" i="2"/>
  <c r="K68" i="2"/>
  <c r="K58" i="2"/>
  <c r="K85" i="2"/>
  <c r="K49" i="2"/>
  <c r="K78" i="2"/>
  <c r="K74" i="2"/>
  <c r="K70" i="2"/>
  <c r="K53" i="2"/>
  <c r="K46" i="2"/>
  <c r="K39" i="2"/>
  <c r="K31" i="2"/>
  <c r="K192" i="2"/>
  <c r="K99" i="2"/>
  <c r="K93" i="2"/>
  <c r="K26" i="2"/>
  <c r="K30" i="2"/>
  <c r="K17" i="2"/>
  <c r="K9" i="2"/>
  <c r="K12" i="2"/>
  <c r="K22" i="2"/>
  <c r="K21" i="2"/>
  <c r="K35" i="2"/>
  <c r="K362" i="2"/>
  <c r="K262" i="2"/>
  <c r="K318" i="2"/>
  <c r="K209" i="2"/>
  <c r="K313" i="2"/>
  <c r="K324" i="2"/>
  <c r="K348" i="2"/>
  <c r="K355" i="2"/>
  <c r="K249" i="2"/>
  <c r="K260" i="2"/>
  <c r="K269" i="2"/>
  <c r="K358" i="2"/>
  <c r="K140" i="2"/>
  <c r="K193" i="2"/>
  <c r="K238" i="2"/>
  <c r="K247" i="2"/>
  <c r="K320" i="2"/>
  <c r="K240" i="2"/>
  <c r="K288" i="2"/>
  <c r="K325" i="2"/>
  <c r="K173" i="2"/>
  <c r="K206" i="2"/>
  <c r="K92" i="2"/>
  <c r="K242" i="2"/>
  <c r="K127" i="2"/>
  <c r="K168" i="2"/>
  <c r="K86" i="2"/>
  <c r="K41" i="2"/>
  <c r="K94" i="2"/>
  <c r="K10" i="2"/>
  <c r="K23" i="2"/>
  <c r="K133" i="2"/>
  <c r="K43" i="2"/>
  <c r="K352" i="2"/>
  <c r="K252" i="2"/>
  <c r="K310" i="2"/>
  <c r="K199" i="2"/>
  <c r="K294" i="2"/>
  <c r="K316" i="2"/>
  <c r="K346" i="2"/>
  <c r="K353" i="2"/>
  <c r="K237" i="2"/>
  <c r="K234" i="2"/>
  <c r="K340" i="2"/>
  <c r="K130" i="2"/>
  <c r="K182" i="2"/>
  <c r="K228" i="2"/>
  <c r="K235" i="2"/>
  <c r="K232" i="2"/>
  <c r="K221" i="2"/>
  <c r="K231" i="2"/>
  <c r="K317" i="2"/>
  <c r="K162" i="2"/>
  <c r="K143" i="2"/>
  <c r="K139" i="2"/>
  <c r="K195" i="2"/>
  <c r="K160" i="2"/>
  <c r="K81" i="2"/>
  <c r="K52" i="2"/>
  <c r="K110" i="2"/>
  <c r="K14" i="2"/>
  <c r="K32" i="2"/>
  <c r="K24" i="2"/>
  <c r="K138" i="2"/>
  <c r="K342" i="2"/>
  <c r="K359" i="2"/>
  <c r="K291" i="2"/>
  <c r="K189" i="2"/>
  <c r="K305" i="2"/>
  <c r="K327" i="2"/>
  <c r="K337" i="2"/>
  <c r="K351" i="2"/>
  <c r="K230" i="2"/>
  <c r="K174" i="2"/>
  <c r="K226" i="2"/>
  <c r="K213" i="2"/>
  <c r="K309" i="2"/>
  <c r="K141" i="2"/>
  <c r="K123" i="2"/>
  <c r="K146" i="2"/>
  <c r="K60" i="2"/>
  <c r="E31" i="2"/>
  <c r="E32" i="2" s="1"/>
  <c r="K36" i="2"/>
  <c r="K57" i="2"/>
  <c r="K64" i="2"/>
  <c r="K120" i="2"/>
  <c r="K349" i="2"/>
  <c r="K179" i="2"/>
  <c r="K297" i="2"/>
  <c r="K330" i="2"/>
  <c r="K347" i="2"/>
  <c r="K225" i="2"/>
  <c r="K212" i="2"/>
  <c r="K210" i="2"/>
  <c r="K216" i="2"/>
  <c r="K301" i="2"/>
  <c r="K77" i="2"/>
  <c r="K121" i="2"/>
  <c r="K37" i="2"/>
  <c r="K69" i="2"/>
  <c r="K322" i="2"/>
  <c r="K267" i="2"/>
  <c r="K311" i="2"/>
  <c r="K338" i="2"/>
  <c r="K155" i="2"/>
  <c r="K191" i="2"/>
  <c r="K266" i="2"/>
  <c r="K72" i="2"/>
  <c r="K116" i="2"/>
  <c r="K44" i="2"/>
  <c r="K4" i="2"/>
  <c r="K312" i="2"/>
  <c r="K278" i="2"/>
  <c r="K323" i="2"/>
  <c r="K280" i="2"/>
  <c r="K188" i="2"/>
  <c r="K197" i="2"/>
  <c r="K117" i="2"/>
  <c r="K111" i="2"/>
  <c r="K51" i="2"/>
  <c r="K248" i="2"/>
  <c r="K304" i="2"/>
  <c r="K185" i="2"/>
  <c r="K175" i="2"/>
  <c r="K112" i="2"/>
  <c r="K56" i="2"/>
  <c r="K80" i="2"/>
  <c r="K350" i="2"/>
  <c r="K251" i="2"/>
  <c r="K296" i="2"/>
  <c r="K241" i="2"/>
  <c r="K164" i="2"/>
  <c r="K107" i="2"/>
  <c r="K20" i="2"/>
  <c r="K125" i="2"/>
  <c r="K229" i="2"/>
  <c r="K265" i="2"/>
  <c r="K163" i="2"/>
  <c r="K156" i="2"/>
  <c r="K222" i="2"/>
  <c r="K144" i="2"/>
  <c r="K131" i="2"/>
  <c r="K258" i="2"/>
  <c r="K87" i="2"/>
  <c r="K50" i="2"/>
  <c r="K286" i="2"/>
  <c r="K360" i="2"/>
  <c r="K250" i="2"/>
  <c r="K356" i="2"/>
  <c r="K223" i="2"/>
  <c r="K218" i="2"/>
  <c r="K224" i="2"/>
  <c r="K154" i="2"/>
  <c r="K82" i="2"/>
  <c r="K187" i="2"/>
  <c r="K76" i="2"/>
  <c r="K332" i="2"/>
  <c r="K283" i="2"/>
  <c r="K275" i="2"/>
  <c r="K319" i="2"/>
  <c r="K344" i="2"/>
  <c r="K354" i="2"/>
  <c r="K298" i="2"/>
  <c r="K215" i="2"/>
  <c r="K202" i="2"/>
  <c r="K271" i="2"/>
  <c r="K126" i="2"/>
  <c r="K135" i="2"/>
  <c r="K71" i="2"/>
  <c r="K28" i="2"/>
  <c r="K105" i="2"/>
  <c r="K339" i="2"/>
  <c r="K264" i="2"/>
  <c r="K289" i="2"/>
  <c r="K314" i="2"/>
  <c r="K217" i="2"/>
  <c r="K204" i="2"/>
  <c r="K194" i="2"/>
  <c r="K136" i="2"/>
  <c r="K113" i="2"/>
  <c r="K66" i="2"/>
  <c r="K40" i="2"/>
  <c r="K34" i="2"/>
  <c r="K259" i="2"/>
  <c r="K303" i="2"/>
  <c r="K336" i="2"/>
  <c r="K147" i="2"/>
  <c r="K183" i="2"/>
  <c r="K261" i="2"/>
  <c r="K67" i="2"/>
  <c r="K61" i="2"/>
  <c r="K62" i="2"/>
  <c r="K284" i="2"/>
  <c r="K326" i="2"/>
  <c r="K137" i="2"/>
  <c r="K178" i="2"/>
  <c r="K293" i="2"/>
  <c r="K106" i="2"/>
  <c r="K104" i="2"/>
  <c r="K239" i="2"/>
  <c r="K276" i="2"/>
  <c r="K171" i="2"/>
  <c r="K161" i="2"/>
  <c r="K8" i="2"/>
  <c r="K255" i="2"/>
  <c r="K90" i="2"/>
  <c r="K334" i="2"/>
  <c r="K279" i="2"/>
  <c r="K263" i="2"/>
  <c r="K148" i="2"/>
  <c r="K102" i="2"/>
  <c r="K96" i="2"/>
  <c r="K88" i="2"/>
  <c r="K166" i="2"/>
  <c r="K118" i="2"/>
  <c r="K63" i="2"/>
  <c r="K47" i="2"/>
  <c r="K184" i="2"/>
  <c r="K169" i="2"/>
  <c r="K308" i="2"/>
  <c r="K331" i="2"/>
  <c r="K290" i="2"/>
  <c r="K207" i="2"/>
  <c r="K205" i="2"/>
  <c r="K122" i="2"/>
  <c r="K124" i="2"/>
  <c r="K65" i="2"/>
  <c r="K59" i="2"/>
  <c r="K176" i="2"/>
  <c r="K363" i="2"/>
  <c r="K256" i="2"/>
  <c r="K300" i="2"/>
  <c r="K306" i="2"/>
  <c r="K198" i="2"/>
  <c r="K196" i="2"/>
  <c r="K186" i="2"/>
  <c r="K134" i="2"/>
  <c r="K108" i="2"/>
  <c r="K75" i="2"/>
  <c r="K13" i="2"/>
  <c r="K270" i="2"/>
  <c r="K190" i="2"/>
  <c r="K172" i="2"/>
  <c r="K129" i="2"/>
  <c r="K114" i="2"/>
  <c r="K73" i="2"/>
  <c r="K236" i="2"/>
  <c r="K273" i="2"/>
  <c r="K315" i="2"/>
  <c r="K177" i="2"/>
  <c r="K208" i="2"/>
  <c r="K98" i="2"/>
  <c r="K83" i="2"/>
  <c r="K18" i="2"/>
  <c r="K357" i="2"/>
  <c r="K307" i="2"/>
  <c r="K220" i="2"/>
  <c r="K153" i="2"/>
  <c r="K200" i="2"/>
  <c r="K211" i="2"/>
  <c r="K33" i="2"/>
  <c r="K159" i="2"/>
  <c r="K38" i="2"/>
  <c r="K302" i="2"/>
  <c r="K361" i="2"/>
  <c r="K245" i="2"/>
  <c r="K149" i="2"/>
  <c r="K295" i="2"/>
  <c r="K45" i="2"/>
  <c r="K292" i="2"/>
  <c r="K170" i="2"/>
  <c r="K100" i="2"/>
  <c r="K282" i="2"/>
  <c r="K343" i="2"/>
  <c r="K254" i="2"/>
  <c r="K109" i="2"/>
  <c r="K272" i="2"/>
  <c r="K329" i="2"/>
  <c r="K219" i="2"/>
  <c r="K321" i="2"/>
  <c r="K341" i="2"/>
  <c r="K233" i="2"/>
  <c r="K246" i="2"/>
  <c r="K257" i="2"/>
  <c r="K268" i="2"/>
  <c r="K277" i="2"/>
  <c r="K299" i="2"/>
  <c r="K152" i="2"/>
  <c r="K201" i="2"/>
  <c r="K253" i="2"/>
  <c r="K150" i="2"/>
  <c r="K328" i="2"/>
  <c r="K335" i="2"/>
  <c r="K145" i="2"/>
  <c r="K333" i="2"/>
  <c r="K181" i="2"/>
  <c r="K214" i="2"/>
  <c r="K97" i="2"/>
  <c r="K132" i="2"/>
  <c r="K203" i="2"/>
  <c r="K142" i="2"/>
  <c r="K91" i="2"/>
  <c r="K29" i="2"/>
  <c r="K48" i="2"/>
  <c r="K5" i="2"/>
  <c r="K19" i="2"/>
  <c r="K115" i="2"/>
  <c r="K27" i="2"/>
  <c r="K119" i="2"/>
  <c r="K95" i="2"/>
  <c r="K281" i="2"/>
  <c r="K244" i="2"/>
  <c r="K180" i="2"/>
  <c r="K227" i="2"/>
  <c r="K103" i="2"/>
  <c r="K79" i="2"/>
  <c r="K345" i="2"/>
  <c r="K287" i="2"/>
  <c r="K274" i="2"/>
  <c r="K167" i="2"/>
  <c r="K165" i="2"/>
  <c r="K101" i="2"/>
  <c r="K84" i="2"/>
  <c r="K243" i="2"/>
  <c r="K285" i="2"/>
  <c r="K158" i="2"/>
  <c r="K151" i="2"/>
  <c r="K157" i="2"/>
  <c r="K25" i="2"/>
  <c r="K54" i="2"/>
  <c r="V3" i="2"/>
  <c r="S3" i="2"/>
  <c r="I4" i="2"/>
  <c r="L4" i="2"/>
  <c r="K354" i="1"/>
  <c r="K10" i="1"/>
  <c r="K338" i="1"/>
  <c r="K318" i="1"/>
  <c r="K300" i="1"/>
  <c r="K174" i="1"/>
  <c r="K359" i="1"/>
  <c r="K284" i="1"/>
  <c r="K275" i="1"/>
  <c r="K224" i="1"/>
  <c r="K185" i="1"/>
  <c r="K139" i="1"/>
  <c r="K130" i="1"/>
  <c r="K71" i="1"/>
  <c r="K67" i="1"/>
  <c r="K37" i="1"/>
  <c r="K290" i="1"/>
  <c r="K283" i="1"/>
  <c r="K243" i="1"/>
  <c r="K194" i="1"/>
  <c r="K184" i="1"/>
  <c r="K133" i="1"/>
  <c r="K124" i="1"/>
  <c r="K91" i="1"/>
  <c r="K87" i="1"/>
  <c r="K83" i="1"/>
  <c r="K79" i="1"/>
  <c r="K61" i="1"/>
  <c r="K57" i="1"/>
  <c r="K53" i="1"/>
  <c r="K49" i="1"/>
  <c r="K326" i="1"/>
  <c r="K317" i="1"/>
  <c r="K289" i="1"/>
  <c r="K222" i="1"/>
  <c r="K210" i="1"/>
  <c r="K179" i="1"/>
  <c r="K127" i="1"/>
  <c r="K114" i="1"/>
  <c r="K111" i="1"/>
  <c r="K102" i="1"/>
  <c r="K98" i="1"/>
  <c r="K89" i="1"/>
  <c r="K69" i="1"/>
  <c r="K51" i="1"/>
  <c r="K42" i="1"/>
  <c r="K40" i="1"/>
  <c r="K357" i="1"/>
  <c r="K298" i="1"/>
  <c r="K234" i="1"/>
  <c r="K171" i="1"/>
  <c r="K144" i="1"/>
  <c r="K109" i="1"/>
  <c r="K257" i="1"/>
  <c r="K154" i="1"/>
  <c r="K343" i="1"/>
  <c r="K314" i="1"/>
  <c r="K280" i="1"/>
  <c r="K226" i="1"/>
  <c r="K182" i="1"/>
  <c r="K164" i="1"/>
  <c r="K150" i="1"/>
  <c r="K303" i="1"/>
  <c r="K270" i="1"/>
  <c r="K261" i="1"/>
  <c r="K219" i="1"/>
  <c r="K213" i="1"/>
  <c r="K160" i="1"/>
  <c r="K88" i="1"/>
  <c r="K78" i="1"/>
  <c r="K62" i="1"/>
  <c r="K46" i="1"/>
  <c r="K34" i="1"/>
  <c r="K19" i="1"/>
  <c r="K6" i="1"/>
  <c r="K9" i="1"/>
  <c r="K176" i="1"/>
  <c r="K166" i="1"/>
  <c r="K149" i="1"/>
  <c r="K136" i="1"/>
  <c r="K196" i="1"/>
  <c r="K180" i="1"/>
  <c r="K123" i="1"/>
  <c r="K99" i="1"/>
  <c r="K92" i="1"/>
  <c r="K68" i="1"/>
  <c r="K45" i="1"/>
  <c r="E31" i="1"/>
  <c r="E32" i="1" s="1"/>
  <c r="K29" i="1"/>
  <c r="K137" i="1"/>
  <c r="K122" i="1"/>
  <c r="K54" i="1"/>
  <c r="K341" i="1"/>
  <c r="K294" i="1"/>
  <c r="K177" i="1"/>
  <c r="K143" i="1"/>
  <c r="K118" i="1"/>
  <c r="K106" i="1"/>
  <c r="K103" i="1"/>
  <c r="K74" i="1"/>
  <c r="K58" i="1"/>
  <c r="K39" i="1"/>
  <c r="K36" i="1"/>
  <c r="K27" i="1"/>
  <c r="K14" i="1"/>
  <c r="K191" i="1"/>
  <c r="K113" i="1"/>
  <c r="K64" i="1"/>
  <c r="K22" i="1"/>
  <c r="K4" i="1"/>
  <c r="K206" i="1"/>
  <c r="K129" i="1"/>
  <c r="K108" i="1"/>
  <c r="K101" i="1"/>
  <c r="K76" i="1"/>
  <c r="K35" i="1"/>
  <c r="K15" i="1"/>
  <c r="K5" i="1"/>
  <c r="K134" i="1"/>
  <c r="K112" i="1"/>
  <c r="K82" i="1"/>
  <c r="K72" i="1"/>
  <c r="K12" i="1"/>
  <c r="K278" i="1"/>
  <c r="K13" i="1"/>
  <c r="K156" i="1"/>
  <c r="K94" i="1"/>
  <c r="K47" i="1"/>
  <c r="K131" i="1"/>
  <c r="K21" i="1"/>
  <c r="K146" i="1"/>
  <c r="K8" i="1"/>
  <c r="K20" i="1"/>
  <c r="E17" i="1"/>
  <c r="K23" i="1"/>
  <c r="K211" i="1"/>
  <c r="K311" i="1"/>
  <c r="K41" i="1"/>
  <c r="K28" i="1"/>
  <c r="K7" i="1"/>
  <c r="K33" i="1"/>
  <c r="K97" i="1"/>
  <c r="K26" i="1"/>
  <c r="K170" i="1"/>
  <c r="K86" i="1"/>
  <c r="K44" i="1"/>
  <c r="K30" i="1"/>
  <c r="K140" i="1"/>
  <c r="K309" i="1"/>
  <c r="K346" i="1"/>
  <c r="K189" i="1"/>
  <c r="K312" i="1"/>
  <c r="K328" i="1"/>
  <c r="K218" i="1"/>
  <c r="K277" i="1"/>
  <c r="K248" i="1"/>
  <c r="K244" i="1"/>
  <c r="K327" i="1"/>
  <c r="K308" i="1"/>
  <c r="K148" i="1"/>
  <c r="K85" i="1"/>
  <c r="K265" i="1"/>
  <c r="K165" i="1"/>
  <c r="K225" i="1"/>
  <c r="K348" i="1"/>
  <c r="K195" i="1"/>
  <c r="K59" i="1"/>
  <c r="K157" i="1"/>
  <c r="K344" i="1"/>
  <c r="K159" i="1"/>
  <c r="K315" i="1"/>
  <c r="K70" i="1"/>
  <c r="K172" i="1"/>
  <c r="K93" i="1"/>
  <c r="K306" i="1"/>
  <c r="K305" i="1"/>
  <c r="K272" i="1"/>
  <c r="K235" i="1"/>
  <c r="K313" i="1"/>
  <c r="K65" i="1"/>
  <c r="K125" i="1"/>
  <c r="K25" i="1"/>
  <c r="K31" i="1"/>
  <c r="K221" i="1"/>
  <c r="K331" i="1"/>
  <c r="K190" i="1"/>
  <c r="K110" i="1"/>
  <c r="K336" i="1"/>
  <c r="K32" i="1"/>
  <c r="K66" i="1"/>
  <c r="K236" i="1"/>
  <c r="K255" i="1"/>
  <c r="K360" i="1"/>
  <c r="K55" i="1"/>
  <c r="K199" i="1"/>
  <c r="K256" i="1"/>
  <c r="K239" i="1"/>
  <c r="K285" i="1"/>
  <c r="K90" i="1"/>
  <c r="K227" i="1"/>
  <c r="K153" i="1"/>
  <c r="K11" i="1"/>
  <c r="K201" i="1"/>
  <c r="K302" i="1"/>
  <c r="K320" i="1"/>
  <c r="K208" i="1"/>
  <c r="K269" i="1"/>
  <c r="K246" i="1"/>
  <c r="K233" i="1"/>
  <c r="K321" i="1"/>
  <c r="K288" i="1"/>
  <c r="K138" i="1"/>
  <c r="K80" i="1"/>
  <c r="K259" i="1"/>
  <c r="K155" i="1"/>
  <c r="K188" i="1"/>
  <c r="K345" i="1"/>
  <c r="K361" i="1"/>
  <c r="K77" i="1"/>
  <c r="K163" i="1"/>
  <c r="K16" i="1"/>
  <c r="K231" i="1"/>
  <c r="K212" i="1"/>
  <c r="K232" i="1"/>
  <c r="K287" i="1"/>
  <c r="K186" i="1"/>
  <c r="K202" i="1"/>
  <c r="K350" i="1"/>
  <c r="K209" i="1"/>
  <c r="K230" i="1"/>
  <c r="K216" i="1"/>
  <c r="K276" i="1"/>
  <c r="K198" i="1"/>
  <c r="K81" i="1"/>
  <c r="K266" i="1"/>
  <c r="K203" i="1"/>
  <c r="K207" i="1"/>
  <c r="K214" i="1"/>
  <c r="K267" i="1"/>
  <c r="K204" i="1"/>
  <c r="K126" i="1"/>
  <c r="K252" i="1"/>
  <c r="K349" i="1"/>
  <c r="K205" i="1"/>
  <c r="K330" i="1"/>
  <c r="K38" i="1"/>
  <c r="K73" i="1"/>
  <c r="K254" i="1"/>
  <c r="K215" i="1"/>
  <c r="K175" i="1"/>
  <c r="K52" i="1"/>
  <c r="K18" i="1"/>
  <c r="K286" i="1"/>
  <c r="K292" i="1"/>
  <c r="K301" i="1"/>
  <c r="K363" i="1"/>
  <c r="K258" i="1"/>
  <c r="K242" i="1"/>
  <c r="K220" i="1"/>
  <c r="K319" i="1"/>
  <c r="K271" i="1"/>
  <c r="K128" i="1"/>
  <c r="K75" i="1"/>
  <c r="K245" i="1"/>
  <c r="K145" i="1"/>
  <c r="K181" i="1"/>
  <c r="K324" i="1"/>
  <c r="K17" i="1"/>
  <c r="K84" i="1"/>
  <c r="K169" i="1"/>
  <c r="K249" i="1"/>
  <c r="K251" i="1"/>
  <c r="K135" i="1"/>
  <c r="K24" i="1"/>
  <c r="K63" i="1"/>
  <c r="K274" i="1"/>
  <c r="K200" i="1"/>
  <c r="K115" i="1"/>
  <c r="K162" i="1"/>
  <c r="K96" i="1"/>
  <c r="K325" i="1"/>
  <c r="K362" i="1"/>
  <c r="K262" i="1"/>
  <c r="K353" i="1"/>
  <c r="K307" i="1"/>
  <c r="K60" i="1"/>
  <c r="K152" i="1"/>
  <c r="K104" i="1"/>
  <c r="K334" i="1"/>
  <c r="K352" i="1"/>
  <c r="K323" i="1"/>
  <c r="K193" i="1"/>
  <c r="K105" i="1"/>
  <c r="K142" i="1"/>
  <c r="K107" i="1"/>
  <c r="K340" i="1"/>
  <c r="K329" i="1"/>
  <c r="K158" i="1"/>
  <c r="K116" i="1"/>
  <c r="K291" i="1"/>
  <c r="K187" i="1"/>
  <c r="K56" i="1"/>
  <c r="K295" i="1"/>
  <c r="K282" i="1"/>
  <c r="K293" i="1"/>
  <c r="K358" i="1"/>
  <c r="K250" i="1"/>
  <c r="K217" i="1"/>
  <c r="K120" i="1"/>
  <c r="K299" i="1"/>
  <c r="K241" i="1"/>
  <c r="K161" i="1"/>
  <c r="K342" i="1"/>
  <c r="K355" i="1"/>
  <c r="K247" i="1"/>
  <c r="K304" i="1"/>
  <c r="K268" i="1"/>
  <c r="K183" i="1"/>
  <c r="K337" i="1"/>
  <c r="K240" i="1"/>
  <c r="K192" i="1"/>
  <c r="K100" i="1"/>
  <c r="K50" i="1"/>
  <c r="K197" i="1"/>
  <c r="K310" i="1"/>
  <c r="K132" i="1"/>
  <c r="K237" i="1"/>
  <c r="K43" i="1"/>
  <c r="K117" i="1"/>
  <c r="K263" i="1"/>
  <c r="K141" i="1"/>
  <c r="K356" i="1"/>
  <c r="K264" i="1"/>
  <c r="K167" i="1"/>
  <c r="K332" i="1"/>
  <c r="K347" i="1"/>
  <c r="K238" i="1"/>
  <c r="K296" i="1"/>
  <c r="K260" i="1"/>
  <c r="K351" i="1"/>
  <c r="K335" i="1"/>
  <c r="K223" i="1"/>
  <c r="K168" i="1"/>
  <c r="K95" i="1"/>
  <c r="K316" i="1"/>
  <c r="K178" i="1"/>
  <c r="K273" i="1"/>
  <c r="K121" i="1"/>
  <c r="K229" i="1"/>
  <c r="K48" i="1"/>
  <c r="K119" i="1"/>
  <c r="K281" i="1"/>
  <c r="K147" i="1"/>
  <c r="K297" i="1"/>
  <c r="K173" i="1"/>
  <c r="K322" i="1"/>
  <c r="K339" i="1"/>
  <c r="K228" i="1"/>
  <c r="K333" i="1"/>
  <c r="K279" i="1"/>
  <c r="K253" i="1"/>
  <c r="K151" i="1"/>
  <c r="L4" i="1"/>
  <c r="I4" i="1"/>
  <c r="V3" i="1"/>
  <c r="S3" i="1"/>
  <c r="J4" i="2" l="1"/>
  <c r="H4" i="2" s="1"/>
  <c r="S4" i="2"/>
  <c r="S4" i="1"/>
  <c r="J4" i="1"/>
  <c r="H4" i="1" s="1"/>
  <c r="V4" i="2" l="1"/>
  <c r="T4" i="2"/>
  <c r="L5" i="2"/>
  <c r="I5" i="2"/>
  <c r="J5" i="2" s="1"/>
  <c r="H5" i="2" s="1"/>
  <c r="L5" i="1"/>
  <c r="I5" i="1"/>
  <c r="J5" i="1" s="1"/>
  <c r="H5" i="1" s="1"/>
  <c r="V4" i="1"/>
  <c r="T4" i="1"/>
  <c r="L6" i="2" l="1"/>
  <c r="I6" i="2"/>
  <c r="J6" i="2" s="1"/>
  <c r="H6" i="2" s="1"/>
  <c r="S5" i="2"/>
  <c r="I6" i="1"/>
  <c r="J6" i="1" s="1"/>
  <c r="H6" i="1" s="1"/>
  <c r="L6" i="1"/>
  <c r="S5" i="1"/>
  <c r="I7" i="2" l="1"/>
  <c r="J7" i="2" s="1"/>
  <c r="L7" i="2"/>
  <c r="H7" i="2"/>
  <c r="V5" i="2"/>
  <c r="T5" i="2"/>
  <c r="S6" i="2"/>
  <c r="L7" i="1"/>
  <c r="I7" i="1"/>
  <c r="J7" i="1" s="1"/>
  <c r="H7" i="1" s="1"/>
  <c r="V5" i="1"/>
  <c r="T5" i="1"/>
  <c r="S6" i="1"/>
  <c r="T6" i="2" l="1"/>
  <c r="V6" i="2"/>
  <c r="I8" i="2"/>
  <c r="J8" i="2" s="1"/>
  <c r="H8" i="2" s="1"/>
  <c r="L8" i="2"/>
  <c r="S7" i="2"/>
  <c r="T7" i="2" s="1"/>
  <c r="I8" i="1"/>
  <c r="J8" i="1" s="1"/>
  <c r="H8" i="1"/>
  <c r="L8" i="1"/>
  <c r="V6" i="1"/>
  <c r="T6" i="1"/>
  <c r="S7" i="1"/>
  <c r="T7" i="1" s="1"/>
  <c r="L9" i="2" l="1"/>
  <c r="I9" i="2"/>
  <c r="J9" i="2" s="1"/>
  <c r="H9" i="2"/>
  <c r="S8" i="2"/>
  <c r="S8" i="1"/>
  <c r="I9" i="1"/>
  <c r="J9" i="1" s="1"/>
  <c r="H9" i="1" s="1"/>
  <c r="L9" i="1"/>
  <c r="V8" i="2" l="1"/>
  <c r="T8" i="2"/>
  <c r="L10" i="2"/>
  <c r="I10" i="2"/>
  <c r="J10" i="2" s="1"/>
  <c r="H10" i="2"/>
  <c r="S9" i="2"/>
  <c r="S9" i="1"/>
  <c r="L10" i="1"/>
  <c r="I10" i="1"/>
  <c r="J10" i="1" s="1"/>
  <c r="H10" i="1" s="1"/>
  <c r="V8" i="1"/>
  <c r="T8" i="1"/>
  <c r="L11" i="2" l="1"/>
  <c r="I11" i="2"/>
  <c r="J11" i="2" s="1"/>
  <c r="H11" i="2"/>
  <c r="S10" i="2"/>
  <c r="V9" i="2"/>
  <c r="T9" i="2"/>
  <c r="L11" i="1"/>
  <c r="I11" i="1"/>
  <c r="J11" i="1" s="1"/>
  <c r="H11" i="1" s="1"/>
  <c r="S10" i="1"/>
  <c r="T9" i="1"/>
  <c r="V9" i="1"/>
  <c r="T10" i="2" l="1"/>
  <c r="V10" i="2"/>
  <c r="L12" i="2"/>
  <c r="I12" i="2"/>
  <c r="J12" i="2" s="1"/>
  <c r="H12" i="2" s="1"/>
  <c r="S11" i="2"/>
  <c r="V10" i="1"/>
  <c r="T10" i="1"/>
  <c r="L12" i="1"/>
  <c r="I12" i="1"/>
  <c r="J12" i="1" s="1"/>
  <c r="H12" i="1" s="1"/>
  <c r="S11" i="1"/>
  <c r="I13" i="2" l="1"/>
  <c r="J13" i="2" s="1"/>
  <c r="H13" i="2"/>
  <c r="L13" i="2"/>
  <c r="V11" i="2"/>
  <c r="T11" i="2"/>
  <c r="S12" i="2"/>
  <c r="I13" i="1"/>
  <c r="J13" i="1" s="1"/>
  <c r="H13" i="1" s="1"/>
  <c r="L13" i="1"/>
  <c r="V11" i="1"/>
  <c r="T11" i="1"/>
  <c r="S12" i="1"/>
  <c r="T12" i="2" l="1"/>
  <c r="V12" i="2"/>
  <c r="S13" i="2"/>
  <c r="I14" i="2"/>
  <c r="J14" i="2" s="1"/>
  <c r="L14" i="2"/>
  <c r="H14" i="2"/>
  <c r="V12" i="1"/>
  <c r="T12" i="1"/>
  <c r="S13" i="1"/>
  <c r="L14" i="1"/>
  <c r="I14" i="1"/>
  <c r="J14" i="1" s="1"/>
  <c r="H14" i="1" s="1"/>
  <c r="S14" i="2" l="1"/>
  <c r="V13" i="2"/>
  <c r="T13" i="2"/>
  <c r="L15" i="2"/>
  <c r="I15" i="2"/>
  <c r="J15" i="2" s="1"/>
  <c r="H15" i="2"/>
  <c r="I15" i="1"/>
  <c r="J15" i="1" s="1"/>
  <c r="H15" i="1"/>
  <c r="L15" i="1"/>
  <c r="S14" i="1"/>
  <c r="V13" i="1"/>
  <c r="T13" i="1"/>
  <c r="E18" i="2"/>
  <c r="E18" i="1"/>
  <c r="E19" i="2" l="1"/>
  <c r="E27" i="2" s="1"/>
  <c r="L16" i="2"/>
  <c r="S16" i="2" s="1"/>
  <c r="I16" i="2"/>
  <c r="J16" i="2" s="1"/>
  <c r="H16" i="2" s="1"/>
  <c r="S15" i="2"/>
  <c r="V14" i="2"/>
  <c r="T14" i="2"/>
  <c r="E19" i="1"/>
  <c r="E27" i="1" s="1"/>
  <c r="T14" i="1"/>
  <c r="V14" i="1"/>
  <c r="S15" i="1"/>
  <c r="I16" i="1"/>
  <c r="J16" i="1" s="1"/>
  <c r="L16" i="1"/>
  <c r="S16" i="1" s="1"/>
  <c r="H16" i="1"/>
  <c r="I17" i="2" l="1"/>
  <c r="J17" i="2" s="1"/>
  <c r="H17" i="2"/>
  <c r="L17" i="2"/>
  <c r="S17" i="2" s="1"/>
  <c r="V15" i="2"/>
  <c r="T15" i="2"/>
  <c r="V16" i="2"/>
  <c r="T16" i="2"/>
  <c r="V16" i="1"/>
  <c r="T16" i="1"/>
  <c r="V15" i="1"/>
  <c r="T15" i="1"/>
  <c r="L17" i="1"/>
  <c r="S17" i="1" s="1"/>
  <c r="I17" i="1"/>
  <c r="J17" i="1" s="1"/>
  <c r="H17" i="1" s="1"/>
  <c r="E24" i="2"/>
  <c r="E24" i="1"/>
  <c r="E28" i="2" l="1"/>
  <c r="E25" i="2"/>
  <c r="T17" i="2"/>
  <c r="V17" i="2"/>
  <c r="I18" i="2"/>
  <c r="J18" i="2" s="1"/>
  <c r="H18" i="2"/>
  <c r="L18" i="2"/>
  <c r="S18" i="2" s="1"/>
  <c r="E28" i="1"/>
  <c r="E25" i="1"/>
  <c r="L18" i="1"/>
  <c r="S18" i="1" s="1"/>
  <c r="I18" i="1"/>
  <c r="J18" i="1" s="1"/>
  <c r="H18" i="1" s="1"/>
  <c r="V17" i="1"/>
  <c r="T17" i="1"/>
  <c r="V18" i="2" l="1"/>
  <c r="T18" i="2"/>
  <c r="L19" i="2"/>
  <c r="S19" i="2" s="1"/>
  <c r="I19" i="2"/>
  <c r="J19" i="2" s="1"/>
  <c r="H19" i="2"/>
  <c r="L19" i="1"/>
  <c r="S19" i="1" s="1"/>
  <c r="I19" i="1"/>
  <c r="J19" i="1" s="1"/>
  <c r="H19" i="1" s="1"/>
  <c r="V18" i="1"/>
  <c r="T18" i="1"/>
  <c r="L20" i="2" l="1"/>
  <c r="S20" i="2" s="1"/>
  <c r="I20" i="2"/>
  <c r="J20" i="2" s="1"/>
  <c r="H20" i="2" s="1"/>
  <c r="T19" i="2"/>
  <c r="V19" i="2"/>
  <c r="I20" i="1"/>
  <c r="J20" i="1" s="1"/>
  <c r="H20" i="1" s="1"/>
  <c r="L20" i="1"/>
  <c r="S20" i="1" s="1"/>
  <c r="T19" i="1"/>
  <c r="V19" i="1"/>
  <c r="I21" i="2" l="1"/>
  <c r="J21" i="2" s="1"/>
  <c r="L21" i="2"/>
  <c r="S21" i="2" s="1"/>
  <c r="H21" i="2"/>
  <c r="V20" i="2"/>
  <c r="T20" i="2"/>
  <c r="V20" i="1"/>
  <c r="T20" i="1"/>
  <c r="I21" i="1"/>
  <c r="J21" i="1" s="1"/>
  <c r="H21" i="1"/>
  <c r="L21" i="1"/>
  <c r="S21" i="1" s="1"/>
  <c r="I22" i="2" l="1"/>
  <c r="J22" i="2" s="1"/>
  <c r="H22" i="2"/>
  <c r="L22" i="2"/>
  <c r="S22" i="2" s="1"/>
  <c r="V21" i="2"/>
  <c r="T21" i="2"/>
  <c r="V21" i="1"/>
  <c r="T21" i="1"/>
  <c r="L22" i="1"/>
  <c r="S22" i="1" s="1"/>
  <c r="I22" i="1"/>
  <c r="J22" i="1" s="1"/>
  <c r="H22" i="1" s="1"/>
  <c r="V22" i="2" l="1"/>
  <c r="T22" i="2"/>
  <c r="L23" i="2"/>
  <c r="S23" i="2" s="1"/>
  <c r="I23" i="2"/>
  <c r="J23" i="2" s="1"/>
  <c r="H23" i="2"/>
  <c r="I23" i="1"/>
  <c r="J23" i="1" s="1"/>
  <c r="H23" i="1" s="1"/>
  <c r="L23" i="1"/>
  <c r="S23" i="1" s="1"/>
  <c r="T22" i="1"/>
  <c r="V22" i="1"/>
  <c r="V23" i="2" l="1"/>
  <c r="T23" i="2"/>
  <c r="L24" i="2"/>
  <c r="S24" i="2" s="1"/>
  <c r="I24" i="2"/>
  <c r="J24" i="2" s="1"/>
  <c r="H24" i="2"/>
  <c r="V23" i="1"/>
  <c r="T23" i="1"/>
  <c r="I24" i="1"/>
  <c r="J24" i="1" s="1"/>
  <c r="L24" i="1"/>
  <c r="S24" i="1" s="1"/>
  <c r="H24" i="1"/>
  <c r="L25" i="2" l="1"/>
  <c r="S25" i="2" s="1"/>
  <c r="I25" i="2"/>
  <c r="J25" i="2" s="1"/>
  <c r="H25" i="2"/>
  <c r="V24" i="2"/>
  <c r="T24" i="2"/>
  <c r="L25" i="1"/>
  <c r="S25" i="1" s="1"/>
  <c r="I25" i="1"/>
  <c r="J25" i="1" s="1"/>
  <c r="H25" i="1"/>
  <c r="T24" i="1"/>
  <c r="V24" i="1"/>
  <c r="I26" i="2" l="1"/>
  <c r="J26" i="2" s="1"/>
  <c r="H26" i="2"/>
  <c r="L26" i="2"/>
  <c r="S26" i="2" s="1"/>
  <c r="T25" i="2"/>
  <c r="V25" i="2"/>
  <c r="L26" i="1"/>
  <c r="S26" i="1" s="1"/>
  <c r="I26" i="1"/>
  <c r="J26" i="1" s="1"/>
  <c r="H26" i="1" s="1"/>
  <c r="T25" i="1"/>
  <c r="V25" i="1"/>
  <c r="V26" i="2" l="1"/>
  <c r="T26" i="2"/>
  <c r="I27" i="2"/>
  <c r="J27" i="2" s="1"/>
  <c r="H27" i="2" s="1"/>
  <c r="L27" i="2"/>
  <c r="S27" i="2" s="1"/>
  <c r="L27" i="1"/>
  <c r="S27" i="1" s="1"/>
  <c r="I27" i="1"/>
  <c r="J27" i="1" s="1"/>
  <c r="H27" i="1" s="1"/>
  <c r="T26" i="1"/>
  <c r="V26" i="1"/>
  <c r="L28" i="2" l="1"/>
  <c r="S28" i="2" s="1"/>
  <c r="I28" i="2"/>
  <c r="J28" i="2" s="1"/>
  <c r="H28" i="2" s="1"/>
  <c r="V27" i="2"/>
  <c r="T27" i="2"/>
  <c r="L28" i="1"/>
  <c r="S28" i="1" s="1"/>
  <c r="I28" i="1"/>
  <c r="J28" i="1" s="1"/>
  <c r="H28" i="1" s="1"/>
  <c r="V27" i="1"/>
  <c r="T27" i="1"/>
  <c r="L29" i="2" l="1"/>
  <c r="S29" i="2" s="1"/>
  <c r="I29" i="2"/>
  <c r="J29" i="2" s="1"/>
  <c r="H29" i="2" s="1"/>
  <c r="V28" i="2"/>
  <c r="T28" i="2"/>
  <c r="L29" i="1"/>
  <c r="S29" i="1" s="1"/>
  <c r="I29" i="1"/>
  <c r="J29" i="1" s="1"/>
  <c r="H29" i="1" s="1"/>
  <c r="V28" i="1"/>
  <c r="T28" i="1"/>
  <c r="L30" i="2" l="1"/>
  <c r="S30" i="2" s="1"/>
  <c r="I30" i="2"/>
  <c r="J30" i="2" s="1"/>
  <c r="H30" i="2" s="1"/>
  <c r="V29" i="2"/>
  <c r="T29" i="2"/>
  <c r="I30" i="1"/>
  <c r="J30" i="1" s="1"/>
  <c r="H30" i="1"/>
  <c r="L30" i="1"/>
  <c r="S30" i="1" s="1"/>
  <c r="V29" i="1"/>
  <c r="T29" i="1"/>
  <c r="I31" i="2" l="1"/>
  <c r="J31" i="2" s="1"/>
  <c r="H31" i="2"/>
  <c r="L31" i="2"/>
  <c r="S31" i="2" s="1"/>
  <c r="V30" i="2"/>
  <c r="T30" i="2"/>
  <c r="V30" i="1"/>
  <c r="T30" i="1"/>
  <c r="I31" i="1"/>
  <c r="J31" i="1" s="1"/>
  <c r="H31" i="1"/>
  <c r="L31" i="1"/>
  <c r="S31" i="1" s="1"/>
  <c r="V31" i="2" l="1"/>
  <c r="T31" i="2"/>
  <c r="L32" i="2"/>
  <c r="S32" i="2" s="1"/>
  <c r="I32" i="2"/>
  <c r="J32" i="2" s="1"/>
  <c r="H32" i="2"/>
  <c r="T31" i="1"/>
  <c r="V31" i="1"/>
  <c r="L32" i="1"/>
  <c r="S32" i="1" s="1"/>
  <c r="I32" i="1"/>
  <c r="J32" i="1" s="1"/>
  <c r="H32" i="1"/>
  <c r="L33" i="2" l="1"/>
  <c r="S33" i="2" s="1"/>
  <c r="I33" i="2"/>
  <c r="J33" i="2" s="1"/>
  <c r="H33" i="2"/>
  <c r="T32" i="2"/>
  <c r="V32" i="2"/>
  <c r="L33" i="1"/>
  <c r="S33" i="1" s="1"/>
  <c r="I33" i="1"/>
  <c r="J33" i="1" s="1"/>
  <c r="H33" i="1" s="1"/>
  <c r="V32" i="1"/>
  <c r="T32" i="1"/>
  <c r="L34" i="2" l="1"/>
  <c r="S34" i="2" s="1"/>
  <c r="I34" i="2"/>
  <c r="J34" i="2" s="1"/>
  <c r="H34" i="2" s="1"/>
  <c r="V33" i="2"/>
  <c r="T33" i="2"/>
  <c r="I34" i="1"/>
  <c r="J34" i="1" s="1"/>
  <c r="H34" i="1" s="1"/>
  <c r="L34" i="1"/>
  <c r="S34" i="1" s="1"/>
  <c r="T33" i="1"/>
  <c r="V33" i="1"/>
  <c r="I35" i="2" l="1"/>
  <c r="J35" i="2" s="1"/>
  <c r="H35" i="2" s="1"/>
  <c r="L35" i="2"/>
  <c r="S35" i="2" s="1"/>
  <c r="V34" i="2"/>
  <c r="T34" i="2"/>
  <c r="V34" i="1"/>
  <c r="T34" i="1"/>
  <c r="I35" i="1"/>
  <c r="J35" i="1" s="1"/>
  <c r="H35" i="1" s="1"/>
  <c r="L35" i="1"/>
  <c r="S35" i="1" s="1"/>
  <c r="L36" i="2" l="1"/>
  <c r="S36" i="2" s="1"/>
  <c r="I36" i="2"/>
  <c r="J36" i="2" s="1"/>
  <c r="H36" i="2" s="1"/>
  <c r="V35" i="2"/>
  <c r="T35" i="2"/>
  <c r="V35" i="1"/>
  <c r="T35" i="1"/>
  <c r="L36" i="1"/>
  <c r="S36" i="1" s="1"/>
  <c r="I36" i="1"/>
  <c r="J36" i="1" s="1"/>
  <c r="H36" i="1" s="1"/>
  <c r="L37" i="2" l="1"/>
  <c r="S37" i="2" s="1"/>
  <c r="I37" i="2"/>
  <c r="J37" i="2" s="1"/>
  <c r="H37" i="2"/>
  <c r="V36" i="2"/>
  <c r="T36" i="2"/>
  <c r="I37" i="1"/>
  <c r="J37" i="1" s="1"/>
  <c r="H37" i="1"/>
  <c r="L37" i="1"/>
  <c r="S37" i="1" s="1"/>
  <c r="V36" i="1"/>
  <c r="T36" i="1"/>
  <c r="L38" i="2" l="1"/>
  <c r="S38" i="2" s="1"/>
  <c r="I38" i="2"/>
  <c r="J38" i="2" s="1"/>
  <c r="H38" i="2" s="1"/>
  <c r="V37" i="2"/>
  <c r="T37" i="2"/>
  <c r="V37" i="1"/>
  <c r="T37" i="1"/>
  <c r="L38" i="1"/>
  <c r="S38" i="1" s="1"/>
  <c r="I38" i="1"/>
  <c r="J38" i="1" s="1"/>
  <c r="H38" i="1" s="1"/>
  <c r="I39" i="2" l="1"/>
  <c r="J39" i="2" s="1"/>
  <c r="H39" i="2"/>
  <c r="L39" i="2"/>
  <c r="S39" i="2" s="1"/>
  <c r="T38" i="2"/>
  <c r="V38" i="2"/>
  <c r="L39" i="1"/>
  <c r="S39" i="1" s="1"/>
  <c r="I39" i="1"/>
  <c r="J39" i="1" s="1"/>
  <c r="H39" i="1" s="1"/>
  <c r="V38" i="1"/>
  <c r="T38" i="1"/>
  <c r="V39" i="2" l="1"/>
  <c r="T39" i="2"/>
  <c r="H40" i="2"/>
  <c r="L40" i="2"/>
  <c r="S40" i="2" s="1"/>
  <c r="I40" i="2"/>
  <c r="J40" i="2" s="1"/>
  <c r="L40" i="1"/>
  <c r="S40" i="1" s="1"/>
  <c r="I40" i="1"/>
  <c r="J40" i="1" s="1"/>
  <c r="H40" i="1" s="1"/>
  <c r="T39" i="1"/>
  <c r="V39" i="1"/>
  <c r="L41" i="2" l="1"/>
  <c r="S41" i="2" s="1"/>
  <c r="I41" i="2"/>
  <c r="J41" i="2" s="1"/>
  <c r="H41" i="2" s="1"/>
  <c r="T40" i="2"/>
  <c r="V40" i="2"/>
  <c r="L41" i="1"/>
  <c r="S41" i="1" s="1"/>
  <c r="I41" i="1"/>
  <c r="J41" i="1" s="1"/>
  <c r="H41" i="1" s="1"/>
  <c r="V40" i="1"/>
  <c r="T40" i="1"/>
  <c r="L42" i="2" l="1"/>
  <c r="S42" i="2" s="1"/>
  <c r="I42" i="2"/>
  <c r="J42" i="2" s="1"/>
  <c r="H42" i="2" s="1"/>
  <c r="V41" i="2"/>
  <c r="T41" i="2"/>
  <c r="I42" i="1"/>
  <c r="J42" i="1" s="1"/>
  <c r="H42" i="1"/>
  <c r="L42" i="1"/>
  <c r="S42" i="1" s="1"/>
  <c r="V41" i="1"/>
  <c r="T41" i="1"/>
  <c r="I43" i="2" l="1"/>
  <c r="J43" i="2" s="1"/>
  <c r="H43" i="2"/>
  <c r="L43" i="2"/>
  <c r="S43" i="2" s="1"/>
  <c r="V42" i="2"/>
  <c r="T42" i="2"/>
  <c r="V42" i="1"/>
  <c r="T42" i="1"/>
  <c r="L43" i="1"/>
  <c r="S43" i="1" s="1"/>
  <c r="I43" i="1"/>
  <c r="J43" i="1" s="1"/>
  <c r="H43" i="1" s="1"/>
  <c r="T43" i="2" l="1"/>
  <c r="V43" i="2"/>
  <c r="L44" i="2"/>
  <c r="S44" i="2" s="1"/>
  <c r="I44" i="2"/>
  <c r="J44" i="2" s="1"/>
  <c r="H44" i="2"/>
  <c r="L44" i="1"/>
  <c r="S44" i="1" s="1"/>
  <c r="I44" i="1"/>
  <c r="J44" i="1" s="1"/>
  <c r="H44" i="1" s="1"/>
  <c r="V43" i="1"/>
  <c r="T43" i="1"/>
  <c r="L45" i="2" l="1"/>
  <c r="S45" i="2" s="1"/>
  <c r="I45" i="2"/>
  <c r="J45" i="2" s="1"/>
  <c r="H45" i="2" s="1"/>
  <c r="T44" i="2"/>
  <c r="V44" i="2"/>
  <c r="L45" i="1"/>
  <c r="S45" i="1" s="1"/>
  <c r="I45" i="1"/>
  <c r="J45" i="1" s="1"/>
  <c r="H45" i="1"/>
  <c r="T44" i="1"/>
  <c r="V44" i="1"/>
  <c r="I46" i="2" l="1"/>
  <c r="J46" i="2" s="1"/>
  <c r="H46" i="2"/>
  <c r="L46" i="2"/>
  <c r="S46" i="2" s="1"/>
  <c r="V45" i="2"/>
  <c r="T45" i="2"/>
  <c r="I46" i="1"/>
  <c r="J46" i="1" s="1"/>
  <c r="H46" i="1" s="1"/>
  <c r="L46" i="1"/>
  <c r="S46" i="1" s="1"/>
  <c r="V45" i="1"/>
  <c r="T45" i="1"/>
  <c r="V46" i="2" l="1"/>
  <c r="T46" i="2"/>
  <c r="L47" i="2"/>
  <c r="S47" i="2" s="1"/>
  <c r="I47" i="2"/>
  <c r="J47" i="2" s="1"/>
  <c r="H47" i="2"/>
  <c r="I47" i="1"/>
  <c r="J47" i="1" s="1"/>
  <c r="H47" i="1" s="1"/>
  <c r="L47" i="1"/>
  <c r="S47" i="1" s="1"/>
  <c r="T46" i="1"/>
  <c r="V46" i="1"/>
  <c r="T47" i="2" l="1"/>
  <c r="V47" i="2"/>
  <c r="L48" i="2"/>
  <c r="S48" i="2" s="1"/>
  <c r="I48" i="2"/>
  <c r="J48" i="2" s="1"/>
  <c r="H48" i="2" s="1"/>
  <c r="V47" i="1"/>
  <c r="T47" i="1"/>
  <c r="L48" i="1"/>
  <c r="S48" i="1" s="1"/>
  <c r="I48" i="1"/>
  <c r="J48" i="1" s="1"/>
  <c r="H48" i="1"/>
  <c r="L49" i="2" l="1"/>
  <c r="S49" i="2" s="1"/>
  <c r="I49" i="2"/>
  <c r="J49" i="2" s="1"/>
  <c r="H49" i="2" s="1"/>
  <c r="T48" i="2"/>
  <c r="V48" i="2"/>
  <c r="L49" i="1"/>
  <c r="S49" i="1" s="1"/>
  <c r="I49" i="1"/>
  <c r="J49" i="1" s="1"/>
  <c r="H49" i="1"/>
  <c r="V48" i="1"/>
  <c r="T48" i="1"/>
  <c r="I50" i="2" l="1"/>
  <c r="J50" i="2" s="1"/>
  <c r="H50" i="2" s="1"/>
  <c r="L50" i="2"/>
  <c r="S50" i="2" s="1"/>
  <c r="V49" i="2"/>
  <c r="T49" i="2"/>
  <c r="I50" i="1"/>
  <c r="J50" i="1" s="1"/>
  <c r="H50" i="1" s="1"/>
  <c r="L50" i="1"/>
  <c r="S50" i="1" s="1"/>
  <c r="T49" i="1"/>
  <c r="V49" i="1"/>
  <c r="L51" i="2" l="1"/>
  <c r="S51" i="2" s="1"/>
  <c r="I51" i="2"/>
  <c r="J51" i="2" s="1"/>
  <c r="H51" i="2"/>
  <c r="T50" i="2"/>
  <c r="V50" i="2"/>
  <c r="I51" i="1"/>
  <c r="J51" i="1" s="1"/>
  <c r="H51" i="1" s="1"/>
  <c r="L51" i="1"/>
  <c r="S51" i="1" s="1"/>
  <c r="V50" i="1"/>
  <c r="T50" i="1"/>
  <c r="L52" i="2" l="1"/>
  <c r="S52" i="2" s="1"/>
  <c r="I52" i="2"/>
  <c r="J52" i="2" s="1"/>
  <c r="H52" i="2"/>
  <c r="T51" i="2"/>
  <c r="V51" i="2"/>
  <c r="L52" i="1"/>
  <c r="S52" i="1" s="1"/>
  <c r="I52" i="1"/>
  <c r="J52" i="1" s="1"/>
  <c r="H52" i="1"/>
  <c r="T51" i="1"/>
  <c r="V51" i="1"/>
  <c r="I53" i="2" l="1"/>
  <c r="J53" i="2" s="1"/>
  <c r="H53" i="2"/>
  <c r="L53" i="2"/>
  <c r="S53" i="2" s="1"/>
  <c r="V52" i="2"/>
  <c r="T52" i="2"/>
  <c r="L53" i="1"/>
  <c r="S53" i="1" s="1"/>
  <c r="I53" i="1"/>
  <c r="J53" i="1" s="1"/>
  <c r="H53" i="1" s="1"/>
  <c r="V52" i="1"/>
  <c r="T52" i="1"/>
  <c r="T53" i="2" l="1"/>
  <c r="V53" i="2"/>
  <c r="L54" i="2"/>
  <c r="S54" i="2" s="1"/>
  <c r="I54" i="2"/>
  <c r="J54" i="2" s="1"/>
  <c r="H54" i="2"/>
  <c r="I54" i="1"/>
  <c r="J54" i="1" s="1"/>
  <c r="L54" i="1"/>
  <c r="S54" i="1" s="1"/>
  <c r="H54" i="1"/>
  <c r="V53" i="1"/>
  <c r="T53" i="1"/>
  <c r="I55" i="2" l="1"/>
  <c r="J55" i="2" s="1"/>
  <c r="H55" i="2" s="1"/>
  <c r="L55" i="2"/>
  <c r="S55" i="2" s="1"/>
  <c r="T54" i="2"/>
  <c r="V54" i="2"/>
  <c r="I55" i="1"/>
  <c r="J55" i="1" s="1"/>
  <c r="H55" i="1" s="1"/>
  <c r="L55" i="1"/>
  <c r="S55" i="1" s="1"/>
  <c r="V54" i="1"/>
  <c r="T54" i="1"/>
  <c r="L56" i="2" l="1"/>
  <c r="S56" i="2" s="1"/>
  <c r="I56" i="2"/>
  <c r="J56" i="2" s="1"/>
  <c r="H56" i="2"/>
  <c r="V55" i="2"/>
  <c r="T55" i="2"/>
  <c r="T55" i="1"/>
  <c r="V55" i="1"/>
  <c r="L56" i="1"/>
  <c r="S56" i="1" s="1"/>
  <c r="I56" i="1"/>
  <c r="J56" i="1" s="1"/>
  <c r="H56" i="1" s="1"/>
  <c r="L57" i="2" l="1"/>
  <c r="S57" i="2" s="1"/>
  <c r="I57" i="2"/>
  <c r="J57" i="2" s="1"/>
  <c r="H57" i="2"/>
  <c r="V56" i="2"/>
  <c r="T56" i="2"/>
  <c r="L57" i="1"/>
  <c r="S57" i="1" s="1"/>
  <c r="I57" i="1"/>
  <c r="J57" i="1" s="1"/>
  <c r="H57" i="1"/>
  <c r="T56" i="1"/>
  <c r="V56" i="1"/>
  <c r="L58" i="2" l="1"/>
  <c r="S58" i="2" s="1"/>
  <c r="I58" i="2"/>
  <c r="J58" i="2" s="1"/>
  <c r="H58" i="2" s="1"/>
  <c r="V57" i="2"/>
  <c r="T57" i="2"/>
  <c r="I58" i="1"/>
  <c r="J58" i="1" s="1"/>
  <c r="H58" i="1"/>
  <c r="L58" i="1"/>
  <c r="S58" i="1" s="1"/>
  <c r="V57" i="1"/>
  <c r="T57" i="1"/>
  <c r="L59" i="2" l="1"/>
  <c r="S59" i="2" s="1"/>
  <c r="I59" i="2"/>
  <c r="J59" i="2" s="1"/>
  <c r="H59" i="2"/>
  <c r="T58" i="2"/>
  <c r="V58" i="2"/>
  <c r="V58" i="1"/>
  <c r="T58" i="1"/>
  <c r="I59" i="1"/>
  <c r="J59" i="1" s="1"/>
  <c r="H59" i="1" s="1"/>
  <c r="L59" i="1"/>
  <c r="S59" i="1" s="1"/>
  <c r="I60" i="2" l="1"/>
  <c r="J60" i="2" s="1"/>
  <c r="H60" i="2" s="1"/>
  <c r="L60" i="2"/>
  <c r="S60" i="2" s="1"/>
  <c r="V59" i="2"/>
  <c r="T59" i="2"/>
  <c r="L60" i="1"/>
  <c r="S60" i="1" s="1"/>
  <c r="I60" i="1"/>
  <c r="J60" i="1" s="1"/>
  <c r="H60" i="1" s="1"/>
  <c r="T59" i="1"/>
  <c r="V59" i="1"/>
  <c r="I61" i="2" l="1"/>
  <c r="J61" i="2" s="1"/>
  <c r="H61" i="2" s="1"/>
  <c r="L61" i="2"/>
  <c r="S61" i="2" s="1"/>
  <c r="V60" i="2"/>
  <c r="T60" i="2"/>
  <c r="L61" i="1"/>
  <c r="S61" i="1" s="1"/>
  <c r="I61" i="1"/>
  <c r="J61" i="1" s="1"/>
  <c r="H61" i="1" s="1"/>
  <c r="V60" i="1"/>
  <c r="T60" i="1"/>
  <c r="L62" i="2" l="1"/>
  <c r="S62" i="2" s="1"/>
  <c r="I62" i="2"/>
  <c r="J62" i="2" s="1"/>
  <c r="H62" i="2"/>
  <c r="V61" i="2"/>
  <c r="T61" i="2"/>
  <c r="I62" i="1"/>
  <c r="J62" i="1" s="1"/>
  <c r="H62" i="1"/>
  <c r="L62" i="1"/>
  <c r="S62" i="1" s="1"/>
  <c r="V61" i="1"/>
  <c r="T61" i="1"/>
  <c r="I63" i="2" l="1"/>
  <c r="J63" i="2" s="1"/>
  <c r="L63" i="2"/>
  <c r="S63" i="2" s="1"/>
  <c r="H63" i="2"/>
  <c r="T62" i="2"/>
  <c r="V62" i="2"/>
  <c r="V62" i="1"/>
  <c r="T62" i="1"/>
  <c r="L63" i="1"/>
  <c r="S63" i="1" s="1"/>
  <c r="I63" i="1"/>
  <c r="J63" i="1" s="1"/>
  <c r="H63" i="1" s="1"/>
  <c r="I64" i="2" l="1"/>
  <c r="J64" i="2" s="1"/>
  <c r="H64" i="2" s="1"/>
  <c r="L64" i="2"/>
  <c r="S64" i="2" s="1"/>
  <c r="T63" i="2"/>
  <c r="V63" i="2"/>
  <c r="I64" i="1"/>
  <c r="J64" i="1" s="1"/>
  <c r="L64" i="1"/>
  <c r="S64" i="1" s="1"/>
  <c r="H64" i="1"/>
  <c r="T63" i="1"/>
  <c r="V63" i="1"/>
  <c r="I65" i="2" l="1"/>
  <c r="J65" i="2" s="1"/>
  <c r="H65" i="2" s="1"/>
  <c r="L65" i="2"/>
  <c r="S65" i="2" s="1"/>
  <c r="V64" i="2"/>
  <c r="T64" i="2"/>
  <c r="L65" i="1"/>
  <c r="S65" i="1" s="1"/>
  <c r="I65" i="1"/>
  <c r="J65" i="1" s="1"/>
  <c r="H65" i="1" s="1"/>
  <c r="V64" i="1"/>
  <c r="T64" i="1"/>
  <c r="I66" i="2" l="1"/>
  <c r="J66" i="2" s="1"/>
  <c r="H66" i="2" s="1"/>
  <c r="L66" i="2"/>
  <c r="S66" i="2" s="1"/>
  <c r="V65" i="2"/>
  <c r="T65" i="2"/>
  <c r="I66" i="1"/>
  <c r="J66" i="1" s="1"/>
  <c r="L66" i="1"/>
  <c r="S66" i="1" s="1"/>
  <c r="H66" i="1"/>
  <c r="T65" i="1"/>
  <c r="V65" i="1"/>
  <c r="L67" i="2" l="1"/>
  <c r="S67" i="2" s="1"/>
  <c r="I67" i="2"/>
  <c r="J67" i="2" s="1"/>
  <c r="H67" i="2"/>
  <c r="V66" i="2"/>
  <c r="T66" i="2"/>
  <c r="L67" i="1"/>
  <c r="S67" i="1" s="1"/>
  <c r="I67" i="1"/>
  <c r="J67" i="1" s="1"/>
  <c r="H67" i="1" s="1"/>
  <c r="V66" i="1"/>
  <c r="T66" i="1"/>
  <c r="L68" i="2" l="1"/>
  <c r="S68" i="2" s="1"/>
  <c r="I68" i="2"/>
  <c r="J68" i="2" s="1"/>
  <c r="H68" i="2" s="1"/>
  <c r="V67" i="2"/>
  <c r="T67" i="2"/>
  <c r="L68" i="1"/>
  <c r="S68" i="1" s="1"/>
  <c r="I68" i="1"/>
  <c r="J68" i="1" s="1"/>
  <c r="H68" i="1" s="1"/>
  <c r="V67" i="1"/>
  <c r="T67" i="1"/>
  <c r="L69" i="2" l="1"/>
  <c r="S69" i="2" s="1"/>
  <c r="I69" i="2"/>
  <c r="J69" i="2" s="1"/>
  <c r="H69" i="2"/>
  <c r="T68" i="2"/>
  <c r="V68" i="2"/>
  <c r="I69" i="1"/>
  <c r="J69" i="1" s="1"/>
  <c r="H69" i="1" s="1"/>
  <c r="L69" i="1"/>
  <c r="S69" i="1" s="1"/>
  <c r="V68" i="1"/>
  <c r="T68" i="1"/>
  <c r="I70" i="2" l="1"/>
  <c r="J70" i="2" s="1"/>
  <c r="H70" i="2" s="1"/>
  <c r="L70" i="2"/>
  <c r="S70" i="2" s="1"/>
  <c r="V69" i="2"/>
  <c r="T69" i="2"/>
  <c r="V69" i="1"/>
  <c r="T69" i="1"/>
  <c r="L70" i="1"/>
  <c r="S70" i="1" s="1"/>
  <c r="I70" i="1"/>
  <c r="J70" i="1" s="1"/>
  <c r="H70" i="1"/>
  <c r="I71" i="2" l="1"/>
  <c r="J71" i="2" s="1"/>
  <c r="H71" i="2"/>
  <c r="L71" i="2"/>
  <c r="S71" i="2" s="1"/>
  <c r="V70" i="2"/>
  <c r="T70" i="2"/>
  <c r="I71" i="1"/>
  <c r="J71" i="1" s="1"/>
  <c r="H71" i="1" s="1"/>
  <c r="L71" i="1"/>
  <c r="S71" i="1" s="1"/>
  <c r="T70" i="1"/>
  <c r="V70" i="1"/>
  <c r="V71" i="2" l="1"/>
  <c r="T71" i="2"/>
  <c r="L72" i="2"/>
  <c r="S72" i="2" s="1"/>
  <c r="H72" i="2"/>
  <c r="I72" i="2"/>
  <c r="J72" i="2" s="1"/>
  <c r="V71" i="1"/>
  <c r="T71" i="1"/>
  <c r="I72" i="1"/>
  <c r="J72" i="1" s="1"/>
  <c r="H72" i="1" s="1"/>
  <c r="L72" i="1"/>
  <c r="S72" i="1" s="1"/>
  <c r="V72" i="2" l="1"/>
  <c r="T72" i="2"/>
  <c r="L73" i="2"/>
  <c r="S73" i="2" s="1"/>
  <c r="I73" i="2"/>
  <c r="J73" i="2" s="1"/>
  <c r="H73" i="2"/>
  <c r="I73" i="1"/>
  <c r="J73" i="1" s="1"/>
  <c r="H73" i="1" s="1"/>
  <c r="L73" i="1"/>
  <c r="S73" i="1" s="1"/>
  <c r="V72" i="1"/>
  <c r="T72" i="1"/>
  <c r="I74" i="2" l="1"/>
  <c r="J74" i="2" s="1"/>
  <c r="H74" i="2" s="1"/>
  <c r="L74" i="2"/>
  <c r="S74" i="2" s="1"/>
  <c r="T73" i="2"/>
  <c r="V73" i="2"/>
  <c r="I74" i="1"/>
  <c r="J74" i="1" s="1"/>
  <c r="L74" i="1"/>
  <c r="S74" i="1" s="1"/>
  <c r="H74" i="1"/>
  <c r="V73" i="1"/>
  <c r="T73" i="1"/>
  <c r="I75" i="2" l="1"/>
  <c r="J75" i="2" s="1"/>
  <c r="H75" i="2" s="1"/>
  <c r="L75" i="2"/>
  <c r="S75" i="2" s="1"/>
  <c r="V74" i="2"/>
  <c r="T74" i="2"/>
  <c r="L75" i="1"/>
  <c r="S75" i="1" s="1"/>
  <c r="I75" i="1"/>
  <c r="J75" i="1" s="1"/>
  <c r="H75" i="1" s="1"/>
  <c r="T74" i="1"/>
  <c r="V74" i="1"/>
  <c r="I76" i="2" l="1"/>
  <c r="J76" i="2" s="1"/>
  <c r="H76" i="2"/>
  <c r="L76" i="2"/>
  <c r="S76" i="2" s="1"/>
  <c r="V75" i="2"/>
  <c r="T75" i="2"/>
  <c r="I76" i="1"/>
  <c r="J76" i="1" s="1"/>
  <c r="H76" i="1"/>
  <c r="L76" i="1"/>
  <c r="S76" i="1" s="1"/>
  <c r="V75" i="1"/>
  <c r="T75" i="1"/>
  <c r="V76" i="2" l="1"/>
  <c r="T76" i="2"/>
  <c r="L77" i="2"/>
  <c r="S77" i="2" s="1"/>
  <c r="I77" i="2"/>
  <c r="J77" i="2" s="1"/>
  <c r="H77" i="2" s="1"/>
  <c r="V76" i="1"/>
  <c r="T76" i="1"/>
  <c r="L77" i="1"/>
  <c r="S77" i="1" s="1"/>
  <c r="I77" i="1"/>
  <c r="J77" i="1" s="1"/>
  <c r="H77" i="1"/>
  <c r="L78" i="2" l="1"/>
  <c r="S78" i="2" s="1"/>
  <c r="I78" i="2"/>
  <c r="J78" i="2" s="1"/>
  <c r="H78" i="2"/>
  <c r="V77" i="2"/>
  <c r="T77" i="2"/>
  <c r="I78" i="1"/>
  <c r="J78" i="1" s="1"/>
  <c r="H78" i="1"/>
  <c r="L78" i="1"/>
  <c r="S78" i="1" s="1"/>
  <c r="V77" i="1"/>
  <c r="T77" i="1"/>
  <c r="I79" i="2" l="1"/>
  <c r="J79" i="2" s="1"/>
  <c r="L79" i="2"/>
  <c r="S79" i="2" s="1"/>
  <c r="H79" i="2"/>
  <c r="T78" i="2"/>
  <c r="V78" i="2"/>
  <c r="V78" i="1"/>
  <c r="T78" i="1"/>
  <c r="I79" i="1"/>
  <c r="J79" i="1" s="1"/>
  <c r="L79" i="1"/>
  <c r="S79" i="1" s="1"/>
  <c r="H79" i="1"/>
  <c r="I80" i="2" l="1"/>
  <c r="J80" i="2" s="1"/>
  <c r="H80" i="2" s="1"/>
  <c r="L80" i="2"/>
  <c r="S80" i="2" s="1"/>
  <c r="V79" i="2"/>
  <c r="T79" i="2"/>
  <c r="I80" i="1"/>
  <c r="J80" i="1" s="1"/>
  <c r="H80" i="1"/>
  <c r="L80" i="1"/>
  <c r="S80" i="1" s="1"/>
  <c r="T79" i="1"/>
  <c r="V79" i="1"/>
  <c r="I81" i="2" l="1"/>
  <c r="J81" i="2" s="1"/>
  <c r="H81" i="2"/>
  <c r="L81" i="2"/>
  <c r="S81" i="2" s="1"/>
  <c r="V80" i="2"/>
  <c r="T80" i="2"/>
  <c r="V80" i="1"/>
  <c r="T80" i="1"/>
  <c r="L81" i="1"/>
  <c r="S81" i="1" s="1"/>
  <c r="I81" i="1"/>
  <c r="J81" i="1" s="1"/>
  <c r="H81" i="1" s="1"/>
  <c r="V81" i="2" l="1"/>
  <c r="T81" i="2"/>
  <c r="L82" i="2"/>
  <c r="S82" i="2" s="1"/>
  <c r="I82" i="2"/>
  <c r="J82" i="2" s="1"/>
  <c r="H82" i="2"/>
  <c r="I82" i="1"/>
  <c r="J82" i="1" s="1"/>
  <c r="H82" i="1" s="1"/>
  <c r="L82" i="1"/>
  <c r="S82" i="1" s="1"/>
  <c r="T81" i="1"/>
  <c r="V81" i="1"/>
  <c r="L83" i="2" l="1"/>
  <c r="S83" i="2" s="1"/>
  <c r="I83" i="2"/>
  <c r="J83" i="2" s="1"/>
  <c r="H83" i="2"/>
  <c r="T82" i="2"/>
  <c r="V82" i="2"/>
  <c r="V82" i="1"/>
  <c r="T82" i="1"/>
  <c r="I83" i="1"/>
  <c r="J83" i="1" s="1"/>
  <c r="H83" i="1"/>
  <c r="L83" i="1"/>
  <c r="S83" i="1" s="1"/>
  <c r="L84" i="2" l="1"/>
  <c r="S84" i="2" s="1"/>
  <c r="I84" i="2"/>
  <c r="J84" i="2" s="1"/>
  <c r="H84" i="2"/>
  <c r="T83" i="2"/>
  <c r="V83" i="2"/>
  <c r="V83" i="1"/>
  <c r="T83" i="1"/>
  <c r="I84" i="1"/>
  <c r="J84" i="1" s="1"/>
  <c r="L84" i="1"/>
  <c r="S84" i="1" s="1"/>
  <c r="H84" i="1"/>
  <c r="I85" i="2" l="1"/>
  <c r="J85" i="2" s="1"/>
  <c r="H85" i="2" s="1"/>
  <c r="L85" i="2"/>
  <c r="S85" i="2" s="1"/>
  <c r="V84" i="2"/>
  <c r="T84" i="2"/>
  <c r="I85" i="1"/>
  <c r="J85" i="1" s="1"/>
  <c r="H85" i="1"/>
  <c r="L85" i="1"/>
  <c r="S85" i="1" s="1"/>
  <c r="V84" i="1"/>
  <c r="T84" i="1"/>
  <c r="I86" i="2" l="1"/>
  <c r="J86" i="2" s="1"/>
  <c r="H86" i="2" s="1"/>
  <c r="L86" i="2"/>
  <c r="S86" i="2" s="1"/>
  <c r="V85" i="2"/>
  <c r="T85" i="2"/>
  <c r="V85" i="1"/>
  <c r="T85" i="1"/>
  <c r="I86" i="1"/>
  <c r="J86" i="1" s="1"/>
  <c r="L86" i="1"/>
  <c r="S86" i="1" s="1"/>
  <c r="H86" i="1"/>
  <c r="L87" i="2" l="1"/>
  <c r="S87" i="2" s="1"/>
  <c r="I87" i="2"/>
  <c r="J87" i="2" s="1"/>
  <c r="H87" i="2"/>
  <c r="T86" i="2"/>
  <c r="V86" i="2"/>
  <c r="I87" i="1"/>
  <c r="J87" i="1" s="1"/>
  <c r="H87" i="1" s="1"/>
  <c r="L87" i="1"/>
  <c r="S87" i="1" s="1"/>
  <c r="V86" i="1"/>
  <c r="T86" i="1"/>
  <c r="L88" i="2" l="1"/>
  <c r="S88" i="2" s="1"/>
  <c r="I88" i="2"/>
  <c r="J88" i="2" s="1"/>
  <c r="H88" i="2"/>
  <c r="V87" i="2"/>
  <c r="T87" i="2"/>
  <c r="V87" i="1"/>
  <c r="T87" i="1"/>
  <c r="L88" i="1"/>
  <c r="S88" i="1" s="1"/>
  <c r="I88" i="1"/>
  <c r="J88" i="1" s="1"/>
  <c r="H88" i="1" s="1"/>
  <c r="L89" i="2" l="1"/>
  <c r="S89" i="2" s="1"/>
  <c r="I89" i="2"/>
  <c r="J89" i="2" s="1"/>
  <c r="H89" i="2" s="1"/>
  <c r="T88" i="2"/>
  <c r="V88" i="2"/>
  <c r="I89" i="1"/>
  <c r="J89" i="1" s="1"/>
  <c r="H89" i="1"/>
  <c r="L89" i="1"/>
  <c r="S89" i="1" s="1"/>
  <c r="T88" i="1"/>
  <c r="V88" i="1"/>
  <c r="I90" i="2" l="1"/>
  <c r="J90" i="2" s="1"/>
  <c r="H90" i="2" s="1"/>
  <c r="L90" i="2"/>
  <c r="S90" i="2" s="1"/>
  <c r="V89" i="2"/>
  <c r="T89" i="2"/>
  <c r="V89" i="1"/>
  <c r="T89" i="1"/>
  <c r="L90" i="1"/>
  <c r="S90" i="1" s="1"/>
  <c r="I90" i="1"/>
  <c r="J90" i="1" s="1"/>
  <c r="H90" i="1"/>
  <c r="I91" i="2" l="1"/>
  <c r="J91" i="2" s="1"/>
  <c r="H91" i="2"/>
  <c r="L91" i="2"/>
  <c r="S91" i="2" s="1"/>
  <c r="T90" i="2"/>
  <c r="V90" i="2"/>
  <c r="L91" i="1"/>
  <c r="S91" i="1" s="1"/>
  <c r="I91" i="1"/>
  <c r="J91" i="1" s="1"/>
  <c r="H91" i="1" s="1"/>
  <c r="V90" i="1"/>
  <c r="T90" i="1"/>
  <c r="V91" i="2" l="1"/>
  <c r="T91" i="2"/>
  <c r="L92" i="2"/>
  <c r="S92" i="2" s="1"/>
  <c r="I92" i="2"/>
  <c r="J92" i="2" s="1"/>
  <c r="H92" i="2"/>
  <c r="I92" i="1"/>
  <c r="J92" i="1" s="1"/>
  <c r="H92" i="1" s="1"/>
  <c r="L92" i="1"/>
  <c r="S92" i="1" s="1"/>
  <c r="V91" i="1"/>
  <c r="T91" i="1"/>
  <c r="V92" i="2" l="1"/>
  <c r="T92" i="2"/>
  <c r="L93" i="2"/>
  <c r="S93" i="2" s="1"/>
  <c r="I93" i="2"/>
  <c r="J93" i="2" s="1"/>
  <c r="H93" i="2" s="1"/>
  <c r="L93" i="1"/>
  <c r="S93" i="1" s="1"/>
  <c r="I93" i="1"/>
  <c r="J93" i="1" s="1"/>
  <c r="H93" i="1"/>
  <c r="V92" i="1"/>
  <c r="T92" i="1"/>
  <c r="L94" i="2" l="1"/>
  <c r="S94" i="2" s="1"/>
  <c r="I94" i="2"/>
  <c r="J94" i="2" s="1"/>
  <c r="H94" i="2" s="1"/>
  <c r="T93" i="2"/>
  <c r="V93" i="2"/>
  <c r="I94" i="1"/>
  <c r="J94" i="1" s="1"/>
  <c r="H94" i="1" s="1"/>
  <c r="L94" i="1"/>
  <c r="S94" i="1" s="1"/>
  <c r="V93" i="1"/>
  <c r="T93" i="1"/>
  <c r="I95" i="2" l="1"/>
  <c r="J95" i="2" s="1"/>
  <c r="H95" i="2" s="1"/>
  <c r="L95" i="2"/>
  <c r="S95" i="2" s="1"/>
  <c r="V94" i="2"/>
  <c r="T94" i="2"/>
  <c r="V94" i="1"/>
  <c r="T94" i="1"/>
  <c r="I95" i="1"/>
  <c r="J95" i="1" s="1"/>
  <c r="H95" i="1" s="1"/>
  <c r="L95" i="1"/>
  <c r="S95" i="1" s="1"/>
  <c r="I96" i="2" l="1"/>
  <c r="J96" i="2" s="1"/>
  <c r="H96" i="2"/>
  <c r="L96" i="2"/>
  <c r="S96" i="2" s="1"/>
  <c r="V95" i="2"/>
  <c r="T95" i="2"/>
  <c r="L96" i="1"/>
  <c r="S96" i="1" s="1"/>
  <c r="I96" i="1"/>
  <c r="J96" i="1" s="1"/>
  <c r="H96" i="1" s="1"/>
  <c r="V95" i="1"/>
  <c r="T95" i="1"/>
  <c r="T96" i="2" l="1"/>
  <c r="V96" i="2"/>
  <c r="L97" i="2"/>
  <c r="S97" i="2" s="1"/>
  <c r="I97" i="2"/>
  <c r="J97" i="2" s="1"/>
  <c r="H97" i="2" s="1"/>
  <c r="I97" i="1"/>
  <c r="J97" i="1" s="1"/>
  <c r="H97" i="1" s="1"/>
  <c r="L97" i="1"/>
  <c r="S97" i="1" s="1"/>
  <c r="T96" i="1"/>
  <c r="V96" i="1"/>
  <c r="L98" i="2" l="1"/>
  <c r="S98" i="2" s="1"/>
  <c r="I98" i="2"/>
  <c r="J98" i="2" s="1"/>
  <c r="H98" i="2"/>
  <c r="V97" i="2"/>
  <c r="T97" i="2"/>
  <c r="I98" i="1"/>
  <c r="J98" i="1" s="1"/>
  <c r="H98" i="1"/>
  <c r="L98" i="1"/>
  <c r="S98" i="1" s="1"/>
  <c r="V97" i="1"/>
  <c r="T97" i="1"/>
  <c r="L99" i="2" l="1"/>
  <c r="S99" i="2" s="1"/>
  <c r="I99" i="2"/>
  <c r="J99" i="2" s="1"/>
  <c r="H99" i="2"/>
  <c r="T98" i="2"/>
  <c r="V98" i="2"/>
  <c r="V98" i="1"/>
  <c r="T98" i="1"/>
  <c r="I99" i="1"/>
  <c r="J99" i="1" s="1"/>
  <c r="H99" i="1" s="1"/>
  <c r="L99" i="1"/>
  <c r="S99" i="1" s="1"/>
  <c r="I100" i="2" l="1"/>
  <c r="J100" i="2" s="1"/>
  <c r="H100" i="2" s="1"/>
  <c r="L100" i="2"/>
  <c r="S100" i="2" s="1"/>
  <c r="V99" i="2"/>
  <c r="T99" i="2"/>
  <c r="T99" i="1"/>
  <c r="V99" i="1"/>
  <c r="L100" i="1"/>
  <c r="S100" i="1" s="1"/>
  <c r="I100" i="1"/>
  <c r="J100" i="1" s="1"/>
  <c r="H100" i="1"/>
  <c r="I101" i="2" l="1"/>
  <c r="J101" i="2" s="1"/>
  <c r="H101" i="2"/>
  <c r="L101" i="2"/>
  <c r="S101" i="2" s="1"/>
  <c r="V100" i="2"/>
  <c r="T100" i="2"/>
  <c r="L101" i="1"/>
  <c r="S101" i="1" s="1"/>
  <c r="I101" i="1"/>
  <c r="J101" i="1" s="1"/>
  <c r="H101" i="1"/>
  <c r="T100" i="1"/>
  <c r="V100" i="1"/>
  <c r="V101" i="2" l="1"/>
  <c r="T101" i="2"/>
  <c r="L102" i="2"/>
  <c r="S102" i="2" s="1"/>
  <c r="I102" i="2"/>
  <c r="J102" i="2" s="1"/>
  <c r="H102" i="2"/>
  <c r="L102" i="1"/>
  <c r="S102" i="1" s="1"/>
  <c r="I102" i="1"/>
  <c r="J102" i="1" s="1"/>
  <c r="H102" i="1" s="1"/>
  <c r="V101" i="1"/>
  <c r="T101" i="1"/>
  <c r="L103" i="2" l="1"/>
  <c r="S103" i="2" s="1"/>
  <c r="I103" i="2"/>
  <c r="J103" i="2" s="1"/>
  <c r="H103" i="2" s="1"/>
  <c r="T102" i="2"/>
  <c r="V102" i="2"/>
  <c r="I103" i="1"/>
  <c r="J103" i="1" s="1"/>
  <c r="H103" i="1" s="1"/>
  <c r="L103" i="1"/>
  <c r="S103" i="1" s="1"/>
  <c r="V102" i="1"/>
  <c r="T102" i="1"/>
  <c r="L104" i="2" l="1"/>
  <c r="S104" i="2" s="1"/>
  <c r="I104" i="2"/>
  <c r="J104" i="2" s="1"/>
  <c r="H104" i="2"/>
  <c r="T103" i="2"/>
  <c r="V103" i="2"/>
  <c r="I104" i="1"/>
  <c r="J104" i="1" s="1"/>
  <c r="H104" i="1" s="1"/>
  <c r="L104" i="1"/>
  <c r="S104" i="1" s="1"/>
  <c r="V103" i="1"/>
  <c r="T103" i="1"/>
  <c r="I105" i="2" l="1"/>
  <c r="J105" i="2" s="1"/>
  <c r="H105" i="2" s="1"/>
  <c r="L105" i="2"/>
  <c r="S105" i="2" s="1"/>
  <c r="V104" i="2"/>
  <c r="T104" i="2"/>
  <c r="V104" i="1"/>
  <c r="T104" i="1"/>
  <c r="I105" i="1"/>
  <c r="J105" i="1" s="1"/>
  <c r="H105" i="1" s="1"/>
  <c r="L105" i="1"/>
  <c r="S105" i="1" s="1"/>
  <c r="I106" i="2" l="1"/>
  <c r="J106" i="2" s="1"/>
  <c r="H106" i="2"/>
  <c r="L106" i="2"/>
  <c r="S106" i="2" s="1"/>
  <c r="V105" i="2"/>
  <c r="T105" i="2"/>
  <c r="V105" i="1"/>
  <c r="T105" i="1"/>
  <c r="L106" i="1"/>
  <c r="S106" i="1" s="1"/>
  <c r="I106" i="1"/>
  <c r="J106" i="1" s="1"/>
  <c r="H106" i="1" s="1"/>
  <c r="V106" i="2" l="1"/>
  <c r="T106" i="2"/>
  <c r="L107" i="2"/>
  <c r="S107" i="2" s="1"/>
  <c r="I107" i="2"/>
  <c r="J107" i="2" s="1"/>
  <c r="H107" i="2"/>
  <c r="L107" i="1"/>
  <c r="S107" i="1" s="1"/>
  <c r="I107" i="1"/>
  <c r="J107" i="1" s="1"/>
  <c r="H107" i="1" s="1"/>
  <c r="V106" i="1"/>
  <c r="T106" i="1"/>
  <c r="L108" i="2" l="1"/>
  <c r="S108" i="2" s="1"/>
  <c r="I108" i="2"/>
  <c r="J108" i="2" s="1"/>
  <c r="H108" i="2" s="1"/>
  <c r="V107" i="2"/>
  <c r="T107" i="2"/>
  <c r="I108" i="1"/>
  <c r="J108" i="1" s="1"/>
  <c r="H108" i="1" s="1"/>
  <c r="L108" i="1"/>
  <c r="S108" i="1" s="1"/>
  <c r="V107" i="1"/>
  <c r="T107" i="1"/>
  <c r="L109" i="2" l="1"/>
  <c r="S109" i="2" s="1"/>
  <c r="I109" i="2"/>
  <c r="J109" i="2" s="1"/>
  <c r="H109" i="2" s="1"/>
  <c r="T108" i="2"/>
  <c r="V108" i="2"/>
  <c r="I109" i="1"/>
  <c r="J109" i="1" s="1"/>
  <c r="H109" i="1"/>
  <c r="L109" i="1"/>
  <c r="S109" i="1" s="1"/>
  <c r="V108" i="1"/>
  <c r="T108" i="1"/>
  <c r="I110" i="2" l="1"/>
  <c r="J110" i="2" s="1"/>
  <c r="H110" i="2" s="1"/>
  <c r="L110" i="2"/>
  <c r="S110" i="2" s="1"/>
  <c r="V109" i="2"/>
  <c r="T109" i="2"/>
  <c r="T109" i="1"/>
  <c r="V109" i="1"/>
  <c r="L110" i="1"/>
  <c r="S110" i="1" s="1"/>
  <c r="I110" i="1"/>
  <c r="J110" i="1" s="1"/>
  <c r="H110" i="1" s="1"/>
  <c r="I111" i="2" l="1"/>
  <c r="J111" i="2" s="1"/>
  <c r="H111" i="2" s="1"/>
  <c r="L111" i="2"/>
  <c r="S111" i="2" s="1"/>
  <c r="V110" i="2"/>
  <c r="T110" i="2"/>
  <c r="L111" i="1"/>
  <c r="S111" i="1" s="1"/>
  <c r="I111" i="1"/>
  <c r="J111" i="1" s="1"/>
  <c r="H111" i="1" s="1"/>
  <c r="T110" i="1"/>
  <c r="V110" i="1"/>
  <c r="L112" i="2" l="1"/>
  <c r="S112" i="2" s="1"/>
  <c r="I112" i="2"/>
  <c r="J112" i="2" s="1"/>
  <c r="H112" i="2"/>
  <c r="V111" i="2"/>
  <c r="T111" i="2"/>
  <c r="I112" i="1"/>
  <c r="J112" i="1" s="1"/>
  <c r="H112" i="1" s="1"/>
  <c r="L112" i="1"/>
  <c r="S112" i="1" s="1"/>
  <c r="V111" i="1"/>
  <c r="T111" i="1"/>
  <c r="L113" i="2" l="1"/>
  <c r="S113" i="2" s="1"/>
  <c r="I113" i="2"/>
  <c r="J113" i="2" s="1"/>
  <c r="H113" i="2"/>
  <c r="V112" i="2"/>
  <c r="T112" i="2"/>
  <c r="V112" i="1"/>
  <c r="T112" i="1"/>
  <c r="L113" i="1"/>
  <c r="S113" i="1" s="1"/>
  <c r="I113" i="1"/>
  <c r="J113" i="1" s="1"/>
  <c r="H113" i="1" s="1"/>
  <c r="L114" i="2" l="1"/>
  <c r="S114" i="2" s="1"/>
  <c r="I114" i="2"/>
  <c r="J114" i="2" s="1"/>
  <c r="H114" i="2"/>
  <c r="T113" i="2"/>
  <c r="V113" i="2"/>
  <c r="I114" i="1"/>
  <c r="J114" i="1" s="1"/>
  <c r="H114" i="1"/>
  <c r="L114" i="1"/>
  <c r="S114" i="1" s="1"/>
  <c r="V113" i="1"/>
  <c r="T113" i="1"/>
  <c r="I115" i="2" l="1"/>
  <c r="J115" i="2" s="1"/>
  <c r="H115" i="2" s="1"/>
  <c r="L115" i="2"/>
  <c r="S115" i="2" s="1"/>
  <c r="V114" i="2"/>
  <c r="T114" i="2"/>
  <c r="V114" i="1"/>
  <c r="T114" i="1"/>
  <c r="I115" i="1"/>
  <c r="J115" i="1" s="1"/>
  <c r="H115" i="1"/>
  <c r="L115" i="1"/>
  <c r="S115" i="1" s="1"/>
  <c r="I116" i="2" l="1"/>
  <c r="J116" i="2" s="1"/>
  <c r="H116" i="2"/>
  <c r="L116" i="2"/>
  <c r="S116" i="2" s="1"/>
  <c r="V115" i="2"/>
  <c r="T115" i="2"/>
  <c r="V115" i="1"/>
  <c r="T115" i="1"/>
  <c r="L116" i="1"/>
  <c r="S116" i="1" s="1"/>
  <c r="I116" i="1"/>
  <c r="J116" i="1" s="1"/>
  <c r="H116" i="1" s="1"/>
  <c r="L117" i="2" l="1"/>
  <c r="S117" i="2" s="1"/>
  <c r="I117" i="2"/>
  <c r="J117" i="2" s="1"/>
  <c r="H117" i="2"/>
  <c r="V116" i="2"/>
  <c r="T116" i="2"/>
  <c r="L117" i="1"/>
  <c r="S117" i="1" s="1"/>
  <c r="I117" i="1"/>
  <c r="J117" i="1" s="1"/>
  <c r="H117" i="1" s="1"/>
  <c r="V116" i="1"/>
  <c r="T116" i="1"/>
  <c r="L118" i="2" l="1"/>
  <c r="S118" i="2" s="1"/>
  <c r="I118" i="2"/>
  <c r="J118" i="2" s="1"/>
  <c r="H118" i="2"/>
  <c r="V117" i="2"/>
  <c r="T117" i="2"/>
  <c r="L118" i="1"/>
  <c r="S118" i="1" s="1"/>
  <c r="I118" i="1"/>
  <c r="J118" i="1" s="1"/>
  <c r="H118" i="1"/>
  <c r="V117" i="1"/>
  <c r="T117" i="1"/>
  <c r="L119" i="2" l="1"/>
  <c r="S119" i="2" s="1"/>
  <c r="I119" i="2"/>
  <c r="J119" i="2" s="1"/>
  <c r="H119" i="2"/>
  <c r="T118" i="2"/>
  <c r="V118" i="2"/>
  <c r="I119" i="1"/>
  <c r="J119" i="1" s="1"/>
  <c r="H119" i="1" s="1"/>
  <c r="L119" i="1"/>
  <c r="S119" i="1" s="1"/>
  <c r="V118" i="1"/>
  <c r="T118" i="1"/>
  <c r="L120" i="2" l="1"/>
  <c r="S120" i="2" s="1"/>
  <c r="I120" i="2"/>
  <c r="J120" i="2" s="1"/>
  <c r="H120" i="2" s="1"/>
  <c r="V119" i="2"/>
  <c r="T119" i="2"/>
  <c r="T119" i="1"/>
  <c r="V119" i="1"/>
  <c r="I120" i="1"/>
  <c r="J120" i="1" s="1"/>
  <c r="L120" i="1"/>
  <c r="S120" i="1" s="1"/>
  <c r="H120" i="1"/>
  <c r="I121" i="2" l="1"/>
  <c r="J121" i="2" s="1"/>
  <c r="H121" i="2"/>
  <c r="L121" i="2"/>
  <c r="S121" i="2" s="1"/>
  <c r="V120" i="2"/>
  <c r="T120" i="2"/>
  <c r="V120" i="1"/>
  <c r="T120" i="1"/>
  <c r="L121" i="1"/>
  <c r="S121" i="1" s="1"/>
  <c r="I121" i="1"/>
  <c r="J121" i="1" s="1"/>
  <c r="H121" i="1"/>
  <c r="V121" i="2" l="1"/>
  <c r="T121" i="2"/>
  <c r="L122" i="2"/>
  <c r="S122" i="2" s="1"/>
  <c r="I122" i="2"/>
  <c r="J122" i="2" s="1"/>
  <c r="H122" i="2"/>
  <c r="L122" i="1"/>
  <c r="S122" i="1" s="1"/>
  <c r="I122" i="1"/>
  <c r="J122" i="1" s="1"/>
  <c r="H122" i="1"/>
  <c r="V121" i="1"/>
  <c r="T121" i="1"/>
  <c r="L123" i="2" l="1"/>
  <c r="S123" i="2" s="1"/>
  <c r="I123" i="2"/>
  <c r="J123" i="2" s="1"/>
  <c r="H123" i="2"/>
  <c r="V122" i="2"/>
  <c r="T122" i="2"/>
  <c r="I123" i="1"/>
  <c r="J123" i="1" s="1"/>
  <c r="H123" i="1" s="1"/>
  <c r="L123" i="1"/>
  <c r="S123" i="1" s="1"/>
  <c r="V122" i="1"/>
  <c r="T122" i="1"/>
  <c r="L124" i="2" l="1"/>
  <c r="S124" i="2" s="1"/>
  <c r="I124" i="2"/>
  <c r="J124" i="2" s="1"/>
  <c r="H124" i="2"/>
  <c r="T123" i="2"/>
  <c r="V123" i="2"/>
  <c r="V123" i="1"/>
  <c r="T123" i="1"/>
  <c r="I124" i="1"/>
  <c r="J124" i="1" s="1"/>
  <c r="H124" i="1" s="1"/>
  <c r="L124" i="1"/>
  <c r="S124" i="1" s="1"/>
  <c r="T124" i="1" s="1"/>
  <c r="I125" i="2" l="1"/>
  <c r="J125" i="2" s="1"/>
  <c r="H125" i="2"/>
  <c r="L125" i="2"/>
  <c r="S125" i="2" s="1"/>
  <c r="T125" i="2" s="1"/>
  <c r="T124" i="2"/>
  <c r="L125" i="1"/>
  <c r="S125" i="1" s="1"/>
  <c r="I125" i="1"/>
  <c r="J125" i="1" s="1"/>
  <c r="H125" i="1" s="1"/>
  <c r="L126" i="2" l="1"/>
  <c r="S126" i="2" s="1"/>
  <c r="I126" i="2"/>
  <c r="J126" i="2" s="1"/>
  <c r="H126" i="2" s="1"/>
  <c r="L126" i="1"/>
  <c r="S126" i="1" s="1"/>
  <c r="I126" i="1"/>
  <c r="J126" i="1" s="1"/>
  <c r="H126" i="1" s="1"/>
  <c r="T125" i="1"/>
  <c r="L127" i="2" l="1"/>
  <c r="S127" i="2" s="1"/>
  <c r="I127" i="2"/>
  <c r="J127" i="2" s="1"/>
  <c r="H127" i="2"/>
  <c r="T126" i="2"/>
  <c r="I127" i="1"/>
  <c r="J127" i="1" s="1"/>
  <c r="H127" i="1" s="1"/>
  <c r="L127" i="1"/>
  <c r="S127" i="1" s="1"/>
  <c r="T127" i="1" s="1"/>
  <c r="T126" i="1"/>
  <c r="L128" i="2" l="1"/>
  <c r="S128" i="2" s="1"/>
  <c r="I128" i="2"/>
  <c r="J128" i="2" s="1"/>
  <c r="H128" i="2" s="1"/>
  <c r="T127" i="2"/>
  <c r="I128" i="1"/>
  <c r="J128" i="1" s="1"/>
  <c r="H128" i="1" s="1"/>
  <c r="L128" i="1"/>
  <c r="S128" i="1" s="1"/>
  <c r="T128" i="1" l="1"/>
  <c r="I129" i="2"/>
  <c r="J129" i="2" s="1"/>
  <c r="H129" i="2"/>
  <c r="L129" i="2"/>
  <c r="S129" i="2" s="1"/>
  <c r="T129" i="2" s="1"/>
  <c r="T128" i="2"/>
  <c r="L129" i="1"/>
  <c r="S129" i="1" s="1"/>
  <c r="I129" i="1"/>
  <c r="J129" i="1" s="1"/>
  <c r="H129" i="1" s="1"/>
  <c r="L130" i="2" l="1"/>
  <c r="S130" i="2" s="1"/>
  <c r="I130" i="2"/>
  <c r="J130" i="2" s="1"/>
  <c r="H130" i="2"/>
  <c r="L130" i="1"/>
  <c r="S130" i="1" s="1"/>
  <c r="I130" i="1"/>
  <c r="J130" i="1" s="1"/>
  <c r="H130" i="1"/>
  <c r="T129" i="1"/>
  <c r="L131" i="2" l="1"/>
  <c r="S131" i="2" s="1"/>
  <c r="I131" i="2"/>
  <c r="J131" i="2" s="1"/>
  <c r="H131" i="2" s="1"/>
  <c r="T130" i="2"/>
  <c r="I131" i="1"/>
  <c r="J131" i="1" s="1"/>
  <c r="H131" i="1" s="1"/>
  <c r="L131" i="1"/>
  <c r="S131" i="1" s="1"/>
  <c r="T131" i="1" s="1"/>
  <c r="T130" i="1"/>
  <c r="L132" i="2" l="1"/>
  <c r="S132" i="2" s="1"/>
  <c r="I132" i="2"/>
  <c r="J132" i="2" s="1"/>
  <c r="H132" i="2"/>
  <c r="T131" i="2"/>
  <c r="L132" i="1"/>
  <c r="S132" i="1" s="1"/>
  <c r="I132" i="1"/>
  <c r="J132" i="1" s="1"/>
  <c r="H132" i="1"/>
  <c r="I133" i="2" l="1"/>
  <c r="J133" i="2" s="1"/>
  <c r="L133" i="2"/>
  <c r="S133" i="2" s="1"/>
  <c r="T133" i="2" s="1"/>
  <c r="H133" i="2"/>
  <c r="T132" i="2"/>
  <c r="I133" i="1"/>
  <c r="J133" i="1" s="1"/>
  <c r="H133" i="1"/>
  <c r="L133" i="1"/>
  <c r="S133" i="1" s="1"/>
  <c r="T133" i="1" s="1"/>
  <c r="T132" i="1"/>
  <c r="L134" i="2" l="1"/>
  <c r="S134" i="2" s="1"/>
  <c r="I134" i="2"/>
  <c r="J134" i="2" s="1"/>
  <c r="H134" i="2" s="1"/>
  <c r="I134" i="1"/>
  <c r="J134" i="1" s="1"/>
  <c r="H134" i="1" s="1"/>
  <c r="L134" i="1"/>
  <c r="S134" i="1" s="1"/>
  <c r="T134" i="1" l="1"/>
  <c r="L135" i="2"/>
  <c r="S135" i="2" s="1"/>
  <c r="I135" i="2"/>
  <c r="J135" i="2" s="1"/>
  <c r="H135" i="2" s="1"/>
  <c r="T134" i="2"/>
  <c r="L135" i="1"/>
  <c r="S135" i="1" s="1"/>
  <c r="I135" i="1"/>
  <c r="J135" i="1" s="1"/>
  <c r="H135" i="1" s="1"/>
  <c r="I136" i="2" l="1"/>
  <c r="J136" i="2" s="1"/>
  <c r="H136" i="2"/>
  <c r="L136" i="2"/>
  <c r="S136" i="2" s="1"/>
  <c r="T136" i="2" s="1"/>
  <c r="T135" i="2"/>
  <c r="L136" i="1"/>
  <c r="S136" i="1" s="1"/>
  <c r="I136" i="1"/>
  <c r="J136" i="1" s="1"/>
  <c r="H136" i="1"/>
  <c r="T135" i="1"/>
  <c r="L137" i="2" l="1"/>
  <c r="S137" i="2" s="1"/>
  <c r="I137" i="2"/>
  <c r="J137" i="2" s="1"/>
  <c r="H137" i="2" s="1"/>
  <c r="I137" i="1"/>
  <c r="J137" i="1" s="1"/>
  <c r="H137" i="1" s="1"/>
  <c r="L137" i="1"/>
  <c r="S137" i="1" s="1"/>
  <c r="T137" i="1" s="1"/>
  <c r="T136" i="1"/>
  <c r="I138" i="2" l="1"/>
  <c r="J138" i="2" s="1"/>
  <c r="H138" i="2"/>
  <c r="L138" i="2"/>
  <c r="S138" i="2" s="1"/>
  <c r="T138" i="2" s="1"/>
  <c r="T137" i="2"/>
  <c r="I138" i="1"/>
  <c r="J138" i="1" s="1"/>
  <c r="L138" i="1"/>
  <c r="S138" i="1" s="1"/>
  <c r="T138" i="1" s="1"/>
  <c r="H138" i="1"/>
  <c r="L139" i="2" l="1"/>
  <c r="S139" i="2" s="1"/>
  <c r="I139" i="2"/>
  <c r="J139" i="2" s="1"/>
  <c r="H139" i="2" s="1"/>
  <c r="L139" i="1"/>
  <c r="S139" i="1" s="1"/>
  <c r="I139" i="1"/>
  <c r="J139" i="1" s="1"/>
  <c r="H139" i="1" s="1"/>
  <c r="L140" i="2" l="1"/>
  <c r="S140" i="2" s="1"/>
  <c r="I140" i="2"/>
  <c r="J140" i="2" s="1"/>
  <c r="H140" i="2" s="1"/>
  <c r="T139" i="2"/>
  <c r="I140" i="1"/>
  <c r="J140" i="1" s="1"/>
  <c r="L140" i="1"/>
  <c r="S140" i="1" s="1"/>
  <c r="T140" i="1" s="1"/>
  <c r="H140" i="1"/>
  <c r="T139" i="1"/>
  <c r="L141" i="2" l="1"/>
  <c r="S141" i="2" s="1"/>
  <c r="T141" i="2" s="1"/>
  <c r="I141" i="2"/>
  <c r="J141" i="2" s="1"/>
  <c r="H141" i="2"/>
  <c r="T140" i="2"/>
  <c r="I141" i="1"/>
  <c r="J141" i="1" s="1"/>
  <c r="H141" i="1" s="1"/>
  <c r="L141" i="1"/>
  <c r="S141" i="1" s="1"/>
  <c r="T141" i="1" s="1"/>
  <c r="L142" i="2" l="1"/>
  <c r="S142" i="2" s="1"/>
  <c r="I142" i="2"/>
  <c r="J142" i="2" s="1"/>
  <c r="H142" i="2" s="1"/>
  <c r="L142" i="1"/>
  <c r="S142" i="1" s="1"/>
  <c r="I142" i="1"/>
  <c r="J142" i="1" s="1"/>
  <c r="H142" i="1"/>
  <c r="I143" i="2" l="1"/>
  <c r="J143" i="2" s="1"/>
  <c r="L143" i="2"/>
  <c r="S143" i="2" s="1"/>
  <c r="T143" i="2" s="1"/>
  <c r="H143" i="2"/>
  <c r="T142" i="2"/>
  <c r="I143" i="1"/>
  <c r="J143" i="1" s="1"/>
  <c r="H143" i="1"/>
  <c r="L143" i="1"/>
  <c r="S143" i="1" s="1"/>
  <c r="T143" i="1" s="1"/>
  <c r="T142" i="1"/>
  <c r="L144" i="2" l="1"/>
  <c r="S144" i="2" s="1"/>
  <c r="I144" i="2"/>
  <c r="J144" i="2" s="1"/>
  <c r="H144" i="2" s="1"/>
  <c r="I144" i="1"/>
  <c r="J144" i="1" s="1"/>
  <c r="H144" i="1"/>
  <c r="L144" i="1"/>
  <c r="S144" i="1" s="1"/>
  <c r="T144" i="1" s="1"/>
  <c r="L145" i="2" l="1"/>
  <c r="S145" i="2" s="1"/>
  <c r="T145" i="2" s="1"/>
  <c r="I145" i="2"/>
  <c r="J145" i="2" s="1"/>
  <c r="H145" i="2"/>
  <c r="T144" i="2"/>
  <c r="L145" i="1"/>
  <c r="S145" i="1" s="1"/>
  <c r="I145" i="1"/>
  <c r="J145" i="1" s="1"/>
  <c r="H145" i="1"/>
  <c r="I146" i="2" l="1"/>
  <c r="J146" i="2" s="1"/>
  <c r="H146" i="2"/>
  <c r="L146" i="2"/>
  <c r="S146" i="2" s="1"/>
  <c r="T146" i="2" s="1"/>
  <c r="L146" i="1"/>
  <c r="S146" i="1" s="1"/>
  <c r="I146" i="1"/>
  <c r="J146" i="1" s="1"/>
  <c r="H146" i="1"/>
  <c r="T145" i="1"/>
  <c r="L147" i="2" l="1"/>
  <c r="S147" i="2" s="1"/>
  <c r="I147" i="2"/>
  <c r="J147" i="2" s="1"/>
  <c r="H147" i="2" s="1"/>
  <c r="I147" i="1"/>
  <c r="J147" i="1" s="1"/>
  <c r="H147" i="1" s="1"/>
  <c r="L147" i="1"/>
  <c r="S147" i="1" s="1"/>
  <c r="T147" i="1" s="1"/>
  <c r="T146" i="1"/>
  <c r="L148" i="2" l="1"/>
  <c r="S148" i="2" s="1"/>
  <c r="I148" i="2"/>
  <c r="J148" i="2" s="1"/>
  <c r="H148" i="2" s="1"/>
  <c r="T147" i="2"/>
  <c r="I148" i="1"/>
  <c r="J148" i="1" s="1"/>
  <c r="H148" i="1" s="1"/>
  <c r="L148" i="1"/>
  <c r="S148" i="1" s="1"/>
  <c r="T148" i="1" s="1"/>
  <c r="I149" i="2" l="1"/>
  <c r="J149" i="2" s="1"/>
  <c r="H149" i="2"/>
  <c r="L149" i="2"/>
  <c r="S149" i="2" s="1"/>
  <c r="T149" i="2" s="1"/>
  <c r="T148" i="2"/>
  <c r="L149" i="1"/>
  <c r="S149" i="1" s="1"/>
  <c r="I149" i="1"/>
  <c r="J149" i="1" s="1"/>
  <c r="H149" i="1"/>
  <c r="L150" i="2" l="1"/>
  <c r="S150" i="2" s="1"/>
  <c r="I150" i="2"/>
  <c r="J150" i="2" s="1"/>
  <c r="H150" i="2"/>
  <c r="L150" i="1"/>
  <c r="S150" i="1" s="1"/>
  <c r="I150" i="1"/>
  <c r="J150" i="1" s="1"/>
  <c r="H150" i="1" s="1"/>
  <c r="T149" i="1"/>
  <c r="L151" i="2" l="1"/>
  <c r="S151" i="2" s="1"/>
  <c r="I151" i="2"/>
  <c r="J151" i="2" s="1"/>
  <c r="H151" i="2"/>
  <c r="T150" i="2"/>
  <c r="I151" i="1"/>
  <c r="J151" i="1" s="1"/>
  <c r="H151" i="1"/>
  <c r="L151" i="1"/>
  <c r="S151" i="1" s="1"/>
  <c r="T151" i="1" s="1"/>
  <c r="T150" i="1"/>
  <c r="I152" i="2" l="1"/>
  <c r="J152" i="2" s="1"/>
  <c r="H152" i="2"/>
  <c r="L152" i="2"/>
  <c r="S152" i="2" s="1"/>
  <c r="T152" i="2" s="1"/>
  <c r="T151" i="2"/>
  <c r="L152" i="1"/>
  <c r="S152" i="1" s="1"/>
  <c r="I152" i="1"/>
  <c r="J152" i="1" s="1"/>
  <c r="H152" i="1"/>
  <c r="L153" i="2" l="1"/>
  <c r="S153" i="2" s="1"/>
  <c r="I153" i="2"/>
  <c r="J153" i="2" s="1"/>
  <c r="H153" i="2"/>
  <c r="I153" i="1"/>
  <c r="J153" i="1" s="1"/>
  <c r="L153" i="1"/>
  <c r="S153" i="1" s="1"/>
  <c r="T153" i="1" s="1"/>
  <c r="H153" i="1"/>
  <c r="T152" i="1"/>
  <c r="L154" i="2" l="1"/>
  <c r="S154" i="2" s="1"/>
  <c r="I154" i="2"/>
  <c r="J154" i="2" s="1"/>
  <c r="H154" i="2" s="1"/>
  <c r="T153" i="2"/>
  <c r="I154" i="1"/>
  <c r="J154" i="1" s="1"/>
  <c r="H154" i="1"/>
  <c r="L154" i="1"/>
  <c r="S154" i="1" s="1"/>
  <c r="T154" i="1" s="1"/>
  <c r="I155" i="2" l="1"/>
  <c r="J155" i="2" s="1"/>
  <c r="L155" i="2"/>
  <c r="S155" i="2" s="1"/>
  <c r="T155" i="2" s="1"/>
  <c r="H155" i="2"/>
  <c r="T154" i="2"/>
  <c r="L155" i="1"/>
  <c r="S155" i="1" s="1"/>
  <c r="I155" i="1"/>
  <c r="J155" i="1" s="1"/>
  <c r="H155" i="1"/>
  <c r="L156" i="2" l="1"/>
  <c r="S156" i="2" s="1"/>
  <c r="I156" i="2"/>
  <c r="J156" i="2" s="1"/>
  <c r="H156" i="2"/>
  <c r="L156" i="1"/>
  <c r="S156" i="1" s="1"/>
  <c r="I156" i="1"/>
  <c r="J156" i="1" s="1"/>
  <c r="H156" i="1" s="1"/>
  <c r="T155" i="1"/>
  <c r="I157" i="2" l="1"/>
  <c r="J157" i="2" s="1"/>
  <c r="H157" i="2"/>
  <c r="L157" i="2"/>
  <c r="S157" i="2" s="1"/>
  <c r="T157" i="2" s="1"/>
  <c r="T156" i="2"/>
  <c r="L157" i="1"/>
  <c r="S157" i="1" s="1"/>
  <c r="I157" i="1"/>
  <c r="J157" i="1" s="1"/>
  <c r="H157" i="1" s="1"/>
  <c r="T156" i="1"/>
  <c r="T157" i="1" l="1"/>
  <c r="L158" i="2"/>
  <c r="S158" i="2" s="1"/>
  <c r="I158" i="2"/>
  <c r="J158" i="2" s="1"/>
  <c r="H158" i="2" s="1"/>
  <c r="I158" i="1"/>
  <c r="J158" i="1" s="1"/>
  <c r="L158" i="1"/>
  <c r="S158" i="1" s="1"/>
  <c r="T158" i="1" s="1"/>
  <c r="H158" i="1"/>
  <c r="L159" i="2" l="1"/>
  <c r="S159" i="2" s="1"/>
  <c r="I159" i="2"/>
  <c r="J159" i="2" s="1"/>
  <c r="H159" i="2"/>
  <c r="T158" i="2"/>
  <c r="L159" i="1"/>
  <c r="S159" i="1" s="1"/>
  <c r="I159" i="1"/>
  <c r="J159" i="1" s="1"/>
  <c r="H159" i="1" s="1"/>
  <c r="I160" i="2" l="1"/>
  <c r="J160" i="2" s="1"/>
  <c r="H160" i="2"/>
  <c r="L160" i="2"/>
  <c r="S160" i="2" s="1"/>
  <c r="T160" i="2" s="1"/>
  <c r="T159" i="2"/>
  <c r="I160" i="1"/>
  <c r="J160" i="1" s="1"/>
  <c r="L160" i="1"/>
  <c r="S160" i="1" s="1"/>
  <c r="T160" i="1" s="1"/>
  <c r="H160" i="1"/>
  <c r="T159" i="1"/>
  <c r="L161" i="2" l="1"/>
  <c r="S161" i="2" s="1"/>
  <c r="I161" i="2"/>
  <c r="J161" i="2" s="1"/>
  <c r="H161" i="2"/>
  <c r="I161" i="1"/>
  <c r="J161" i="1" s="1"/>
  <c r="H161" i="1"/>
  <c r="L161" i="1"/>
  <c r="S161" i="1" s="1"/>
  <c r="T161" i="1" s="1"/>
  <c r="L162" i="2" l="1"/>
  <c r="S162" i="2" s="1"/>
  <c r="I162" i="2"/>
  <c r="J162" i="2" s="1"/>
  <c r="H162" i="2"/>
  <c r="T161" i="2"/>
  <c r="L162" i="1"/>
  <c r="S162" i="1" s="1"/>
  <c r="I162" i="1"/>
  <c r="J162" i="1" s="1"/>
  <c r="H162" i="1" s="1"/>
  <c r="I163" i="2" l="1"/>
  <c r="J163" i="2" s="1"/>
  <c r="H163" i="2"/>
  <c r="L163" i="2"/>
  <c r="S163" i="2" s="1"/>
  <c r="T163" i="2" s="1"/>
  <c r="T162" i="2"/>
  <c r="L163" i="1"/>
  <c r="S163" i="1" s="1"/>
  <c r="I163" i="1"/>
  <c r="J163" i="1" s="1"/>
  <c r="H163" i="1"/>
  <c r="T162" i="1"/>
  <c r="L164" i="2" l="1"/>
  <c r="S164" i="2" s="1"/>
  <c r="T164" i="2" s="1"/>
  <c r="I164" i="2"/>
  <c r="J164" i="2" s="1"/>
  <c r="H164" i="2"/>
  <c r="I164" i="1"/>
  <c r="J164" i="1" s="1"/>
  <c r="H164" i="1" s="1"/>
  <c r="L164" i="1"/>
  <c r="S164" i="1" s="1"/>
  <c r="T163" i="1"/>
  <c r="T164" i="1" l="1"/>
  <c r="I165" i="2"/>
  <c r="J165" i="2" s="1"/>
  <c r="H165" i="2" s="1"/>
  <c r="L165" i="2"/>
  <c r="S165" i="2" s="1"/>
  <c r="T165" i="2" s="1"/>
  <c r="L165" i="1"/>
  <c r="S165" i="1" s="1"/>
  <c r="I165" i="1"/>
  <c r="J165" i="1" s="1"/>
  <c r="H165" i="1"/>
  <c r="L166" i="2" l="1"/>
  <c r="S166" i="2" s="1"/>
  <c r="I166" i="2"/>
  <c r="J166" i="2" s="1"/>
  <c r="H166" i="2"/>
  <c r="I166" i="1"/>
  <c r="J166" i="1" s="1"/>
  <c r="H166" i="1"/>
  <c r="L166" i="1"/>
  <c r="S166" i="1" s="1"/>
  <c r="T166" i="1" s="1"/>
  <c r="T165" i="1"/>
  <c r="L167" i="2" l="1"/>
  <c r="S167" i="2" s="1"/>
  <c r="I167" i="2"/>
  <c r="J167" i="2" s="1"/>
  <c r="H167" i="2"/>
  <c r="T166" i="2"/>
  <c r="L167" i="1"/>
  <c r="S167" i="1" s="1"/>
  <c r="I167" i="1"/>
  <c r="J167" i="1" s="1"/>
  <c r="H167" i="1" s="1"/>
  <c r="I168" i="2" l="1"/>
  <c r="J168" i="2" s="1"/>
  <c r="H168" i="2" s="1"/>
  <c r="L168" i="2"/>
  <c r="S168" i="2" s="1"/>
  <c r="T168" i="2" s="1"/>
  <c r="T167" i="2"/>
  <c r="I168" i="1"/>
  <c r="J168" i="1" s="1"/>
  <c r="H168" i="1" s="1"/>
  <c r="L168" i="1"/>
  <c r="S168" i="1" s="1"/>
  <c r="T167" i="1"/>
  <c r="T168" i="1" l="1"/>
  <c r="L169" i="2"/>
  <c r="S169" i="2" s="1"/>
  <c r="I169" i="2"/>
  <c r="J169" i="2" s="1"/>
  <c r="H169" i="2" s="1"/>
  <c r="L169" i="1"/>
  <c r="S169" i="1" s="1"/>
  <c r="I169" i="1"/>
  <c r="J169" i="1" s="1"/>
  <c r="H169" i="1" s="1"/>
  <c r="L170" i="2" l="1"/>
  <c r="S170" i="2" s="1"/>
  <c r="I170" i="2"/>
  <c r="J170" i="2" s="1"/>
  <c r="H170" i="2"/>
  <c r="T169" i="2"/>
  <c r="I170" i="1"/>
  <c r="J170" i="1" s="1"/>
  <c r="H170" i="1" s="1"/>
  <c r="L170" i="1"/>
  <c r="S170" i="1" s="1"/>
  <c r="T170" i="1" s="1"/>
  <c r="T169" i="1"/>
  <c r="I171" i="2" l="1"/>
  <c r="J171" i="2" s="1"/>
  <c r="H171" i="2" s="1"/>
  <c r="L171" i="2"/>
  <c r="S171" i="2" s="1"/>
  <c r="T170" i="2"/>
  <c r="I171" i="1"/>
  <c r="J171" i="1" s="1"/>
  <c r="H171" i="1" s="1"/>
  <c r="L171" i="1"/>
  <c r="S171" i="1" s="1"/>
  <c r="T171" i="1" l="1"/>
  <c r="L172" i="2"/>
  <c r="S172" i="2" s="1"/>
  <c r="I172" i="2"/>
  <c r="J172" i="2" s="1"/>
  <c r="H172" i="2" s="1"/>
  <c r="T171" i="2"/>
  <c r="L172" i="1"/>
  <c r="S172" i="1" s="1"/>
  <c r="I172" i="1"/>
  <c r="J172" i="1" s="1"/>
  <c r="H172" i="1" s="1"/>
  <c r="L173" i="2" l="1"/>
  <c r="S173" i="2" s="1"/>
  <c r="I173" i="2"/>
  <c r="J173" i="2" s="1"/>
  <c r="H173" i="2" s="1"/>
  <c r="T172" i="2"/>
  <c r="L173" i="1"/>
  <c r="S173" i="1" s="1"/>
  <c r="I173" i="1"/>
  <c r="J173" i="1" s="1"/>
  <c r="H173" i="1" s="1"/>
  <c r="T172" i="1"/>
  <c r="L174" i="2" l="1"/>
  <c r="S174" i="2" s="1"/>
  <c r="I174" i="2"/>
  <c r="J174" i="2" s="1"/>
  <c r="H174" i="2"/>
  <c r="T173" i="2"/>
  <c r="I174" i="1"/>
  <c r="J174" i="1" s="1"/>
  <c r="H174" i="1"/>
  <c r="L174" i="1"/>
  <c r="S174" i="1" s="1"/>
  <c r="T174" i="1" s="1"/>
  <c r="T173" i="1"/>
  <c r="I175" i="2" l="1"/>
  <c r="J175" i="2" s="1"/>
  <c r="L175" i="2"/>
  <c r="S175" i="2" s="1"/>
  <c r="T175" i="2" s="1"/>
  <c r="H175" i="2"/>
  <c r="T174" i="2"/>
  <c r="L175" i="1"/>
  <c r="S175" i="1" s="1"/>
  <c r="I175" i="1"/>
  <c r="J175" i="1" s="1"/>
  <c r="H175" i="1"/>
  <c r="L176" i="2" l="1"/>
  <c r="S176" i="2" s="1"/>
  <c r="I176" i="2"/>
  <c r="J176" i="2" s="1"/>
  <c r="H176" i="2"/>
  <c r="L176" i="1"/>
  <c r="S176" i="1" s="1"/>
  <c r="I176" i="1"/>
  <c r="J176" i="1" s="1"/>
  <c r="H176" i="1" s="1"/>
  <c r="T175" i="1"/>
  <c r="L177" i="2" l="1"/>
  <c r="S177" i="2" s="1"/>
  <c r="I177" i="2"/>
  <c r="J177" i="2" s="1"/>
  <c r="H177" i="2"/>
  <c r="T176" i="2"/>
  <c r="L177" i="1"/>
  <c r="S177" i="1" s="1"/>
  <c r="I177" i="1"/>
  <c r="J177" i="1" s="1"/>
  <c r="H177" i="1" s="1"/>
  <c r="T176" i="1"/>
  <c r="L178" i="2" l="1"/>
  <c r="S178" i="2" s="1"/>
  <c r="I178" i="2"/>
  <c r="J178" i="2" s="1"/>
  <c r="H178" i="2" s="1"/>
  <c r="T177" i="2"/>
  <c r="L178" i="1"/>
  <c r="S178" i="1" s="1"/>
  <c r="I178" i="1"/>
  <c r="J178" i="1" s="1"/>
  <c r="H178" i="1"/>
  <c r="T177" i="1"/>
  <c r="I179" i="2" l="1"/>
  <c r="J179" i="2" s="1"/>
  <c r="H179" i="2" s="1"/>
  <c r="L179" i="2"/>
  <c r="S179" i="2" s="1"/>
  <c r="T178" i="2"/>
  <c r="I179" i="1"/>
  <c r="J179" i="1" s="1"/>
  <c r="H179" i="1"/>
  <c r="L179" i="1"/>
  <c r="S179" i="1" s="1"/>
  <c r="T179" i="1" s="1"/>
  <c r="T178" i="1"/>
  <c r="L180" i="2" l="1"/>
  <c r="S180" i="2" s="1"/>
  <c r="I180" i="2"/>
  <c r="J180" i="2" s="1"/>
  <c r="H180" i="2"/>
  <c r="T179" i="2"/>
  <c r="L180" i="1"/>
  <c r="S180" i="1" s="1"/>
  <c r="I180" i="1"/>
  <c r="J180" i="1" s="1"/>
  <c r="H180" i="1" s="1"/>
  <c r="L181" i="2" l="1"/>
  <c r="S181" i="2" s="1"/>
  <c r="I181" i="2"/>
  <c r="J181" i="2" s="1"/>
  <c r="H181" i="2" s="1"/>
  <c r="T180" i="2"/>
  <c r="L181" i="1"/>
  <c r="S181" i="1" s="1"/>
  <c r="I181" i="1"/>
  <c r="J181" i="1" s="1"/>
  <c r="H181" i="1" s="1"/>
  <c r="T180" i="1"/>
  <c r="L182" i="2" l="1"/>
  <c r="S182" i="2" s="1"/>
  <c r="I182" i="2"/>
  <c r="J182" i="2" s="1"/>
  <c r="H182" i="2"/>
  <c r="T181" i="2"/>
  <c r="L182" i="1"/>
  <c r="S182" i="1" s="1"/>
  <c r="I182" i="1"/>
  <c r="J182" i="1" s="1"/>
  <c r="H182" i="1" s="1"/>
  <c r="T181" i="1"/>
  <c r="L183" i="2" l="1"/>
  <c r="S183" i="2" s="1"/>
  <c r="I183" i="2"/>
  <c r="J183" i="2" s="1"/>
  <c r="H183" i="2"/>
  <c r="T182" i="2"/>
  <c r="L183" i="1"/>
  <c r="S183" i="1" s="1"/>
  <c r="I183" i="1"/>
  <c r="J183" i="1" s="1"/>
  <c r="H183" i="1"/>
  <c r="T182" i="1"/>
  <c r="I184" i="2" l="1"/>
  <c r="J184" i="2" s="1"/>
  <c r="H184" i="2"/>
  <c r="L184" i="2"/>
  <c r="S184" i="2" s="1"/>
  <c r="T184" i="2" s="1"/>
  <c r="T183" i="2"/>
  <c r="L184" i="1"/>
  <c r="S184" i="1" s="1"/>
  <c r="I184" i="1"/>
  <c r="J184" i="1" s="1"/>
  <c r="H184" i="1" s="1"/>
  <c r="T183" i="1"/>
  <c r="I185" i="2" l="1"/>
  <c r="J185" i="2" s="1"/>
  <c r="L185" i="2"/>
  <c r="S185" i="2" s="1"/>
  <c r="T185" i="2" s="1"/>
  <c r="H185" i="2"/>
  <c r="I185" i="1"/>
  <c r="J185" i="1" s="1"/>
  <c r="H185" i="1" s="1"/>
  <c r="L185" i="1"/>
  <c r="S185" i="1" s="1"/>
  <c r="T184" i="1"/>
  <c r="T185" i="1" l="1"/>
  <c r="L186" i="2"/>
  <c r="S186" i="2" s="1"/>
  <c r="T186" i="2" s="1"/>
  <c r="I186" i="2"/>
  <c r="J186" i="2" s="1"/>
  <c r="H186" i="2"/>
  <c r="I186" i="1"/>
  <c r="J186" i="1" s="1"/>
  <c r="L186" i="1"/>
  <c r="S186" i="1" s="1"/>
  <c r="T186" i="1" s="1"/>
  <c r="H186" i="1"/>
  <c r="I187" i="2" l="1"/>
  <c r="J187" i="2" s="1"/>
  <c r="H187" i="2" s="1"/>
  <c r="L187" i="2"/>
  <c r="S187" i="2" s="1"/>
  <c r="T187" i="2" s="1"/>
  <c r="L187" i="1"/>
  <c r="S187" i="1" s="1"/>
  <c r="I187" i="1"/>
  <c r="J187" i="1" s="1"/>
  <c r="H187" i="1" s="1"/>
  <c r="L188" i="2" l="1"/>
  <c r="S188" i="2" s="1"/>
  <c r="I188" i="2"/>
  <c r="J188" i="2" s="1"/>
  <c r="H188" i="2" s="1"/>
  <c r="L188" i="1"/>
  <c r="S188" i="1" s="1"/>
  <c r="I188" i="1"/>
  <c r="J188" i="1" s="1"/>
  <c r="H188" i="1"/>
  <c r="T187" i="1"/>
  <c r="L189" i="2" l="1"/>
  <c r="S189" i="2" s="1"/>
  <c r="I189" i="2"/>
  <c r="J189" i="2" s="1"/>
  <c r="H189" i="2"/>
  <c r="T188" i="2"/>
  <c r="I189" i="1"/>
  <c r="J189" i="1" s="1"/>
  <c r="H189" i="1"/>
  <c r="L189" i="1"/>
  <c r="S189" i="1" s="1"/>
  <c r="T189" i="1" s="1"/>
  <c r="T188" i="1"/>
  <c r="I190" i="2" l="1"/>
  <c r="J190" i="2" s="1"/>
  <c r="H190" i="2"/>
  <c r="L190" i="2"/>
  <c r="S190" i="2" s="1"/>
  <c r="T190" i="2" s="1"/>
  <c r="T189" i="2"/>
  <c r="L190" i="1"/>
  <c r="S190" i="1" s="1"/>
  <c r="I190" i="1"/>
  <c r="J190" i="1" s="1"/>
  <c r="H190" i="1" s="1"/>
  <c r="L191" i="2" l="1"/>
  <c r="S191" i="2" s="1"/>
  <c r="I191" i="2"/>
  <c r="J191" i="2" s="1"/>
  <c r="H191" i="2"/>
  <c r="L191" i="1"/>
  <c r="S191" i="1" s="1"/>
  <c r="I191" i="1"/>
  <c r="J191" i="1" s="1"/>
  <c r="H191" i="1"/>
  <c r="T190" i="1"/>
  <c r="L192" i="2" l="1"/>
  <c r="S192" i="2" s="1"/>
  <c r="I192" i="2"/>
  <c r="J192" i="2" s="1"/>
  <c r="H192" i="2" s="1"/>
  <c r="T191" i="2"/>
  <c r="I192" i="1"/>
  <c r="J192" i="1" s="1"/>
  <c r="H192" i="1" s="1"/>
  <c r="L192" i="1"/>
  <c r="S192" i="1" s="1"/>
  <c r="T191" i="1"/>
  <c r="T192" i="1" l="1"/>
  <c r="L193" i="2"/>
  <c r="S193" i="2" s="1"/>
  <c r="I193" i="2"/>
  <c r="J193" i="2" s="1"/>
  <c r="H193" i="2" s="1"/>
  <c r="T192" i="2"/>
  <c r="I193" i="1"/>
  <c r="J193" i="1" s="1"/>
  <c r="H193" i="1" s="1"/>
  <c r="L193" i="1"/>
  <c r="S193" i="1" s="1"/>
  <c r="T193" i="1" s="1"/>
  <c r="L194" i="2" l="1"/>
  <c r="S194" i="2" s="1"/>
  <c r="I194" i="2"/>
  <c r="J194" i="2" s="1"/>
  <c r="H194" i="2"/>
  <c r="T193" i="2"/>
  <c r="I194" i="1"/>
  <c r="J194" i="1" s="1"/>
  <c r="H194" i="1" s="1"/>
  <c r="L194" i="1"/>
  <c r="S194" i="1" s="1"/>
  <c r="T194" i="1" s="1"/>
  <c r="I195" i="2" l="1"/>
  <c r="J195" i="2" s="1"/>
  <c r="H195" i="2" s="1"/>
  <c r="L195" i="2"/>
  <c r="S195" i="2" s="1"/>
  <c r="T195" i="2" s="1"/>
  <c r="T194" i="2"/>
  <c r="L195" i="1"/>
  <c r="S195" i="1" s="1"/>
  <c r="I195" i="1"/>
  <c r="J195" i="1" s="1"/>
  <c r="H195" i="1" s="1"/>
  <c r="L196" i="2" l="1"/>
  <c r="S196" i="2" s="1"/>
  <c r="I196" i="2"/>
  <c r="J196" i="2" s="1"/>
  <c r="H196" i="2"/>
  <c r="I196" i="1"/>
  <c r="J196" i="1" s="1"/>
  <c r="H196" i="1" s="1"/>
  <c r="L196" i="1"/>
  <c r="S196" i="1" s="1"/>
  <c r="T196" i="1" s="1"/>
  <c r="T195" i="1"/>
  <c r="L197" i="2" l="1"/>
  <c r="S197" i="2" s="1"/>
  <c r="I197" i="2"/>
  <c r="J197" i="2" s="1"/>
  <c r="H197" i="2"/>
  <c r="T196" i="2"/>
  <c r="L197" i="1"/>
  <c r="S197" i="1" s="1"/>
  <c r="I197" i="1"/>
  <c r="J197" i="1" s="1"/>
  <c r="H197" i="1"/>
  <c r="I198" i="2" l="1"/>
  <c r="J198" i="2" s="1"/>
  <c r="H198" i="2" s="1"/>
  <c r="L198" i="2"/>
  <c r="S198" i="2" s="1"/>
  <c r="T198" i="2" s="1"/>
  <c r="T197" i="2"/>
  <c r="L198" i="1"/>
  <c r="S198" i="1" s="1"/>
  <c r="I198" i="1"/>
  <c r="J198" i="1" s="1"/>
  <c r="H198" i="1"/>
  <c r="T197" i="1"/>
  <c r="L199" i="2" l="1"/>
  <c r="S199" i="2" s="1"/>
  <c r="I199" i="2"/>
  <c r="J199" i="2" s="1"/>
  <c r="H199" i="2"/>
  <c r="I199" i="1"/>
  <c r="J199" i="1" s="1"/>
  <c r="H199" i="1"/>
  <c r="L199" i="1"/>
  <c r="S199" i="1" s="1"/>
  <c r="T199" i="1" s="1"/>
  <c r="T198" i="1"/>
  <c r="L200" i="2" l="1"/>
  <c r="S200" i="2" s="1"/>
  <c r="I200" i="2"/>
  <c r="J200" i="2" s="1"/>
  <c r="H200" i="2" s="1"/>
  <c r="T199" i="2"/>
  <c r="L200" i="1"/>
  <c r="S200" i="1" s="1"/>
  <c r="I200" i="1"/>
  <c r="J200" i="1" s="1"/>
  <c r="H200" i="1" s="1"/>
  <c r="L201" i="2" l="1"/>
  <c r="S201" i="2" s="1"/>
  <c r="I201" i="2"/>
  <c r="J201" i="2" s="1"/>
  <c r="H201" i="2"/>
  <c r="T200" i="2"/>
  <c r="I201" i="1"/>
  <c r="J201" i="1" s="1"/>
  <c r="H201" i="1"/>
  <c r="L201" i="1"/>
  <c r="S201" i="1" s="1"/>
  <c r="T201" i="1" s="1"/>
  <c r="T200" i="1"/>
  <c r="L202" i="2" l="1"/>
  <c r="S202" i="2" s="1"/>
  <c r="I202" i="2"/>
  <c r="J202" i="2" s="1"/>
  <c r="H202" i="2"/>
  <c r="T201" i="2"/>
  <c r="I202" i="1"/>
  <c r="J202" i="1" s="1"/>
  <c r="H202" i="1" s="1"/>
  <c r="L202" i="1"/>
  <c r="S202" i="1" s="1"/>
  <c r="T202" i="1" s="1"/>
  <c r="I203" i="2" l="1"/>
  <c r="J203" i="2" s="1"/>
  <c r="H203" i="2"/>
  <c r="L203" i="2"/>
  <c r="S203" i="2" s="1"/>
  <c r="T203" i="2" s="1"/>
  <c r="T202" i="2"/>
  <c r="I203" i="1"/>
  <c r="J203" i="1" s="1"/>
  <c r="L203" i="1"/>
  <c r="S203" i="1" s="1"/>
  <c r="T203" i="1" s="1"/>
  <c r="H203" i="1"/>
  <c r="L204" i="2" l="1"/>
  <c r="S204" i="2" s="1"/>
  <c r="T204" i="2" s="1"/>
  <c r="I204" i="2"/>
  <c r="J204" i="2" s="1"/>
  <c r="H204" i="2"/>
  <c r="L204" i="1"/>
  <c r="S204" i="1" s="1"/>
  <c r="I204" i="1"/>
  <c r="J204" i="1" s="1"/>
  <c r="H204" i="1"/>
  <c r="I205" i="2" l="1"/>
  <c r="J205" i="2" s="1"/>
  <c r="L205" i="2"/>
  <c r="S205" i="2" s="1"/>
  <c r="T205" i="2" s="1"/>
  <c r="H205" i="2"/>
  <c r="I205" i="1"/>
  <c r="J205" i="1" s="1"/>
  <c r="H205" i="1" s="1"/>
  <c r="L205" i="1"/>
  <c r="S205" i="1" s="1"/>
  <c r="T204" i="1"/>
  <c r="T205" i="1" l="1"/>
  <c r="L206" i="2"/>
  <c r="S206" i="2" s="1"/>
  <c r="I206" i="2"/>
  <c r="J206" i="2" s="1"/>
  <c r="H206" i="2"/>
  <c r="I206" i="1"/>
  <c r="J206" i="1" s="1"/>
  <c r="H206" i="1"/>
  <c r="L206" i="1"/>
  <c r="S206" i="1" s="1"/>
  <c r="T206" i="1" s="1"/>
  <c r="L207" i="2" l="1"/>
  <c r="S207" i="2" s="1"/>
  <c r="I207" i="2"/>
  <c r="J207" i="2" s="1"/>
  <c r="H207" i="2" s="1"/>
  <c r="T206" i="2"/>
  <c r="L207" i="1"/>
  <c r="S207" i="1" s="1"/>
  <c r="I207" i="1"/>
  <c r="J207" i="1" s="1"/>
  <c r="H207" i="1" s="1"/>
  <c r="L208" i="2" l="1"/>
  <c r="S208" i="2" s="1"/>
  <c r="I208" i="2"/>
  <c r="J208" i="2" s="1"/>
  <c r="H208" i="2" s="1"/>
  <c r="T207" i="2"/>
  <c r="L208" i="1"/>
  <c r="S208" i="1" s="1"/>
  <c r="I208" i="1"/>
  <c r="J208" i="1" s="1"/>
  <c r="H208" i="1" s="1"/>
  <c r="T207" i="1"/>
  <c r="L209" i="2" l="1"/>
  <c r="S209" i="2" s="1"/>
  <c r="I209" i="2"/>
  <c r="J209" i="2" s="1"/>
  <c r="H209" i="2"/>
  <c r="T208" i="2"/>
  <c r="I209" i="1"/>
  <c r="J209" i="1" s="1"/>
  <c r="L209" i="1"/>
  <c r="S209" i="1" s="1"/>
  <c r="T209" i="1" s="1"/>
  <c r="H209" i="1"/>
  <c r="T208" i="1"/>
  <c r="L210" i="2" l="1"/>
  <c r="S210" i="2" s="1"/>
  <c r="I210" i="2"/>
  <c r="J210" i="2" s="1"/>
  <c r="H210" i="2"/>
  <c r="T209" i="2"/>
  <c r="I210" i="1"/>
  <c r="J210" i="1" s="1"/>
  <c r="H210" i="1" s="1"/>
  <c r="L210" i="1"/>
  <c r="S210" i="1" s="1"/>
  <c r="T210" i="1" l="1"/>
  <c r="I211" i="2"/>
  <c r="J211" i="2" s="1"/>
  <c r="H211" i="2" s="1"/>
  <c r="L211" i="2"/>
  <c r="S211" i="2" s="1"/>
  <c r="T211" i="2" s="1"/>
  <c r="T210" i="2"/>
  <c r="L211" i="1"/>
  <c r="S211" i="1" s="1"/>
  <c r="I211" i="1"/>
  <c r="J211" i="1" s="1"/>
  <c r="H211" i="1" s="1"/>
  <c r="T211" i="1" l="1"/>
  <c r="L212" i="2"/>
  <c r="S212" i="2" s="1"/>
  <c r="I212" i="2"/>
  <c r="J212" i="2" s="1"/>
  <c r="H212" i="2"/>
  <c r="L212" i="1"/>
  <c r="S212" i="1" s="1"/>
  <c r="I212" i="1"/>
  <c r="J212" i="1" s="1"/>
  <c r="H212" i="1" s="1"/>
  <c r="L213" i="2" l="1"/>
  <c r="S213" i="2" s="1"/>
  <c r="I213" i="2"/>
  <c r="J213" i="2" s="1"/>
  <c r="H213" i="2"/>
  <c r="T212" i="2"/>
  <c r="L213" i="1"/>
  <c r="S213" i="1" s="1"/>
  <c r="I213" i="1"/>
  <c r="J213" i="1" s="1"/>
  <c r="H213" i="1" s="1"/>
  <c r="T212" i="1"/>
  <c r="I214" i="2" l="1"/>
  <c r="J214" i="2" s="1"/>
  <c r="H214" i="2" s="1"/>
  <c r="L214" i="2"/>
  <c r="S214" i="2" s="1"/>
  <c r="T214" i="2" s="1"/>
  <c r="T213" i="2"/>
  <c r="I214" i="1"/>
  <c r="J214" i="1" s="1"/>
  <c r="H214" i="1"/>
  <c r="L214" i="1"/>
  <c r="S214" i="1" s="1"/>
  <c r="T214" i="1" s="1"/>
  <c r="T213" i="1"/>
  <c r="I215" i="2" l="1"/>
  <c r="J215" i="2" s="1"/>
  <c r="L215" i="2"/>
  <c r="S215" i="2" s="1"/>
  <c r="T215" i="2" s="1"/>
  <c r="H215" i="2"/>
  <c r="L215" i="1"/>
  <c r="S215" i="1" s="1"/>
  <c r="I215" i="1"/>
  <c r="J215" i="1" s="1"/>
  <c r="H215" i="1"/>
  <c r="L216" i="2" l="1"/>
  <c r="S216" i="2" s="1"/>
  <c r="I216" i="2"/>
  <c r="J216" i="2" s="1"/>
  <c r="H216" i="2" s="1"/>
  <c r="L216" i="1"/>
  <c r="S216" i="1" s="1"/>
  <c r="I216" i="1"/>
  <c r="J216" i="1" s="1"/>
  <c r="H216" i="1" s="1"/>
  <c r="T215" i="1"/>
  <c r="I217" i="2" l="1"/>
  <c r="J217" i="2" s="1"/>
  <c r="H217" i="2"/>
  <c r="L217" i="2"/>
  <c r="S217" i="2" s="1"/>
  <c r="T217" i="2" s="1"/>
  <c r="T216" i="2"/>
  <c r="I217" i="1"/>
  <c r="J217" i="1" s="1"/>
  <c r="H217" i="1" s="1"/>
  <c r="L217" i="1"/>
  <c r="S217" i="1" s="1"/>
  <c r="T217" i="1" s="1"/>
  <c r="T216" i="1"/>
  <c r="L218" i="2" l="1"/>
  <c r="S218" i="2" s="1"/>
  <c r="I218" i="2"/>
  <c r="J218" i="2" s="1"/>
  <c r="H218" i="2" s="1"/>
  <c r="L218" i="1"/>
  <c r="S218" i="1" s="1"/>
  <c r="I218" i="1"/>
  <c r="J218" i="1" s="1"/>
  <c r="H218" i="1"/>
  <c r="L219" i="2" l="1"/>
  <c r="S219" i="2" s="1"/>
  <c r="I219" i="2"/>
  <c r="J219" i="2" s="1"/>
  <c r="H219" i="2" s="1"/>
  <c r="T218" i="2"/>
  <c r="I219" i="1"/>
  <c r="J219" i="1" s="1"/>
  <c r="H219" i="1" s="1"/>
  <c r="L219" i="1"/>
  <c r="S219" i="1" s="1"/>
  <c r="T219" i="1" s="1"/>
  <c r="T218" i="1"/>
  <c r="L220" i="2" l="1"/>
  <c r="S220" i="2" s="1"/>
  <c r="I220" i="2"/>
  <c r="J220" i="2" s="1"/>
  <c r="H220" i="2"/>
  <c r="T219" i="2"/>
  <c r="L220" i="1"/>
  <c r="S220" i="1" s="1"/>
  <c r="I220" i="1"/>
  <c r="J220" i="1" s="1"/>
  <c r="H220" i="1" s="1"/>
  <c r="L221" i="2" l="1"/>
  <c r="S221" i="2" s="1"/>
  <c r="T221" i="2" s="1"/>
  <c r="I221" i="2"/>
  <c r="J221" i="2" s="1"/>
  <c r="H221" i="2"/>
  <c r="T220" i="2"/>
  <c r="I221" i="1"/>
  <c r="J221" i="1" s="1"/>
  <c r="H221" i="1"/>
  <c r="L221" i="1"/>
  <c r="S221" i="1" s="1"/>
  <c r="T221" i="1" s="1"/>
  <c r="T220" i="1"/>
  <c r="I222" i="2" l="1"/>
  <c r="J222" i="2" s="1"/>
  <c r="H222" i="2"/>
  <c r="L222" i="2"/>
  <c r="S222" i="2" s="1"/>
  <c r="T222" i="2" s="1"/>
  <c r="I222" i="1"/>
  <c r="J222" i="1" s="1"/>
  <c r="H222" i="1" s="1"/>
  <c r="L222" i="1"/>
  <c r="S222" i="1" s="1"/>
  <c r="T222" i="1" l="1"/>
  <c r="L223" i="2"/>
  <c r="S223" i="2" s="1"/>
  <c r="I223" i="2"/>
  <c r="J223" i="2" s="1"/>
  <c r="H223" i="2"/>
  <c r="L223" i="1"/>
  <c r="S223" i="1" s="1"/>
  <c r="I223" i="1"/>
  <c r="J223" i="1" s="1"/>
  <c r="H223" i="1" s="1"/>
  <c r="L224" i="2" l="1"/>
  <c r="S224" i="2" s="1"/>
  <c r="I224" i="2"/>
  <c r="J224" i="2" s="1"/>
  <c r="H224" i="2" s="1"/>
  <c r="T223" i="2"/>
  <c r="I224" i="1"/>
  <c r="J224" i="1" s="1"/>
  <c r="H224" i="1"/>
  <c r="L224" i="1"/>
  <c r="S224" i="1" s="1"/>
  <c r="T224" i="1" s="1"/>
  <c r="T223" i="1"/>
  <c r="I225" i="2" l="1"/>
  <c r="J225" i="2" s="1"/>
  <c r="H225" i="2"/>
  <c r="L225" i="2"/>
  <c r="S225" i="2" s="1"/>
  <c r="T225" i="2" s="1"/>
  <c r="T224" i="2"/>
  <c r="L225" i="1"/>
  <c r="S225" i="1" s="1"/>
  <c r="I225" i="1"/>
  <c r="J225" i="1" s="1"/>
  <c r="H225" i="1"/>
  <c r="L226" i="2" l="1"/>
  <c r="S226" i="2" s="1"/>
  <c r="I226" i="2"/>
  <c r="J226" i="2" s="1"/>
  <c r="H226" i="2"/>
  <c r="L226" i="1"/>
  <c r="S226" i="1" s="1"/>
  <c r="I226" i="1"/>
  <c r="J226" i="1" s="1"/>
  <c r="H226" i="1"/>
  <c r="T225" i="1"/>
  <c r="L227" i="2" l="1"/>
  <c r="S227" i="2" s="1"/>
  <c r="I227" i="2"/>
  <c r="J227" i="2" s="1"/>
  <c r="H227" i="2" s="1"/>
  <c r="T226" i="2"/>
  <c r="L227" i="1"/>
  <c r="S227" i="1" s="1"/>
  <c r="I227" i="1"/>
  <c r="J227" i="1" s="1"/>
  <c r="H227" i="1" s="1"/>
  <c r="T226" i="1"/>
  <c r="L228" i="2" l="1"/>
  <c r="S228" i="2" s="1"/>
  <c r="I228" i="2"/>
  <c r="J228" i="2" s="1"/>
  <c r="H228" i="2" s="1"/>
  <c r="T227" i="2"/>
  <c r="L228" i="1"/>
  <c r="S228" i="1" s="1"/>
  <c r="I228" i="1"/>
  <c r="J228" i="1" s="1"/>
  <c r="H228" i="1" s="1"/>
  <c r="T227" i="1"/>
  <c r="I229" i="2" l="1"/>
  <c r="J229" i="2" s="1"/>
  <c r="L229" i="2"/>
  <c r="S229" i="2" s="1"/>
  <c r="T229" i="2" s="1"/>
  <c r="H229" i="2"/>
  <c r="T228" i="2"/>
  <c r="L229" i="1"/>
  <c r="S229" i="1" s="1"/>
  <c r="I229" i="1"/>
  <c r="J229" i="1" s="1"/>
  <c r="H229" i="1"/>
  <c r="T228" i="1"/>
  <c r="L230" i="2" l="1"/>
  <c r="S230" i="2" s="1"/>
  <c r="I230" i="2"/>
  <c r="J230" i="2" s="1"/>
  <c r="H230" i="2"/>
  <c r="I230" i="1"/>
  <c r="J230" i="1" s="1"/>
  <c r="H230" i="1" s="1"/>
  <c r="L230" i="1"/>
  <c r="S230" i="1" s="1"/>
  <c r="T230" i="1" s="1"/>
  <c r="T229" i="1"/>
  <c r="L231" i="2" l="1"/>
  <c r="S231" i="2" s="1"/>
  <c r="I231" i="2"/>
  <c r="J231" i="2" s="1"/>
  <c r="H231" i="2"/>
  <c r="T230" i="2"/>
  <c r="I231" i="1"/>
  <c r="J231" i="1" s="1"/>
  <c r="L231" i="1"/>
  <c r="S231" i="1" s="1"/>
  <c r="T231" i="1" s="1"/>
  <c r="H231" i="1"/>
  <c r="I232" i="2" l="1"/>
  <c r="J232" i="2" s="1"/>
  <c r="H232" i="2" s="1"/>
  <c r="L232" i="2"/>
  <c r="S232" i="2" s="1"/>
  <c r="T232" i="2" s="1"/>
  <c r="T231" i="2"/>
  <c r="L232" i="1"/>
  <c r="S232" i="1" s="1"/>
  <c r="I232" i="1"/>
  <c r="J232" i="1" s="1"/>
  <c r="H232" i="1"/>
  <c r="L233" i="2" l="1"/>
  <c r="S233" i="2" s="1"/>
  <c r="T233" i="2" s="1"/>
  <c r="I233" i="2"/>
  <c r="J233" i="2" s="1"/>
  <c r="H233" i="2"/>
  <c r="L233" i="1"/>
  <c r="S233" i="1" s="1"/>
  <c r="I233" i="1"/>
  <c r="J233" i="1" s="1"/>
  <c r="H233" i="1" s="1"/>
  <c r="T232" i="1"/>
  <c r="L234" i="2" l="1"/>
  <c r="S234" i="2" s="1"/>
  <c r="I234" i="2"/>
  <c r="J234" i="2" s="1"/>
  <c r="H234" i="2"/>
  <c r="I234" i="1"/>
  <c r="J234" i="1" s="1"/>
  <c r="H234" i="1" s="1"/>
  <c r="L234" i="1"/>
  <c r="S234" i="1" s="1"/>
  <c r="T233" i="1"/>
  <c r="T234" i="1" l="1"/>
  <c r="I235" i="2"/>
  <c r="J235" i="2" s="1"/>
  <c r="H235" i="2"/>
  <c r="L235" i="2"/>
  <c r="S235" i="2" s="1"/>
  <c r="T235" i="2" s="1"/>
  <c r="T234" i="2"/>
  <c r="L235" i="1"/>
  <c r="S235" i="1" s="1"/>
  <c r="I235" i="1"/>
  <c r="J235" i="1" s="1"/>
  <c r="H235" i="1" s="1"/>
  <c r="L236" i="2" l="1"/>
  <c r="S236" i="2" s="1"/>
  <c r="I236" i="2"/>
  <c r="J236" i="2" s="1"/>
  <c r="H236" i="2" s="1"/>
  <c r="I236" i="1"/>
  <c r="J236" i="1" s="1"/>
  <c r="H236" i="1" s="1"/>
  <c r="L236" i="1"/>
  <c r="S236" i="1" s="1"/>
  <c r="T236" i="1" s="1"/>
  <c r="T235" i="1"/>
  <c r="L237" i="2" l="1"/>
  <c r="S237" i="2" s="1"/>
  <c r="I237" i="2"/>
  <c r="J237" i="2" s="1"/>
  <c r="H237" i="2"/>
  <c r="T236" i="2"/>
  <c r="I237" i="1"/>
  <c r="J237" i="1" s="1"/>
  <c r="H237" i="1" s="1"/>
  <c r="L237" i="1"/>
  <c r="S237" i="1" s="1"/>
  <c r="T237" i="1" s="1"/>
  <c r="L238" i="2" l="1"/>
  <c r="S238" i="2" s="1"/>
  <c r="I238" i="2"/>
  <c r="J238" i="2" s="1"/>
  <c r="H238" i="2" s="1"/>
  <c r="T237" i="2"/>
  <c r="I238" i="1"/>
  <c r="J238" i="1" s="1"/>
  <c r="H238" i="1" s="1"/>
  <c r="L238" i="1"/>
  <c r="S238" i="1" s="1"/>
  <c r="T238" i="1" s="1"/>
  <c r="I239" i="2" l="1"/>
  <c r="J239" i="2" s="1"/>
  <c r="H239" i="2"/>
  <c r="L239" i="2"/>
  <c r="S239" i="2" s="1"/>
  <c r="T239" i="2" s="1"/>
  <c r="T238" i="2"/>
  <c r="L239" i="1"/>
  <c r="S239" i="1" s="1"/>
  <c r="I239" i="1"/>
  <c r="J239" i="1" s="1"/>
  <c r="H239" i="1" s="1"/>
  <c r="L240" i="2" l="1"/>
  <c r="S240" i="2" s="1"/>
  <c r="T240" i="2" s="1"/>
  <c r="I240" i="2"/>
  <c r="J240" i="2" s="1"/>
  <c r="H240" i="2" s="1"/>
  <c r="L240" i="1"/>
  <c r="S240" i="1" s="1"/>
  <c r="I240" i="1"/>
  <c r="J240" i="1" s="1"/>
  <c r="H240" i="1"/>
  <c r="T239" i="1"/>
  <c r="L241" i="2" l="1"/>
  <c r="S241" i="2" s="1"/>
  <c r="I241" i="2"/>
  <c r="J241" i="2" s="1"/>
  <c r="H241" i="2" s="1"/>
  <c r="I241" i="1"/>
  <c r="J241" i="1" s="1"/>
  <c r="H241" i="1" s="1"/>
  <c r="L241" i="1"/>
  <c r="S241" i="1" s="1"/>
  <c r="T240" i="1"/>
  <c r="T241" i="1" l="1"/>
  <c r="I242" i="2"/>
  <c r="J242" i="2" s="1"/>
  <c r="H242" i="2"/>
  <c r="L242" i="2"/>
  <c r="S242" i="2" s="1"/>
  <c r="T242" i="2" s="1"/>
  <c r="T241" i="2"/>
  <c r="L242" i="1"/>
  <c r="S242" i="1" s="1"/>
  <c r="I242" i="1"/>
  <c r="J242" i="1" s="1"/>
  <c r="H242" i="1"/>
  <c r="L243" i="2" l="1"/>
  <c r="S243" i="2" s="1"/>
  <c r="I243" i="2"/>
  <c r="J243" i="2" s="1"/>
  <c r="H243" i="2" s="1"/>
  <c r="I243" i="1"/>
  <c r="J243" i="1" s="1"/>
  <c r="H243" i="1" s="1"/>
  <c r="L243" i="1"/>
  <c r="S243" i="1" s="1"/>
  <c r="T242" i="1"/>
  <c r="T243" i="1" l="1"/>
  <c r="L244" i="2"/>
  <c r="S244" i="2" s="1"/>
  <c r="I244" i="2"/>
  <c r="J244" i="2" s="1"/>
  <c r="H244" i="2"/>
  <c r="T243" i="2"/>
  <c r="I244" i="1"/>
  <c r="J244" i="1" s="1"/>
  <c r="L244" i="1"/>
  <c r="S244" i="1" s="1"/>
  <c r="T244" i="1" s="1"/>
  <c r="H244" i="1"/>
  <c r="I245" i="2" l="1"/>
  <c r="J245" i="2" s="1"/>
  <c r="H245" i="2" s="1"/>
  <c r="L245" i="2"/>
  <c r="S245" i="2" s="1"/>
  <c r="T245" i="2" s="1"/>
  <c r="T244" i="2"/>
  <c r="L245" i="1"/>
  <c r="S245" i="1" s="1"/>
  <c r="I245" i="1"/>
  <c r="J245" i="1" s="1"/>
  <c r="H245" i="1" s="1"/>
  <c r="L246" i="2" l="1"/>
  <c r="S246" i="2" s="1"/>
  <c r="I246" i="2"/>
  <c r="J246" i="2" s="1"/>
  <c r="H246" i="2" s="1"/>
  <c r="T245" i="1"/>
  <c r="I246" i="1"/>
  <c r="J246" i="1" s="1"/>
  <c r="H246" i="1" s="1"/>
  <c r="L246" i="1"/>
  <c r="S246" i="1" s="1"/>
  <c r="L247" i="2" l="1"/>
  <c r="S247" i="2" s="1"/>
  <c r="I247" i="2"/>
  <c r="J247" i="2" s="1"/>
  <c r="H247" i="2" s="1"/>
  <c r="T246" i="2"/>
  <c r="L247" i="1"/>
  <c r="S247" i="1" s="1"/>
  <c r="I247" i="1"/>
  <c r="J247" i="1" s="1"/>
  <c r="H247" i="1"/>
  <c r="T246" i="1"/>
  <c r="I248" i="2" l="1"/>
  <c r="J248" i="2" s="1"/>
  <c r="L248" i="2"/>
  <c r="S248" i="2" s="1"/>
  <c r="T248" i="2" s="1"/>
  <c r="H248" i="2"/>
  <c r="T247" i="2"/>
  <c r="I248" i="1"/>
  <c r="J248" i="1" s="1"/>
  <c r="H248" i="1"/>
  <c r="L248" i="1"/>
  <c r="S248" i="1" s="1"/>
  <c r="T248" i="1" s="1"/>
  <c r="T247" i="1"/>
  <c r="L249" i="2" l="1"/>
  <c r="S249" i="2" s="1"/>
  <c r="I249" i="2"/>
  <c r="J249" i="2" s="1"/>
  <c r="H249" i="2" s="1"/>
  <c r="L249" i="1"/>
  <c r="S249" i="1" s="1"/>
  <c r="I249" i="1"/>
  <c r="J249" i="1" s="1"/>
  <c r="H249" i="1" s="1"/>
  <c r="I250" i="2" l="1"/>
  <c r="J250" i="2" s="1"/>
  <c r="H250" i="2"/>
  <c r="L250" i="2"/>
  <c r="S250" i="2" s="1"/>
  <c r="T250" i="2" s="1"/>
  <c r="T249" i="2"/>
  <c r="L250" i="1"/>
  <c r="S250" i="1" s="1"/>
  <c r="I250" i="1"/>
  <c r="J250" i="1" s="1"/>
  <c r="H250" i="1"/>
  <c r="T249" i="1"/>
  <c r="L251" i="2" l="1"/>
  <c r="S251" i="2" s="1"/>
  <c r="I251" i="2"/>
  <c r="J251" i="2" s="1"/>
  <c r="H251" i="2" s="1"/>
  <c r="I251" i="1"/>
  <c r="J251" i="1" s="1"/>
  <c r="H251" i="1" s="1"/>
  <c r="L251" i="1"/>
  <c r="S251" i="1" s="1"/>
  <c r="T250" i="1"/>
  <c r="T251" i="1" l="1"/>
  <c r="L252" i="2"/>
  <c r="S252" i="2" s="1"/>
  <c r="I252" i="2"/>
  <c r="J252" i="2" s="1"/>
  <c r="H252" i="2" s="1"/>
  <c r="T251" i="2"/>
  <c r="I252" i="1"/>
  <c r="J252" i="1" s="1"/>
  <c r="H252" i="1" s="1"/>
  <c r="L252" i="1"/>
  <c r="S252" i="1" s="1"/>
  <c r="T252" i="1" s="1"/>
  <c r="I253" i="2" l="1"/>
  <c r="J253" i="2" s="1"/>
  <c r="H253" i="2"/>
  <c r="L253" i="2"/>
  <c r="S253" i="2" s="1"/>
  <c r="T253" i="2" s="1"/>
  <c r="T252" i="2"/>
  <c r="L253" i="1"/>
  <c r="S253" i="1" s="1"/>
  <c r="I253" i="1"/>
  <c r="J253" i="1" s="1"/>
  <c r="H253" i="1" s="1"/>
  <c r="L254" i="2" l="1"/>
  <c r="S254" i="2" s="1"/>
  <c r="I254" i="2"/>
  <c r="J254" i="2" s="1"/>
  <c r="H254" i="2" s="1"/>
  <c r="I254" i="1"/>
  <c r="J254" i="1" s="1"/>
  <c r="H254" i="1" s="1"/>
  <c r="L254" i="1"/>
  <c r="S254" i="1" s="1"/>
  <c r="T254" i="1" s="1"/>
  <c r="T253" i="1"/>
  <c r="I255" i="2" l="1"/>
  <c r="J255" i="2" s="1"/>
  <c r="L255" i="2"/>
  <c r="S255" i="2" s="1"/>
  <c r="T255" i="2" s="1"/>
  <c r="H255" i="2"/>
  <c r="T254" i="2"/>
  <c r="I255" i="1"/>
  <c r="J255" i="1" s="1"/>
  <c r="H255" i="1" s="1"/>
  <c r="L255" i="1"/>
  <c r="S255" i="1" s="1"/>
  <c r="T255" i="1" s="1"/>
  <c r="I256" i="2" l="1"/>
  <c r="J256" i="2" s="1"/>
  <c r="H256" i="2"/>
  <c r="L256" i="2"/>
  <c r="S256" i="2" s="1"/>
  <c r="T256" i="2" s="1"/>
  <c r="I256" i="1"/>
  <c r="J256" i="1" s="1"/>
  <c r="H256" i="1"/>
  <c r="L256" i="1"/>
  <c r="S256" i="1" s="1"/>
  <c r="T256" i="1" s="1"/>
  <c r="L257" i="2" l="1"/>
  <c r="S257" i="2" s="1"/>
  <c r="I257" i="2"/>
  <c r="J257" i="2" s="1"/>
  <c r="H257" i="2" s="1"/>
  <c r="I257" i="1"/>
  <c r="J257" i="1" s="1"/>
  <c r="H257" i="1" s="1"/>
  <c r="L257" i="1"/>
  <c r="S257" i="1" s="1"/>
  <c r="T257" i="1" s="1"/>
  <c r="I258" i="2" l="1"/>
  <c r="J258" i="2" s="1"/>
  <c r="H258" i="2"/>
  <c r="L258" i="2"/>
  <c r="S258" i="2" s="1"/>
  <c r="T258" i="2" s="1"/>
  <c r="T257" i="2"/>
  <c r="I258" i="1"/>
  <c r="J258" i="1" s="1"/>
  <c r="L258" i="1"/>
  <c r="S258" i="1" s="1"/>
  <c r="T258" i="1" s="1"/>
  <c r="H258" i="1"/>
  <c r="L259" i="2" l="1"/>
  <c r="S259" i="2" s="1"/>
  <c r="I259" i="2"/>
  <c r="J259" i="2" s="1"/>
  <c r="H259" i="2"/>
  <c r="L259" i="1"/>
  <c r="S259" i="1" s="1"/>
  <c r="I259" i="1"/>
  <c r="J259" i="1" s="1"/>
  <c r="H259" i="1"/>
  <c r="L260" i="2" l="1"/>
  <c r="S260" i="2" s="1"/>
  <c r="I260" i="2"/>
  <c r="J260" i="2" s="1"/>
  <c r="H260" i="2" s="1"/>
  <c r="T259" i="2"/>
  <c r="I260" i="1"/>
  <c r="J260" i="1" s="1"/>
  <c r="H260" i="1" s="1"/>
  <c r="L260" i="1"/>
  <c r="S260" i="1" s="1"/>
  <c r="T260" i="1" s="1"/>
  <c r="T259" i="1"/>
  <c r="I261" i="2" l="1"/>
  <c r="J261" i="2" s="1"/>
  <c r="H261" i="2" s="1"/>
  <c r="L261" i="2"/>
  <c r="S261" i="2" s="1"/>
  <c r="T261" i="2" s="1"/>
  <c r="T260" i="2"/>
  <c r="L261" i="1"/>
  <c r="S261" i="1" s="1"/>
  <c r="I261" i="1"/>
  <c r="J261" i="1" s="1"/>
  <c r="H261" i="1" s="1"/>
  <c r="L262" i="2" l="1"/>
  <c r="S262" i="2" s="1"/>
  <c r="I262" i="2"/>
  <c r="J262" i="2" s="1"/>
  <c r="H262" i="2" s="1"/>
  <c r="I262" i="1"/>
  <c r="J262" i="1" s="1"/>
  <c r="H262" i="1" s="1"/>
  <c r="L262" i="1"/>
  <c r="S262" i="1" s="1"/>
  <c r="T261" i="1"/>
  <c r="T262" i="1" l="1"/>
  <c r="L263" i="2"/>
  <c r="S263" i="2" s="1"/>
  <c r="I263" i="2"/>
  <c r="J263" i="2" s="1"/>
  <c r="H263" i="2"/>
  <c r="T262" i="2"/>
  <c r="I263" i="1"/>
  <c r="J263" i="1" s="1"/>
  <c r="L263" i="1"/>
  <c r="S263" i="1" s="1"/>
  <c r="T263" i="1" s="1"/>
  <c r="H263" i="1"/>
  <c r="I264" i="2" l="1"/>
  <c r="J264" i="2" s="1"/>
  <c r="H264" i="2"/>
  <c r="L264" i="2"/>
  <c r="S264" i="2" s="1"/>
  <c r="T264" i="2" s="1"/>
  <c r="T263" i="2"/>
  <c r="I264" i="1"/>
  <c r="J264" i="1" s="1"/>
  <c r="H264" i="1" s="1"/>
  <c r="L264" i="1"/>
  <c r="S264" i="1" s="1"/>
  <c r="T264" i="1" s="1"/>
  <c r="L265" i="2" l="1"/>
  <c r="S265" i="2" s="1"/>
  <c r="I265" i="2"/>
  <c r="J265" i="2" s="1"/>
  <c r="H265" i="2" s="1"/>
  <c r="L265" i="1"/>
  <c r="S265" i="1" s="1"/>
  <c r="I265" i="1"/>
  <c r="J265" i="1" s="1"/>
  <c r="H265" i="1" s="1"/>
  <c r="L266" i="2" l="1"/>
  <c r="S266" i="2" s="1"/>
  <c r="I266" i="2"/>
  <c r="J266" i="2" s="1"/>
  <c r="H266" i="2" s="1"/>
  <c r="T265" i="2"/>
  <c r="I266" i="1"/>
  <c r="J266" i="1" s="1"/>
  <c r="H266" i="1" s="1"/>
  <c r="L266" i="1"/>
  <c r="S266" i="1" s="1"/>
  <c r="T266" i="1" s="1"/>
  <c r="T265" i="1"/>
  <c r="L267" i="2" l="1"/>
  <c r="S267" i="2" s="1"/>
  <c r="I267" i="2"/>
  <c r="J267" i="2" s="1"/>
  <c r="H267" i="2"/>
  <c r="T266" i="2"/>
  <c r="L267" i="1"/>
  <c r="S267" i="1" s="1"/>
  <c r="I267" i="1"/>
  <c r="J267" i="1" s="1"/>
  <c r="H267" i="1" s="1"/>
  <c r="T267" i="1" l="1"/>
  <c r="I268" i="2"/>
  <c r="J268" i="2" s="1"/>
  <c r="L268" i="2"/>
  <c r="S268" i="2" s="1"/>
  <c r="T268" i="2" s="1"/>
  <c r="H268" i="2"/>
  <c r="T267" i="2"/>
  <c r="I268" i="1"/>
  <c r="J268" i="1" s="1"/>
  <c r="H268" i="1" s="1"/>
  <c r="L268" i="1"/>
  <c r="S268" i="1" s="1"/>
  <c r="T268" i="1" s="1"/>
  <c r="L269" i="2" l="1"/>
  <c r="S269" i="2" s="1"/>
  <c r="I269" i="2"/>
  <c r="J269" i="2" s="1"/>
  <c r="H269" i="2"/>
  <c r="L269" i="1"/>
  <c r="S269" i="1" s="1"/>
  <c r="I269" i="1"/>
  <c r="J269" i="1" s="1"/>
  <c r="H269" i="1" s="1"/>
  <c r="L270" i="2" l="1"/>
  <c r="S270" i="2" s="1"/>
  <c r="I270" i="2"/>
  <c r="J270" i="2" s="1"/>
  <c r="H270" i="2"/>
  <c r="T269" i="2"/>
  <c r="I270" i="1"/>
  <c r="J270" i="1" s="1"/>
  <c r="H270" i="1" s="1"/>
  <c r="L270" i="1"/>
  <c r="S270" i="1" s="1"/>
  <c r="T270" i="1" s="1"/>
  <c r="T269" i="1"/>
  <c r="L271" i="2" l="1"/>
  <c r="S271" i="2" s="1"/>
  <c r="I271" i="2"/>
  <c r="J271" i="2" s="1"/>
  <c r="H271" i="2" s="1"/>
  <c r="T270" i="2"/>
  <c r="I271" i="1"/>
  <c r="J271" i="1" s="1"/>
  <c r="H271" i="1" s="1"/>
  <c r="L271" i="1"/>
  <c r="S271" i="1" s="1"/>
  <c r="T271" i="1" s="1"/>
  <c r="I272" i="2" l="1"/>
  <c r="J272" i="2" s="1"/>
  <c r="H272" i="2"/>
  <c r="L272" i="2"/>
  <c r="S272" i="2" s="1"/>
  <c r="T272" i="2" s="1"/>
  <c r="T271" i="2"/>
  <c r="I272" i="1"/>
  <c r="J272" i="1" s="1"/>
  <c r="H272" i="1"/>
  <c r="L272" i="1"/>
  <c r="S272" i="1" s="1"/>
  <c r="T272" i="1" s="1"/>
  <c r="L273" i="2" l="1"/>
  <c r="S273" i="2" s="1"/>
  <c r="I273" i="2"/>
  <c r="J273" i="2" s="1"/>
  <c r="H273" i="2" s="1"/>
  <c r="L273" i="1"/>
  <c r="S273" i="1" s="1"/>
  <c r="I273" i="1"/>
  <c r="J273" i="1" s="1"/>
  <c r="H273" i="1" s="1"/>
  <c r="L274" i="2" l="1"/>
  <c r="S274" i="2" s="1"/>
  <c r="I274" i="2"/>
  <c r="J274" i="2" s="1"/>
  <c r="H274" i="2" s="1"/>
  <c r="T273" i="2"/>
  <c r="I274" i="1"/>
  <c r="J274" i="1" s="1"/>
  <c r="H274" i="1" s="1"/>
  <c r="L274" i="1"/>
  <c r="S274" i="1" s="1"/>
  <c r="T273" i="1"/>
  <c r="T274" i="1" l="1"/>
  <c r="L275" i="2"/>
  <c r="S275" i="2" s="1"/>
  <c r="T275" i="2" s="1"/>
  <c r="I275" i="2"/>
  <c r="J275" i="2" s="1"/>
  <c r="H275" i="2" s="1"/>
  <c r="T274" i="2"/>
  <c r="I275" i="1"/>
  <c r="J275" i="1" s="1"/>
  <c r="H275" i="1"/>
  <c r="L275" i="1"/>
  <c r="S275" i="1" s="1"/>
  <c r="T275" i="1" s="1"/>
  <c r="L276" i="2" l="1"/>
  <c r="S276" i="2" s="1"/>
  <c r="I276" i="2"/>
  <c r="J276" i="2" s="1"/>
  <c r="H276" i="2" s="1"/>
  <c r="I276" i="1"/>
  <c r="J276" i="1" s="1"/>
  <c r="H276" i="1" s="1"/>
  <c r="L276" i="1"/>
  <c r="S276" i="1" s="1"/>
  <c r="T276" i="1" s="1"/>
  <c r="I277" i="2" l="1"/>
  <c r="J277" i="2" s="1"/>
  <c r="H277" i="2"/>
  <c r="L277" i="2"/>
  <c r="S277" i="2" s="1"/>
  <c r="T277" i="2" s="1"/>
  <c r="T276" i="2"/>
  <c r="L277" i="1"/>
  <c r="S277" i="1" s="1"/>
  <c r="I277" i="1"/>
  <c r="J277" i="1" s="1"/>
  <c r="H277" i="1" s="1"/>
  <c r="I278" i="2" l="1"/>
  <c r="J278" i="2" s="1"/>
  <c r="L278" i="2"/>
  <c r="S278" i="2" s="1"/>
  <c r="T278" i="2" s="1"/>
  <c r="H278" i="2"/>
  <c r="I278" i="1"/>
  <c r="J278" i="1" s="1"/>
  <c r="H278" i="1" s="1"/>
  <c r="L278" i="1"/>
  <c r="S278" i="1" s="1"/>
  <c r="T277" i="1"/>
  <c r="T278" i="1" l="1"/>
  <c r="L279" i="2"/>
  <c r="S279" i="2" s="1"/>
  <c r="I279" i="2"/>
  <c r="J279" i="2" s="1"/>
  <c r="H279" i="2" s="1"/>
  <c r="L279" i="1"/>
  <c r="S279" i="1" s="1"/>
  <c r="I279" i="1"/>
  <c r="J279" i="1" s="1"/>
  <c r="H279" i="1" s="1"/>
  <c r="T279" i="1" l="1"/>
  <c r="I280" i="2"/>
  <c r="J280" i="2" s="1"/>
  <c r="H280" i="2"/>
  <c r="L280" i="2"/>
  <c r="S280" i="2" s="1"/>
  <c r="T280" i="2" s="1"/>
  <c r="T279" i="2"/>
  <c r="L280" i="1"/>
  <c r="S280" i="1" s="1"/>
  <c r="I280" i="1"/>
  <c r="J280" i="1" s="1"/>
  <c r="H280" i="1"/>
  <c r="L281" i="2" l="1"/>
  <c r="S281" i="2" s="1"/>
  <c r="I281" i="2"/>
  <c r="J281" i="2" s="1"/>
  <c r="H281" i="2" s="1"/>
  <c r="L281" i="1"/>
  <c r="S281" i="1" s="1"/>
  <c r="I281" i="1"/>
  <c r="J281" i="1" s="1"/>
  <c r="H281" i="1" s="1"/>
  <c r="T280" i="1"/>
  <c r="T281" i="1" l="1"/>
  <c r="I282" i="2"/>
  <c r="J282" i="2" s="1"/>
  <c r="L282" i="2"/>
  <c r="S282" i="2" s="1"/>
  <c r="T282" i="2" s="1"/>
  <c r="H282" i="2"/>
  <c r="T281" i="2"/>
  <c r="I282" i="1"/>
  <c r="J282" i="1" s="1"/>
  <c r="H282" i="1"/>
  <c r="L282" i="1"/>
  <c r="S282" i="1" s="1"/>
  <c r="T282" i="1" s="1"/>
  <c r="I283" i="2" l="1"/>
  <c r="J283" i="2" s="1"/>
  <c r="H283" i="2"/>
  <c r="L283" i="2"/>
  <c r="S283" i="2" s="1"/>
  <c r="T283" i="2" s="1"/>
  <c r="L283" i="1"/>
  <c r="S283" i="1" s="1"/>
  <c r="I283" i="1"/>
  <c r="J283" i="1" s="1"/>
  <c r="H283" i="1" s="1"/>
  <c r="L284" i="2" l="1"/>
  <c r="S284" i="2" s="1"/>
  <c r="I284" i="2"/>
  <c r="J284" i="2" s="1"/>
  <c r="H284" i="2"/>
  <c r="I284" i="1"/>
  <c r="J284" i="1" s="1"/>
  <c r="H284" i="1" s="1"/>
  <c r="L284" i="1"/>
  <c r="S284" i="1" s="1"/>
  <c r="T284" i="1" s="1"/>
  <c r="T283" i="1"/>
  <c r="L285" i="2" l="1"/>
  <c r="S285" i="2" s="1"/>
  <c r="I285" i="2"/>
  <c r="J285" i="2" s="1"/>
  <c r="H285" i="2" s="1"/>
  <c r="T284" i="2"/>
  <c r="L285" i="1"/>
  <c r="S285" i="1" s="1"/>
  <c r="I285" i="1"/>
  <c r="J285" i="1" s="1"/>
  <c r="H285" i="1" s="1"/>
  <c r="L286" i="2" l="1"/>
  <c r="S286" i="2" s="1"/>
  <c r="I286" i="2"/>
  <c r="J286" i="2" s="1"/>
  <c r="H286" i="2"/>
  <c r="T285" i="2"/>
  <c r="I286" i="1"/>
  <c r="J286" i="1" s="1"/>
  <c r="H286" i="1"/>
  <c r="L286" i="1"/>
  <c r="S286" i="1" s="1"/>
  <c r="T286" i="1" s="1"/>
  <c r="T285" i="1"/>
  <c r="L287" i="2" l="1"/>
  <c r="S287" i="2" s="1"/>
  <c r="I287" i="2"/>
  <c r="J287" i="2" s="1"/>
  <c r="H287" i="2" s="1"/>
  <c r="T286" i="2"/>
  <c r="I287" i="1"/>
  <c r="J287" i="1" s="1"/>
  <c r="H287" i="1"/>
  <c r="L287" i="1"/>
  <c r="S287" i="1" s="1"/>
  <c r="T287" i="1" s="1"/>
  <c r="I288" i="2" l="1"/>
  <c r="J288" i="2" s="1"/>
  <c r="H288" i="2" s="1"/>
  <c r="L288" i="2"/>
  <c r="S288" i="2" s="1"/>
  <c r="T287" i="2"/>
  <c r="I288" i="1"/>
  <c r="J288" i="1" s="1"/>
  <c r="L288" i="1"/>
  <c r="S288" i="1" s="1"/>
  <c r="T288" i="1" s="1"/>
  <c r="H288" i="1"/>
  <c r="L289" i="2" l="1"/>
  <c r="S289" i="2" s="1"/>
  <c r="I289" i="2"/>
  <c r="J289" i="2" s="1"/>
  <c r="H289" i="2"/>
  <c r="T288" i="2"/>
  <c r="L289" i="1"/>
  <c r="S289" i="1" s="1"/>
  <c r="I289" i="1"/>
  <c r="J289" i="1" s="1"/>
  <c r="H289" i="1"/>
  <c r="L290" i="2" l="1"/>
  <c r="S290" i="2" s="1"/>
  <c r="I290" i="2"/>
  <c r="J290" i="2" s="1"/>
  <c r="H290" i="2"/>
  <c r="T289" i="2"/>
  <c r="I290" i="1"/>
  <c r="J290" i="1" s="1"/>
  <c r="H290" i="1" s="1"/>
  <c r="L290" i="1"/>
  <c r="S290" i="1" s="1"/>
  <c r="T290" i="1" s="1"/>
  <c r="T289" i="1"/>
  <c r="I291" i="2" l="1"/>
  <c r="J291" i="2" s="1"/>
  <c r="H291" i="2" s="1"/>
  <c r="L291" i="2"/>
  <c r="S291" i="2" s="1"/>
  <c r="T291" i="2" s="1"/>
  <c r="T290" i="2"/>
  <c r="L291" i="1"/>
  <c r="S291" i="1" s="1"/>
  <c r="I291" i="1"/>
  <c r="J291" i="1" s="1"/>
  <c r="H291" i="1" s="1"/>
  <c r="L292" i="2" l="1"/>
  <c r="S292" i="2" s="1"/>
  <c r="I292" i="2"/>
  <c r="J292" i="2" s="1"/>
  <c r="H292" i="2"/>
  <c r="I292" i="1"/>
  <c r="J292" i="1" s="1"/>
  <c r="H292" i="1"/>
  <c r="L292" i="1"/>
  <c r="S292" i="1" s="1"/>
  <c r="T292" i="1" s="1"/>
  <c r="T291" i="1"/>
  <c r="I293" i="2" l="1"/>
  <c r="J293" i="2" s="1"/>
  <c r="H293" i="2" s="1"/>
  <c r="L293" i="2"/>
  <c r="S293" i="2" s="1"/>
  <c r="T293" i="2" s="1"/>
  <c r="T292" i="2"/>
  <c r="L293" i="1"/>
  <c r="S293" i="1" s="1"/>
  <c r="I293" i="1"/>
  <c r="J293" i="1" s="1"/>
  <c r="H293" i="1"/>
  <c r="L294" i="2" l="1"/>
  <c r="S294" i="2" s="1"/>
  <c r="I294" i="2"/>
  <c r="J294" i="2" s="1"/>
  <c r="H294" i="2" s="1"/>
  <c r="I294" i="1"/>
  <c r="J294" i="1" s="1"/>
  <c r="H294" i="1" s="1"/>
  <c r="L294" i="1"/>
  <c r="S294" i="1" s="1"/>
  <c r="T293" i="1"/>
  <c r="L295" i="2" l="1"/>
  <c r="S295" i="2" s="1"/>
  <c r="I295" i="2"/>
  <c r="J295" i="2" s="1"/>
  <c r="H295" i="2"/>
  <c r="T294" i="2"/>
  <c r="L295" i="1"/>
  <c r="S295" i="1" s="1"/>
  <c r="I295" i="1"/>
  <c r="J295" i="1" s="1"/>
  <c r="H295" i="1" s="1"/>
  <c r="T294" i="1"/>
  <c r="I296" i="2" l="1"/>
  <c r="J296" i="2" s="1"/>
  <c r="H296" i="2"/>
  <c r="L296" i="2"/>
  <c r="S296" i="2" s="1"/>
  <c r="T296" i="2" s="1"/>
  <c r="T295" i="2"/>
  <c r="L296" i="1"/>
  <c r="S296" i="1" s="1"/>
  <c r="I296" i="1"/>
  <c r="J296" i="1" s="1"/>
  <c r="H296" i="1" s="1"/>
  <c r="T295" i="1"/>
  <c r="L297" i="2" l="1"/>
  <c r="S297" i="2" s="1"/>
  <c r="I297" i="2"/>
  <c r="J297" i="2" s="1"/>
  <c r="H297" i="2"/>
  <c r="L297" i="1"/>
  <c r="S297" i="1" s="1"/>
  <c r="I297" i="1"/>
  <c r="J297" i="1" s="1"/>
  <c r="H297" i="1" s="1"/>
  <c r="T296" i="1"/>
  <c r="I298" i="2" l="1"/>
  <c r="J298" i="2" s="1"/>
  <c r="L298" i="2"/>
  <c r="S298" i="2" s="1"/>
  <c r="T298" i="2" s="1"/>
  <c r="H298" i="2"/>
  <c r="T297" i="2"/>
  <c r="I298" i="1"/>
  <c r="J298" i="1" s="1"/>
  <c r="H298" i="1" s="1"/>
  <c r="L298" i="1"/>
  <c r="S298" i="1" s="1"/>
  <c r="T297" i="1"/>
  <c r="T298" i="1" l="1"/>
  <c r="L299" i="2"/>
  <c r="S299" i="2" s="1"/>
  <c r="T299" i="2" s="1"/>
  <c r="I299" i="2"/>
  <c r="J299" i="2" s="1"/>
  <c r="H299" i="2"/>
  <c r="L299" i="1"/>
  <c r="S299" i="1" s="1"/>
  <c r="I299" i="1"/>
  <c r="J299" i="1" s="1"/>
  <c r="H299" i="1"/>
  <c r="L300" i="2" l="1"/>
  <c r="S300" i="2" s="1"/>
  <c r="I300" i="2"/>
  <c r="J300" i="2" s="1"/>
  <c r="H300" i="2"/>
  <c r="I300" i="1"/>
  <c r="J300" i="1" s="1"/>
  <c r="H300" i="1" s="1"/>
  <c r="L300" i="1"/>
  <c r="S300" i="1" s="1"/>
  <c r="T299" i="1"/>
  <c r="I301" i="2" l="1"/>
  <c r="J301" i="2" s="1"/>
  <c r="H301" i="2" s="1"/>
  <c r="L301" i="2"/>
  <c r="S301" i="2" s="1"/>
  <c r="T301" i="2" s="1"/>
  <c r="T300" i="2"/>
  <c r="L301" i="1"/>
  <c r="S301" i="1" s="1"/>
  <c r="I301" i="1"/>
  <c r="J301" i="1" s="1"/>
  <c r="H301" i="1" s="1"/>
  <c r="T300" i="1"/>
  <c r="L302" i="2" l="1"/>
  <c r="S302" i="2" s="1"/>
  <c r="I302" i="2"/>
  <c r="J302" i="2" s="1"/>
  <c r="H302" i="2"/>
  <c r="L302" i="1"/>
  <c r="S302" i="1" s="1"/>
  <c r="I302" i="1"/>
  <c r="J302" i="1" s="1"/>
  <c r="H302" i="1" s="1"/>
  <c r="T301" i="1"/>
  <c r="L303" i="2" l="1"/>
  <c r="S303" i="2" s="1"/>
  <c r="I303" i="2"/>
  <c r="J303" i="2" s="1"/>
  <c r="H303" i="2"/>
  <c r="T302" i="2"/>
  <c r="L303" i="1"/>
  <c r="S303" i="1" s="1"/>
  <c r="I303" i="1"/>
  <c r="J303" i="1" s="1"/>
  <c r="H303" i="1" s="1"/>
  <c r="T302" i="1"/>
  <c r="I304" i="2" l="1"/>
  <c r="J304" i="2" s="1"/>
  <c r="H304" i="2"/>
  <c r="L304" i="2"/>
  <c r="S304" i="2" s="1"/>
  <c r="T304" i="2" s="1"/>
  <c r="T303" i="2"/>
  <c r="L304" i="1"/>
  <c r="S304" i="1" s="1"/>
  <c r="I304" i="1"/>
  <c r="J304" i="1" s="1"/>
  <c r="H304" i="1" s="1"/>
  <c r="T303" i="1"/>
  <c r="L305" i="2" l="1"/>
  <c r="S305" i="2" s="1"/>
  <c r="I305" i="2"/>
  <c r="J305" i="2" s="1"/>
  <c r="H305" i="2"/>
  <c r="L305" i="1"/>
  <c r="S305" i="1" s="1"/>
  <c r="I305" i="1"/>
  <c r="J305" i="1" s="1"/>
  <c r="H305" i="1" s="1"/>
  <c r="T304" i="1"/>
  <c r="L306" i="2" l="1"/>
  <c r="S306" i="2" s="1"/>
  <c r="H306" i="2"/>
  <c r="I306" i="2"/>
  <c r="J306" i="2" s="1"/>
  <c r="T305" i="2"/>
  <c r="I306" i="1"/>
  <c r="J306" i="1" s="1"/>
  <c r="H306" i="1"/>
  <c r="L306" i="1"/>
  <c r="S306" i="1" s="1"/>
  <c r="T306" i="1" s="1"/>
  <c r="T305" i="1"/>
  <c r="I307" i="2" l="1"/>
  <c r="J307" i="2" s="1"/>
  <c r="H307" i="2"/>
  <c r="L307" i="2"/>
  <c r="S307" i="2" s="1"/>
  <c r="T307" i="2" s="1"/>
  <c r="T306" i="2"/>
  <c r="L307" i="1"/>
  <c r="S307" i="1" s="1"/>
  <c r="I307" i="1"/>
  <c r="J307" i="1" s="1"/>
  <c r="H307" i="1" s="1"/>
  <c r="I308" i="2" l="1"/>
  <c r="J308" i="2" s="1"/>
  <c r="L308" i="2"/>
  <c r="S308" i="2" s="1"/>
  <c r="T308" i="2" s="1"/>
  <c r="H308" i="2"/>
  <c r="I308" i="1"/>
  <c r="J308" i="1" s="1"/>
  <c r="H308" i="1" s="1"/>
  <c r="L308" i="1"/>
  <c r="S308" i="1" s="1"/>
  <c r="T307" i="1"/>
  <c r="T308" i="1" l="1"/>
  <c r="L309" i="2"/>
  <c r="S309" i="2" s="1"/>
  <c r="I309" i="2"/>
  <c r="J309" i="2" s="1"/>
  <c r="H309" i="2"/>
  <c r="L309" i="1"/>
  <c r="S309" i="1" s="1"/>
  <c r="I309" i="1"/>
  <c r="J309" i="1" s="1"/>
  <c r="H309" i="1"/>
  <c r="I310" i="2" l="1"/>
  <c r="J310" i="2" s="1"/>
  <c r="H310" i="2"/>
  <c r="L310" i="2"/>
  <c r="S310" i="2" s="1"/>
  <c r="T310" i="2" s="1"/>
  <c r="T309" i="2"/>
  <c r="L310" i="1"/>
  <c r="S310" i="1" s="1"/>
  <c r="I310" i="1"/>
  <c r="J310" i="1" s="1"/>
  <c r="H310" i="1" s="1"/>
  <c r="T309" i="1"/>
  <c r="T310" i="1" l="1"/>
  <c r="L311" i="2"/>
  <c r="S311" i="2" s="1"/>
  <c r="I311" i="2"/>
  <c r="J311" i="2" s="1"/>
  <c r="H311" i="2" s="1"/>
  <c r="L311" i="1"/>
  <c r="S311" i="1" s="1"/>
  <c r="I311" i="1"/>
  <c r="J311" i="1" s="1"/>
  <c r="H311" i="1" s="1"/>
  <c r="I312" i="2" l="1"/>
  <c r="J312" i="2" s="1"/>
  <c r="H312" i="2" s="1"/>
  <c r="L312" i="2"/>
  <c r="S312" i="2" s="1"/>
  <c r="T312" i="2" s="1"/>
  <c r="T311" i="2"/>
  <c r="L312" i="1"/>
  <c r="S312" i="1" s="1"/>
  <c r="I312" i="1"/>
  <c r="J312" i="1" s="1"/>
  <c r="H312" i="1" s="1"/>
  <c r="T311" i="1"/>
  <c r="L313" i="2" l="1"/>
  <c r="S313" i="2" s="1"/>
  <c r="I313" i="2"/>
  <c r="J313" i="2" s="1"/>
  <c r="H313" i="2"/>
  <c r="L313" i="1"/>
  <c r="S313" i="1" s="1"/>
  <c r="I313" i="1"/>
  <c r="J313" i="1" s="1"/>
  <c r="H313" i="1"/>
  <c r="T312" i="1"/>
  <c r="T313" i="1" l="1"/>
  <c r="L314" i="2"/>
  <c r="S314" i="2" s="1"/>
  <c r="I314" i="2"/>
  <c r="J314" i="2" s="1"/>
  <c r="H314" i="2" s="1"/>
  <c r="T313" i="2"/>
  <c r="I314" i="1"/>
  <c r="J314" i="1" s="1"/>
  <c r="H314" i="1" s="1"/>
  <c r="L314" i="1"/>
  <c r="S314" i="1" s="1"/>
  <c r="T314" i="1" l="1"/>
  <c r="I315" i="2"/>
  <c r="J315" i="2" s="1"/>
  <c r="H315" i="2"/>
  <c r="L315" i="2"/>
  <c r="S315" i="2" s="1"/>
  <c r="T315" i="2" s="1"/>
  <c r="T314" i="2"/>
  <c r="L315" i="1"/>
  <c r="S315" i="1" s="1"/>
  <c r="I315" i="1"/>
  <c r="J315" i="1" s="1"/>
  <c r="H315" i="1" s="1"/>
  <c r="L316" i="2" l="1"/>
  <c r="S316" i="2" s="1"/>
  <c r="I316" i="2"/>
  <c r="J316" i="2" s="1"/>
  <c r="H316" i="2"/>
  <c r="L316" i="1"/>
  <c r="S316" i="1" s="1"/>
  <c r="I316" i="1"/>
  <c r="J316" i="1" s="1"/>
  <c r="H316" i="1" s="1"/>
  <c r="T315" i="1"/>
  <c r="L317" i="2" l="1"/>
  <c r="S317" i="2" s="1"/>
  <c r="I317" i="2"/>
  <c r="J317" i="2" s="1"/>
  <c r="H317" i="2"/>
  <c r="T316" i="2"/>
  <c r="I317" i="1"/>
  <c r="J317" i="1" s="1"/>
  <c r="L317" i="1"/>
  <c r="S317" i="1" s="1"/>
  <c r="T317" i="1" s="1"/>
  <c r="H317" i="1"/>
  <c r="T316" i="1"/>
  <c r="I318" i="2" l="1"/>
  <c r="J318" i="2" s="1"/>
  <c r="H318" i="2"/>
  <c r="L318" i="2"/>
  <c r="S318" i="2" s="1"/>
  <c r="T318" i="2" s="1"/>
  <c r="T317" i="2"/>
  <c r="I318" i="1"/>
  <c r="J318" i="1" s="1"/>
  <c r="H318" i="1" s="1"/>
  <c r="L318" i="1"/>
  <c r="S318" i="1" s="1"/>
  <c r="T318" i="1" s="1"/>
  <c r="L319" i="2" l="1"/>
  <c r="S319" i="2" s="1"/>
  <c r="I319" i="2"/>
  <c r="J319" i="2" s="1"/>
  <c r="H319" i="2"/>
  <c r="L319" i="1"/>
  <c r="S319" i="1" s="1"/>
  <c r="I319" i="1"/>
  <c r="J319" i="1" s="1"/>
  <c r="H319" i="1" s="1"/>
  <c r="I320" i="2" l="1"/>
  <c r="J320" i="2" s="1"/>
  <c r="H320" i="2" s="1"/>
  <c r="L320" i="2"/>
  <c r="S320" i="2" s="1"/>
  <c r="T320" i="2" s="1"/>
  <c r="T319" i="2"/>
  <c r="L320" i="1"/>
  <c r="S320" i="1" s="1"/>
  <c r="I320" i="1"/>
  <c r="J320" i="1" s="1"/>
  <c r="H320" i="1"/>
  <c r="T319" i="1"/>
  <c r="L321" i="2" l="1"/>
  <c r="S321" i="2" s="1"/>
  <c r="T321" i="2" s="1"/>
  <c r="I321" i="2"/>
  <c r="J321" i="2" s="1"/>
  <c r="H321" i="2" s="1"/>
  <c r="L321" i="1"/>
  <c r="S321" i="1" s="1"/>
  <c r="I321" i="1"/>
  <c r="J321" i="1" s="1"/>
  <c r="H321" i="1" s="1"/>
  <c r="T320" i="1"/>
  <c r="T321" i="1" l="1"/>
  <c r="L322" i="2"/>
  <c r="S322" i="2" s="1"/>
  <c r="I322" i="2"/>
  <c r="J322" i="2" s="1"/>
  <c r="H322" i="2"/>
  <c r="L322" i="1"/>
  <c r="S322" i="1" s="1"/>
  <c r="I322" i="1"/>
  <c r="J322" i="1" s="1"/>
  <c r="H322" i="1" s="1"/>
  <c r="I323" i="2" l="1"/>
  <c r="J323" i="2" s="1"/>
  <c r="H323" i="2"/>
  <c r="L323" i="2"/>
  <c r="S323" i="2" s="1"/>
  <c r="T323" i="2" s="1"/>
  <c r="T322" i="2"/>
  <c r="L323" i="1"/>
  <c r="S323" i="1" s="1"/>
  <c r="I323" i="1"/>
  <c r="J323" i="1" s="1"/>
  <c r="H323" i="1"/>
  <c r="T322" i="1"/>
  <c r="L324" i="2" l="1"/>
  <c r="S324" i="2" s="1"/>
  <c r="I324" i="2"/>
  <c r="J324" i="2" s="1"/>
  <c r="H324" i="2"/>
  <c r="L324" i="1"/>
  <c r="S324" i="1" s="1"/>
  <c r="I324" i="1"/>
  <c r="J324" i="1" s="1"/>
  <c r="H324" i="1" s="1"/>
  <c r="T323" i="1"/>
  <c r="L325" i="2" l="1"/>
  <c r="S325" i="2" s="1"/>
  <c r="I325" i="2"/>
  <c r="J325" i="2" s="1"/>
  <c r="H325" i="2" s="1"/>
  <c r="T324" i="2"/>
  <c r="I325" i="1"/>
  <c r="J325" i="1" s="1"/>
  <c r="H325" i="1" s="1"/>
  <c r="L325" i="1"/>
  <c r="S325" i="1" s="1"/>
  <c r="T324" i="1"/>
  <c r="T325" i="1" l="1"/>
  <c r="I326" i="2"/>
  <c r="J326" i="2" s="1"/>
  <c r="H326" i="2"/>
  <c r="L326" i="2"/>
  <c r="S326" i="2" s="1"/>
  <c r="T326" i="2" s="1"/>
  <c r="T325" i="2"/>
  <c r="L326" i="1"/>
  <c r="S326" i="1" s="1"/>
  <c r="I326" i="1"/>
  <c r="J326" i="1" s="1"/>
  <c r="H326" i="1" s="1"/>
  <c r="L327" i="2" l="1"/>
  <c r="S327" i="2" s="1"/>
  <c r="I327" i="2"/>
  <c r="J327" i="2" s="1"/>
  <c r="H327" i="2"/>
  <c r="L327" i="1"/>
  <c r="S327" i="1" s="1"/>
  <c r="I327" i="1"/>
  <c r="J327" i="1" s="1"/>
  <c r="H327" i="1"/>
  <c r="T326" i="1"/>
  <c r="I328" i="2" l="1"/>
  <c r="J328" i="2" s="1"/>
  <c r="H328" i="2" s="1"/>
  <c r="L328" i="2"/>
  <c r="S328" i="2" s="1"/>
  <c r="T328" i="2" s="1"/>
  <c r="T327" i="2"/>
  <c r="I328" i="1"/>
  <c r="J328" i="1" s="1"/>
  <c r="H328" i="1"/>
  <c r="L328" i="1"/>
  <c r="S328" i="1" s="1"/>
  <c r="T328" i="1" s="1"/>
  <c r="T327" i="1"/>
  <c r="L329" i="2" l="1"/>
  <c r="S329" i="2" s="1"/>
  <c r="I329" i="2"/>
  <c r="J329" i="2" s="1"/>
  <c r="H329" i="2"/>
  <c r="L329" i="1"/>
  <c r="S329" i="1" s="1"/>
  <c r="I329" i="1"/>
  <c r="J329" i="1" s="1"/>
  <c r="H329" i="1"/>
  <c r="L330" i="2" l="1"/>
  <c r="S330" i="2" s="1"/>
  <c r="I330" i="2"/>
  <c r="J330" i="2" s="1"/>
  <c r="H330" i="2"/>
  <c r="T329" i="2"/>
  <c r="L330" i="1"/>
  <c r="S330" i="1" s="1"/>
  <c r="I330" i="1"/>
  <c r="J330" i="1" s="1"/>
  <c r="H330" i="1" s="1"/>
  <c r="T329" i="1"/>
  <c r="I331" i="2" l="1"/>
  <c r="J331" i="2" s="1"/>
  <c r="H331" i="2" s="1"/>
  <c r="L331" i="2"/>
  <c r="S331" i="2" s="1"/>
  <c r="T331" i="2" s="1"/>
  <c r="T330" i="2"/>
  <c r="L331" i="1"/>
  <c r="S331" i="1" s="1"/>
  <c r="I331" i="1"/>
  <c r="J331" i="1" s="1"/>
  <c r="H331" i="1" s="1"/>
  <c r="T330" i="1"/>
  <c r="L332" i="2" l="1"/>
  <c r="S332" i="2" s="1"/>
  <c r="I332" i="2"/>
  <c r="J332" i="2" s="1"/>
  <c r="H332" i="2"/>
  <c r="L332" i="1"/>
  <c r="S332" i="1" s="1"/>
  <c r="I332" i="1"/>
  <c r="J332" i="1" s="1"/>
  <c r="H332" i="1"/>
  <c r="T331" i="1"/>
  <c r="L333" i="2" l="1"/>
  <c r="S333" i="2" s="1"/>
  <c r="I333" i="2"/>
  <c r="J333" i="2" s="1"/>
  <c r="H333" i="2" s="1"/>
  <c r="T332" i="2"/>
  <c r="I333" i="1"/>
  <c r="J333" i="1" s="1"/>
  <c r="H333" i="1"/>
  <c r="L333" i="1"/>
  <c r="S333" i="1" s="1"/>
  <c r="T333" i="1" s="1"/>
  <c r="T332" i="1"/>
  <c r="L334" i="2" l="1"/>
  <c r="S334" i="2" s="1"/>
  <c r="I334" i="2"/>
  <c r="J334" i="2" s="1"/>
  <c r="H334" i="2"/>
  <c r="T333" i="2"/>
  <c r="L334" i="1"/>
  <c r="S334" i="1" s="1"/>
  <c r="I334" i="1"/>
  <c r="J334" i="1" s="1"/>
  <c r="H334" i="1" s="1"/>
  <c r="T334" i="1" l="1"/>
  <c r="I335" i="2"/>
  <c r="J335" i="2" s="1"/>
  <c r="L335" i="2"/>
  <c r="S335" i="2" s="1"/>
  <c r="T335" i="2" s="1"/>
  <c r="H335" i="2"/>
  <c r="T334" i="2"/>
  <c r="L335" i="1"/>
  <c r="S335" i="1" s="1"/>
  <c r="I335" i="1"/>
  <c r="J335" i="1" s="1"/>
  <c r="H335" i="1" s="1"/>
  <c r="L336" i="2" l="1"/>
  <c r="S336" i="2" s="1"/>
  <c r="I336" i="2"/>
  <c r="J336" i="2" s="1"/>
  <c r="H336" i="2"/>
  <c r="I336" i="1"/>
  <c r="J336" i="1" s="1"/>
  <c r="H336" i="1" s="1"/>
  <c r="L336" i="1"/>
  <c r="S336" i="1" s="1"/>
  <c r="T335" i="1"/>
  <c r="L337" i="2" l="1"/>
  <c r="S337" i="2" s="1"/>
  <c r="I337" i="2"/>
  <c r="J337" i="2" s="1"/>
  <c r="H337" i="2"/>
  <c r="T336" i="2"/>
  <c r="L337" i="1"/>
  <c r="S337" i="1" s="1"/>
  <c r="I337" i="1"/>
  <c r="J337" i="1" s="1"/>
  <c r="H337" i="1" s="1"/>
  <c r="T336" i="1"/>
  <c r="T337" i="1" l="1"/>
  <c r="I338" i="2"/>
  <c r="J338" i="2" s="1"/>
  <c r="H338" i="2" s="1"/>
  <c r="L338" i="2"/>
  <c r="S338" i="2" s="1"/>
  <c r="T338" i="2" s="1"/>
  <c r="T337" i="2"/>
  <c r="I338" i="1"/>
  <c r="J338" i="1" s="1"/>
  <c r="H338" i="1" s="1"/>
  <c r="L338" i="1"/>
  <c r="S338" i="1" s="1"/>
  <c r="T338" i="1" s="1"/>
  <c r="L339" i="2" l="1"/>
  <c r="S339" i="2" s="1"/>
  <c r="I339" i="2"/>
  <c r="J339" i="2" s="1"/>
  <c r="H339" i="2"/>
  <c r="L339" i="1"/>
  <c r="S339" i="1" s="1"/>
  <c r="I339" i="1"/>
  <c r="J339" i="1" s="1"/>
  <c r="H339" i="1" s="1"/>
  <c r="T339" i="1" l="1"/>
  <c r="L340" i="2"/>
  <c r="S340" i="2" s="1"/>
  <c r="I340" i="2"/>
  <c r="J340" i="2" s="1"/>
  <c r="H340" i="2" s="1"/>
  <c r="T339" i="2"/>
  <c r="I340" i="1"/>
  <c r="J340" i="1" s="1"/>
  <c r="H340" i="1" s="1"/>
  <c r="L340" i="1"/>
  <c r="S340" i="1" s="1"/>
  <c r="T340" i="1" s="1"/>
  <c r="H341" i="2" l="1"/>
  <c r="L341" i="2"/>
  <c r="S341" i="2" s="1"/>
  <c r="T341" i="2" s="1"/>
  <c r="I341" i="2"/>
  <c r="J341" i="2" s="1"/>
  <c r="T340" i="2"/>
  <c r="I341" i="1"/>
  <c r="J341" i="1" s="1"/>
  <c r="H341" i="1" s="1"/>
  <c r="L341" i="1"/>
  <c r="S341" i="1" s="1"/>
  <c r="T341" i="1" s="1"/>
  <c r="L342" i="2" l="1"/>
  <c r="S342" i="2" s="1"/>
  <c r="I342" i="2"/>
  <c r="J342" i="2" s="1"/>
  <c r="H342" i="2" s="1"/>
  <c r="L342" i="1"/>
  <c r="S342" i="1" s="1"/>
  <c r="I342" i="1"/>
  <c r="J342" i="1" s="1"/>
  <c r="H342" i="1" s="1"/>
  <c r="I343" i="2" l="1"/>
  <c r="J343" i="2" s="1"/>
  <c r="H343" i="2"/>
  <c r="L343" i="2"/>
  <c r="S343" i="2" s="1"/>
  <c r="T343" i="2" s="1"/>
  <c r="T342" i="2"/>
  <c r="I343" i="1"/>
  <c r="J343" i="1" s="1"/>
  <c r="H343" i="1"/>
  <c r="L343" i="1"/>
  <c r="S343" i="1" s="1"/>
  <c r="T343" i="1" s="1"/>
  <c r="T342" i="1"/>
  <c r="L344" i="2" l="1"/>
  <c r="S344" i="2" s="1"/>
  <c r="I344" i="2"/>
  <c r="J344" i="2" s="1"/>
  <c r="H344" i="2" s="1"/>
  <c r="I344" i="1"/>
  <c r="J344" i="1" s="1"/>
  <c r="H344" i="1"/>
  <c r="L344" i="1"/>
  <c r="S344" i="1" s="1"/>
  <c r="T344" i="1" l="1"/>
  <c r="I345" i="2"/>
  <c r="J345" i="2" s="1"/>
  <c r="H345" i="2"/>
  <c r="L345" i="2"/>
  <c r="S345" i="2" s="1"/>
  <c r="T345" i="2" s="1"/>
  <c r="T344" i="2"/>
  <c r="L345" i="1"/>
  <c r="S345" i="1" s="1"/>
  <c r="I345" i="1"/>
  <c r="J345" i="1" s="1"/>
  <c r="H345" i="1" s="1"/>
  <c r="L346" i="2" l="1"/>
  <c r="S346" i="2" s="1"/>
  <c r="I346" i="2"/>
  <c r="J346" i="2" s="1"/>
  <c r="H346" i="2"/>
  <c r="L346" i="1"/>
  <c r="S346" i="1" s="1"/>
  <c r="I346" i="1"/>
  <c r="J346" i="1" s="1"/>
  <c r="H346" i="1" s="1"/>
  <c r="T345" i="1"/>
  <c r="I347" i="2" l="1"/>
  <c r="J347" i="2" s="1"/>
  <c r="H347" i="2"/>
  <c r="L347" i="2"/>
  <c r="S347" i="2" s="1"/>
  <c r="T347" i="2" s="1"/>
  <c r="T346" i="2"/>
  <c r="I347" i="1"/>
  <c r="J347" i="1" s="1"/>
  <c r="H347" i="1" s="1"/>
  <c r="L347" i="1"/>
  <c r="S347" i="1" s="1"/>
  <c r="T347" i="1" s="1"/>
  <c r="T346" i="1"/>
  <c r="I348" i="2" l="1"/>
  <c r="J348" i="2" s="1"/>
  <c r="H348" i="2"/>
  <c r="L348" i="2"/>
  <c r="S348" i="2" s="1"/>
  <c r="T348" i="2" s="1"/>
  <c r="I348" i="1"/>
  <c r="J348" i="1" s="1"/>
  <c r="L348" i="1"/>
  <c r="S348" i="1" s="1"/>
  <c r="T348" i="1" s="1"/>
  <c r="H348" i="1"/>
  <c r="L349" i="2" l="1"/>
  <c r="S349" i="2" s="1"/>
  <c r="I349" i="2"/>
  <c r="J349" i="2" s="1"/>
  <c r="H349" i="2"/>
  <c r="L349" i="1"/>
  <c r="S349" i="1" s="1"/>
  <c r="I349" i="1"/>
  <c r="J349" i="1" s="1"/>
  <c r="H349" i="1" s="1"/>
  <c r="L350" i="2" l="1"/>
  <c r="S350" i="2" s="1"/>
  <c r="I350" i="2"/>
  <c r="J350" i="2" s="1"/>
  <c r="H350" i="2"/>
  <c r="T349" i="2"/>
  <c r="L350" i="1"/>
  <c r="S350" i="1" s="1"/>
  <c r="I350" i="1"/>
  <c r="J350" i="1" s="1"/>
  <c r="H350" i="1"/>
  <c r="T349" i="1"/>
  <c r="L351" i="2" l="1"/>
  <c r="S351" i="2" s="1"/>
  <c r="I351" i="2"/>
  <c r="J351" i="2" s="1"/>
  <c r="H351" i="2" s="1"/>
  <c r="T350" i="2"/>
  <c r="L351" i="1"/>
  <c r="S351" i="1" s="1"/>
  <c r="I351" i="1"/>
  <c r="J351" i="1" s="1"/>
  <c r="H351" i="1" s="1"/>
  <c r="T350" i="1"/>
  <c r="L352" i="2" l="1"/>
  <c r="S352" i="2" s="1"/>
  <c r="I352" i="2"/>
  <c r="J352" i="2" s="1"/>
  <c r="H352" i="2"/>
  <c r="T351" i="2"/>
  <c r="I352" i="1"/>
  <c r="J352" i="1" s="1"/>
  <c r="H352" i="1" s="1"/>
  <c r="L352" i="1"/>
  <c r="S352" i="1" s="1"/>
  <c r="T351" i="1"/>
  <c r="T352" i="1" l="1"/>
  <c r="L353" i="2"/>
  <c r="S353" i="2" s="1"/>
  <c r="I353" i="2"/>
  <c r="J353" i="2" s="1"/>
  <c r="H353" i="2"/>
  <c r="T352" i="2"/>
  <c r="L353" i="1"/>
  <c r="S353" i="1" s="1"/>
  <c r="I353" i="1"/>
  <c r="J353" i="1" s="1"/>
  <c r="H353" i="1"/>
  <c r="I354" i="2" l="1"/>
  <c r="J354" i="2" s="1"/>
  <c r="H354" i="2"/>
  <c r="L354" i="2"/>
  <c r="S354" i="2" s="1"/>
  <c r="T354" i="2" s="1"/>
  <c r="T353" i="2"/>
  <c r="I354" i="1"/>
  <c r="J354" i="1" s="1"/>
  <c r="H354" i="1" s="1"/>
  <c r="L354" i="1"/>
  <c r="S354" i="1" s="1"/>
  <c r="T353" i="1"/>
  <c r="T354" i="1" l="1"/>
  <c r="I355" i="2"/>
  <c r="J355" i="2" s="1"/>
  <c r="L355" i="2"/>
  <c r="S355" i="2" s="1"/>
  <c r="T355" i="2" s="1"/>
  <c r="H355" i="2"/>
  <c r="I355" i="1"/>
  <c r="J355" i="1" s="1"/>
  <c r="H355" i="1"/>
  <c r="L355" i="1"/>
  <c r="S355" i="1" s="1"/>
  <c r="T355" i="1" s="1"/>
  <c r="L356" i="2" l="1"/>
  <c r="S356" i="2" s="1"/>
  <c r="I356" i="2"/>
  <c r="J356" i="2" s="1"/>
  <c r="H356" i="2" s="1"/>
  <c r="L356" i="1"/>
  <c r="S356" i="1" s="1"/>
  <c r="I356" i="1"/>
  <c r="J356" i="1" s="1"/>
  <c r="H356" i="1" s="1"/>
  <c r="L357" i="2" l="1"/>
  <c r="S357" i="2" s="1"/>
  <c r="I357" i="2"/>
  <c r="J357" i="2" s="1"/>
  <c r="H357" i="2" s="1"/>
  <c r="T356" i="2"/>
  <c r="L357" i="1"/>
  <c r="S357" i="1" s="1"/>
  <c r="I357" i="1"/>
  <c r="J357" i="1" s="1"/>
  <c r="H357" i="1" s="1"/>
  <c r="T356" i="1"/>
  <c r="I358" i="2" l="1"/>
  <c r="J358" i="2" s="1"/>
  <c r="H358" i="2"/>
  <c r="L358" i="2"/>
  <c r="S358" i="2" s="1"/>
  <c r="T358" i="2" s="1"/>
  <c r="T357" i="2"/>
  <c r="I358" i="1"/>
  <c r="J358" i="1" s="1"/>
  <c r="L358" i="1"/>
  <c r="S358" i="1" s="1"/>
  <c r="T358" i="1" s="1"/>
  <c r="H358" i="1"/>
  <c r="T357" i="1"/>
  <c r="L359" i="2" l="1"/>
  <c r="S359" i="2" s="1"/>
  <c r="I359" i="2"/>
  <c r="J359" i="2" s="1"/>
  <c r="H359" i="2"/>
  <c r="L359" i="1"/>
  <c r="S359" i="1" s="1"/>
  <c r="I359" i="1"/>
  <c r="J359" i="1" s="1"/>
  <c r="H359" i="1" s="1"/>
  <c r="L360" i="2" l="1"/>
  <c r="S360" i="2" s="1"/>
  <c r="I360" i="2"/>
  <c r="J360" i="2" s="1"/>
  <c r="H360" i="2" s="1"/>
  <c r="T359" i="2"/>
  <c r="I360" i="1"/>
  <c r="J360" i="1" s="1"/>
  <c r="H360" i="1" s="1"/>
  <c r="L360" i="1"/>
  <c r="S360" i="1" s="1"/>
  <c r="T360" i="1" s="1"/>
  <c r="T359" i="1"/>
  <c r="I361" i="2" l="1"/>
  <c r="J361" i="2" s="1"/>
  <c r="H361" i="2" s="1"/>
  <c r="L361" i="2"/>
  <c r="S361" i="2" s="1"/>
  <c r="T361" i="2" s="1"/>
  <c r="T360" i="2"/>
  <c r="L361" i="1"/>
  <c r="S361" i="1" s="1"/>
  <c r="I361" i="1"/>
  <c r="J361" i="1" s="1"/>
  <c r="H361" i="1" s="1"/>
  <c r="I362" i="2" l="1"/>
  <c r="J362" i="2" s="1"/>
  <c r="L362" i="2"/>
  <c r="S362" i="2" s="1"/>
  <c r="T362" i="2" s="1"/>
  <c r="H362" i="2"/>
  <c r="L362" i="1"/>
  <c r="S362" i="1" s="1"/>
  <c r="I362" i="1"/>
  <c r="J362" i="1" s="1"/>
  <c r="H362" i="1" s="1"/>
  <c r="T361" i="1"/>
  <c r="L363" i="2" l="1"/>
  <c r="S363" i="2" s="1"/>
  <c r="I363" i="2"/>
  <c r="J363" i="2" s="1"/>
  <c r="H363" i="2"/>
  <c r="L363" i="1"/>
  <c r="S363" i="1" s="1"/>
  <c r="I363" i="1"/>
  <c r="J363" i="1" s="1"/>
  <c r="H363" i="1" s="1"/>
  <c r="T362" i="1"/>
  <c r="T363" i="2" l="1"/>
  <c r="E34" i="2"/>
  <c r="E35" i="2" s="1"/>
  <c r="T363" i="1"/>
  <c r="E34" i="1"/>
  <c r="E35" i="1" s="1"/>
</calcChain>
</file>

<file path=xl/sharedStrings.xml><?xml version="1.0" encoding="utf-8"?>
<sst xmlns="http://schemas.openxmlformats.org/spreadsheetml/2006/main" count="110" uniqueCount="54">
  <si>
    <t>Lånetype</t>
  </si>
  <si>
    <t>Fastforrentet med afdrag</t>
  </si>
  <si>
    <t>Termin 
(4= 1 år)</t>
  </si>
  <si>
    <t>Restgæld</t>
  </si>
  <si>
    <t>Rente</t>
  </si>
  <si>
    <t>Afdrag</t>
  </si>
  <si>
    <t>Ydelse</t>
  </si>
  <si>
    <t>Bidrag</t>
  </si>
  <si>
    <t>Brutto-    ydelse</t>
  </si>
  <si>
    <t>Netto-   ydelse</t>
  </si>
  <si>
    <t>Husets pris</t>
  </si>
  <si>
    <t>Ydelse inkl.</t>
  </si>
  <si>
    <t>Fradrag</t>
  </si>
  <si>
    <t xml:space="preserve">Ydelse </t>
  </si>
  <si>
    <t>ÅOP</t>
  </si>
  <si>
    <t>80 pct. belåning</t>
  </si>
  <si>
    <t>Obligationshovedstol</t>
  </si>
  <si>
    <t>kurs på obligation</t>
  </si>
  <si>
    <t>Låneomkostninger ved optagelse af realkreditlån:</t>
  </si>
  <si>
    <t>Kursværdi</t>
  </si>
  <si>
    <t xml:space="preserve"> </t>
  </si>
  <si>
    <t>Tinglysning af pant</t>
  </si>
  <si>
    <t xml:space="preserve"> - lånekostninger</t>
  </si>
  <si>
    <t>Etableringsomkostninger Realkreditinstitut</t>
  </si>
  <si>
    <t>Låneprovenu (det jeg får i hånden)</t>
  </si>
  <si>
    <t>Kurtage/kursskæring, 0,2 pct.</t>
  </si>
  <si>
    <t>I alt</t>
  </si>
  <si>
    <t>Pålydende rente</t>
  </si>
  <si>
    <t>Bidragssats</t>
  </si>
  <si>
    <t>Hvis du kender restgælden i dag:</t>
  </si>
  <si>
    <t>Rente + bidragssats</t>
  </si>
  <si>
    <t>NB! Hvis du skal beregne restgælden på et eksisterende lån efter et antal terminer/år, skal restgælden på lånet i dag sættes ind i feltet "Kursværdi" og kursen skal sættes til 100. Låneomkostningerne skal sættes til 0 kr da der jo ikke er tale om oprettelse af et nyt lån ved fx hus køb. HUSK AT SKRIVE RESTLØBETIDEN PÅ LÅNET. FX HVIS LÅNET HAR LØBET I 4 ÅR SKRIVES 26 ÅR.</t>
  </si>
  <si>
    <t>Løbetid, år</t>
  </si>
  <si>
    <t>Terminer pr. år</t>
  </si>
  <si>
    <t>Antal terminer i alt</t>
  </si>
  <si>
    <t>Ydelse pr. termin</t>
  </si>
  <si>
    <t>Ydelse pr. år</t>
  </si>
  <si>
    <t>Bidrag 1.år</t>
  </si>
  <si>
    <t>Bruttoydelse 1.år</t>
  </si>
  <si>
    <t>Hvis du kender den oprindelige hovedstol og hvor lang tid lånet har løbet:</t>
  </si>
  <si>
    <t>Akkumuleret rente 1.år</t>
  </si>
  <si>
    <t>Afdrag på gæld 1.år</t>
  </si>
  <si>
    <t>Så sætter du bare den oprindelige hoved stol ind i feltet "Kursværdi" og kursen skal sættes til 100 og låneomkostninger til 0. Så kan du se hvad restgælden er i dag ud for hvor mange terminer der er løbet på lånet indtil i dag. Og du kan se restgælden i fremtiden.</t>
  </si>
  <si>
    <t>Nettoydelse 1.år</t>
  </si>
  <si>
    <t>Nettoydelse pr. termin (1.år)</t>
  </si>
  <si>
    <t>Bruttoydelse pr. måned (gnsn)</t>
  </si>
  <si>
    <t>Nettoydelse pr. måned (gnsn)</t>
  </si>
  <si>
    <t>Hvis der er tale om et helt nyt lån der skal hjemtages ifm boligkøb:</t>
  </si>
  <si>
    <t>Så må du ikke skrive i feltet "Kursværdi", men i stedet taste huset pris ind. Så beregner skabelonen selv de 80% belåning som sættes ind i feltet "Kursværdi". Låneomkostningerne skal også beregnes og sættes ind i feltet "låneomkostninger". HUSK at finde kursen på det nye lån som sættes ind.</t>
  </si>
  <si>
    <t>Effektiv rente (obligation) pr. termin</t>
  </si>
  <si>
    <t>Effektiv rente (obligation) pr. år</t>
  </si>
  <si>
    <t>ÅOP pr. termin</t>
  </si>
  <si>
    <t>ÅOP pr. år</t>
  </si>
  <si>
    <t>NETTOYDELSEN PR. TERMIN FREMGÅR AF KOLONNE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</si>
</sst>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??_ ;_ @_ "/>
    <numFmt numFmtId="165" formatCode="_ * #,##0.00_ ;_ * \-#,##0.00_ ;_ * &quot;-&quot;??_ ;_ @_ "/>
    <numFmt numFmtId="166" formatCode="0.000"/>
    <numFmt numFmtId="167" formatCode="0.0000%"/>
  </numFmts>
  <fonts count="21">
    <font>
      <sz val="12"/>
      <color theme="1"/>
      <name val="ArialMT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name val="Calibri"/>
      <family val="2"/>
    </font>
    <font>
      <b/>
      <sz val="12"/>
      <name val="Arial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87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3" fontId="3" fillId="2" borderId="0" xfId="1" applyNumberFormat="1" applyFont="1" applyFill="1" applyAlignment="1">
      <alignment horizontal="center" vertical="center" wrapText="1"/>
    </xf>
    <xf numFmtId="0" fontId="4" fillId="0" borderId="0" xfId="1" applyFont="1"/>
    <xf numFmtId="3" fontId="3" fillId="2" borderId="2" xfId="1" applyNumberFormat="1" applyFont="1" applyFill="1" applyBorder="1" applyAlignment="1">
      <alignment horizontal="center" vertical="center" wrapText="1"/>
    </xf>
    <xf numFmtId="3" fontId="3" fillId="2" borderId="3" xfId="1" applyNumberFormat="1" applyFont="1" applyFill="1" applyBorder="1" applyAlignment="1">
      <alignment horizontal="center" vertical="center" wrapText="1"/>
    </xf>
    <xf numFmtId="0" fontId="5" fillId="0" borderId="0" xfId="1" applyFont="1"/>
    <xf numFmtId="0" fontId="6" fillId="0" borderId="0" xfId="1" applyFont="1"/>
    <xf numFmtId="164" fontId="1" fillId="3" borderId="0" xfId="1" applyNumberFormat="1" applyFill="1"/>
    <xf numFmtId="0" fontId="2" fillId="2" borderId="4" xfId="1" applyFont="1" applyFill="1" applyBorder="1" applyAlignment="1">
      <alignment horizontal="center" vertical="center" wrapText="1"/>
    </xf>
    <xf numFmtId="3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6" xfId="1" applyNumberFormat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164" fontId="1" fillId="0" borderId="0" xfId="1" applyNumberFormat="1"/>
    <xf numFmtId="0" fontId="2" fillId="0" borderId="1" xfId="1" applyFont="1" applyBorder="1"/>
    <xf numFmtId="164" fontId="8" fillId="0" borderId="7" xfId="2" applyNumberFormat="1" applyFont="1" applyFill="1" applyBorder="1"/>
    <xf numFmtId="164" fontId="0" fillId="0" borderId="0" xfId="2" applyNumberFormat="1" applyFont="1"/>
    <xf numFmtId="164" fontId="4" fillId="0" borderId="0" xfId="2" applyNumberFormat="1" applyFont="1" applyAlignment="1">
      <alignment horizontal="right"/>
    </xf>
    <xf numFmtId="164" fontId="4" fillId="0" borderId="0" xfId="2" applyNumberFormat="1" applyFont="1"/>
    <xf numFmtId="164" fontId="4" fillId="0" borderId="5" xfId="2" applyNumberFormat="1" applyFont="1" applyBorder="1"/>
    <xf numFmtId="164" fontId="4" fillId="0" borderId="6" xfId="2" applyNumberFormat="1" applyFont="1" applyBorder="1"/>
    <xf numFmtId="164" fontId="5" fillId="0" borderId="0" xfId="1" applyNumberFormat="1" applyFont="1"/>
    <xf numFmtId="0" fontId="9" fillId="0" borderId="7" xfId="1" applyFont="1" applyBorder="1"/>
    <xf numFmtId="166" fontId="8" fillId="3" borderId="7" xfId="1" applyNumberFormat="1" applyFont="1" applyFill="1" applyBorder="1"/>
    <xf numFmtId="0" fontId="2" fillId="0" borderId="7" xfId="1" applyFont="1" applyBorder="1"/>
    <xf numFmtId="164" fontId="8" fillId="0" borderId="7" xfId="2" applyNumberFormat="1" applyFont="1" applyBorder="1"/>
    <xf numFmtId="165" fontId="1" fillId="0" borderId="0" xfId="1" applyNumberFormat="1"/>
    <xf numFmtId="164" fontId="5" fillId="0" borderId="0" xfId="2" applyNumberFormat="1" applyFont="1"/>
    <xf numFmtId="164" fontId="4" fillId="0" borderId="0" xfId="1" applyNumberFormat="1" applyFont="1"/>
    <xf numFmtId="0" fontId="9" fillId="0" borderId="7" xfId="1" quotePrefix="1" applyFont="1" applyBorder="1"/>
    <xf numFmtId="164" fontId="8" fillId="0" borderId="7" xfId="1" applyNumberFormat="1" applyFont="1" applyBorder="1"/>
    <xf numFmtId="164" fontId="4" fillId="3" borderId="0" xfId="1" applyNumberFormat="1" applyFont="1" applyFill="1"/>
    <xf numFmtId="165" fontId="0" fillId="0" borderId="0" xfId="2" applyFont="1"/>
    <xf numFmtId="164" fontId="4" fillId="0" borderId="8" xfId="1" applyNumberFormat="1" applyFont="1" applyBorder="1"/>
    <xf numFmtId="0" fontId="8" fillId="0" borderId="7" xfId="1" applyFont="1" applyBorder="1"/>
    <xf numFmtId="164" fontId="3" fillId="0" borderId="0" xfId="1" applyNumberFormat="1" applyFont="1"/>
    <xf numFmtId="10" fontId="8" fillId="3" borderId="7" xfId="1" applyNumberFormat="1" applyFont="1" applyFill="1" applyBorder="1"/>
    <xf numFmtId="10" fontId="0" fillId="0" borderId="0" xfId="3" applyNumberFormat="1" applyFont="1"/>
    <xf numFmtId="167" fontId="8" fillId="3" borderId="7" xfId="1" applyNumberFormat="1" applyFont="1" applyFill="1" applyBorder="1"/>
    <xf numFmtId="0" fontId="11" fillId="0" borderId="0" xfId="4" applyFont="1" applyAlignment="1">
      <alignment wrapText="1"/>
    </xf>
    <xf numFmtId="0" fontId="12" fillId="0" borderId="0" xfId="4" applyFont="1" applyAlignment="1">
      <alignment wrapText="1"/>
    </xf>
    <xf numFmtId="10" fontId="8" fillId="0" borderId="7" xfId="1" applyNumberFormat="1" applyFont="1" applyBorder="1"/>
    <xf numFmtId="0" fontId="13" fillId="0" borderId="2" xfId="4" applyFont="1" applyBorder="1" applyAlignment="1">
      <alignment vertical="top" wrapText="1"/>
    </xf>
    <xf numFmtId="0" fontId="13" fillId="0" borderId="9" xfId="4" applyFont="1" applyBorder="1" applyAlignment="1">
      <alignment vertical="top" wrapText="1"/>
    </xf>
    <xf numFmtId="0" fontId="8" fillId="3" borderId="7" xfId="1" applyFont="1" applyFill="1" applyBorder="1"/>
    <xf numFmtId="0" fontId="13" fillId="0" borderId="5" xfId="4" applyFont="1" applyBorder="1" applyAlignment="1">
      <alignment vertical="top" wrapText="1"/>
    </xf>
    <xf numFmtId="0" fontId="13" fillId="0" borderId="10" xfId="4" applyFont="1" applyBorder="1" applyAlignment="1">
      <alignment vertical="top" wrapText="1"/>
    </xf>
    <xf numFmtId="0" fontId="8" fillId="0" borderId="1" xfId="1" applyFont="1" applyBorder="1"/>
    <xf numFmtId="164" fontId="8" fillId="0" borderId="1" xfId="2" applyNumberFormat="1" applyFont="1" applyFill="1" applyBorder="1"/>
    <xf numFmtId="0" fontId="13" fillId="0" borderId="11" xfId="4" applyFont="1" applyBorder="1" applyAlignment="1">
      <alignment vertical="top" wrapText="1"/>
    </xf>
    <xf numFmtId="0" fontId="13" fillId="0" borderId="12" xfId="4" applyFont="1" applyBorder="1" applyAlignment="1">
      <alignment vertical="top" wrapText="1"/>
    </xf>
    <xf numFmtId="0" fontId="11" fillId="0" borderId="0" xfId="4" applyFont="1" applyAlignment="1">
      <alignment wrapText="1"/>
    </xf>
    <xf numFmtId="0" fontId="14" fillId="0" borderId="0" xfId="4" applyFont="1" applyAlignment="1">
      <alignment wrapText="1"/>
    </xf>
    <xf numFmtId="0" fontId="14" fillId="0" borderId="13" xfId="4" applyFont="1" applyBorder="1" applyAlignment="1">
      <alignment wrapText="1"/>
    </xf>
    <xf numFmtId="0" fontId="10" fillId="0" borderId="0" xfId="4" applyAlignment="1">
      <alignment wrapText="1"/>
    </xf>
    <xf numFmtId="0" fontId="13" fillId="0" borderId="3" xfId="4" applyFont="1" applyBorder="1" applyAlignment="1">
      <alignment vertical="top" wrapText="1"/>
    </xf>
    <xf numFmtId="0" fontId="13" fillId="0" borderId="6" xfId="4" applyFont="1" applyBorder="1" applyAlignment="1">
      <alignment vertical="top" wrapText="1"/>
    </xf>
    <xf numFmtId="0" fontId="15" fillId="0" borderId="7" xfId="1" applyFont="1" applyBorder="1"/>
    <xf numFmtId="164" fontId="15" fillId="0" borderId="7" xfId="2" applyNumberFormat="1" applyFont="1" applyFill="1" applyBorder="1"/>
    <xf numFmtId="164" fontId="16" fillId="0" borderId="0" xfId="2" applyNumberFormat="1" applyFont="1"/>
    <xf numFmtId="0" fontId="14" fillId="0" borderId="14" xfId="4" applyFont="1" applyBorder="1" applyAlignment="1">
      <alignment wrapText="1"/>
    </xf>
    <xf numFmtId="0" fontId="14" fillId="0" borderId="15" xfId="4" applyFont="1" applyBorder="1" applyAlignment="1">
      <alignment wrapText="1"/>
    </xf>
    <xf numFmtId="10" fontId="0" fillId="0" borderId="0" xfId="2" applyNumberFormat="1" applyFont="1"/>
    <xf numFmtId="0" fontId="17" fillId="0" borderId="16" xfId="4" applyFont="1" applyBorder="1" applyAlignment="1">
      <alignment wrapText="1"/>
    </xf>
    <xf numFmtId="0" fontId="10" fillId="0" borderId="16" xfId="4" applyBorder="1" applyAlignment="1">
      <alignment wrapText="1"/>
    </xf>
    <xf numFmtId="0" fontId="15" fillId="0" borderId="4" xfId="1" applyFont="1" applyBorder="1"/>
    <xf numFmtId="164" fontId="15" fillId="0" borderId="4" xfId="2" applyNumberFormat="1" applyFont="1" applyFill="1" applyBorder="1"/>
    <xf numFmtId="0" fontId="18" fillId="0" borderId="0" xfId="4" applyFont="1" applyAlignment="1">
      <alignment vertical="top" wrapText="1"/>
    </xf>
    <xf numFmtId="0" fontId="19" fillId="0" borderId="0" xfId="4" applyFont="1" applyAlignment="1">
      <alignment vertical="top" wrapText="1"/>
    </xf>
    <xf numFmtId="0" fontId="19" fillId="0" borderId="13" xfId="4" applyFont="1" applyBorder="1" applyAlignment="1">
      <alignment vertical="top" wrapText="1"/>
    </xf>
    <xf numFmtId="10" fontId="5" fillId="0" borderId="0" xfId="1" applyNumberFormat="1" applyFont="1"/>
    <xf numFmtId="10" fontId="1" fillId="0" borderId="0" xfId="1" applyNumberFormat="1"/>
    <xf numFmtId="0" fontId="14" fillId="0" borderId="3" xfId="4" applyFont="1" applyBorder="1" applyAlignment="1">
      <alignment wrapText="1"/>
    </xf>
    <xf numFmtId="10" fontId="8" fillId="0" borderId="1" xfId="3" applyNumberFormat="1" applyFont="1" applyFill="1" applyBorder="1"/>
    <xf numFmtId="10" fontId="6" fillId="0" borderId="0" xfId="3" applyNumberFormat="1" applyFont="1"/>
    <xf numFmtId="0" fontId="14" fillId="0" borderId="5" xfId="4" applyFont="1" applyBorder="1" applyAlignment="1">
      <alignment wrapText="1"/>
    </xf>
    <xf numFmtId="0" fontId="14" fillId="0" borderId="6" xfId="4" applyFont="1" applyBorder="1" applyAlignment="1">
      <alignment wrapText="1"/>
    </xf>
    <xf numFmtId="10" fontId="15" fillId="0" borderId="7" xfId="3" applyNumberFormat="1" applyFont="1" applyFill="1" applyBorder="1"/>
    <xf numFmtId="10" fontId="8" fillId="0" borderId="7" xfId="3" applyNumberFormat="1" applyFont="1" applyFill="1" applyBorder="1"/>
    <xf numFmtId="10" fontId="15" fillId="0" borderId="4" xfId="3" applyNumberFormat="1" applyFont="1" applyFill="1" applyBorder="1"/>
    <xf numFmtId="0" fontId="20" fillId="0" borderId="0" xfId="1" applyFont="1"/>
    <xf numFmtId="0" fontId="4" fillId="0" borderId="5" xfId="1" applyFont="1" applyBorder="1"/>
    <xf numFmtId="0" fontId="4" fillId="0" borderId="6" xfId="1" applyFont="1" applyBorder="1"/>
  </cellXfs>
  <cellStyles count="5">
    <cellStyle name="Komma 2 3" xfId="2" xr:uid="{7BADF9BF-0023-9947-9159-86D1CD568959}"/>
    <cellStyle name="Normal" xfId="0" builtinId="0"/>
    <cellStyle name="Normal 2" xfId="4" xr:uid="{1E25627A-042E-1946-B07B-7208B591C014}"/>
    <cellStyle name="Normal 3 3" xfId="1" xr:uid="{759FF723-60E0-234E-9103-F876F27EB321}"/>
    <cellStyle name="Procent 3 2 2" xfId="3" xr:uid="{071D3AE2-F64D-4148-9308-ADDF3B280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2F3B-F0AB-F24D-9400-DB3A5CDB2189}">
  <dimension ref="A1:V370"/>
  <sheetViews>
    <sheetView tabSelected="1" workbookViewId="0">
      <selection activeCell="E22" sqref="E22"/>
    </sheetView>
  </sheetViews>
  <sheetFormatPr baseColWidth="10" defaultColWidth="7.42578125" defaultRowHeight="15"/>
  <cols>
    <col min="1" max="1" width="32.28515625" style="1" customWidth="1"/>
    <col min="2" max="2" width="13" style="1" customWidth="1"/>
    <col min="3" max="3" width="2.5703125" style="1" customWidth="1"/>
    <col min="4" max="4" width="34.42578125" style="1" customWidth="1"/>
    <col min="5" max="5" width="12.42578125" style="1" bestFit="1" customWidth="1"/>
    <col min="6" max="6" width="2.7109375" style="1" customWidth="1"/>
    <col min="7" max="12" width="10" style="5" customWidth="1"/>
    <col min="13" max="15" width="2.28515625" style="5" hidden="1" customWidth="1"/>
    <col min="16" max="18" width="1.42578125" style="5" hidden="1" customWidth="1"/>
    <col min="19" max="19" width="10" style="85" customWidth="1"/>
    <col min="20" max="20" width="10" style="86" customWidth="1"/>
    <col min="21" max="21" width="8.140625" style="8" customWidth="1"/>
    <col min="22" max="22" width="11.7109375" style="8" customWidth="1"/>
    <col min="23" max="16384" width="7.42578125" style="1"/>
  </cols>
  <sheetData>
    <row r="1" spans="1:22" ht="30" customHeight="1">
      <c r="A1" s="1">
        <v>3</v>
      </c>
      <c r="D1" s="2" t="s">
        <v>0</v>
      </c>
      <c r="E1" s="2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S1" s="6" t="s">
        <v>8</v>
      </c>
      <c r="T1" s="7" t="s">
        <v>9</v>
      </c>
    </row>
    <row r="2" spans="1:22" ht="16" thickBot="1">
      <c r="A2" s="9" t="s">
        <v>10</v>
      </c>
      <c r="B2" s="10">
        <v>2000000</v>
      </c>
      <c r="D2" s="11"/>
      <c r="E2" s="11"/>
      <c r="G2" s="3"/>
      <c r="H2" s="4"/>
      <c r="I2" s="4"/>
      <c r="J2" s="4"/>
      <c r="K2" s="4"/>
      <c r="L2" s="4"/>
      <c r="M2" s="12" t="s">
        <v>11</v>
      </c>
      <c r="N2" s="12" t="s">
        <v>12</v>
      </c>
      <c r="O2" s="12" t="s">
        <v>13</v>
      </c>
      <c r="P2" s="13"/>
      <c r="Q2" s="13"/>
      <c r="R2" s="13"/>
      <c r="S2" s="14"/>
      <c r="T2" s="15"/>
      <c r="V2" s="16" t="s">
        <v>14</v>
      </c>
    </row>
    <row r="3" spans="1:22" ht="16">
      <c r="A3" s="9" t="s">
        <v>15</v>
      </c>
      <c r="B3" s="17">
        <f>0.8*B2</f>
        <v>1600000</v>
      </c>
      <c r="D3" s="18" t="s">
        <v>16</v>
      </c>
      <c r="E3" s="19">
        <f>E5*100/E4</f>
        <v>1636996.1121342338</v>
      </c>
      <c r="F3" s="20"/>
      <c r="G3" s="5">
        <v>0</v>
      </c>
      <c r="H3" s="21">
        <f>E3</f>
        <v>1636996.1121342338</v>
      </c>
      <c r="I3" s="21"/>
      <c r="J3" s="21"/>
      <c r="K3" s="21">
        <f>-E5</f>
        <v>-1600000</v>
      </c>
      <c r="L3" s="21"/>
      <c r="M3" s="21"/>
      <c r="N3" s="21"/>
      <c r="O3" s="21"/>
      <c r="P3" s="22"/>
      <c r="Q3" s="22"/>
      <c r="R3" s="22"/>
      <c r="S3" s="23">
        <f>-E7</f>
        <v>-1561238.5563740537</v>
      </c>
      <c r="T3" s="24"/>
      <c r="V3" s="25">
        <f>-E7</f>
        <v>-1561238.5563740537</v>
      </c>
    </row>
    <row r="4" spans="1:22" ht="16">
      <c r="D4" s="26" t="s">
        <v>17</v>
      </c>
      <c r="E4" s="27">
        <v>97.74</v>
      </c>
      <c r="G4" s="5">
        <v>1</v>
      </c>
      <c r="H4" s="22">
        <f t="shared" ref="H4:H67" si="0">H3-J4</f>
        <v>1632276.7660926308</v>
      </c>
      <c r="I4" s="22">
        <f t="shared" ref="I4:I67" si="1">$E$9/$E$13*H3</f>
        <v>4774.5719937248487</v>
      </c>
      <c r="J4" s="22">
        <f t="shared" ref="J4:J67" si="2">K4-I4</f>
        <v>4719.3460416030557</v>
      </c>
      <c r="K4" s="22">
        <f t="shared" ref="K4:K67" si="3">IF(G4&gt;$E$14,0,$E$16)</f>
        <v>9493.9180353279044</v>
      </c>
      <c r="L4" s="22">
        <f t="shared" ref="L4:L67" si="4">$E$10/$E$13*H3</f>
        <v>929.26812632153349</v>
      </c>
      <c r="M4" s="22"/>
      <c r="N4" s="22"/>
      <c r="O4" s="22"/>
      <c r="P4" s="22"/>
      <c r="Q4" s="22"/>
      <c r="R4" s="22"/>
      <c r="S4" s="23">
        <f t="shared" ref="S4:S67" si="5">K4+L4</f>
        <v>10423.186161649437</v>
      </c>
      <c r="T4" s="24">
        <f t="shared" ref="T4:T67" si="6">S4-1/3*(I4+L4)</f>
        <v>8521.906121633976</v>
      </c>
      <c r="V4" s="25">
        <f t="shared" ref="V4:V67" si="7">S4</f>
        <v>10423.186161649437</v>
      </c>
    </row>
    <row r="5" spans="1:22" ht="16">
      <c r="A5" s="9" t="s">
        <v>18</v>
      </c>
      <c r="D5" s="28" t="s">
        <v>19</v>
      </c>
      <c r="E5" s="29">
        <f>B3</f>
        <v>1600000</v>
      </c>
      <c r="F5" s="30"/>
      <c r="G5" s="5">
        <v>2</v>
      </c>
      <c r="H5" s="22">
        <f t="shared" si="0"/>
        <v>1627543.6552917399</v>
      </c>
      <c r="I5" s="22">
        <f t="shared" si="1"/>
        <v>4760.8072344368402</v>
      </c>
      <c r="J5" s="22">
        <f t="shared" si="2"/>
        <v>4733.1108008910642</v>
      </c>
      <c r="K5" s="22">
        <f t="shared" si="3"/>
        <v>9493.9180353279044</v>
      </c>
      <c r="L5" s="22">
        <f t="shared" si="4"/>
        <v>926.58911088525019</v>
      </c>
      <c r="M5" s="22"/>
      <c r="N5" s="22"/>
      <c r="O5" s="22"/>
      <c r="P5" s="22"/>
      <c r="Q5" s="22"/>
      <c r="R5" s="22"/>
      <c r="S5" s="23">
        <f t="shared" si="5"/>
        <v>10420.507146213155</v>
      </c>
      <c r="T5" s="24">
        <f t="shared" si="6"/>
        <v>8524.7083644391241</v>
      </c>
      <c r="U5" s="31" t="s">
        <v>20</v>
      </c>
      <c r="V5" s="25">
        <f t="shared" si="7"/>
        <v>10420.507146213155</v>
      </c>
    </row>
    <row r="6" spans="1:22" ht="16">
      <c r="A6" s="1" t="s">
        <v>21</v>
      </c>
      <c r="B6" s="32">
        <f>1.45%*E3+1825</f>
        <v>25561.443625946387</v>
      </c>
      <c r="D6" s="33" t="s">
        <v>22</v>
      </c>
      <c r="E6" s="34">
        <f>B9</f>
        <v>38761.443625946384</v>
      </c>
      <c r="F6" s="17"/>
      <c r="G6" s="5">
        <v>3</v>
      </c>
      <c r="H6" s="22">
        <f t="shared" si="0"/>
        <v>1622796.7395843463</v>
      </c>
      <c r="I6" s="22">
        <f t="shared" si="1"/>
        <v>4747.0023279342413</v>
      </c>
      <c r="J6" s="22">
        <f t="shared" si="2"/>
        <v>4746.9157073936631</v>
      </c>
      <c r="K6" s="22">
        <f t="shared" si="3"/>
        <v>9493.9180353279044</v>
      </c>
      <c r="L6" s="22">
        <f t="shared" si="4"/>
        <v>923.90228165394444</v>
      </c>
      <c r="M6" s="22"/>
      <c r="N6" s="22"/>
      <c r="O6" s="22"/>
      <c r="P6" s="22"/>
      <c r="Q6" s="22"/>
      <c r="R6" s="22"/>
      <c r="S6" s="23">
        <f t="shared" si="5"/>
        <v>10417.820316981848</v>
      </c>
      <c r="T6" s="24">
        <f t="shared" si="6"/>
        <v>8527.5187804524521</v>
      </c>
      <c r="V6" s="25">
        <f t="shared" si="7"/>
        <v>10417.820316981848</v>
      </c>
    </row>
    <row r="7" spans="1:22" ht="16">
      <c r="A7" s="1" t="s">
        <v>23</v>
      </c>
      <c r="B7" s="35">
        <v>10000</v>
      </c>
      <c r="D7" s="28" t="s">
        <v>24</v>
      </c>
      <c r="E7" s="34">
        <f>E5-E6</f>
        <v>1561238.5563740537</v>
      </c>
      <c r="F7" s="36"/>
      <c r="G7" s="5">
        <v>4</v>
      </c>
      <c r="H7" s="22">
        <f t="shared" si="0"/>
        <v>1618035.9787061394</v>
      </c>
      <c r="I7" s="22">
        <f t="shared" si="1"/>
        <v>4733.1571571210106</v>
      </c>
      <c r="J7" s="22">
        <f t="shared" si="2"/>
        <v>4760.7608782068937</v>
      </c>
      <c r="K7" s="22">
        <f t="shared" si="3"/>
        <v>9493.9180353279044</v>
      </c>
      <c r="L7" s="22">
        <f t="shared" si="4"/>
        <v>921.20761583738067</v>
      </c>
      <c r="M7" s="22"/>
      <c r="N7" s="22"/>
      <c r="O7" s="22"/>
      <c r="P7" s="22"/>
      <c r="Q7" s="22"/>
      <c r="R7" s="22"/>
      <c r="S7" s="23">
        <f t="shared" si="5"/>
        <v>10415.125651165285</v>
      </c>
      <c r="T7" s="24">
        <f t="shared" si="6"/>
        <v>8530.3373935124873</v>
      </c>
      <c r="V7" s="25"/>
    </row>
    <row r="8" spans="1:22" ht="16">
      <c r="A8" s="1" t="s">
        <v>25</v>
      </c>
      <c r="B8" s="37">
        <f>0.2%*B3</f>
        <v>3200</v>
      </c>
      <c r="D8" s="38"/>
      <c r="E8" s="38"/>
      <c r="G8" s="5">
        <v>5</v>
      </c>
      <c r="H8" s="22">
        <f t="shared" si="0"/>
        <v>1613261.3322753711</v>
      </c>
      <c r="I8" s="22">
        <f t="shared" si="1"/>
        <v>4719.2716045595735</v>
      </c>
      <c r="J8" s="22">
        <f t="shared" si="2"/>
        <v>4774.6464307683309</v>
      </c>
      <c r="K8" s="22">
        <f t="shared" si="3"/>
        <v>9493.9180353279044</v>
      </c>
      <c r="L8" s="22">
        <f t="shared" si="4"/>
        <v>918.50509057885188</v>
      </c>
      <c r="M8" s="22"/>
      <c r="N8" s="22"/>
      <c r="O8" s="22"/>
      <c r="P8" s="22"/>
      <c r="Q8" s="22"/>
      <c r="R8" s="22"/>
      <c r="S8" s="23">
        <f t="shared" si="5"/>
        <v>10412.423125906756</v>
      </c>
      <c r="T8" s="24">
        <f t="shared" si="6"/>
        <v>8533.1642275272807</v>
      </c>
      <c r="V8" s="25">
        <f t="shared" si="7"/>
        <v>10412.423125906756</v>
      </c>
    </row>
    <row r="9" spans="1:22" ht="16">
      <c r="A9" s="1" t="s">
        <v>26</v>
      </c>
      <c r="B9" s="39">
        <f>SUM(B6:B8)</f>
        <v>38761.443625946384</v>
      </c>
      <c r="D9" s="38" t="s">
        <v>27</v>
      </c>
      <c r="E9" s="40">
        <v>3.5000000000000003E-2</v>
      </c>
      <c r="F9" s="41"/>
      <c r="G9" s="5">
        <v>6</v>
      </c>
      <c r="H9" s="22">
        <f t="shared" si="0"/>
        <v>1608472.759792513</v>
      </c>
      <c r="I9" s="22">
        <f t="shared" si="1"/>
        <v>4705.3455524698329</v>
      </c>
      <c r="J9" s="22">
        <f t="shared" si="2"/>
        <v>4788.5724828580715</v>
      </c>
      <c r="K9" s="22">
        <f t="shared" si="3"/>
        <v>9493.9180353279044</v>
      </c>
      <c r="L9" s="22">
        <f t="shared" si="4"/>
        <v>915.79468295498577</v>
      </c>
      <c r="M9" s="22"/>
      <c r="N9" s="22"/>
      <c r="O9" s="22"/>
      <c r="P9" s="22"/>
      <c r="Q9" s="22"/>
      <c r="R9" s="22"/>
      <c r="S9" s="23">
        <f t="shared" si="5"/>
        <v>10409.71271828289</v>
      </c>
      <c r="T9" s="24">
        <f t="shared" si="6"/>
        <v>8535.9993064746177</v>
      </c>
      <c r="V9" s="25">
        <f t="shared" si="7"/>
        <v>10409.71271828289</v>
      </c>
    </row>
    <row r="10" spans="1:22" ht="16">
      <c r="D10" s="38" t="s">
        <v>28</v>
      </c>
      <c r="E10" s="42">
        <v>6.8120000000000003E-3</v>
      </c>
      <c r="F10" s="41"/>
      <c r="G10" s="5">
        <v>7</v>
      </c>
      <c r="H10" s="22">
        <f t="shared" si="0"/>
        <v>1603670.2206399133</v>
      </c>
      <c r="I10" s="22">
        <f t="shared" si="1"/>
        <v>4691.3788827281633</v>
      </c>
      <c r="J10" s="22">
        <f t="shared" si="2"/>
        <v>4802.5391525997411</v>
      </c>
      <c r="K10" s="22">
        <f t="shared" si="3"/>
        <v>9493.9180353279044</v>
      </c>
      <c r="L10" s="22">
        <f t="shared" si="4"/>
        <v>913.07636997554994</v>
      </c>
      <c r="M10" s="22"/>
      <c r="N10" s="22"/>
      <c r="O10" s="22"/>
      <c r="P10" s="22"/>
      <c r="Q10" s="22"/>
      <c r="R10" s="22"/>
      <c r="S10" s="23">
        <f t="shared" si="5"/>
        <v>10406.994405303454</v>
      </c>
      <c r="T10" s="24">
        <f t="shared" si="6"/>
        <v>8538.8426544022168</v>
      </c>
      <c r="V10" s="25">
        <f t="shared" si="7"/>
        <v>10406.994405303454</v>
      </c>
    </row>
    <row r="11" spans="1:22" ht="18" thickBot="1">
      <c r="A11" s="43" t="s">
        <v>29</v>
      </c>
      <c r="B11" s="44"/>
      <c r="C11" s="44"/>
      <c r="D11" s="38" t="s">
        <v>30</v>
      </c>
      <c r="E11" s="45">
        <f>SUM(E9:E10)</f>
        <v>4.1812000000000002E-2</v>
      </c>
      <c r="F11" s="41"/>
      <c r="G11" s="5">
        <v>8</v>
      </c>
      <c r="H11" s="22">
        <f t="shared" si="0"/>
        <v>1598853.674081452</v>
      </c>
      <c r="I11" s="22">
        <f t="shared" si="1"/>
        <v>4677.371476866414</v>
      </c>
      <c r="J11" s="22">
        <f t="shared" si="2"/>
        <v>4816.5465584614903</v>
      </c>
      <c r="K11" s="22">
        <f t="shared" si="3"/>
        <v>9493.9180353279044</v>
      </c>
      <c r="L11" s="22">
        <f t="shared" si="4"/>
        <v>910.35012858325763</v>
      </c>
      <c r="M11" s="22"/>
      <c r="N11" s="22"/>
      <c r="O11" s="22"/>
      <c r="P11" s="22"/>
      <c r="Q11" s="22"/>
      <c r="R11" s="22"/>
      <c r="S11" s="23">
        <f t="shared" si="5"/>
        <v>10404.268163911162</v>
      </c>
      <c r="T11" s="24">
        <f t="shared" si="6"/>
        <v>8541.6942954279384</v>
      </c>
      <c r="V11" s="25">
        <f t="shared" si="7"/>
        <v>10404.268163911162</v>
      </c>
    </row>
    <row r="12" spans="1:22" ht="16">
      <c r="A12" s="46" t="s">
        <v>31</v>
      </c>
      <c r="B12" s="47"/>
      <c r="C12" s="44"/>
      <c r="D12" s="38" t="s">
        <v>32</v>
      </c>
      <c r="E12" s="48">
        <v>20</v>
      </c>
      <c r="G12" s="5">
        <v>9</v>
      </c>
      <c r="H12" s="22">
        <f t="shared" si="0"/>
        <v>1594023.0792621949</v>
      </c>
      <c r="I12" s="22">
        <f t="shared" si="1"/>
        <v>4663.3232160709022</v>
      </c>
      <c r="J12" s="22">
        <f t="shared" si="2"/>
        <v>4830.5948192570022</v>
      </c>
      <c r="K12" s="22">
        <f t="shared" si="3"/>
        <v>9493.9180353279044</v>
      </c>
      <c r="L12" s="22">
        <f t="shared" si="4"/>
        <v>907.615935653571</v>
      </c>
      <c r="M12" s="22"/>
      <c r="N12" s="22"/>
      <c r="O12" s="22"/>
      <c r="P12" s="22"/>
      <c r="Q12" s="22"/>
      <c r="R12" s="22"/>
      <c r="S12" s="23">
        <f t="shared" si="5"/>
        <v>10401.533970981476</v>
      </c>
      <c r="T12" s="24">
        <f t="shared" si="6"/>
        <v>8544.5542537399851</v>
      </c>
      <c r="V12" s="25">
        <f t="shared" si="7"/>
        <v>10401.533970981476</v>
      </c>
    </row>
    <row r="13" spans="1:22" ht="16">
      <c r="A13" s="49"/>
      <c r="B13" s="50"/>
      <c r="C13" s="44"/>
      <c r="D13" s="38" t="s">
        <v>33</v>
      </c>
      <c r="E13" s="48">
        <v>12</v>
      </c>
      <c r="G13" s="5">
        <v>10</v>
      </c>
      <c r="H13" s="22">
        <f t="shared" si="0"/>
        <v>1589178.3952080484</v>
      </c>
      <c r="I13" s="22">
        <f t="shared" si="1"/>
        <v>4649.2339811814018</v>
      </c>
      <c r="J13" s="22">
        <f t="shared" si="2"/>
        <v>4844.6840541465026</v>
      </c>
      <c r="K13" s="22">
        <f t="shared" si="3"/>
        <v>9493.9180353279044</v>
      </c>
      <c r="L13" s="22">
        <f t="shared" si="4"/>
        <v>904.87376799450612</v>
      </c>
      <c r="M13" s="22"/>
      <c r="N13" s="22"/>
      <c r="O13" s="22"/>
      <c r="P13" s="22"/>
      <c r="Q13" s="22"/>
      <c r="R13" s="22"/>
      <c r="S13" s="23">
        <f t="shared" si="5"/>
        <v>10398.79180332241</v>
      </c>
      <c r="T13" s="24">
        <f t="shared" si="6"/>
        <v>8547.4225535971073</v>
      </c>
      <c r="V13" s="25">
        <f t="shared" si="7"/>
        <v>10398.79180332241</v>
      </c>
    </row>
    <row r="14" spans="1:22" ht="16">
      <c r="A14" s="49"/>
      <c r="B14" s="50"/>
      <c r="C14" s="44"/>
      <c r="D14" s="38" t="s">
        <v>34</v>
      </c>
      <c r="E14" s="38">
        <f>E12*E13</f>
        <v>240</v>
      </c>
      <c r="G14" s="5">
        <v>11</v>
      </c>
      <c r="H14" s="22">
        <f t="shared" si="0"/>
        <v>1584319.5808254106</v>
      </c>
      <c r="I14" s="22">
        <f t="shared" si="1"/>
        <v>4635.1036526901416</v>
      </c>
      <c r="J14" s="22">
        <f t="shared" si="2"/>
        <v>4858.8143826377627</v>
      </c>
      <c r="K14" s="22">
        <f t="shared" si="3"/>
        <v>9493.9180353279044</v>
      </c>
      <c r="L14" s="22">
        <f t="shared" si="4"/>
        <v>902.12360234643563</v>
      </c>
      <c r="M14" s="22"/>
      <c r="N14" s="22"/>
      <c r="O14" s="22"/>
      <c r="P14" s="22"/>
      <c r="Q14" s="22"/>
      <c r="R14" s="22"/>
      <c r="S14" s="23">
        <f t="shared" si="5"/>
        <v>10396.04163767434</v>
      </c>
      <c r="T14" s="24">
        <f t="shared" si="6"/>
        <v>8550.2992193288137</v>
      </c>
      <c r="V14" s="25">
        <f t="shared" si="7"/>
        <v>10396.04163767434</v>
      </c>
    </row>
    <row r="15" spans="1:22" ht="17" thickBot="1">
      <c r="A15" s="49"/>
      <c r="B15" s="50"/>
      <c r="C15" s="44"/>
      <c r="D15" s="38"/>
      <c r="E15" s="38"/>
      <c r="F15" s="41"/>
      <c r="G15" s="5">
        <v>12</v>
      </c>
      <c r="H15" s="22">
        <f t="shared" si="0"/>
        <v>1579446.5949008234</v>
      </c>
      <c r="I15" s="22">
        <f t="shared" si="1"/>
        <v>4620.9321107407814</v>
      </c>
      <c r="J15" s="22">
        <f t="shared" si="2"/>
        <v>4872.985924587123</v>
      </c>
      <c r="K15" s="22">
        <f t="shared" si="3"/>
        <v>9493.9180353279044</v>
      </c>
      <c r="L15" s="22">
        <f t="shared" si="4"/>
        <v>899.36541538189147</v>
      </c>
      <c r="M15" s="22"/>
      <c r="N15" s="22"/>
      <c r="O15" s="22"/>
      <c r="P15" s="22"/>
      <c r="Q15" s="22"/>
      <c r="R15" s="22"/>
      <c r="S15" s="23">
        <f t="shared" si="5"/>
        <v>10393.283450709796</v>
      </c>
      <c r="T15" s="24">
        <f t="shared" si="6"/>
        <v>8553.1842753355722</v>
      </c>
      <c r="V15" s="25">
        <f t="shared" si="7"/>
        <v>10393.283450709796</v>
      </c>
    </row>
    <row r="16" spans="1:22" ht="16">
      <c r="A16" s="49"/>
      <c r="B16" s="50"/>
      <c r="C16" s="44"/>
      <c r="D16" s="51" t="s">
        <v>35</v>
      </c>
      <c r="E16" s="52">
        <f>-PMT(E9/E13,E14,E3)</f>
        <v>9493.9180353279044</v>
      </c>
      <c r="F16" s="20"/>
      <c r="G16" s="5">
        <v>13</v>
      </c>
      <c r="H16" s="22">
        <f t="shared" si="0"/>
        <v>1574559.3961006228</v>
      </c>
      <c r="I16" s="22">
        <f t="shared" si="1"/>
        <v>4606.7192351274016</v>
      </c>
      <c r="J16" s="22">
        <f t="shared" si="2"/>
        <v>4887.1988002005028</v>
      </c>
      <c r="K16" s="22">
        <f t="shared" si="3"/>
        <v>9493.9180353279044</v>
      </c>
      <c r="L16" s="22">
        <f t="shared" si="4"/>
        <v>896.59918370536752</v>
      </c>
      <c r="M16" s="22"/>
      <c r="N16" s="22"/>
      <c r="O16" s="22"/>
      <c r="P16" s="22"/>
      <c r="Q16" s="22"/>
      <c r="R16" s="22"/>
      <c r="S16" s="23">
        <f t="shared" si="5"/>
        <v>10390.517219033272</v>
      </c>
      <c r="T16" s="24">
        <f t="shared" si="6"/>
        <v>8556.0777460890167</v>
      </c>
      <c r="V16" s="25">
        <f t="shared" si="7"/>
        <v>10390.517219033272</v>
      </c>
    </row>
    <row r="17" spans="1:22" ht="16">
      <c r="A17" s="49"/>
      <c r="B17" s="50"/>
      <c r="C17" s="44"/>
      <c r="D17" s="38" t="s">
        <v>36</v>
      </c>
      <c r="E17" s="19">
        <f>E16*E13</f>
        <v>113927.01642393485</v>
      </c>
      <c r="F17" s="20"/>
      <c r="G17" s="5">
        <v>14</v>
      </c>
      <c r="H17" s="22">
        <f t="shared" si="0"/>
        <v>1569657.9429705883</v>
      </c>
      <c r="I17" s="22">
        <f t="shared" si="1"/>
        <v>4592.4649052934838</v>
      </c>
      <c r="J17" s="22">
        <f t="shared" si="2"/>
        <v>4901.4531300344206</v>
      </c>
      <c r="K17" s="22">
        <f t="shared" si="3"/>
        <v>9493.9180353279044</v>
      </c>
      <c r="L17" s="22">
        <f t="shared" si="4"/>
        <v>893.82488385312035</v>
      </c>
      <c r="M17" s="22"/>
      <c r="N17" s="22"/>
      <c r="O17" s="22"/>
      <c r="P17" s="22"/>
      <c r="Q17" s="22"/>
      <c r="R17" s="22"/>
      <c r="S17" s="23">
        <f t="shared" si="5"/>
        <v>10387.742919181024</v>
      </c>
      <c r="T17" s="24">
        <f t="shared" si="6"/>
        <v>8558.9796561321564</v>
      </c>
      <c r="V17" s="25">
        <f t="shared" si="7"/>
        <v>10387.742919181024</v>
      </c>
    </row>
    <row r="18" spans="1:22" ht="16">
      <c r="A18" s="49"/>
      <c r="B18" s="50"/>
      <c r="C18" s="44"/>
      <c r="D18" s="38" t="s">
        <v>37</v>
      </c>
      <c r="E18" s="19">
        <f ca="1">SUM(INDIRECT("L4"):INDIRECT("L"&amp;3+E13))</f>
        <v>10972.672128167158</v>
      </c>
      <c r="G18" s="5">
        <v>15</v>
      </c>
      <c r="H18" s="22">
        <f t="shared" si="0"/>
        <v>1564742.1939355913</v>
      </c>
      <c r="I18" s="22">
        <f t="shared" si="1"/>
        <v>4578.1690003308831</v>
      </c>
      <c r="J18" s="22">
        <f t="shared" si="2"/>
        <v>4915.7490349970212</v>
      </c>
      <c r="K18" s="22">
        <f t="shared" si="3"/>
        <v>9493.9180353279044</v>
      </c>
      <c r="L18" s="22">
        <f t="shared" si="4"/>
        <v>891.04249229297079</v>
      </c>
      <c r="M18" s="22"/>
      <c r="N18" s="22"/>
      <c r="O18" s="22"/>
      <c r="P18" s="22"/>
      <c r="Q18" s="22"/>
      <c r="R18" s="22"/>
      <c r="S18" s="23">
        <f t="shared" si="5"/>
        <v>10384.960527620875</v>
      </c>
      <c r="T18" s="24">
        <f t="shared" si="6"/>
        <v>8561.8900300795904</v>
      </c>
      <c r="V18" s="25">
        <f t="shared" si="7"/>
        <v>10384.960527620875</v>
      </c>
    </row>
    <row r="19" spans="1:22" ht="17" thickBot="1">
      <c r="A19" s="53"/>
      <c r="B19" s="54"/>
      <c r="C19" s="44"/>
      <c r="D19" s="38" t="s">
        <v>38</v>
      </c>
      <c r="E19" s="19">
        <f ca="1">SUM(E17:E18)</f>
        <v>124899.68855210202</v>
      </c>
      <c r="F19" s="20"/>
      <c r="G19" s="5">
        <v>16</v>
      </c>
      <c r="H19" s="22">
        <f t="shared" si="0"/>
        <v>1559812.1072992422</v>
      </c>
      <c r="I19" s="22">
        <f t="shared" si="1"/>
        <v>4563.8313989788085</v>
      </c>
      <c r="J19" s="22">
        <f t="shared" si="2"/>
        <v>4930.0866363490959</v>
      </c>
      <c r="K19" s="22">
        <f t="shared" si="3"/>
        <v>9493.9180353279044</v>
      </c>
      <c r="L19" s="22">
        <f t="shared" si="4"/>
        <v>888.25198542410408</v>
      </c>
      <c r="M19" s="22"/>
      <c r="N19" s="22"/>
      <c r="O19" s="22"/>
      <c r="P19" s="22"/>
      <c r="Q19" s="22"/>
      <c r="R19" s="22"/>
      <c r="S19" s="23">
        <f t="shared" si="5"/>
        <v>10382.170020752008</v>
      </c>
      <c r="T19" s="24">
        <f t="shared" si="6"/>
        <v>8564.8088926177043</v>
      </c>
      <c r="V19" s="25">
        <f t="shared" si="7"/>
        <v>10382.170020752008</v>
      </c>
    </row>
    <row r="20" spans="1:22" ht="16">
      <c r="A20" s="44"/>
      <c r="B20" s="44"/>
      <c r="C20" s="44"/>
      <c r="D20" s="38"/>
      <c r="E20" s="19"/>
      <c r="G20" s="5">
        <v>17</v>
      </c>
      <c r="H20" s="22">
        <f t="shared" si="0"/>
        <v>1554867.641243537</v>
      </c>
      <c r="I20" s="22">
        <f t="shared" si="1"/>
        <v>4549.4519796227896</v>
      </c>
      <c r="J20" s="22">
        <f t="shared" si="2"/>
        <v>4944.4660557051147</v>
      </c>
      <c r="K20" s="22">
        <f t="shared" si="3"/>
        <v>9493.9180353279044</v>
      </c>
      <c r="L20" s="22">
        <f t="shared" si="4"/>
        <v>885.45333957686989</v>
      </c>
      <c r="M20" s="22"/>
      <c r="N20" s="22"/>
      <c r="O20" s="22"/>
      <c r="P20" s="22"/>
      <c r="Q20" s="22"/>
      <c r="R20" s="22"/>
      <c r="S20" s="23">
        <f t="shared" si="5"/>
        <v>10379.371374904775</v>
      </c>
      <c r="T20" s="24">
        <f t="shared" si="6"/>
        <v>8567.7362685048884</v>
      </c>
      <c r="V20" s="25">
        <f t="shared" si="7"/>
        <v>10379.371374904775</v>
      </c>
    </row>
    <row r="21" spans="1:22" ht="16.25" customHeight="1">
      <c r="A21" s="55" t="s">
        <v>39</v>
      </c>
      <c r="B21" s="56"/>
      <c r="C21" s="44"/>
      <c r="D21" s="38" t="s">
        <v>40</v>
      </c>
      <c r="E21" s="19">
        <f>-CUMIPMT(E9/E13,E14,E3,1,E13,0)</f>
        <v>56377.499190524126</v>
      </c>
      <c r="G21" s="5">
        <v>18</v>
      </c>
      <c r="H21" s="22">
        <f t="shared" si="0"/>
        <v>1549908.7538285027</v>
      </c>
      <c r="I21" s="22">
        <f t="shared" si="1"/>
        <v>4535.0306202936499</v>
      </c>
      <c r="J21" s="22">
        <f t="shared" si="2"/>
        <v>4958.8874150342544</v>
      </c>
      <c r="K21" s="22">
        <f t="shared" si="3"/>
        <v>9493.9180353279044</v>
      </c>
      <c r="L21" s="22">
        <f t="shared" si="4"/>
        <v>882.64653101258125</v>
      </c>
      <c r="M21" s="22"/>
      <c r="N21" s="22"/>
      <c r="O21" s="22"/>
      <c r="P21" s="22"/>
      <c r="Q21" s="22"/>
      <c r="R21" s="22"/>
      <c r="S21" s="23">
        <f t="shared" si="5"/>
        <v>10376.564566340485</v>
      </c>
      <c r="T21" s="24">
        <f t="shared" si="6"/>
        <v>8570.6721825717414</v>
      </c>
      <c r="V21" s="25">
        <f t="shared" si="7"/>
        <v>10376.564566340485</v>
      </c>
    </row>
    <row r="22" spans="1:22" ht="17" thickBot="1">
      <c r="A22" s="57"/>
      <c r="B22" s="57"/>
      <c r="C22" s="58"/>
      <c r="D22" s="38" t="s">
        <v>41</v>
      </c>
      <c r="E22" s="19">
        <f>-CUMPRINC(E9/E13,E14,E3,1,E13,0)</f>
        <v>57549.517233410726</v>
      </c>
      <c r="F22" s="20"/>
      <c r="G22" s="5">
        <v>19</v>
      </c>
      <c r="H22" s="22">
        <f t="shared" si="0"/>
        <v>1544935.4029918413</v>
      </c>
      <c r="I22" s="22">
        <f t="shared" si="1"/>
        <v>4520.5671986664665</v>
      </c>
      <c r="J22" s="22">
        <f t="shared" si="2"/>
        <v>4973.3508366614378</v>
      </c>
      <c r="K22" s="22">
        <f t="shared" si="3"/>
        <v>9493.9180353279044</v>
      </c>
      <c r="L22" s="22">
        <f t="shared" si="4"/>
        <v>879.83153592331348</v>
      </c>
      <c r="M22" s="22"/>
      <c r="N22" s="22"/>
      <c r="O22" s="22"/>
      <c r="P22" s="22"/>
      <c r="Q22" s="22"/>
      <c r="R22" s="22"/>
      <c r="S22" s="23">
        <f t="shared" si="5"/>
        <v>10373.749571251217</v>
      </c>
      <c r="T22" s="24">
        <f t="shared" si="6"/>
        <v>8573.6166597212905</v>
      </c>
      <c r="V22" s="25">
        <f t="shared" si="7"/>
        <v>10373.749571251217</v>
      </c>
    </row>
    <row r="23" spans="1:22" ht="16">
      <c r="A23" s="46" t="s">
        <v>42</v>
      </c>
      <c r="B23" s="59"/>
      <c r="C23" s="44"/>
      <c r="D23" s="38"/>
      <c r="E23" s="19"/>
      <c r="G23" s="5">
        <v>20</v>
      </c>
      <c r="H23" s="22">
        <f t="shared" si="0"/>
        <v>1539947.5465485728</v>
      </c>
      <c r="I23" s="22">
        <f t="shared" si="1"/>
        <v>4506.0615920595374</v>
      </c>
      <c r="J23" s="22">
        <f t="shared" si="2"/>
        <v>4987.856443268367</v>
      </c>
      <c r="K23" s="22">
        <f t="shared" si="3"/>
        <v>9493.9180353279044</v>
      </c>
      <c r="L23" s="22">
        <f t="shared" si="4"/>
        <v>877.00833043170201</v>
      </c>
      <c r="M23" s="22"/>
      <c r="N23" s="22"/>
      <c r="O23" s="22"/>
      <c r="P23" s="22"/>
      <c r="Q23" s="22"/>
      <c r="R23" s="22"/>
      <c r="S23" s="23">
        <f t="shared" si="5"/>
        <v>10370.926365759606</v>
      </c>
      <c r="T23" s="24">
        <f t="shared" si="6"/>
        <v>8576.5697249291916</v>
      </c>
      <c r="V23" s="25">
        <f t="shared" si="7"/>
        <v>10370.926365759606</v>
      </c>
    </row>
    <row r="24" spans="1:22" ht="16">
      <c r="A24" s="49"/>
      <c r="B24" s="60"/>
      <c r="C24" s="44"/>
      <c r="D24" s="38" t="s">
        <v>43</v>
      </c>
      <c r="E24" s="19">
        <f ca="1">SUM(INDIRECT("T4"):INDIRECT("T"&amp;3+E13))</f>
        <v>102449.63144587158</v>
      </c>
      <c r="F24" s="20"/>
      <c r="G24" s="5">
        <v>21</v>
      </c>
      <c r="H24" s="22">
        <f t="shared" si="0"/>
        <v>1534945.1421906783</v>
      </c>
      <c r="I24" s="22">
        <f t="shared" si="1"/>
        <v>4491.5136774333378</v>
      </c>
      <c r="J24" s="22">
        <f t="shared" si="2"/>
        <v>5002.4043578945666</v>
      </c>
      <c r="K24" s="22">
        <f t="shared" si="3"/>
        <v>9493.9180353279044</v>
      </c>
      <c r="L24" s="22">
        <f t="shared" si="4"/>
        <v>874.17689059073996</v>
      </c>
      <c r="M24" s="22"/>
      <c r="N24" s="22"/>
      <c r="O24" s="22"/>
      <c r="P24" s="22"/>
      <c r="Q24" s="22"/>
      <c r="R24" s="22"/>
      <c r="S24" s="23">
        <f t="shared" si="5"/>
        <v>10368.094925918644</v>
      </c>
      <c r="T24" s="24">
        <f t="shared" si="6"/>
        <v>8579.531403243951</v>
      </c>
      <c r="V24" s="25">
        <f t="shared" si="7"/>
        <v>10368.094925918644</v>
      </c>
    </row>
    <row r="25" spans="1:22" ht="16">
      <c r="A25" s="49"/>
      <c r="B25" s="60"/>
      <c r="C25" s="44"/>
      <c r="D25" s="61" t="s">
        <v>44</v>
      </c>
      <c r="E25" s="62">
        <f ca="1">E24/E13</f>
        <v>8537.4692871559655</v>
      </c>
      <c r="F25" s="63"/>
      <c r="G25" s="5">
        <v>22</v>
      </c>
      <c r="H25" s="22">
        <f t="shared" si="0"/>
        <v>1529928.1474867398</v>
      </c>
      <c r="I25" s="22">
        <f t="shared" si="1"/>
        <v>4476.9233313894783</v>
      </c>
      <c r="J25" s="22">
        <f t="shared" si="2"/>
        <v>5016.994703938426</v>
      </c>
      <c r="K25" s="22">
        <f t="shared" si="3"/>
        <v>9493.9180353279044</v>
      </c>
      <c r="L25" s="22">
        <f t="shared" si="4"/>
        <v>871.33719238357514</v>
      </c>
      <c r="M25" s="22"/>
      <c r="N25" s="22"/>
      <c r="O25" s="22"/>
      <c r="P25" s="22"/>
      <c r="Q25" s="22"/>
      <c r="R25" s="22"/>
      <c r="S25" s="23">
        <f t="shared" si="5"/>
        <v>10365.255227711479</v>
      </c>
      <c r="T25" s="24">
        <f t="shared" si="6"/>
        <v>8582.5017197871275</v>
      </c>
      <c r="V25" s="25">
        <f t="shared" si="7"/>
        <v>10365.255227711479</v>
      </c>
    </row>
    <row r="26" spans="1:22" ht="16">
      <c r="A26" s="49"/>
      <c r="B26" s="60"/>
      <c r="C26" s="44"/>
      <c r="D26" s="38"/>
      <c r="E26" s="19"/>
      <c r="G26" s="5">
        <v>23</v>
      </c>
      <c r="H26" s="22">
        <f t="shared" si="0"/>
        <v>1524896.5198815817</v>
      </c>
      <c r="I26" s="22">
        <f t="shared" si="1"/>
        <v>4462.2904301696581</v>
      </c>
      <c r="J26" s="22">
        <f t="shared" si="2"/>
        <v>5031.6276051582463</v>
      </c>
      <c r="K26" s="22">
        <f t="shared" si="3"/>
        <v>9493.9180353279044</v>
      </c>
      <c r="L26" s="22">
        <f t="shared" si="4"/>
        <v>868.48921172330608</v>
      </c>
      <c r="M26" s="22"/>
      <c r="N26" s="22"/>
      <c r="O26" s="22"/>
      <c r="P26" s="22"/>
      <c r="Q26" s="22"/>
      <c r="R26" s="22"/>
      <c r="S26" s="23">
        <f t="shared" si="5"/>
        <v>10362.407247051211</v>
      </c>
      <c r="T26" s="24">
        <f t="shared" si="6"/>
        <v>8585.4806997535561</v>
      </c>
      <c r="V26" s="25">
        <f t="shared" si="7"/>
        <v>10362.407247051211</v>
      </c>
    </row>
    <row r="27" spans="1:22" ht="21" customHeight="1" thickBot="1">
      <c r="A27" s="64"/>
      <c r="B27" s="65"/>
      <c r="C27" s="44"/>
      <c r="D27" s="61" t="s">
        <v>45</v>
      </c>
      <c r="E27" s="62">
        <f ca="1">E19/12</f>
        <v>10408.307379341835</v>
      </c>
      <c r="F27" s="66"/>
      <c r="G27" s="5">
        <v>24</v>
      </c>
      <c r="H27" s="22">
        <f t="shared" si="0"/>
        <v>1519850.2166959085</v>
      </c>
      <c r="I27" s="22">
        <f t="shared" si="1"/>
        <v>4447.614849654613</v>
      </c>
      <c r="J27" s="22">
        <f t="shared" si="2"/>
        <v>5046.3031856732914</v>
      </c>
      <c r="K27" s="22">
        <f t="shared" si="3"/>
        <v>9493.9180353279044</v>
      </c>
      <c r="L27" s="22">
        <f t="shared" si="4"/>
        <v>865.63292445277796</v>
      </c>
      <c r="M27" s="22"/>
      <c r="N27" s="22"/>
      <c r="O27" s="22"/>
      <c r="P27" s="22"/>
      <c r="Q27" s="22"/>
      <c r="R27" s="22"/>
      <c r="S27" s="23">
        <f t="shared" si="5"/>
        <v>10359.550959780683</v>
      </c>
      <c r="T27" s="24">
        <f t="shared" si="6"/>
        <v>8588.4683684115535</v>
      </c>
      <c r="V27" s="25">
        <f t="shared" si="7"/>
        <v>10359.550959780683</v>
      </c>
    </row>
    <row r="28" spans="1:22" ht="17" thickBot="1">
      <c r="A28" s="67"/>
      <c r="B28" s="68"/>
      <c r="C28" s="58"/>
      <c r="D28" s="69" t="s">
        <v>46</v>
      </c>
      <c r="E28" s="70">
        <f ca="1">E24/12</f>
        <v>8537.4692871559655</v>
      </c>
      <c r="F28" s="66"/>
      <c r="G28" s="5">
        <v>25</v>
      </c>
      <c r="H28" s="22">
        <f t="shared" si="0"/>
        <v>1514789.1951259435</v>
      </c>
      <c r="I28" s="22">
        <f t="shared" si="1"/>
        <v>4432.8964653630665</v>
      </c>
      <c r="J28" s="22">
        <f t="shared" si="2"/>
        <v>5061.0215699648379</v>
      </c>
      <c r="K28" s="22">
        <f t="shared" si="3"/>
        <v>9493.9180353279044</v>
      </c>
      <c r="L28" s="22">
        <f t="shared" si="4"/>
        <v>862.76830634437749</v>
      </c>
      <c r="M28" s="22"/>
      <c r="N28" s="22"/>
      <c r="O28" s="22"/>
      <c r="P28" s="22"/>
      <c r="Q28" s="22"/>
      <c r="R28" s="22"/>
      <c r="S28" s="23">
        <f t="shared" si="5"/>
        <v>10356.686341672283</v>
      </c>
      <c r="T28" s="24">
        <f t="shared" si="6"/>
        <v>8591.4647511031344</v>
      </c>
      <c r="V28" s="25">
        <f t="shared" si="7"/>
        <v>10356.686341672283</v>
      </c>
    </row>
    <row r="29" spans="1:22">
      <c r="A29" s="71" t="s">
        <v>47</v>
      </c>
      <c r="B29" s="72"/>
      <c r="C29" s="44"/>
      <c r="D29" s="5"/>
      <c r="E29" s="5"/>
      <c r="G29" s="5">
        <v>26</v>
      </c>
      <c r="H29" s="22">
        <f t="shared" si="0"/>
        <v>1509713.4122430664</v>
      </c>
      <c r="I29" s="22">
        <f t="shared" si="1"/>
        <v>4418.135152450669</v>
      </c>
      <c r="J29" s="22">
        <f t="shared" si="2"/>
        <v>5075.7828828772354</v>
      </c>
      <c r="K29" s="22">
        <f t="shared" si="3"/>
        <v>9493.9180353279044</v>
      </c>
      <c r="L29" s="22">
        <f t="shared" si="4"/>
        <v>859.89533309982733</v>
      </c>
      <c r="M29" s="22"/>
      <c r="N29" s="22"/>
      <c r="O29" s="22"/>
      <c r="P29" s="22"/>
      <c r="Q29" s="22"/>
      <c r="R29" s="22"/>
      <c r="S29" s="23">
        <f t="shared" si="5"/>
        <v>10353.813368427731</v>
      </c>
      <c r="T29" s="24">
        <f t="shared" si="6"/>
        <v>8594.4698732442321</v>
      </c>
      <c r="V29" s="25">
        <f t="shared" si="7"/>
        <v>10353.813368427731</v>
      </c>
    </row>
    <row r="30" spans="1:22" ht="15" customHeight="1" thickBot="1">
      <c r="A30" s="73"/>
      <c r="B30" s="73"/>
      <c r="C30" s="44"/>
      <c r="D30" s="8"/>
      <c r="E30" s="74"/>
      <c r="F30" s="75"/>
      <c r="G30" s="5">
        <v>27</v>
      </c>
      <c r="H30" s="22">
        <f t="shared" si="0"/>
        <v>1504622.8249934474</v>
      </c>
      <c r="I30" s="22">
        <f t="shared" si="1"/>
        <v>4403.3307857089439</v>
      </c>
      <c r="J30" s="22">
        <f t="shared" si="2"/>
        <v>5090.5872496189604</v>
      </c>
      <c r="K30" s="22">
        <f t="shared" si="3"/>
        <v>9493.9180353279044</v>
      </c>
      <c r="L30" s="22">
        <f t="shared" si="4"/>
        <v>857.01398034998078</v>
      </c>
      <c r="M30" s="22"/>
      <c r="N30" s="22"/>
      <c r="O30" s="22"/>
      <c r="P30" s="22"/>
      <c r="Q30" s="22"/>
      <c r="R30" s="22"/>
      <c r="S30" s="23">
        <f t="shared" si="5"/>
        <v>10350.932015677885</v>
      </c>
      <c r="T30" s="24">
        <f t="shared" si="6"/>
        <v>8597.4837603249107</v>
      </c>
      <c r="V30" s="25">
        <f t="shared" si="7"/>
        <v>10350.932015677885</v>
      </c>
    </row>
    <row r="31" spans="1:22" ht="16">
      <c r="A31" s="46" t="s">
        <v>48</v>
      </c>
      <c r="B31" s="76"/>
      <c r="C31" s="44"/>
      <c r="D31" s="51" t="s">
        <v>49</v>
      </c>
      <c r="E31" s="77">
        <f>RATE(E14,-E16,E5)</f>
        <v>3.1327093149178618E-3</v>
      </c>
      <c r="F31" s="78"/>
      <c r="G31" s="5">
        <v>28</v>
      </c>
      <c r="H31" s="22">
        <f t="shared" si="0"/>
        <v>1499517.3901976838</v>
      </c>
      <c r="I31" s="22">
        <f t="shared" si="1"/>
        <v>4388.4832395642215</v>
      </c>
      <c r="J31" s="22">
        <f t="shared" si="2"/>
        <v>5105.4347957636828</v>
      </c>
      <c r="K31" s="22">
        <f t="shared" si="3"/>
        <v>9493.9180353279044</v>
      </c>
      <c r="L31" s="22">
        <f t="shared" si="4"/>
        <v>854.12422365461373</v>
      </c>
      <c r="M31" s="22"/>
      <c r="N31" s="22"/>
      <c r="O31" s="22"/>
      <c r="P31" s="22"/>
      <c r="Q31" s="22"/>
      <c r="R31" s="22"/>
      <c r="S31" s="23">
        <f t="shared" si="5"/>
        <v>10348.042258982518</v>
      </c>
      <c r="T31" s="24">
        <f t="shared" si="6"/>
        <v>8600.5064379095729</v>
      </c>
      <c r="V31" s="25">
        <f t="shared" si="7"/>
        <v>10348.042258982518</v>
      </c>
    </row>
    <row r="32" spans="1:22" ht="16">
      <c r="A32" s="79"/>
      <c r="B32" s="80"/>
      <c r="C32" s="44"/>
      <c r="D32" s="61" t="s">
        <v>50</v>
      </c>
      <c r="E32" s="81">
        <f>(1+E31)^E13-1</f>
        <v>3.8247038637120534E-2</v>
      </c>
      <c r="G32" s="5">
        <v>29</v>
      </c>
      <c r="H32" s="22">
        <f t="shared" si="0"/>
        <v>1494397.0645504326</v>
      </c>
      <c r="I32" s="22">
        <f t="shared" si="1"/>
        <v>4373.5923880765777</v>
      </c>
      <c r="J32" s="22">
        <f t="shared" si="2"/>
        <v>5120.3256472513267</v>
      </c>
      <c r="K32" s="22">
        <f t="shared" si="3"/>
        <v>9493.9180353279044</v>
      </c>
      <c r="L32" s="22">
        <f t="shared" si="4"/>
        <v>851.22603850221867</v>
      </c>
      <c r="M32" s="22"/>
      <c r="N32" s="22"/>
      <c r="O32" s="22"/>
      <c r="P32" s="22"/>
      <c r="Q32" s="22"/>
      <c r="R32" s="22"/>
      <c r="S32" s="23">
        <f t="shared" si="5"/>
        <v>10345.144073830123</v>
      </c>
      <c r="T32" s="24">
        <f t="shared" si="6"/>
        <v>8603.5379316371909</v>
      </c>
      <c r="V32" s="25">
        <f t="shared" si="7"/>
        <v>10345.144073830123</v>
      </c>
    </row>
    <row r="33" spans="1:22" ht="16">
      <c r="A33" s="79"/>
      <c r="B33" s="80"/>
      <c r="C33" s="44"/>
      <c r="D33" s="38"/>
      <c r="E33" s="82"/>
      <c r="G33" s="5">
        <v>30</v>
      </c>
      <c r="H33" s="22">
        <f t="shared" si="0"/>
        <v>1489261.8046200434</v>
      </c>
      <c r="I33" s="22">
        <f t="shared" si="1"/>
        <v>4358.6581049387623</v>
      </c>
      <c r="J33" s="22">
        <f t="shared" si="2"/>
        <v>5135.259930389142</v>
      </c>
      <c r="K33" s="22">
        <f t="shared" si="3"/>
        <v>9493.9180353279044</v>
      </c>
      <c r="L33" s="22">
        <f t="shared" si="4"/>
        <v>848.3194003097957</v>
      </c>
      <c r="M33" s="22"/>
      <c r="N33" s="22"/>
      <c r="O33" s="22"/>
      <c r="P33" s="22"/>
      <c r="Q33" s="22"/>
      <c r="R33" s="22"/>
      <c r="S33" s="23">
        <f t="shared" si="5"/>
        <v>10342.2374356377</v>
      </c>
      <c r="T33" s="24">
        <f t="shared" si="6"/>
        <v>8606.5782672215137</v>
      </c>
      <c r="V33" s="25">
        <f t="shared" si="7"/>
        <v>10342.2374356377</v>
      </c>
    </row>
    <row r="34" spans="1:22" ht="16">
      <c r="A34" s="79"/>
      <c r="B34" s="80"/>
      <c r="C34" s="44"/>
      <c r="D34" s="38" t="s">
        <v>51</v>
      </c>
      <c r="E34" s="82">
        <f>IRR(S3:S363)</f>
        <v>3.9543212589963073E-3</v>
      </c>
      <c r="G34" s="5">
        <v>31</v>
      </c>
      <c r="H34" s="22">
        <f t="shared" si="0"/>
        <v>1484111.5668481905</v>
      </c>
      <c r="I34" s="22">
        <f t="shared" si="1"/>
        <v>4343.6802634751266</v>
      </c>
      <c r="J34" s="22">
        <f t="shared" si="2"/>
        <v>5150.2377718527778</v>
      </c>
      <c r="K34" s="22">
        <f t="shared" si="3"/>
        <v>9493.9180353279044</v>
      </c>
      <c r="L34" s="22">
        <f t="shared" si="4"/>
        <v>845.40428442264476</v>
      </c>
      <c r="M34" s="22"/>
      <c r="N34" s="22"/>
      <c r="O34" s="22"/>
      <c r="P34" s="22"/>
      <c r="Q34" s="22"/>
      <c r="R34" s="22"/>
      <c r="S34" s="23">
        <f t="shared" si="5"/>
        <v>10339.322319750549</v>
      </c>
      <c r="T34" s="24">
        <f t="shared" si="6"/>
        <v>8609.6274704512907</v>
      </c>
      <c r="V34" s="25">
        <f t="shared" si="7"/>
        <v>10339.322319750549</v>
      </c>
    </row>
    <row r="35" spans="1:22" ht="17" thickBot="1">
      <c r="A35" s="79"/>
      <c r="B35" s="80"/>
      <c r="D35" s="69" t="s">
        <v>52</v>
      </c>
      <c r="E35" s="83">
        <f>(1+E34)^E13-1</f>
        <v>4.8497599364125232E-2</v>
      </c>
      <c r="F35" s="41"/>
      <c r="G35" s="5">
        <v>32</v>
      </c>
      <c r="H35" s="22">
        <f t="shared" si="0"/>
        <v>1478946.3075495032</v>
      </c>
      <c r="I35" s="22">
        <f t="shared" si="1"/>
        <v>4328.6587366405556</v>
      </c>
      <c r="J35" s="22">
        <f t="shared" si="2"/>
        <v>5165.2592986873487</v>
      </c>
      <c r="K35" s="22">
        <f t="shared" si="3"/>
        <v>9493.9180353279044</v>
      </c>
      <c r="L35" s="22">
        <f t="shared" si="4"/>
        <v>842.48066611415629</v>
      </c>
      <c r="M35" s="22"/>
      <c r="N35" s="22"/>
      <c r="O35" s="22"/>
      <c r="P35" s="22"/>
      <c r="Q35" s="22"/>
      <c r="R35" s="22"/>
      <c r="S35" s="23">
        <f t="shared" si="5"/>
        <v>10336.39870144206</v>
      </c>
      <c r="T35" s="24">
        <f t="shared" si="6"/>
        <v>8612.6855671904887</v>
      </c>
      <c r="V35" s="25">
        <f t="shared" si="7"/>
        <v>10336.39870144206</v>
      </c>
    </row>
    <row r="36" spans="1:22">
      <c r="A36" s="79"/>
      <c r="B36" s="80"/>
      <c r="E36" s="78"/>
      <c r="F36" s="78"/>
      <c r="G36" s="5">
        <v>33</v>
      </c>
      <c r="H36" s="22">
        <f t="shared" si="0"/>
        <v>1473765.9829111947</v>
      </c>
      <c r="I36" s="22">
        <f t="shared" si="1"/>
        <v>4313.5933970193846</v>
      </c>
      <c r="J36" s="22">
        <f t="shared" si="2"/>
        <v>5180.3246383085198</v>
      </c>
      <c r="K36" s="22">
        <f t="shared" si="3"/>
        <v>9493.9180353279044</v>
      </c>
      <c r="L36" s="22">
        <f t="shared" si="4"/>
        <v>839.54852058560141</v>
      </c>
      <c r="M36" s="22"/>
      <c r="N36" s="22"/>
      <c r="O36" s="22"/>
      <c r="P36" s="22"/>
      <c r="Q36" s="22"/>
      <c r="R36" s="22"/>
      <c r="S36" s="23">
        <f t="shared" si="5"/>
        <v>10333.466555913506</v>
      </c>
      <c r="T36" s="24">
        <f t="shared" si="6"/>
        <v>8615.7525833785112</v>
      </c>
      <c r="V36" s="25">
        <f t="shared" si="7"/>
        <v>10333.466555913506</v>
      </c>
    </row>
    <row r="37" spans="1:22" ht="16" thickBot="1">
      <c r="A37" s="64"/>
      <c r="B37" s="65"/>
      <c r="G37" s="5">
        <v>34</v>
      </c>
      <c r="H37" s="22">
        <f t="shared" si="0"/>
        <v>1468570.5489926911</v>
      </c>
      <c r="I37" s="22">
        <f t="shared" si="1"/>
        <v>4298.4841168243183</v>
      </c>
      <c r="J37" s="22">
        <f t="shared" si="2"/>
        <v>5195.433918503586</v>
      </c>
      <c r="K37" s="22">
        <f t="shared" si="3"/>
        <v>9493.9180353279044</v>
      </c>
      <c r="L37" s="22">
        <f t="shared" si="4"/>
        <v>836.60782296592163</v>
      </c>
      <c r="M37" s="22"/>
      <c r="N37" s="22"/>
      <c r="O37" s="22"/>
      <c r="P37" s="22"/>
      <c r="Q37" s="22"/>
      <c r="R37" s="22"/>
      <c r="S37" s="23">
        <f t="shared" si="5"/>
        <v>10330.525858293826</v>
      </c>
      <c r="T37" s="24">
        <f t="shared" si="6"/>
        <v>8618.828545030412</v>
      </c>
      <c r="V37" s="25">
        <f t="shared" si="7"/>
        <v>10330.525858293826</v>
      </c>
    </row>
    <row r="38" spans="1:22">
      <c r="G38" s="5">
        <v>35</v>
      </c>
      <c r="H38" s="22">
        <f t="shared" si="0"/>
        <v>1463359.9617252585</v>
      </c>
      <c r="I38" s="22">
        <f t="shared" si="1"/>
        <v>4283.3307678953488</v>
      </c>
      <c r="J38" s="22">
        <f t="shared" si="2"/>
        <v>5210.5872674325556</v>
      </c>
      <c r="K38" s="22">
        <f t="shared" si="3"/>
        <v>9493.9180353279044</v>
      </c>
      <c r="L38" s="22">
        <f t="shared" si="4"/>
        <v>833.65854831151773</v>
      </c>
      <c r="M38" s="22"/>
      <c r="N38" s="22"/>
      <c r="O38" s="22"/>
      <c r="P38" s="22"/>
      <c r="Q38" s="22"/>
      <c r="R38" s="22"/>
      <c r="S38" s="23">
        <f t="shared" si="5"/>
        <v>10327.576583639422</v>
      </c>
      <c r="T38" s="24">
        <f t="shared" si="6"/>
        <v>8621.9134782371329</v>
      </c>
      <c r="V38" s="25">
        <f t="shared" si="7"/>
        <v>10327.576583639422</v>
      </c>
    </row>
    <row r="39" spans="1:22">
      <c r="A39" s="84" t="s">
        <v>53</v>
      </c>
      <c r="G39" s="5">
        <v>36</v>
      </c>
      <c r="H39" s="22">
        <f t="shared" si="0"/>
        <v>1458134.1769116293</v>
      </c>
      <c r="I39" s="22">
        <f t="shared" si="1"/>
        <v>4268.1332216986712</v>
      </c>
      <c r="J39" s="22">
        <f t="shared" si="2"/>
        <v>5225.7848136292332</v>
      </c>
      <c r="K39" s="22">
        <f t="shared" si="3"/>
        <v>9493.9180353279044</v>
      </c>
      <c r="L39" s="22">
        <f t="shared" si="4"/>
        <v>830.70067160603855</v>
      </c>
      <c r="M39" s="22"/>
      <c r="N39" s="22"/>
      <c r="O39" s="22"/>
      <c r="P39" s="22"/>
      <c r="Q39" s="22"/>
      <c r="R39" s="22"/>
      <c r="S39" s="23">
        <f t="shared" si="5"/>
        <v>10324.618706933943</v>
      </c>
      <c r="T39" s="24">
        <f t="shared" si="6"/>
        <v>8625.0074091657061</v>
      </c>
      <c r="V39" s="25">
        <f t="shared" si="7"/>
        <v>10324.618706933943</v>
      </c>
    </row>
    <row r="40" spans="1:22">
      <c r="G40" s="5">
        <v>37</v>
      </c>
      <c r="H40" s="22">
        <f t="shared" si="0"/>
        <v>1452893.150225627</v>
      </c>
      <c r="I40" s="22">
        <f t="shared" si="1"/>
        <v>4252.8913493255859</v>
      </c>
      <c r="J40" s="22">
        <f t="shared" si="2"/>
        <v>5241.0266860023185</v>
      </c>
      <c r="K40" s="22">
        <f t="shared" si="3"/>
        <v>9493.9180353279044</v>
      </c>
      <c r="L40" s="22">
        <f t="shared" si="4"/>
        <v>827.73416776016836</v>
      </c>
      <c r="M40" s="22"/>
      <c r="N40" s="22"/>
      <c r="O40" s="22"/>
      <c r="P40" s="22"/>
      <c r="Q40" s="22"/>
      <c r="R40" s="22"/>
      <c r="S40" s="23">
        <f t="shared" si="5"/>
        <v>10321.652203088073</v>
      </c>
      <c r="T40" s="24">
        <f t="shared" si="6"/>
        <v>8628.1103640594883</v>
      </c>
      <c r="V40" s="25">
        <f t="shared" si="7"/>
        <v>10321.652203088073</v>
      </c>
    </row>
    <row r="41" spans="1:22">
      <c r="G41" s="5">
        <v>38</v>
      </c>
      <c r="H41" s="22">
        <f t="shared" si="0"/>
        <v>1447636.8372117905</v>
      </c>
      <c r="I41" s="22">
        <f t="shared" si="1"/>
        <v>4237.6050214914121</v>
      </c>
      <c r="J41" s="22">
        <f t="shared" si="2"/>
        <v>5256.3130138364922</v>
      </c>
      <c r="K41" s="22">
        <f t="shared" si="3"/>
        <v>9493.9180353279044</v>
      </c>
      <c r="L41" s="22">
        <f t="shared" si="4"/>
        <v>824.75901161141439</v>
      </c>
      <c r="M41" s="22"/>
      <c r="N41" s="22"/>
      <c r="O41" s="22"/>
      <c r="P41" s="22"/>
      <c r="Q41" s="22"/>
      <c r="R41" s="22"/>
      <c r="S41" s="23">
        <f t="shared" si="5"/>
        <v>10318.67704693932</v>
      </c>
      <c r="T41" s="24">
        <f t="shared" si="6"/>
        <v>8631.2223692383777</v>
      </c>
      <c r="V41" s="25">
        <f t="shared" si="7"/>
        <v>10318.67704693932</v>
      </c>
    </row>
    <row r="42" spans="1:22">
      <c r="G42" s="5">
        <v>39</v>
      </c>
      <c r="H42" s="22">
        <f t="shared" si="0"/>
        <v>1442365.193284997</v>
      </c>
      <c r="I42" s="22">
        <f t="shared" si="1"/>
        <v>4222.2741085343887</v>
      </c>
      <c r="J42" s="22">
        <f t="shared" si="2"/>
        <v>5271.6439267935157</v>
      </c>
      <c r="K42" s="22">
        <f t="shared" si="3"/>
        <v>9493.9180353279044</v>
      </c>
      <c r="L42" s="22">
        <f t="shared" si="4"/>
        <v>821.77517792389312</v>
      </c>
      <c r="M42" s="22"/>
      <c r="N42" s="22"/>
      <c r="O42" s="22"/>
      <c r="P42" s="22"/>
      <c r="Q42" s="22"/>
      <c r="R42" s="22"/>
      <c r="S42" s="23">
        <f t="shared" si="5"/>
        <v>10315.693213251798</v>
      </c>
      <c r="T42" s="24">
        <f t="shared" si="6"/>
        <v>8634.3434510990373</v>
      </c>
      <c r="V42" s="25">
        <f t="shared" si="7"/>
        <v>10315.693213251798</v>
      </c>
    </row>
    <row r="43" spans="1:22">
      <c r="G43" s="5">
        <v>40</v>
      </c>
      <c r="H43" s="22">
        <f t="shared" si="0"/>
        <v>1437078.1737300837</v>
      </c>
      <c r="I43" s="22">
        <f t="shared" si="1"/>
        <v>4206.8984804145748</v>
      </c>
      <c r="J43" s="22">
        <f t="shared" si="2"/>
        <v>5287.0195549133296</v>
      </c>
      <c r="K43" s="22">
        <f t="shared" si="3"/>
        <v>9493.9180353279044</v>
      </c>
      <c r="L43" s="22">
        <f t="shared" si="4"/>
        <v>818.78264138811676</v>
      </c>
      <c r="M43" s="22"/>
      <c r="N43" s="22"/>
      <c r="O43" s="22"/>
      <c r="P43" s="22"/>
      <c r="Q43" s="22"/>
      <c r="R43" s="22"/>
      <c r="S43" s="23">
        <f t="shared" si="5"/>
        <v>10312.700676716022</v>
      </c>
      <c r="T43" s="24">
        <f t="shared" si="6"/>
        <v>8637.4736361151245</v>
      </c>
      <c r="V43" s="25">
        <f t="shared" si="7"/>
        <v>10312.700676716022</v>
      </c>
    </row>
    <row r="44" spans="1:22">
      <c r="G44" s="5">
        <v>41</v>
      </c>
      <c r="H44" s="22">
        <f t="shared" si="0"/>
        <v>1431775.7337014687</v>
      </c>
      <c r="I44" s="22">
        <f t="shared" si="1"/>
        <v>4191.478006712744</v>
      </c>
      <c r="J44" s="22">
        <f t="shared" si="2"/>
        <v>5302.4400286151604</v>
      </c>
      <c r="K44" s="22">
        <f t="shared" si="3"/>
        <v>9493.9180353279044</v>
      </c>
      <c r="L44" s="22">
        <f t="shared" si="4"/>
        <v>815.78137662077768</v>
      </c>
      <c r="M44" s="22"/>
      <c r="N44" s="22"/>
      <c r="O44" s="22"/>
      <c r="P44" s="22"/>
      <c r="Q44" s="22"/>
      <c r="R44" s="22"/>
      <c r="S44" s="23">
        <f t="shared" si="5"/>
        <v>10309.699411948683</v>
      </c>
      <c r="T44" s="24">
        <f t="shared" si="6"/>
        <v>8640.6129508375088</v>
      </c>
      <c r="V44" s="25">
        <f t="shared" si="7"/>
        <v>10309.699411948683</v>
      </c>
    </row>
    <row r="45" spans="1:22">
      <c r="G45" s="5">
        <v>42</v>
      </c>
      <c r="H45" s="22">
        <f t="shared" si="0"/>
        <v>1426457.82822277</v>
      </c>
      <c r="I45" s="22">
        <f t="shared" si="1"/>
        <v>4176.0125566292836</v>
      </c>
      <c r="J45" s="22">
        <f t="shared" si="2"/>
        <v>5317.9054786986208</v>
      </c>
      <c r="K45" s="22">
        <f t="shared" si="3"/>
        <v>9493.9180353279044</v>
      </c>
      <c r="L45" s="22">
        <f t="shared" si="4"/>
        <v>812.77135816453381</v>
      </c>
      <c r="M45" s="22"/>
      <c r="N45" s="22"/>
      <c r="O45" s="22"/>
      <c r="P45" s="22"/>
      <c r="Q45" s="22"/>
      <c r="R45" s="22"/>
      <c r="S45" s="23">
        <f t="shared" si="5"/>
        <v>10306.689393492437</v>
      </c>
      <c r="T45" s="24">
        <f t="shared" si="6"/>
        <v>8643.7614218944982</v>
      </c>
      <c r="V45" s="25">
        <f t="shared" si="7"/>
        <v>10306.689393492437</v>
      </c>
    </row>
    <row r="46" spans="1:22">
      <c r="G46" s="5">
        <v>43</v>
      </c>
      <c r="H46" s="22">
        <f t="shared" si="0"/>
        <v>1421124.4121864252</v>
      </c>
      <c r="I46" s="22">
        <f t="shared" si="1"/>
        <v>4160.5019989830798</v>
      </c>
      <c r="J46" s="22">
        <f t="shared" si="2"/>
        <v>5333.4160363448245</v>
      </c>
      <c r="K46" s="22">
        <f t="shared" si="3"/>
        <v>9493.9180353279044</v>
      </c>
      <c r="L46" s="22">
        <f t="shared" si="4"/>
        <v>809.75256048779249</v>
      </c>
      <c r="M46" s="22"/>
      <c r="N46" s="22"/>
      <c r="O46" s="22"/>
      <c r="P46" s="22"/>
      <c r="Q46" s="22"/>
      <c r="R46" s="22"/>
      <c r="S46" s="23">
        <f t="shared" si="5"/>
        <v>10303.670595815696</v>
      </c>
      <c r="T46" s="24">
        <f t="shared" si="6"/>
        <v>8646.9190759920712</v>
      </c>
      <c r="V46" s="25">
        <f t="shared" si="7"/>
        <v>10303.670595815696</v>
      </c>
    </row>
    <row r="47" spans="1:22">
      <c r="G47" s="5">
        <v>44</v>
      </c>
      <c r="H47" s="22">
        <f t="shared" si="0"/>
        <v>1415775.4403533076</v>
      </c>
      <c r="I47" s="22">
        <f t="shared" si="1"/>
        <v>4144.9462022104071</v>
      </c>
      <c r="J47" s="22">
        <f t="shared" si="2"/>
        <v>5348.9718331174972</v>
      </c>
      <c r="K47" s="22">
        <f t="shared" si="3"/>
        <v>9493.9180353279044</v>
      </c>
      <c r="L47" s="22">
        <f t="shared" si="4"/>
        <v>806.72495798449415</v>
      </c>
      <c r="M47" s="22"/>
      <c r="N47" s="22"/>
      <c r="O47" s="22"/>
      <c r="P47" s="22"/>
      <c r="Q47" s="22"/>
      <c r="R47" s="22"/>
      <c r="S47" s="23">
        <f t="shared" si="5"/>
        <v>10300.642993312398</v>
      </c>
      <c r="T47" s="24">
        <f t="shared" si="6"/>
        <v>8650.0859399140973</v>
      </c>
      <c r="V47" s="25">
        <f t="shared" si="7"/>
        <v>10300.642993312398</v>
      </c>
    </row>
    <row r="48" spans="1:22">
      <c r="G48" s="5">
        <v>45</v>
      </c>
      <c r="H48" s="22">
        <f t="shared" si="0"/>
        <v>1410410.8673523436</v>
      </c>
      <c r="I48" s="22">
        <f t="shared" si="1"/>
        <v>4129.3450343638142</v>
      </c>
      <c r="J48" s="22">
        <f t="shared" si="2"/>
        <v>5364.5730009640902</v>
      </c>
      <c r="K48" s="22">
        <f t="shared" si="3"/>
        <v>9493.9180353279044</v>
      </c>
      <c r="L48" s="22">
        <f t="shared" si="4"/>
        <v>803.68852497389435</v>
      </c>
      <c r="M48" s="22"/>
      <c r="N48" s="22"/>
      <c r="O48" s="22"/>
      <c r="P48" s="22"/>
      <c r="Q48" s="22"/>
      <c r="R48" s="22"/>
      <c r="S48" s="23">
        <f t="shared" si="5"/>
        <v>10297.6065603018</v>
      </c>
      <c r="T48" s="24">
        <f t="shared" si="6"/>
        <v>8653.2620405225643</v>
      </c>
      <c r="V48" s="25">
        <f t="shared" si="7"/>
        <v>10297.6065603018</v>
      </c>
    </row>
    <row r="49" spans="2:22">
      <c r="B49" s="1" t="s">
        <v>20</v>
      </c>
      <c r="G49" s="5">
        <v>46</v>
      </c>
      <c r="H49" s="22">
        <f t="shared" si="0"/>
        <v>1405030.6476801268</v>
      </c>
      <c r="I49" s="22">
        <f t="shared" si="1"/>
        <v>4113.6983631110024</v>
      </c>
      <c r="J49" s="22">
        <f t="shared" si="2"/>
        <v>5380.2196722169019</v>
      </c>
      <c r="K49" s="22">
        <f t="shared" si="3"/>
        <v>9493.9180353279044</v>
      </c>
      <c r="L49" s="22">
        <f t="shared" si="4"/>
        <v>800.64323570034719</v>
      </c>
      <c r="M49" s="22"/>
      <c r="N49" s="22"/>
      <c r="O49" s="22"/>
      <c r="P49" s="22"/>
      <c r="Q49" s="22"/>
      <c r="R49" s="22"/>
      <c r="S49" s="23">
        <f t="shared" si="5"/>
        <v>10294.561271028251</v>
      </c>
      <c r="T49" s="24">
        <f t="shared" si="6"/>
        <v>8656.4474047578005</v>
      </c>
      <c r="V49" s="25">
        <f t="shared" si="7"/>
        <v>10294.561271028251</v>
      </c>
    </row>
    <row r="50" spans="2:22">
      <c r="G50" s="5">
        <v>47</v>
      </c>
      <c r="H50" s="22">
        <f t="shared" si="0"/>
        <v>1399634.7357005326</v>
      </c>
      <c r="I50" s="22">
        <f t="shared" si="1"/>
        <v>4098.0060557337038</v>
      </c>
      <c r="J50" s="22">
        <f t="shared" si="2"/>
        <v>5395.9119795942006</v>
      </c>
      <c r="K50" s="22">
        <f t="shared" si="3"/>
        <v>9493.9180353279044</v>
      </c>
      <c r="L50" s="22">
        <f t="shared" si="4"/>
        <v>797.58906433308539</v>
      </c>
      <c r="M50" s="22"/>
      <c r="N50" s="22"/>
      <c r="O50" s="22"/>
      <c r="P50" s="22"/>
      <c r="Q50" s="22"/>
      <c r="R50" s="22"/>
      <c r="S50" s="23">
        <f t="shared" si="5"/>
        <v>10291.50709966099</v>
      </c>
      <c r="T50" s="24">
        <f t="shared" si="6"/>
        <v>8659.642059638727</v>
      </c>
      <c r="V50" s="25">
        <f t="shared" si="7"/>
        <v>10291.50709966099</v>
      </c>
    </row>
    <row r="51" spans="2:22">
      <c r="G51" s="5">
        <v>48</v>
      </c>
      <c r="H51" s="22">
        <f t="shared" si="0"/>
        <v>1394223.0856443313</v>
      </c>
      <c r="I51" s="22">
        <f t="shared" si="1"/>
        <v>4082.2679791265537</v>
      </c>
      <c r="J51" s="22">
        <f t="shared" si="2"/>
        <v>5411.6500562013507</v>
      </c>
      <c r="K51" s="22">
        <f t="shared" si="3"/>
        <v>9493.9180353279044</v>
      </c>
      <c r="L51" s="22">
        <f t="shared" si="4"/>
        <v>794.5259849660024</v>
      </c>
      <c r="M51" s="22"/>
      <c r="N51" s="22"/>
      <c r="O51" s="22"/>
      <c r="P51" s="22"/>
      <c r="Q51" s="22"/>
      <c r="R51" s="22"/>
      <c r="S51" s="23">
        <f t="shared" si="5"/>
        <v>10288.444020293908</v>
      </c>
      <c r="T51" s="24">
        <f t="shared" si="6"/>
        <v>8662.8460322630563</v>
      </c>
      <c r="V51" s="25">
        <f t="shared" si="7"/>
        <v>10288.444020293908</v>
      </c>
    </row>
    <row r="52" spans="2:22">
      <c r="C52" s="9"/>
      <c r="G52" s="5">
        <v>49</v>
      </c>
      <c r="H52" s="22">
        <f t="shared" si="0"/>
        <v>1388795.6516087994</v>
      </c>
      <c r="I52" s="22">
        <f t="shared" si="1"/>
        <v>4066.4839997959666</v>
      </c>
      <c r="J52" s="22">
        <f t="shared" si="2"/>
        <v>5427.4340355319382</v>
      </c>
      <c r="K52" s="22">
        <f t="shared" si="3"/>
        <v>9493.9180353279044</v>
      </c>
      <c r="L52" s="22">
        <f t="shared" si="4"/>
        <v>791.4539716174321</v>
      </c>
      <c r="M52" s="22"/>
      <c r="N52" s="22"/>
      <c r="O52" s="22"/>
      <c r="P52" s="22"/>
      <c r="Q52" s="22"/>
      <c r="R52" s="22"/>
      <c r="S52" s="23">
        <f t="shared" si="5"/>
        <v>10285.372006945336</v>
      </c>
      <c r="T52" s="24">
        <f t="shared" si="6"/>
        <v>8666.0593498075359</v>
      </c>
      <c r="V52" s="25">
        <f t="shared" si="7"/>
        <v>10285.372006945336</v>
      </c>
    </row>
    <row r="53" spans="2:22">
      <c r="G53" s="5">
        <v>50</v>
      </c>
      <c r="H53" s="22">
        <f t="shared" si="0"/>
        <v>1383352.3875573305</v>
      </c>
      <c r="I53" s="22">
        <f t="shared" si="1"/>
        <v>4050.6539838589983</v>
      </c>
      <c r="J53" s="22">
        <f t="shared" si="2"/>
        <v>5443.2640514689065</v>
      </c>
      <c r="K53" s="22">
        <f t="shared" si="3"/>
        <v>9493.9180353279044</v>
      </c>
      <c r="L53" s="22">
        <f t="shared" si="4"/>
        <v>788.3729982299285</v>
      </c>
      <c r="M53" s="22"/>
      <c r="N53" s="22"/>
      <c r="O53" s="22"/>
      <c r="P53" s="22"/>
      <c r="Q53" s="22"/>
      <c r="R53" s="22"/>
      <c r="S53" s="23">
        <f t="shared" si="5"/>
        <v>10282.291033557833</v>
      </c>
      <c r="T53" s="24">
        <f t="shared" si="6"/>
        <v>8669.2820395281906</v>
      </c>
      <c r="V53" s="25">
        <f t="shared" si="7"/>
        <v>10282.291033557833</v>
      </c>
    </row>
    <row r="54" spans="2:22">
      <c r="G54" s="5">
        <v>51</v>
      </c>
      <c r="H54" s="22">
        <f t="shared" si="0"/>
        <v>1377893.2473190448</v>
      </c>
      <c r="I54" s="22">
        <f t="shared" si="1"/>
        <v>4034.7777970422144</v>
      </c>
      <c r="J54" s="22">
        <f t="shared" si="2"/>
        <v>5459.1402382856904</v>
      </c>
      <c r="K54" s="22">
        <f t="shared" si="3"/>
        <v>9493.9180353279044</v>
      </c>
      <c r="L54" s="22">
        <f t="shared" si="4"/>
        <v>785.28303867004468</v>
      </c>
      <c r="M54" s="22"/>
      <c r="N54" s="22"/>
      <c r="O54" s="22"/>
      <c r="P54" s="22"/>
      <c r="Q54" s="22"/>
      <c r="R54" s="22"/>
      <c r="S54" s="23">
        <f t="shared" si="5"/>
        <v>10279.201073997949</v>
      </c>
      <c r="T54" s="24">
        <f t="shared" si="6"/>
        <v>8672.5141287605293</v>
      </c>
      <c r="V54" s="25">
        <f t="shared" si="7"/>
        <v>10279.201073997949</v>
      </c>
    </row>
    <row r="55" spans="2:22">
      <c r="G55" s="5">
        <v>52</v>
      </c>
      <c r="H55" s="22">
        <f t="shared" si="0"/>
        <v>1372418.1845883974</v>
      </c>
      <c r="I55" s="22">
        <f t="shared" si="1"/>
        <v>4018.8553046805473</v>
      </c>
      <c r="J55" s="22">
        <f t="shared" si="2"/>
        <v>5475.0627306473571</v>
      </c>
      <c r="K55" s="22">
        <f t="shared" si="3"/>
        <v>9493.9180353279044</v>
      </c>
      <c r="L55" s="22">
        <f t="shared" si="4"/>
        <v>782.18406672811113</v>
      </c>
      <c r="M55" s="22"/>
      <c r="N55" s="22"/>
      <c r="O55" s="22"/>
      <c r="P55" s="22"/>
      <c r="Q55" s="22"/>
      <c r="R55" s="22"/>
      <c r="S55" s="23">
        <f t="shared" si="5"/>
        <v>10276.102102056015</v>
      </c>
      <c r="T55" s="24">
        <f t="shared" si="6"/>
        <v>8675.7556449197946</v>
      </c>
      <c r="V55" s="25">
        <f t="shared" si="7"/>
        <v>10276.102102056015</v>
      </c>
    </row>
    <row r="56" spans="2:22">
      <c r="G56" s="5">
        <v>53</v>
      </c>
      <c r="H56" s="22">
        <f t="shared" si="0"/>
        <v>1366927.1529247856</v>
      </c>
      <c r="I56" s="22">
        <f t="shared" si="1"/>
        <v>4002.8863717161594</v>
      </c>
      <c r="J56" s="22">
        <f t="shared" si="2"/>
        <v>5491.031663611745</v>
      </c>
      <c r="K56" s="22">
        <f t="shared" si="3"/>
        <v>9493.9180353279044</v>
      </c>
      <c r="L56" s="22">
        <f t="shared" si="4"/>
        <v>779.07605611801364</v>
      </c>
      <c r="M56" s="22"/>
      <c r="N56" s="22"/>
      <c r="O56" s="22"/>
      <c r="P56" s="22"/>
      <c r="Q56" s="22"/>
      <c r="R56" s="22"/>
      <c r="S56" s="23">
        <f t="shared" si="5"/>
        <v>10272.994091445918</v>
      </c>
      <c r="T56" s="24">
        <f t="shared" si="6"/>
        <v>8679.0066155011937</v>
      </c>
      <c r="V56" s="25">
        <f t="shared" si="7"/>
        <v>10272.994091445918</v>
      </c>
    </row>
    <row r="57" spans="2:22">
      <c r="G57" s="5">
        <v>54</v>
      </c>
      <c r="H57" s="22">
        <f t="shared" si="0"/>
        <v>1361420.105752155</v>
      </c>
      <c r="I57" s="22">
        <f t="shared" si="1"/>
        <v>3986.8708626972916</v>
      </c>
      <c r="J57" s="22">
        <f t="shared" si="2"/>
        <v>5507.0471726306132</v>
      </c>
      <c r="K57" s="22">
        <f t="shared" si="3"/>
        <v>9493.9180353279044</v>
      </c>
      <c r="L57" s="22">
        <f t="shared" si="4"/>
        <v>775.95898047697005</v>
      </c>
      <c r="M57" s="22"/>
      <c r="N57" s="22"/>
      <c r="O57" s="22"/>
      <c r="P57" s="22"/>
      <c r="Q57" s="22"/>
      <c r="R57" s="22"/>
      <c r="S57" s="23">
        <f t="shared" si="5"/>
        <v>10269.877015804874</v>
      </c>
      <c r="T57" s="24">
        <f t="shared" si="6"/>
        <v>8682.2670680801202</v>
      </c>
      <c r="V57" s="25">
        <f t="shared" si="7"/>
        <v>10269.877015804874</v>
      </c>
    </row>
    <row r="58" spans="2:22">
      <c r="G58" s="5">
        <v>55</v>
      </c>
      <c r="H58" s="22">
        <f t="shared" si="0"/>
        <v>1355896.9963586042</v>
      </c>
      <c r="I58" s="22">
        <f t="shared" si="1"/>
        <v>3970.8086417771187</v>
      </c>
      <c r="J58" s="22">
        <f t="shared" si="2"/>
        <v>5523.1093935507852</v>
      </c>
      <c r="K58" s="22">
        <f t="shared" si="3"/>
        <v>9493.9180353279044</v>
      </c>
      <c r="L58" s="22">
        <f t="shared" si="4"/>
        <v>772.83281336530672</v>
      </c>
      <c r="M58" s="22"/>
      <c r="N58" s="22"/>
      <c r="O58" s="22"/>
      <c r="P58" s="22"/>
      <c r="Q58" s="22"/>
      <c r="R58" s="22"/>
      <c r="S58" s="23">
        <f t="shared" si="5"/>
        <v>10266.750848693211</v>
      </c>
      <c r="T58" s="24">
        <f t="shared" si="6"/>
        <v>8685.5370303124018</v>
      </c>
      <c r="V58" s="25">
        <f t="shared" si="7"/>
        <v>10266.750848693211</v>
      </c>
    </row>
    <row r="59" spans="2:22">
      <c r="G59" s="5">
        <v>56</v>
      </c>
      <c r="H59" s="22">
        <f t="shared" si="0"/>
        <v>1350357.7778959889</v>
      </c>
      <c r="I59" s="22">
        <f t="shared" si="1"/>
        <v>3954.6995727125955</v>
      </c>
      <c r="J59" s="22">
        <f t="shared" si="2"/>
        <v>5539.2184626153085</v>
      </c>
      <c r="K59" s="22">
        <f t="shared" si="3"/>
        <v>9493.9180353279044</v>
      </c>
      <c r="L59" s="22">
        <f t="shared" si="4"/>
        <v>769.69752826623437</v>
      </c>
      <c r="M59" s="22"/>
      <c r="N59" s="22"/>
      <c r="O59" s="22"/>
      <c r="P59" s="22"/>
      <c r="Q59" s="22"/>
      <c r="R59" s="22"/>
      <c r="S59" s="23">
        <f t="shared" si="5"/>
        <v>10263.61556359414</v>
      </c>
      <c r="T59" s="24">
        <f t="shared" si="6"/>
        <v>8688.8165299345292</v>
      </c>
      <c r="V59" s="25">
        <f t="shared" si="7"/>
        <v>10263.61556359414</v>
      </c>
    </row>
    <row r="60" spans="2:22">
      <c r="G60" s="5">
        <v>57</v>
      </c>
      <c r="H60" s="22">
        <f t="shared" si="0"/>
        <v>1344802.4033795244</v>
      </c>
      <c r="I60" s="22">
        <f t="shared" si="1"/>
        <v>3938.543518863301</v>
      </c>
      <c r="J60" s="22">
        <f t="shared" si="2"/>
        <v>5555.3745164646034</v>
      </c>
      <c r="K60" s="22">
        <f t="shared" si="3"/>
        <v>9493.9180353279044</v>
      </c>
      <c r="L60" s="22">
        <f t="shared" si="4"/>
        <v>766.55309858562316</v>
      </c>
      <c r="M60" s="22"/>
      <c r="N60" s="22"/>
      <c r="O60" s="22"/>
      <c r="P60" s="22"/>
      <c r="Q60" s="22"/>
      <c r="R60" s="22"/>
      <c r="S60" s="23">
        <f t="shared" si="5"/>
        <v>10260.471133913528</v>
      </c>
      <c r="T60" s="24">
        <f t="shared" si="6"/>
        <v>8692.105594763887</v>
      </c>
      <c r="V60" s="25">
        <f t="shared" si="7"/>
        <v>10260.471133913528</v>
      </c>
    </row>
    <row r="61" spans="2:22">
      <c r="G61" s="5">
        <v>58</v>
      </c>
      <c r="H61" s="22">
        <f t="shared" si="0"/>
        <v>1339230.8256873868</v>
      </c>
      <c r="I61" s="22">
        <f t="shared" si="1"/>
        <v>3922.3403431902798</v>
      </c>
      <c r="J61" s="22">
        <f t="shared" si="2"/>
        <v>5571.5776921376246</v>
      </c>
      <c r="K61" s="22">
        <f t="shared" si="3"/>
        <v>9493.9180353279044</v>
      </c>
      <c r="L61" s="22">
        <f t="shared" si="4"/>
        <v>763.39949765177676</v>
      </c>
      <c r="M61" s="22"/>
      <c r="N61" s="22"/>
      <c r="O61" s="22"/>
      <c r="P61" s="22"/>
      <c r="Q61" s="22"/>
      <c r="R61" s="22"/>
      <c r="S61" s="23">
        <f t="shared" si="5"/>
        <v>10257.317532979681</v>
      </c>
      <c r="T61" s="24">
        <f t="shared" si="6"/>
        <v>8695.4042526989961</v>
      </c>
      <c r="V61" s="25">
        <f t="shared" si="7"/>
        <v>10257.317532979681</v>
      </c>
    </row>
    <row r="62" spans="2:22">
      <c r="G62" s="5">
        <v>59</v>
      </c>
      <c r="H62" s="22">
        <f t="shared" si="0"/>
        <v>1333642.9975603137</v>
      </c>
      <c r="I62" s="22">
        <f t="shared" si="1"/>
        <v>3906.0899082548785</v>
      </c>
      <c r="J62" s="22">
        <f t="shared" si="2"/>
        <v>5587.8281270730258</v>
      </c>
      <c r="K62" s="22">
        <f t="shared" si="3"/>
        <v>9493.9180353279044</v>
      </c>
      <c r="L62" s="22">
        <f t="shared" si="4"/>
        <v>760.23669871520667</v>
      </c>
      <c r="M62" s="22"/>
      <c r="N62" s="22"/>
      <c r="O62" s="22"/>
      <c r="P62" s="22"/>
      <c r="Q62" s="22"/>
      <c r="R62" s="22"/>
      <c r="S62" s="23">
        <f t="shared" si="5"/>
        <v>10254.154734043112</v>
      </c>
      <c r="T62" s="24">
        <f t="shared" si="6"/>
        <v>8698.7125317197497</v>
      </c>
      <c r="V62" s="25">
        <f t="shared" si="7"/>
        <v>10254.154734043112</v>
      </c>
    </row>
    <row r="63" spans="2:22">
      <c r="G63" s="5">
        <v>60</v>
      </c>
      <c r="H63" s="22">
        <f t="shared" si="0"/>
        <v>1328038.8716012035</v>
      </c>
      <c r="I63" s="22">
        <f t="shared" si="1"/>
        <v>3889.7920762175818</v>
      </c>
      <c r="J63" s="22">
        <f t="shared" si="2"/>
        <v>5604.1259591103226</v>
      </c>
      <c r="K63" s="22">
        <f t="shared" si="3"/>
        <v>9493.9180353279044</v>
      </c>
      <c r="L63" s="22">
        <f t="shared" si="4"/>
        <v>757.06467494840479</v>
      </c>
      <c r="M63" s="22"/>
      <c r="N63" s="22"/>
      <c r="O63" s="22"/>
      <c r="P63" s="22"/>
      <c r="Q63" s="22"/>
      <c r="R63" s="22"/>
      <c r="S63" s="23">
        <f t="shared" si="5"/>
        <v>10250.982710276308</v>
      </c>
      <c r="T63" s="24">
        <f t="shared" si="6"/>
        <v>8702.0304598876464</v>
      </c>
      <c r="V63" s="25">
        <f t="shared" si="7"/>
        <v>10250.982710276308</v>
      </c>
    </row>
    <row r="64" spans="2:22">
      <c r="G64" s="5">
        <v>61</v>
      </c>
      <c r="H64" s="22">
        <f t="shared" si="0"/>
        <v>1322418.4002747124</v>
      </c>
      <c r="I64" s="22">
        <f t="shared" si="1"/>
        <v>3873.4467088368438</v>
      </c>
      <c r="J64" s="22">
        <f t="shared" si="2"/>
        <v>5620.4713264910606</v>
      </c>
      <c r="K64" s="22">
        <f t="shared" si="3"/>
        <v>9493.9180353279044</v>
      </c>
      <c r="L64" s="22">
        <f t="shared" si="4"/>
        <v>753.88339944561653</v>
      </c>
      <c r="M64" s="22"/>
      <c r="N64" s="22"/>
      <c r="O64" s="22"/>
      <c r="P64" s="22"/>
      <c r="Q64" s="22"/>
      <c r="R64" s="22"/>
      <c r="S64" s="23">
        <f t="shared" si="5"/>
        <v>10247.801434773521</v>
      </c>
      <c r="T64" s="24">
        <f t="shared" si="6"/>
        <v>8705.358065346034</v>
      </c>
      <c r="V64" s="25">
        <f t="shared" si="7"/>
        <v>10247.801434773521</v>
      </c>
    </row>
    <row r="65" spans="7:22">
      <c r="G65" s="5">
        <v>62</v>
      </c>
      <c r="H65" s="22">
        <f t="shared" si="0"/>
        <v>1316781.5359068525</v>
      </c>
      <c r="I65" s="22">
        <f t="shared" si="1"/>
        <v>3857.0536674679111</v>
      </c>
      <c r="J65" s="22">
        <f t="shared" si="2"/>
        <v>5636.8643678599929</v>
      </c>
      <c r="K65" s="22">
        <f t="shared" si="3"/>
        <v>9493.9180353279044</v>
      </c>
      <c r="L65" s="22">
        <f t="shared" si="4"/>
        <v>750.69284522261182</v>
      </c>
      <c r="M65" s="22"/>
      <c r="N65" s="22"/>
      <c r="O65" s="22"/>
      <c r="P65" s="22"/>
      <c r="Q65" s="22"/>
      <c r="R65" s="22"/>
      <c r="S65" s="23">
        <f t="shared" si="5"/>
        <v>10244.610880550516</v>
      </c>
      <c r="T65" s="24">
        <f t="shared" si="6"/>
        <v>8708.6953763203419</v>
      </c>
      <c r="V65" s="25">
        <f t="shared" si="7"/>
        <v>10244.610880550516</v>
      </c>
    </row>
    <row r="66" spans="7:22">
      <c r="G66" s="5">
        <v>63</v>
      </c>
      <c r="H66" s="22">
        <f t="shared" si="0"/>
        <v>1311128.2306845861</v>
      </c>
      <c r="I66" s="22">
        <f t="shared" si="1"/>
        <v>3840.612813061653</v>
      </c>
      <c r="J66" s="22">
        <f t="shared" si="2"/>
        <v>5653.3052222662518</v>
      </c>
      <c r="K66" s="22">
        <f t="shared" si="3"/>
        <v>9493.9180353279044</v>
      </c>
      <c r="L66" s="22">
        <f t="shared" si="4"/>
        <v>747.49298521645665</v>
      </c>
      <c r="M66" s="22"/>
      <c r="N66" s="22"/>
      <c r="O66" s="22"/>
      <c r="P66" s="22"/>
      <c r="Q66" s="22"/>
      <c r="R66" s="22"/>
      <c r="S66" s="23">
        <f t="shared" si="5"/>
        <v>10241.411020544361</v>
      </c>
      <c r="T66" s="24">
        <f t="shared" si="6"/>
        <v>8712.0424211183254</v>
      </c>
      <c r="V66" s="25">
        <f t="shared" si="7"/>
        <v>10241.411020544361</v>
      </c>
    </row>
    <row r="67" spans="7:22">
      <c r="G67" s="5">
        <v>64</v>
      </c>
      <c r="H67" s="22">
        <f t="shared" si="0"/>
        <v>1305458.4366554215</v>
      </c>
      <c r="I67" s="22">
        <f t="shared" si="1"/>
        <v>3824.1240061633762</v>
      </c>
      <c r="J67" s="22">
        <f t="shared" si="2"/>
        <v>5669.7940291645282</v>
      </c>
      <c r="K67" s="22">
        <f t="shared" si="3"/>
        <v>9493.9180353279044</v>
      </c>
      <c r="L67" s="22">
        <f t="shared" si="4"/>
        <v>744.28379228528343</v>
      </c>
      <c r="M67" s="22"/>
      <c r="N67" s="22"/>
      <c r="O67" s="22"/>
      <c r="P67" s="22"/>
      <c r="Q67" s="22"/>
      <c r="R67" s="22"/>
      <c r="S67" s="23">
        <f t="shared" si="5"/>
        <v>10238.201827613188</v>
      </c>
      <c r="T67" s="24">
        <f t="shared" si="6"/>
        <v>8715.3992281303017</v>
      </c>
      <c r="V67" s="25">
        <f t="shared" si="7"/>
        <v>10238.201827613188</v>
      </c>
    </row>
    <row r="68" spans="7:22">
      <c r="G68" s="5">
        <v>65</v>
      </c>
      <c r="H68" s="22">
        <f t="shared" ref="H68:H131" si="8">H67-J68</f>
        <v>1299772.1057270053</v>
      </c>
      <c r="I68" s="22">
        <f t="shared" ref="I68:I131" si="9">$E$9/$E$13*H67</f>
        <v>3807.5871069116461</v>
      </c>
      <c r="J68" s="22">
        <f t="shared" ref="J68:J131" si="10">K68-I68</f>
        <v>5686.3309284162588</v>
      </c>
      <c r="K68" s="22">
        <f t="shared" ref="K68:K131" si="11">IF(G68&gt;$E$14,0,$E$16)</f>
        <v>9493.9180353279044</v>
      </c>
      <c r="L68" s="22">
        <f t="shared" ref="L68:L131" si="12">$E$10/$E$13*H67</f>
        <v>741.06523920806103</v>
      </c>
      <c r="M68" s="22"/>
      <c r="N68" s="22"/>
      <c r="O68" s="22"/>
      <c r="P68" s="22"/>
      <c r="Q68" s="22"/>
      <c r="R68" s="22"/>
      <c r="S68" s="23">
        <f t="shared" ref="S68:S131" si="13">K68+L68</f>
        <v>10234.983274535965</v>
      </c>
      <c r="T68" s="24">
        <f t="shared" ref="T68:T131" si="14">S68-1/3*(I68+L68)</f>
        <v>8718.7658258293959</v>
      </c>
      <c r="V68" s="25">
        <f t="shared" ref="V68:V123" si="15">S68</f>
        <v>10234.983274535965</v>
      </c>
    </row>
    <row r="69" spans="7:22">
      <c r="G69" s="5">
        <v>66</v>
      </c>
      <c r="H69" s="22">
        <f t="shared" si="8"/>
        <v>1294069.1896667145</v>
      </c>
      <c r="I69" s="22">
        <f t="shared" si="9"/>
        <v>3791.0019750370989</v>
      </c>
      <c r="J69" s="22">
        <f t="shared" si="10"/>
        <v>5702.916060290805</v>
      </c>
      <c r="K69" s="22">
        <f t="shared" si="11"/>
        <v>9493.9180353279044</v>
      </c>
      <c r="L69" s="22">
        <f t="shared" si="12"/>
        <v>737.83729868436342</v>
      </c>
      <c r="M69" s="22"/>
      <c r="N69" s="22"/>
      <c r="O69" s="22"/>
      <c r="P69" s="22"/>
      <c r="Q69" s="22"/>
      <c r="R69" s="22"/>
      <c r="S69" s="23">
        <f t="shared" si="13"/>
        <v>10231.755334012269</v>
      </c>
      <c r="T69" s="24">
        <f t="shared" si="14"/>
        <v>8722.1422427717807</v>
      </c>
      <c r="V69" s="25">
        <f t="shared" si="15"/>
        <v>10231.755334012269</v>
      </c>
    </row>
    <row r="70" spans="7:22">
      <c r="G70" s="5">
        <v>67</v>
      </c>
      <c r="H70" s="22">
        <f t="shared" si="8"/>
        <v>1288349.6401012479</v>
      </c>
      <c r="I70" s="22">
        <f t="shared" si="9"/>
        <v>3774.368469861251</v>
      </c>
      <c r="J70" s="22">
        <f t="shared" si="10"/>
        <v>5719.5495654666538</v>
      </c>
      <c r="K70" s="22">
        <f t="shared" si="11"/>
        <v>9493.9180353279044</v>
      </c>
      <c r="L70" s="22">
        <f t="shared" si="12"/>
        <v>734.5999433341384</v>
      </c>
      <c r="M70" s="22"/>
      <c r="N70" s="22"/>
      <c r="O70" s="22"/>
      <c r="P70" s="22"/>
      <c r="Q70" s="22"/>
      <c r="R70" s="22"/>
      <c r="S70" s="23">
        <f t="shared" si="13"/>
        <v>10228.517978662043</v>
      </c>
      <c r="T70" s="24">
        <f t="shared" si="14"/>
        <v>8725.5285075969132</v>
      </c>
      <c r="V70" s="25">
        <f t="shared" si="15"/>
        <v>10228.517978662043</v>
      </c>
    </row>
    <row r="71" spans="7:22">
      <c r="G71" s="5">
        <v>68</v>
      </c>
      <c r="H71" s="22">
        <f t="shared" si="8"/>
        <v>1282613.4085162154</v>
      </c>
      <c r="I71" s="22">
        <f t="shared" si="9"/>
        <v>3757.6864502953067</v>
      </c>
      <c r="J71" s="22">
        <f t="shared" si="10"/>
        <v>5736.2315850325976</v>
      </c>
      <c r="K71" s="22">
        <f t="shared" si="11"/>
        <v>9493.9180353279044</v>
      </c>
      <c r="L71" s="22">
        <f t="shared" si="12"/>
        <v>731.35314569747516</v>
      </c>
      <c r="M71" s="22"/>
      <c r="N71" s="22"/>
      <c r="O71" s="22"/>
      <c r="P71" s="22"/>
      <c r="Q71" s="22"/>
      <c r="R71" s="22"/>
      <c r="S71" s="23">
        <f t="shared" si="13"/>
        <v>10225.271181025379</v>
      </c>
      <c r="T71" s="24">
        <f t="shared" si="14"/>
        <v>8728.9246490277837</v>
      </c>
      <c r="V71" s="25">
        <f t="shared" si="15"/>
        <v>10225.271181025379</v>
      </c>
    </row>
    <row r="72" spans="7:22">
      <c r="G72" s="5">
        <v>69</v>
      </c>
      <c r="H72" s="22">
        <f t="shared" si="8"/>
        <v>1276860.4462557265</v>
      </c>
      <c r="I72" s="22">
        <f t="shared" si="9"/>
        <v>3740.9557748389616</v>
      </c>
      <c r="J72" s="22">
        <f t="shared" si="10"/>
        <v>5752.9622604889428</v>
      </c>
      <c r="K72" s="22">
        <f t="shared" si="11"/>
        <v>9493.9180353279044</v>
      </c>
      <c r="L72" s="22">
        <f t="shared" si="12"/>
        <v>728.09687823437173</v>
      </c>
      <c r="M72" s="22"/>
      <c r="N72" s="22"/>
      <c r="O72" s="22"/>
      <c r="P72" s="22"/>
      <c r="Q72" s="22"/>
      <c r="R72" s="22"/>
      <c r="S72" s="23">
        <f t="shared" si="13"/>
        <v>10222.014913562276</v>
      </c>
      <c r="T72" s="24">
        <f t="shared" si="14"/>
        <v>8732.3306958711655</v>
      </c>
      <c r="V72" s="25">
        <f t="shared" si="15"/>
        <v>10222.014913562276</v>
      </c>
    </row>
    <row r="73" spans="7:22">
      <c r="G73" s="5">
        <v>70</v>
      </c>
      <c r="H73" s="22">
        <f t="shared" si="8"/>
        <v>1271090.7045219778</v>
      </c>
      <c r="I73" s="22">
        <f t="shared" si="9"/>
        <v>3724.1763015792026</v>
      </c>
      <c r="J73" s="22">
        <f t="shared" si="10"/>
        <v>5769.7417337487022</v>
      </c>
      <c r="K73" s="22">
        <f t="shared" si="11"/>
        <v>9493.9180353279044</v>
      </c>
      <c r="L73" s="22">
        <f t="shared" si="12"/>
        <v>724.83111332450085</v>
      </c>
      <c r="M73" s="22"/>
      <c r="N73" s="22"/>
      <c r="O73" s="22"/>
      <c r="P73" s="22"/>
      <c r="Q73" s="22"/>
      <c r="R73" s="22"/>
      <c r="S73" s="23">
        <f t="shared" si="13"/>
        <v>10218.749148652405</v>
      </c>
      <c r="T73" s="24">
        <f t="shared" si="14"/>
        <v>8735.7466770178362</v>
      </c>
      <c r="V73" s="25">
        <f t="shared" si="15"/>
        <v>10218.749148652405</v>
      </c>
    </row>
    <row r="74" spans="7:22">
      <c r="G74" s="5">
        <v>71</v>
      </c>
      <c r="H74" s="22">
        <f t="shared" si="8"/>
        <v>1265304.134374839</v>
      </c>
      <c r="I74" s="22">
        <f t="shared" si="9"/>
        <v>3707.3478881891019</v>
      </c>
      <c r="J74" s="22">
        <f t="shared" si="10"/>
        <v>5786.570147138802</v>
      </c>
      <c r="K74" s="22">
        <f t="shared" si="11"/>
        <v>9493.9180353279044</v>
      </c>
      <c r="L74" s="22">
        <f t="shared" si="12"/>
        <v>721.55582326697618</v>
      </c>
      <c r="M74" s="22"/>
      <c r="N74" s="22"/>
      <c r="O74" s="22"/>
      <c r="P74" s="22"/>
      <c r="Q74" s="22"/>
      <c r="R74" s="22"/>
      <c r="S74" s="23">
        <f t="shared" si="13"/>
        <v>10215.47385859488</v>
      </c>
      <c r="T74" s="24">
        <f t="shared" si="14"/>
        <v>8739.1726214428545</v>
      </c>
      <c r="V74" s="25">
        <f t="shared" si="15"/>
        <v>10215.47385859488</v>
      </c>
    </row>
    <row r="75" spans="7:22">
      <c r="G75" s="5">
        <v>72</v>
      </c>
      <c r="H75" s="22">
        <f t="shared" si="8"/>
        <v>1259500.6867314377</v>
      </c>
      <c r="I75" s="22">
        <f t="shared" si="9"/>
        <v>3690.470391926614</v>
      </c>
      <c r="J75" s="22">
        <f t="shared" si="10"/>
        <v>5803.4476434012904</v>
      </c>
      <c r="K75" s="22">
        <f t="shared" si="11"/>
        <v>9493.9180353279044</v>
      </c>
      <c r="L75" s="22">
        <f t="shared" si="12"/>
        <v>718.27098028011699</v>
      </c>
      <c r="M75" s="22"/>
      <c r="N75" s="22"/>
      <c r="O75" s="22"/>
      <c r="P75" s="22"/>
      <c r="Q75" s="22"/>
      <c r="R75" s="22"/>
      <c r="S75" s="23">
        <f t="shared" si="13"/>
        <v>10212.189015608021</v>
      </c>
      <c r="T75" s="24">
        <f t="shared" si="14"/>
        <v>8742.6085582057767</v>
      </c>
      <c r="V75" s="25">
        <f t="shared" si="15"/>
        <v>10212.189015608021</v>
      </c>
    </row>
    <row r="76" spans="7:22">
      <c r="G76" s="5">
        <v>73</v>
      </c>
      <c r="H76" s="22">
        <f t="shared" si="8"/>
        <v>1253680.3123657431</v>
      </c>
      <c r="I76" s="22">
        <f t="shared" si="9"/>
        <v>3673.54366963336</v>
      </c>
      <c r="J76" s="22">
        <f t="shared" si="10"/>
        <v>5820.3743656945444</v>
      </c>
      <c r="K76" s="22">
        <f t="shared" si="11"/>
        <v>9493.9180353279044</v>
      </c>
      <c r="L76" s="22">
        <f t="shared" si="12"/>
        <v>714.97655650121283</v>
      </c>
      <c r="M76" s="22"/>
      <c r="N76" s="22"/>
      <c r="O76" s="22"/>
      <c r="P76" s="22"/>
      <c r="Q76" s="22"/>
      <c r="R76" s="22"/>
      <c r="S76" s="23">
        <f t="shared" si="13"/>
        <v>10208.894591829117</v>
      </c>
      <c r="T76" s="24">
        <f t="shared" si="14"/>
        <v>8746.0545164509258</v>
      </c>
      <c r="V76" s="25">
        <f t="shared" si="15"/>
        <v>10208.894591829117</v>
      </c>
    </row>
    <row r="77" spans="7:22">
      <c r="G77" s="5">
        <v>74</v>
      </c>
      <c r="H77" s="22">
        <f t="shared" si="8"/>
        <v>1247842.9619081486</v>
      </c>
      <c r="I77" s="22">
        <f t="shared" si="9"/>
        <v>3656.5675777334177</v>
      </c>
      <c r="J77" s="22">
        <f t="shared" si="10"/>
        <v>5837.3504575944862</v>
      </c>
      <c r="K77" s="22">
        <f t="shared" si="11"/>
        <v>9493.9180353279044</v>
      </c>
      <c r="L77" s="22">
        <f t="shared" si="12"/>
        <v>711.67252398628693</v>
      </c>
      <c r="M77" s="22"/>
      <c r="N77" s="22"/>
      <c r="O77" s="22"/>
      <c r="P77" s="22"/>
      <c r="Q77" s="22"/>
      <c r="R77" s="22"/>
      <c r="S77" s="23">
        <f t="shared" si="13"/>
        <v>10205.590559314191</v>
      </c>
      <c r="T77" s="24">
        <f t="shared" si="14"/>
        <v>8749.5105254076225</v>
      </c>
      <c r="V77" s="25">
        <f t="shared" si="15"/>
        <v>10205.590559314191</v>
      </c>
    </row>
    <row r="78" spans="7:22">
      <c r="G78" s="5">
        <v>75</v>
      </c>
      <c r="H78" s="22">
        <f t="shared" si="8"/>
        <v>1241988.5858450527</v>
      </c>
      <c r="I78" s="22">
        <f t="shared" si="9"/>
        <v>3639.5419722321003</v>
      </c>
      <c r="J78" s="22">
        <f t="shared" si="10"/>
        <v>5854.3760630958041</v>
      </c>
      <c r="K78" s="22">
        <f t="shared" si="11"/>
        <v>9493.9180353279044</v>
      </c>
      <c r="L78" s="22">
        <f t="shared" si="12"/>
        <v>708.35885470985909</v>
      </c>
      <c r="M78" s="22"/>
      <c r="N78" s="22"/>
      <c r="O78" s="22"/>
      <c r="P78" s="22"/>
      <c r="Q78" s="22"/>
      <c r="R78" s="22"/>
      <c r="S78" s="23">
        <f t="shared" si="13"/>
        <v>10202.276890037763</v>
      </c>
      <c r="T78" s="24">
        <f t="shared" si="14"/>
        <v>8752.9766143904435</v>
      </c>
      <c r="V78" s="25">
        <f t="shared" si="15"/>
        <v>10202.276890037763</v>
      </c>
    </row>
    <row r="79" spans="7:22">
      <c r="G79" s="5">
        <v>76</v>
      </c>
      <c r="H79" s="22">
        <f t="shared" si="8"/>
        <v>1236117.1345184396</v>
      </c>
      <c r="I79" s="22">
        <f t="shared" si="9"/>
        <v>3622.4667087147373</v>
      </c>
      <c r="J79" s="22">
        <f t="shared" si="10"/>
        <v>5871.4513266131671</v>
      </c>
      <c r="K79" s="22">
        <f t="shared" si="11"/>
        <v>9493.9180353279044</v>
      </c>
      <c r="L79" s="22">
        <f t="shared" si="12"/>
        <v>705.03552056470835</v>
      </c>
      <c r="M79" s="22"/>
      <c r="N79" s="22"/>
      <c r="O79" s="22"/>
      <c r="P79" s="22"/>
      <c r="Q79" s="22"/>
      <c r="R79" s="22"/>
      <c r="S79" s="23">
        <f t="shared" si="13"/>
        <v>10198.953555892613</v>
      </c>
      <c r="T79" s="24">
        <f t="shared" si="14"/>
        <v>8756.4528127994636</v>
      </c>
      <c r="V79" s="25">
        <f t="shared" si="15"/>
        <v>10198.953555892613</v>
      </c>
    </row>
    <row r="80" spans="7:22">
      <c r="G80" s="5">
        <v>77</v>
      </c>
      <c r="H80" s="22">
        <f t="shared" si="8"/>
        <v>1230228.5581254573</v>
      </c>
      <c r="I80" s="22">
        <f t="shared" si="9"/>
        <v>3605.3416423454491</v>
      </c>
      <c r="J80" s="22">
        <f t="shared" si="10"/>
        <v>5888.5763929824552</v>
      </c>
      <c r="K80" s="22">
        <f t="shared" si="11"/>
        <v>9493.9180353279044</v>
      </c>
      <c r="L80" s="22">
        <f t="shared" si="12"/>
        <v>701.70249336163431</v>
      </c>
      <c r="M80" s="22"/>
      <c r="N80" s="22"/>
      <c r="O80" s="22"/>
      <c r="P80" s="22"/>
      <c r="Q80" s="22"/>
      <c r="R80" s="22"/>
      <c r="S80" s="23">
        <f t="shared" si="13"/>
        <v>10195.620528689538</v>
      </c>
      <c r="T80" s="24">
        <f t="shared" si="14"/>
        <v>8759.93915012051</v>
      </c>
      <c r="V80" s="25">
        <f t="shared" si="15"/>
        <v>10195.620528689538</v>
      </c>
    </row>
    <row r="81" spans="7:22">
      <c r="G81" s="5">
        <v>78</v>
      </c>
      <c r="H81" s="22">
        <f t="shared" si="8"/>
        <v>1224322.8067179953</v>
      </c>
      <c r="I81" s="22">
        <f t="shared" si="9"/>
        <v>3588.1666278659172</v>
      </c>
      <c r="J81" s="22">
        <f t="shared" si="10"/>
        <v>5905.7514074619867</v>
      </c>
      <c r="K81" s="22">
        <f t="shared" si="11"/>
        <v>9493.9180353279044</v>
      </c>
      <c r="L81" s="22">
        <f t="shared" si="12"/>
        <v>698.35974482921802</v>
      </c>
      <c r="M81" s="22"/>
      <c r="N81" s="22"/>
      <c r="O81" s="22"/>
      <c r="P81" s="22"/>
      <c r="Q81" s="22"/>
      <c r="R81" s="22"/>
      <c r="S81" s="23">
        <f t="shared" si="13"/>
        <v>10192.277780157123</v>
      </c>
      <c r="T81" s="24">
        <f t="shared" si="14"/>
        <v>8763.435655925412</v>
      </c>
      <c r="V81" s="25">
        <f t="shared" si="15"/>
        <v>10192.277780157123</v>
      </c>
    </row>
    <row r="82" spans="7:22">
      <c r="G82" s="5">
        <v>79</v>
      </c>
      <c r="H82" s="22">
        <f t="shared" si="8"/>
        <v>1218399.8302022617</v>
      </c>
      <c r="I82" s="22">
        <f t="shared" si="9"/>
        <v>3570.9415195941533</v>
      </c>
      <c r="J82" s="22">
        <f t="shared" si="10"/>
        <v>5922.9765157337515</v>
      </c>
      <c r="K82" s="22">
        <f t="shared" si="11"/>
        <v>9493.9180353279044</v>
      </c>
      <c r="L82" s="22">
        <f t="shared" si="12"/>
        <v>695.00724661358208</v>
      </c>
      <c r="M82" s="22"/>
      <c r="N82" s="22"/>
      <c r="O82" s="22"/>
      <c r="P82" s="22"/>
      <c r="Q82" s="22"/>
      <c r="R82" s="22"/>
      <c r="S82" s="23">
        <f t="shared" si="13"/>
        <v>10188.925281941487</v>
      </c>
      <c r="T82" s="24">
        <f t="shared" si="14"/>
        <v>8766.9423598722424</v>
      </c>
      <c r="V82" s="25">
        <f t="shared" si="15"/>
        <v>10188.925281941487</v>
      </c>
    </row>
    <row r="83" spans="7:22">
      <c r="G83" s="5">
        <v>80</v>
      </c>
      <c r="H83" s="22">
        <f t="shared" si="8"/>
        <v>1212459.5783383572</v>
      </c>
      <c r="I83" s="22">
        <f t="shared" si="9"/>
        <v>3553.6661714232632</v>
      </c>
      <c r="J83" s="22">
        <f t="shared" si="10"/>
        <v>5940.2518639046411</v>
      </c>
      <c r="K83" s="22">
        <f t="shared" si="11"/>
        <v>9493.9180353279044</v>
      </c>
      <c r="L83" s="22">
        <f t="shared" si="12"/>
        <v>691.64497027815059</v>
      </c>
      <c r="M83" s="22"/>
      <c r="N83" s="22"/>
      <c r="O83" s="22"/>
      <c r="P83" s="22"/>
      <c r="Q83" s="22"/>
      <c r="R83" s="22"/>
      <c r="S83" s="23">
        <f t="shared" si="13"/>
        <v>10185.563005606055</v>
      </c>
      <c r="T83" s="24">
        <f t="shared" si="14"/>
        <v>8770.4592917055834</v>
      </c>
      <c r="V83" s="25">
        <f t="shared" si="15"/>
        <v>10185.563005606055</v>
      </c>
    </row>
    <row r="84" spans="7:22">
      <c r="G84" s="5">
        <v>81</v>
      </c>
      <c r="H84" s="22">
        <f t="shared" si="8"/>
        <v>1206502.0007398494</v>
      </c>
      <c r="I84" s="22">
        <f t="shared" si="9"/>
        <v>3536.3404368202087</v>
      </c>
      <c r="J84" s="22">
        <f t="shared" si="10"/>
        <v>5957.5775985076962</v>
      </c>
      <c r="K84" s="22">
        <f t="shared" si="11"/>
        <v>9493.9180353279044</v>
      </c>
      <c r="L84" s="22">
        <f t="shared" si="12"/>
        <v>688.27288730340751</v>
      </c>
      <c r="M84" s="22"/>
      <c r="N84" s="22"/>
      <c r="O84" s="22"/>
      <c r="P84" s="22"/>
      <c r="Q84" s="22"/>
      <c r="R84" s="22"/>
      <c r="S84" s="23">
        <f t="shared" si="13"/>
        <v>10182.190922631311</v>
      </c>
      <c r="T84" s="24">
        <f t="shared" si="14"/>
        <v>8773.9864812567721</v>
      </c>
      <c r="V84" s="25">
        <f t="shared" si="15"/>
        <v>10182.190922631311</v>
      </c>
    </row>
    <row r="85" spans="7:22">
      <c r="G85" s="5">
        <v>82</v>
      </c>
      <c r="H85" s="22">
        <f t="shared" si="8"/>
        <v>1200527.046873346</v>
      </c>
      <c r="I85" s="22">
        <f t="shared" si="9"/>
        <v>3518.9641688245611</v>
      </c>
      <c r="J85" s="22">
        <f t="shared" si="10"/>
        <v>5974.9538665033433</v>
      </c>
      <c r="K85" s="22">
        <f t="shared" si="11"/>
        <v>9493.9180353279044</v>
      </c>
      <c r="L85" s="22">
        <f t="shared" si="12"/>
        <v>684.89096908665454</v>
      </c>
      <c r="M85" s="22"/>
      <c r="N85" s="22"/>
      <c r="O85" s="22"/>
      <c r="P85" s="22"/>
      <c r="Q85" s="22"/>
      <c r="R85" s="22"/>
      <c r="S85" s="23">
        <f t="shared" si="13"/>
        <v>10178.809004414559</v>
      </c>
      <c r="T85" s="24">
        <f t="shared" si="14"/>
        <v>8777.5239584441533</v>
      </c>
      <c r="V85" s="25">
        <f t="shared" si="15"/>
        <v>10178.809004414559</v>
      </c>
    </row>
    <row r="86" spans="7:22">
      <c r="G86" s="5">
        <v>83</v>
      </c>
      <c r="H86" s="22">
        <f t="shared" si="8"/>
        <v>1194534.6660580654</v>
      </c>
      <c r="I86" s="22">
        <f t="shared" si="9"/>
        <v>3501.5372200472593</v>
      </c>
      <c r="J86" s="22">
        <f t="shared" si="10"/>
        <v>5992.380815280645</v>
      </c>
      <c r="K86" s="22">
        <f t="shared" si="11"/>
        <v>9493.9180353279044</v>
      </c>
      <c r="L86" s="22">
        <f t="shared" si="12"/>
        <v>681.49918694176949</v>
      </c>
      <c r="M86" s="22"/>
      <c r="N86" s="22"/>
      <c r="O86" s="22"/>
      <c r="P86" s="22"/>
      <c r="Q86" s="22"/>
      <c r="R86" s="22"/>
      <c r="S86" s="23">
        <f t="shared" si="13"/>
        <v>10175.417222269674</v>
      </c>
      <c r="T86" s="24">
        <f t="shared" si="14"/>
        <v>8781.0717532733306</v>
      </c>
      <c r="V86" s="25">
        <f t="shared" si="15"/>
        <v>10175.417222269674</v>
      </c>
    </row>
    <row r="87" spans="7:22">
      <c r="G87" s="5">
        <v>84</v>
      </c>
      <c r="H87" s="22">
        <f t="shared" si="8"/>
        <v>1188524.8074654068</v>
      </c>
      <c r="I87" s="22">
        <f t="shared" si="9"/>
        <v>3484.0594426693574</v>
      </c>
      <c r="J87" s="22">
        <f t="shared" si="10"/>
        <v>6009.8585926585474</v>
      </c>
      <c r="K87" s="22">
        <f t="shared" si="11"/>
        <v>9493.9180353279044</v>
      </c>
      <c r="L87" s="22">
        <f t="shared" si="12"/>
        <v>678.09751209896183</v>
      </c>
      <c r="M87" s="22"/>
      <c r="N87" s="22"/>
      <c r="O87" s="22"/>
      <c r="P87" s="22"/>
      <c r="Q87" s="22"/>
      <c r="R87" s="22"/>
      <c r="S87" s="23">
        <f t="shared" si="13"/>
        <v>10172.015547426867</v>
      </c>
      <c r="T87" s="24">
        <f t="shared" si="14"/>
        <v>8784.6298958374264</v>
      </c>
      <c r="V87" s="25">
        <f t="shared" si="15"/>
        <v>10172.015547426867</v>
      </c>
    </row>
    <row r="88" spans="7:22">
      <c r="G88" s="5">
        <v>85</v>
      </c>
      <c r="H88" s="22">
        <f t="shared" si="8"/>
        <v>1182497.4201185198</v>
      </c>
      <c r="I88" s="22">
        <f t="shared" si="9"/>
        <v>3466.5306884407701</v>
      </c>
      <c r="J88" s="22">
        <f t="shared" si="10"/>
        <v>6027.3873468871343</v>
      </c>
      <c r="K88" s="22">
        <f t="shared" si="11"/>
        <v>9493.9180353279044</v>
      </c>
      <c r="L88" s="22">
        <f t="shared" si="12"/>
        <v>674.68591570452941</v>
      </c>
      <c r="M88" s="22"/>
      <c r="N88" s="22"/>
      <c r="O88" s="22"/>
      <c r="P88" s="22"/>
      <c r="Q88" s="22"/>
      <c r="R88" s="22"/>
      <c r="S88" s="23">
        <f t="shared" si="13"/>
        <v>10168.603951032434</v>
      </c>
      <c r="T88" s="24">
        <f t="shared" si="14"/>
        <v>8788.1984163173329</v>
      </c>
      <c r="V88" s="25">
        <f t="shared" si="15"/>
        <v>10168.603951032434</v>
      </c>
    </row>
    <row r="89" spans="7:22">
      <c r="G89" s="5">
        <v>86</v>
      </c>
      <c r="H89" s="22">
        <f t="shared" si="8"/>
        <v>1176452.4528918709</v>
      </c>
      <c r="I89" s="22">
        <f t="shared" si="9"/>
        <v>3448.9508086790161</v>
      </c>
      <c r="J89" s="22">
        <f t="shared" si="10"/>
        <v>6044.9672266488888</v>
      </c>
      <c r="K89" s="22">
        <f t="shared" si="11"/>
        <v>9493.9180353279044</v>
      </c>
      <c r="L89" s="22">
        <f t="shared" si="12"/>
        <v>671.26436882061319</v>
      </c>
      <c r="M89" s="22"/>
      <c r="N89" s="22"/>
      <c r="O89" s="22"/>
      <c r="P89" s="22"/>
      <c r="Q89" s="22"/>
      <c r="R89" s="22"/>
      <c r="S89" s="23">
        <f t="shared" si="13"/>
        <v>10165.182404148518</v>
      </c>
      <c r="T89" s="24">
        <f t="shared" si="14"/>
        <v>8791.7773449819742</v>
      </c>
      <c r="V89" s="25">
        <f t="shared" si="15"/>
        <v>10165.182404148518</v>
      </c>
    </row>
    <row r="90" spans="7:22">
      <c r="G90" s="5">
        <v>87</v>
      </c>
      <c r="H90" s="22">
        <f t="shared" si="8"/>
        <v>1170389.8545108109</v>
      </c>
      <c r="I90" s="22">
        <f t="shared" si="9"/>
        <v>3431.319654267957</v>
      </c>
      <c r="J90" s="22">
        <f t="shared" si="10"/>
        <v>6062.5983810599473</v>
      </c>
      <c r="K90" s="22">
        <f t="shared" si="11"/>
        <v>9493.9180353279044</v>
      </c>
      <c r="L90" s="22">
        <f t="shared" si="12"/>
        <v>667.8328424249521</v>
      </c>
      <c r="M90" s="22"/>
      <c r="N90" s="22"/>
      <c r="O90" s="22"/>
      <c r="P90" s="22"/>
      <c r="Q90" s="22"/>
      <c r="R90" s="22"/>
      <c r="S90" s="23">
        <f t="shared" si="13"/>
        <v>10161.750877752856</v>
      </c>
      <c r="T90" s="24">
        <f t="shared" si="14"/>
        <v>8795.3667121885537</v>
      </c>
      <c r="V90" s="25">
        <f t="shared" si="15"/>
        <v>10161.750877752856</v>
      </c>
    </row>
    <row r="91" spans="7:22">
      <c r="G91" s="5">
        <v>88</v>
      </c>
      <c r="H91" s="22">
        <f t="shared" si="8"/>
        <v>1164309.5735511396</v>
      </c>
      <c r="I91" s="22">
        <f t="shared" si="9"/>
        <v>3413.637075656532</v>
      </c>
      <c r="J91" s="22">
        <f t="shared" si="10"/>
        <v>6080.2809596713723</v>
      </c>
      <c r="K91" s="22">
        <f t="shared" si="11"/>
        <v>9493.9180353279044</v>
      </c>
      <c r="L91" s="22">
        <f t="shared" si="12"/>
        <v>664.39130741063707</v>
      </c>
      <c r="M91" s="22"/>
      <c r="N91" s="22"/>
      <c r="O91" s="22"/>
      <c r="P91" s="22"/>
      <c r="Q91" s="22"/>
      <c r="R91" s="22"/>
      <c r="S91" s="23">
        <f t="shared" si="13"/>
        <v>10158.309342738541</v>
      </c>
      <c r="T91" s="24">
        <f t="shared" si="14"/>
        <v>8798.9665483828176</v>
      </c>
      <c r="V91" s="25">
        <f t="shared" si="15"/>
        <v>10158.309342738541</v>
      </c>
    </row>
    <row r="92" spans="7:22">
      <c r="G92" s="5">
        <v>89</v>
      </c>
      <c r="H92" s="22">
        <f t="shared" si="8"/>
        <v>1158211.5584386692</v>
      </c>
      <c r="I92" s="22">
        <f t="shared" si="9"/>
        <v>3395.9029228574905</v>
      </c>
      <c r="J92" s="22">
        <f t="shared" si="10"/>
        <v>6098.0151124704134</v>
      </c>
      <c r="K92" s="22">
        <f t="shared" si="11"/>
        <v>9493.9180353279044</v>
      </c>
      <c r="L92" s="22">
        <f t="shared" si="12"/>
        <v>660.93973458586368</v>
      </c>
      <c r="M92" s="22"/>
      <c r="N92" s="22"/>
      <c r="O92" s="22"/>
      <c r="P92" s="22"/>
      <c r="Q92" s="22"/>
      <c r="R92" s="22"/>
      <c r="S92" s="23">
        <f t="shared" si="13"/>
        <v>10154.857769913768</v>
      </c>
      <c r="T92" s="24">
        <f t="shared" si="14"/>
        <v>8802.5768840993169</v>
      </c>
      <c r="V92" s="25">
        <f t="shared" si="15"/>
        <v>10154.857769913768</v>
      </c>
    </row>
    <row r="93" spans="7:22">
      <c r="G93" s="5">
        <v>90</v>
      </c>
      <c r="H93" s="22">
        <f t="shared" si="8"/>
        <v>1152095.7574487873</v>
      </c>
      <c r="I93" s="22">
        <f t="shared" si="9"/>
        <v>3378.1170454461185</v>
      </c>
      <c r="J93" s="22">
        <f t="shared" si="10"/>
        <v>6115.8009898817854</v>
      </c>
      <c r="K93" s="22">
        <f t="shared" si="11"/>
        <v>9493.9180353279044</v>
      </c>
      <c r="L93" s="22">
        <f t="shared" si="12"/>
        <v>657.47809467368461</v>
      </c>
      <c r="M93" s="22"/>
      <c r="N93" s="22"/>
      <c r="O93" s="22"/>
      <c r="P93" s="22"/>
      <c r="Q93" s="22"/>
      <c r="R93" s="22"/>
      <c r="S93" s="23">
        <f t="shared" si="13"/>
        <v>10151.396130001589</v>
      </c>
      <c r="T93" s="24">
        <f t="shared" si="14"/>
        <v>8806.1977499616551</v>
      </c>
      <c r="V93" s="25">
        <f t="shared" si="15"/>
        <v>10151.396130001589</v>
      </c>
    </row>
    <row r="94" spans="7:22">
      <c r="G94" s="5">
        <v>91</v>
      </c>
      <c r="H94" s="22">
        <f t="shared" si="8"/>
        <v>1145962.1187060184</v>
      </c>
      <c r="I94" s="22">
        <f t="shared" si="9"/>
        <v>3360.2792925589633</v>
      </c>
      <c r="J94" s="22">
        <f t="shared" si="10"/>
        <v>6133.6387427689406</v>
      </c>
      <c r="K94" s="22">
        <f t="shared" si="11"/>
        <v>9493.9180353279044</v>
      </c>
      <c r="L94" s="22">
        <f t="shared" si="12"/>
        <v>654.00635831176169</v>
      </c>
      <c r="M94" s="22"/>
      <c r="N94" s="22"/>
      <c r="O94" s="22"/>
      <c r="P94" s="22"/>
      <c r="Q94" s="22"/>
      <c r="R94" s="22"/>
      <c r="S94" s="23">
        <f t="shared" si="13"/>
        <v>10147.924393639667</v>
      </c>
      <c r="T94" s="24">
        <f t="shared" si="14"/>
        <v>8809.8291766827588</v>
      </c>
      <c r="V94" s="25">
        <f t="shared" si="15"/>
        <v>10147.924393639667</v>
      </c>
    </row>
    <row r="95" spans="7:22">
      <c r="G95" s="5">
        <v>92</v>
      </c>
      <c r="H95" s="22">
        <f t="shared" si="8"/>
        <v>1139810.5901835831</v>
      </c>
      <c r="I95" s="22">
        <f t="shared" si="9"/>
        <v>3342.3895128925537</v>
      </c>
      <c r="J95" s="22">
        <f t="shared" si="10"/>
        <v>6151.5285224353502</v>
      </c>
      <c r="K95" s="22">
        <f t="shared" si="11"/>
        <v>9493.9180353279044</v>
      </c>
      <c r="L95" s="22">
        <f t="shared" si="12"/>
        <v>650.52449605211655</v>
      </c>
      <c r="M95" s="22"/>
      <c r="N95" s="22"/>
      <c r="O95" s="22"/>
      <c r="P95" s="22"/>
      <c r="Q95" s="22"/>
      <c r="R95" s="22"/>
      <c r="S95" s="23">
        <f t="shared" si="13"/>
        <v>10144.44253138002</v>
      </c>
      <c r="T95" s="24">
        <f t="shared" si="14"/>
        <v>8813.4711950651308</v>
      </c>
      <c r="V95" s="25">
        <f t="shared" si="15"/>
        <v>10144.44253138002</v>
      </c>
    </row>
    <row r="96" spans="7:22">
      <c r="G96" s="5">
        <v>93</v>
      </c>
      <c r="H96" s="22">
        <f t="shared" si="8"/>
        <v>1133641.1197029573</v>
      </c>
      <c r="I96" s="22">
        <f t="shared" si="9"/>
        <v>3324.4475547021175</v>
      </c>
      <c r="J96" s="22">
        <f t="shared" si="10"/>
        <v>6169.4704806257869</v>
      </c>
      <c r="K96" s="22">
        <f t="shared" si="11"/>
        <v>9493.9180353279044</v>
      </c>
      <c r="L96" s="22">
        <f t="shared" si="12"/>
        <v>647.03247836088076</v>
      </c>
      <c r="M96" s="22"/>
      <c r="N96" s="22"/>
      <c r="O96" s="22"/>
      <c r="P96" s="22"/>
      <c r="Q96" s="22"/>
      <c r="R96" s="22"/>
      <c r="S96" s="23">
        <f t="shared" si="13"/>
        <v>10140.950513688786</v>
      </c>
      <c r="T96" s="24">
        <f t="shared" si="14"/>
        <v>8817.1238360011193</v>
      </c>
      <c r="V96" s="25">
        <f t="shared" si="15"/>
        <v>10140.950513688786</v>
      </c>
    </row>
    <row r="97" spans="7:22">
      <c r="G97" s="5">
        <v>94</v>
      </c>
      <c r="H97" s="22">
        <f t="shared" si="8"/>
        <v>1127453.6549334298</v>
      </c>
      <c r="I97" s="22">
        <f t="shared" si="9"/>
        <v>3306.4532658002922</v>
      </c>
      <c r="J97" s="22">
        <f t="shared" si="10"/>
        <v>6187.4647695276126</v>
      </c>
      <c r="K97" s="22">
        <f t="shared" si="11"/>
        <v>9493.9180353279044</v>
      </c>
      <c r="L97" s="22">
        <f t="shared" si="12"/>
        <v>643.53027561804549</v>
      </c>
      <c r="M97" s="22"/>
      <c r="N97" s="22"/>
      <c r="O97" s="22"/>
      <c r="P97" s="22"/>
      <c r="Q97" s="22"/>
      <c r="R97" s="22"/>
      <c r="S97" s="23">
        <f t="shared" si="13"/>
        <v>10137.448310945951</v>
      </c>
      <c r="T97" s="24">
        <f t="shared" si="14"/>
        <v>8820.7871304731707</v>
      </c>
      <c r="V97" s="25">
        <f t="shared" si="15"/>
        <v>10137.448310945951</v>
      </c>
    </row>
    <row r="98" spans="7:22">
      <c r="G98" s="5">
        <v>95</v>
      </c>
      <c r="H98" s="22">
        <f t="shared" si="8"/>
        <v>1121248.1433916576</v>
      </c>
      <c r="I98" s="22">
        <f t="shared" si="9"/>
        <v>3288.4064935558372</v>
      </c>
      <c r="J98" s="22">
        <f t="shared" si="10"/>
        <v>6205.5115417720672</v>
      </c>
      <c r="K98" s="22">
        <f t="shared" si="11"/>
        <v>9493.9180353279044</v>
      </c>
      <c r="L98" s="22">
        <f t="shared" si="12"/>
        <v>640.01785811721038</v>
      </c>
      <c r="M98" s="22"/>
      <c r="N98" s="22"/>
      <c r="O98" s="22"/>
      <c r="P98" s="22"/>
      <c r="Q98" s="22"/>
      <c r="R98" s="22"/>
      <c r="S98" s="23">
        <f t="shared" si="13"/>
        <v>10133.935893445116</v>
      </c>
      <c r="T98" s="24">
        <f t="shared" si="14"/>
        <v>8824.4611095541004</v>
      </c>
      <c r="V98" s="25">
        <f t="shared" si="15"/>
        <v>10133.935893445116</v>
      </c>
    </row>
    <row r="99" spans="7:22">
      <c r="G99" s="5">
        <v>96</v>
      </c>
      <c r="H99" s="22">
        <f t="shared" si="8"/>
        <v>1115024.5324412221</v>
      </c>
      <c r="I99" s="22">
        <f t="shared" si="9"/>
        <v>3270.3070848923348</v>
      </c>
      <c r="J99" s="22">
        <f t="shared" si="10"/>
        <v>6223.61095043557</v>
      </c>
      <c r="K99" s="22">
        <f t="shared" si="11"/>
        <v>9493.9180353279044</v>
      </c>
      <c r="L99" s="22">
        <f t="shared" si="12"/>
        <v>636.49519606533102</v>
      </c>
      <c r="M99" s="22"/>
      <c r="N99" s="22"/>
      <c r="O99" s="22"/>
      <c r="P99" s="22"/>
      <c r="Q99" s="22"/>
      <c r="R99" s="22"/>
      <c r="S99" s="23">
        <f t="shared" si="13"/>
        <v>10130.413231393235</v>
      </c>
      <c r="T99" s="24">
        <f t="shared" si="14"/>
        <v>8828.1458044073461</v>
      </c>
      <c r="V99" s="25">
        <f t="shared" si="15"/>
        <v>10130.413231393235</v>
      </c>
    </row>
    <row r="100" spans="7:22">
      <c r="G100" s="5">
        <v>97</v>
      </c>
      <c r="H100" s="22">
        <f t="shared" si="8"/>
        <v>1108782.7692921811</v>
      </c>
      <c r="I100" s="22">
        <f t="shared" si="9"/>
        <v>3252.1548862868981</v>
      </c>
      <c r="J100" s="22">
        <f t="shared" si="10"/>
        <v>6241.7631490410058</v>
      </c>
      <c r="K100" s="22">
        <f t="shared" si="11"/>
        <v>9493.9180353279044</v>
      </c>
      <c r="L100" s="22">
        <f t="shared" si="12"/>
        <v>632.96225958246714</v>
      </c>
      <c r="M100" s="22"/>
      <c r="N100" s="22"/>
      <c r="O100" s="22"/>
      <c r="P100" s="22"/>
      <c r="Q100" s="22"/>
      <c r="R100" s="22"/>
      <c r="S100" s="23">
        <f t="shared" si="13"/>
        <v>10126.880294910372</v>
      </c>
      <c r="T100" s="24">
        <f t="shared" si="14"/>
        <v>8831.8412462872511</v>
      </c>
      <c r="V100" s="25">
        <f t="shared" si="15"/>
        <v>10126.880294910372</v>
      </c>
    </row>
    <row r="101" spans="7:22">
      <c r="G101" s="5">
        <v>98</v>
      </c>
      <c r="H101" s="22">
        <f t="shared" si="8"/>
        <v>1102522.8010006221</v>
      </c>
      <c r="I101" s="22">
        <f t="shared" si="9"/>
        <v>3233.9497437688619</v>
      </c>
      <c r="J101" s="22">
        <f t="shared" si="10"/>
        <v>6259.968291559042</v>
      </c>
      <c r="K101" s="22">
        <f t="shared" si="11"/>
        <v>9493.9180353279044</v>
      </c>
      <c r="L101" s="22">
        <f t="shared" si="12"/>
        <v>629.41901870152822</v>
      </c>
      <c r="M101" s="22"/>
      <c r="N101" s="22"/>
      <c r="O101" s="22"/>
      <c r="P101" s="22"/>
      <c r="Q101" s="22"/>
      <c r="R101" s="22"/>
      <c r="S101" s="23">
        <f t="shared" si="13"/>
        <v>10123.337054029433</v>
      </c>
      <c r="T101" s="24">
        <f t="shared" si="14"/>
        <v>8835.5474665393031</v>
      </c>
      <c r="V101" s="25">
        <f t="shared" si="15"/>
        <v>10123.337054029433</v>
      </c>
    </row>
    <row r="102" spans="7:22">
      <c r="G102" s="5">
        <v>99</v>
      </c>
      <c r="H102" s="22">
        <f t="shared" si="8"/>
        <v>1096244.5744682127</v>
      </c>
      <c r="I102" s="22">
        <f t="shared" si="9"/>
        <v>3215.6915029184811</v>
      </c>
      <c r="J102" s="22">
        <f t="shared" si="10"/>
        <v>6278.2265324094233</v>
      </c>
      <c r="K102" s="22">
        <f t="shared" si="11"/>
        <v>9493.9180353279044</v>
      </c>
      <c r="L102" s="22">
        <f t="shared" si="12"/>
        <v>625.8654433680199</v>
      </c>
      <c r="M102" s="22"/>
      <c r="N102" s="22"/>
      <c r="O102" s="22"/>
      <c r="P102" s="22"/>
      <c r="Q102" s="22"/>
      <c r="R102" s="22"/>
      <c r="S102" s="23">
        <f t="shared" si="13"/>
        <v>10119.783478695925</v>
      </c>
      <c r="T102" s="24">
        <f t="shared" si="14"/>
        <v>8839.2644966004245</v>
      </c>
      <c r="V102" s="25">
        <f t="shared" si="15"/>
        <v>10119.783478695925</v>
      </c>
    </row>
    <row r="103" spans="7:22">
      <c r="G103" s="5">
        <v>100</v>
      </c>
      <c r="H103" s="22">
        <f t="shared" si="8"/>
        <v>1089948.0364417504</v>
      </c>
      <c r="I103" s="22">
        <f t="shared" si="9"/>
        <v>3197.3800088656203</v>
      </c>
      <c r="J103" s="22">
        <f t="shared" si="10"/>
        <v>6296.5380264622836</v>
      </c>
      <c r="K103" s="22">
        <f t="shared" si="11"/>
        <v>9493.9180353279044</v>
      </c>
      <c r="L103" s="22">
        <f t="shared" si="12"/>
        <v>622.3015034397888</v>
      </c>
      <c r="M103" s="22"/>
      <c r="N103" s="22"/>
      <c r="O103" s="22"/>
      <c r="P103" s="22"/>
      <c r="Q103" s="22"/>
      <c r="R103" s="22"/>
      <c r="S103" s="23">
        <f t="shared" si="13"/>
        <v>10116.219538767693</v>
      </c>
      <c r="T103" s="24">
        <f t="shared" si="14"/>
        <v>8842.9923679992226</v>
      </c>
      <c r="V103" s="25">
        <f t="shared" si="15"/>
        <v>10116.219538767693</v>
      </c>
    </row>
    <row r="104" spans="7:22">
      <c r="G104" s="5">
        <v>101</v>
      </c>
      <c r="H104" s="22">
        <f t="shared" si="8"/>
        <v>1083633.1335127109</v>
      </c>
      <c r="I104" s="22">
        <f t="shared" si="9"/>
        <v>3179.0151062884388</v>
      </c>
      <c r="J104" s="22">
        <f t="shared" si="10"/>
        <v>6314.9029290394656</v>
      </c>
      <c r="K104" s="22">
        <f t="shared" si="11"/>
        <v>9493.9180353279044</v>
      </c>
      <c r="L104" s="22">
        <f t="shared" si="12"/>
        <v>618.72716868676707</v>
      </c>
      <c r="M104" s="22"/>
      <c r="N104" s="22"/>
      <c r="O104" s="22"/>
      <c r="P104" s="22"/>
      <c r="Q104" s="22"/>
      <c r="R104" s="22"/>
      <c r="S104" s="23">
        <f t="shared" si="13"/>
        <v>10112.645204014672</v>
      </c>
      <c r="T104" s="24">
        <f t="shared" si="14"/>
        <v>8846.7311123562704</v>
      </c>
      <c r="V104" s="25">
        <f t="shared" si="15"/>
        <v>10112.645204014672</v>
      </c>
    </row>
    <row r="105" spans="7:22">
      <c r="G105" s="5">
        <v>102</v>
      </c>
      <c r="H105" s="22">
        <f t="shared" si="8"/>
        <v>1077299.812116795</v>
      </c>
      <c r="I105" s="22">
        <f t="shared" si="9"/>
        <v>3160.5966394120737</v>
      </c>
      <c r="J105" s="22">
        <f t="shared" si="10"/>
        <v>6333.3213959158311</v>
      </c>
      <c r="K105" s="22">
        <f t="shared" si="11"/>
        <v>9493.9180353279044</v>
      </c>
      <c r="L105" s="22">
        <f t="shared" si="12"/>
        <v>615.14240879071565</v>
      </c>
      <c r="M105" s="22"/>
      <c r="N105" s="22"/>
      <c r="O105" s="22"/>
      <c r="P105" s="22"/>
      <c r="Q105" s="22"/>
      <c r="R105" s="22"/>
      <c r="S105" s="23">
        <f t="shared" si="13"/>
        <v>10109.060444118621</v>
      </c>
      <c r="T105" s="24">
        <f t="shared" si="14"/>
        <v>8850.4807613843568</v>
      </c>
      <c r="V105" s="25">
        <f t="shared" si="15"/>
        <v>10109.060444118621</v>
      </c>
    </row>
    <row r="106" spans="7:22">
      <c r="G106" s="5">
        <v>103</v>
      </c>
      <c r="H106" s="22">
        <f t="shared" si="8"/>
        <v>1070948.0185334743</v>
      </c>
      <c r="I106" s="22">
        <f t="shared" si="9"/>
        <v>3142.1244520073187</v>
      </c>
      <c r="J106" s="22">
        <f t="shared" si="10"/>
        <v>6351.7935833205856</v>
      </c>
      <c r="K106" s="22">
        <f t="shared" si="11"/>
        <v>9493.9180353279044</v>
      </c>
      <c r="L106" s="22">
        <f t="shared" si="12"/>
        <v>611.54719334496735</v>
      </c>
      <c r="M106" s="22"/>
      <c r="N106" s="22"/>
      <c r="O106" s="22"/>
      <c r="P106" s="22"/>
      <c r="Q106" s="22"/>
      <c r="R106" s="22"/>
      <c r="S106" s="23">
        <f t="shared" si="13"/>
        <v>10105.465228672872</v>
      </c>
      <c r="T106" s="24">
        <f t="shared" si="14"/>
        <v>8854.2413468887771</v>
      </c>
      <c r="V106" s="25">
        <f t="shared" si="15"/>
        <v>10105.465228672872</v>
      </c>
    </row>
    <row r="107" spans="7:22">
      <c r="G107" s="5">
        <v>104</v>
      </c>
      <c r="H107" s="22">
        <f t="shared" si="8"/>
        <v>1064577.6988855356</v>
      </c>
      <c r="I107" s="22">
        <f t="shared" si="9"/>
        <v>3123.5983873893001</v>
      </c>
      <c r="J107" s="22">
        <f t="shared" si="10"/>
        <v>6370.3196479386042</v>
      </c>
      <c r="K107" s="22">
        <f t="shared" si="11"/>
        <v>9493.9180353279044</v>
      </c>
      <c r="L107" s="22">
        <f t="shared" si="12"/>
        <v>607.94149185416893</v>
      </c>
      <c r="M107" s="22"/>
      <c r="N107" s="22"/>
      <c r="O107" s="22"/>
      <c r="P107" s="22"/>
      <c r="Q107" s="22"/>
      <c r="R107" s="22"/>
      <c r="S107" s="23">
        <f t="shared" si="13"/>
        <v>10101.859527182074</v>
      </c>
      <c r="T107" s="24">
        <f t="shared" si="14"/>
        <v>8858.0129007675841</v>
      </c>
      <c r="V107" s="25">
        <f t="shared" si="15"/>
        <v>10101.859527182074</v>
      </c>
    </row>
    <row r="108" spans="7:22">
      <c r="G108" s="5">
        <v>105</v>
      </c>
      <c r="H108" s="22">
        <f t="shared" si="8"/>
        <v>1058188.7991386238</v>
      </c>
      <c r="I108" s="22">
        <f t="shared" si="9"/>
        <v>3105.0182884161454</v>
      </c>
      <c r="J108" s="22">
        <f t="shared" si="10"/>
        <v>6388.8997469117585</v>
      </c>
      <c r="K108" s="22">
        <f t="shared" si="11"/>
        <v>9493.9180353279044</v>
      </c>
      <c r="L108" s="22">
        <f t="shared" si="12"/>
        <v>604.3252737340224</v>
      </c>
      <c r="M108" s="22"/>
      <c r="N108" s="22"/>
      <c r="O108" s="22"/>
      <c r="P108" s="22"/>
      <c r="Q108" s="22"/>
      <c r="R108" s="22"/>
      <c r="S108" s="23">
        <f t="shared" si="13"/>
        <v>10098.243309061927</v>
      </c>
      <c r="T108" s="24">
        <f t="shared" si="14"/>
        <v>8861.7954550118702</v>
      </c>
      <c r="V108" s="25">
        <f t="shared" si="15"/>
        <v>10098.243309061927</v>
      </c>
    </row>
    <row r="109" spans="7:22">
      <c r="G109" s="5">
        <v>106</v>
      </c>
      <c r="H109" s="22">
        <f t="shared" si="8"/>
        <v>1051781.2651007834</v>
      </c>
      <c r="I109" s="22">
        <f t="shared" si="9"/>
        <v>3086.3839974876528</v>
      </c>
      <c r="J109" s="22">
        <f t="shared" si="10"/>
        <v>6407.5340378402516</v>
      </c>
      <c r="K109" s="22">
        <f t="shared" si="11"/>
        <v>9493.9180353279044</v>
      </c>
      <c r="L109" s="22">
        <f t="shared" si="12"/>
        <v>600.69850831102553</v>
      </c>
      <c r="M109" s="22"/>
      <c r="N109" s="22"/>
      <c r="O109" s="22"/>
      <c r="P109" s="22"/>
      <c r="Q109" s="22"/>
      <c r="R109" s="22"/>
      <c r="S109" s="23">
        <f t="shared" si="13"/>
        <v>10094.616543638929</v>
      </c>
      <c r="T109" s="24">
        <f t="shared" si="14"/>
        <v>8865.5890417060364</v>
      </c>
      <c r="V109" s="25">
        <f t="shared" si="15"/>
        <v>10094.616543638929</v>
      </c>
    </row>
    <row r="110" spans="7:22">
      <c r="G110" s="5">
        <v>107</v>
      </c>
      <c r="H110" s="22">
        <f t="shared" si="8"/>
        <v>1045355.0424219995</v>
      </c>
      <c r="I110" s="22">
        <f t="shared" si="9"/>
        <v>3067.6953565439517</v>
      </c>
      <c r="J110" s="22">
        <f t="shared" si="10"/>
        <v>6426.2226787839527</v>
      </c>
      <c r="K110" s="22">
        <f t="shared" si="11"/>
        <v>9493.9180353279044</v>
      </c>
      <c r="L110" s="22">
        <f t="shared" si="12"/>
        <v>597.06116482221148</v>
      </c>
      <c r="M110" s="22"/>
      <c r="N110" s="22"/>
      <c r="O110" s="22"/>
      <c r="P110" s="22"/>
      <c r="Q110" s="22"/>
      <c r="R110" s="22"/>
      <c r="S110" s="23">
        <f t="shared" si="13"/>
        <v>10090.979200150116</v>
      </c>
      <c r="T110" s="24">
        <f t="shared" si="14"/>
        <v>8869.3936930280615</v>
      </c>
      <c r="V110" s="25">
        <f t="shared" si="15"/>
        <v>10090.979200150116</v>
      </c>
    </row>
    <row r="111" spans="7:22">
      <c r="G111" s="5">
        <v>108</v>
      </c>
      <c r="H111" s="22">
        <f t="shared" si="8"/>
        <v>1038910.0765937357</v>
      </c>
      <c r="I111" s="22">
        <f t="shared" si="9"/>
        <v>3048.9522070641656</v>
      </c>
      <c r="J111" s="22">
        <f t="shared" si="10"/>
        <v>6444.9658282637392</v>
      </c>
      <c r="K111" s="22">
        <f t="shared" si="11"/>
        <v>9493.9180353279044</v>
      </c>
      <c r="L111" s="22">
        <f t="shared" si="12"/>
        <v>593.41321241488845</v>
      </c>
      <c r="M111" s="22"/>
      <c r="N111" s="22"/>
      <c r="O111" s="22"/>
      <c r="P111" s="22"/>
      <c r="Q111" s="22"/>
      <c r="R111" s="22"/>
      <c r="S111" s="23">
        <f t="shared" si="13"/>
        <v>10087.331247742793</v>
      </c>
      <c r="T111" s="24">
        <f t="shared" si="14"/>
        <v>8873.2094412497754</v>
      </c>
      <c r="V111" s="25">
        <f t="shared" si="15"/>
        <v>10087.331247742793</v>
      </c>
    </row>
    <row r="112" spans="7:22">
      <c r="G112" s="5">
        <v>109</v>
      </c>
      <c r="H112" s="22">
        <f t="shared" si="8"/>
        <v>1032446.3129484729</v>
      </c>
      <c r="I112" s="22">
        <f t="shared" si="9"/>
        <v>3030.1543900650627</v>
      </c>
      <c r="J112" s="22">
        <f t="shared" si="10"/>
        <v>6463.7636452628412</v>
      </c>
      <c r="K112" s="22">
        <f t="shared" si="11"/>
        <v>9493.9180353279044</v>
      </c>
      <c r="L112" s="22">
        <f t="shared" si="12"/>
        <v>589.75462014637742</v>
      </c>
      <c r="M112" s="22"/>
      <c r="N112" s="22"/>
      <c r="O112" s="22"/>
      <c r="P112" s="22"/>
      <c r="Q112" s="22"/>
      <c r="R112" s="22"/>
      <c r="S112" s="23">
        <f t="shared" si="13"/>
        <v>10083.672655474282</v>
      </c>
      <c r="T112" s="24">
        <f t="shared" si="14"/>
        <v>8877.0363187371349</v>
      </c>
      <c r="V112" s="25">
        <f t="shared" si="15"/>
        <v>10083.672655474282</v>
      </c>
    </row>
    <row r="113" spans="7:22">
      <c r="G113" s="5">
        <v>110</v>
      </c>
      <c r="H113" s="22">
        <f t="shared" si="8"/>
        <v>1025963.6966592447</v>
      </c>
      <c r="I113" s="22">
        <f t="shared" si="9"/>
        <v>3011.301746099713</v>
      </c>
      <c r="J113" s="22">
        <f t="shared" si="10"/>
        <v>6482.6162892281918</v>
      </c>
      <c r="K113" s="22">
        <f t="shared" si="11"/>
        <v>9493.9180353279044</v>
      </c>
      <c r="L113" s="22">
        <f t="shared" si="12"/>
        <v>586.08535698374988</v>
      </c>
      <c r="M113" s="22"/>
      <c r="N113" s="22"/>
      <c r="O113" s="22"/>
      <c r="P113" s="22"/>
      <c r="Q113" s="22"/>
      <c r="R113" s="22"/>
      <c r="S113" s="23">
        <f t="shared" si="13"/>
        <v>10080.003392311653</v>
      </c>
      <c r="T113" s="24">
        <f t="shared" si="14"/>
        <v>8880.874357950499</v>
      </c>
      <c r="V113" s="25">
        <f t="shared" si="15"/>
        <v>10080.003392311653</v>
      </c>
    </row>
    <row r="114" spans="7:22">
      <c r="G114" s="5">
        <v>111</v>
      </c>
      <c r="H114" s="22">
        <f t="shared" si="8"/>
        <v>1019462.1727391729</v>
      </c>
      <c r="I114" s="22">
        <f t="shared" si="9"/>
        <v>2992.3941152561306</v>
      </c>
      <c r="J114" s="22">
        <f t="shared" si="10"/>
        <v>6501.5239200717733</v>
      </c>
      <c r="K114" s="22">
        <f t="shared" si="11"/>
        <v>9493.9180353279044</v>
      </c>
      <c r="L114" s="22">
        <f t="shared" si="12"/>
        <v>582.40539180356461</v>
      </c>
      <c r="M114" s="22"/>
      <c r="N114" s="22"/>
      <c r="O114" s="22"/>
      <c r="P114" s="22"/>
      <c r="Q114" s="22"/>
      <c r="R114" s="22"/>
      <c r="S114" s="23">
        <f t="shared" si="13"/>
        <v>10076.323427131469</v>
      </c>
      <c r="T114" s="24">
        <f t="shared" si="14"/>
        <v>8884.7235914449029</v>
      </c>
      <c r="V114" s="25">
        <f t="shared" si="15"/>
        <v>10076.323427131469</v>
      </c>
    </row>
    <row r="115" spans="7:22">
      <c r="G115" s="5">
        <v>112</v>
      </c>
      <c r="H115" s="22">
        <f t="shared" si="8"/>
        <v>1012941.686041001</v>
      </c>
      <c r="I115" s="22">
        <f t="shared" si="9"/>
        <v>2973.431337155921</v>
      </c>
      <c r="J115" s="22">
        <f t="shared" si="10"/>
        <v>6520.4866981719833</v>
      </c>
      <c r="K115" s="22">
        <f t="shared" si="11"/>
        <v>9493.9180353279044</v>
      </c>
      <c r="L115" s="22">
        <f t="shared" si="12"/>
        <v>578.71469339160387</v>
      </c>
      <c r="M115" s="22"/>
      <c r="N115" s="22"/>
      <c r="O115" s="22"/>
      <c r="P115" s="22"/>
      <c r="Q115" s="22"/>
      <c r="R115" s="22"/>
      <c r="S115" s="23">
        <f t="shared" si="13"/>
        <v>10072.632728719509</v>
      </c>
      <c r="T115" s="24">
        <f t="shared" si="14"/>
        <v>8888.5840518703335</v>
      </c>
      <c r="V115" s="25">
        <f t="shared" si="15"/>
        <v>10072.632728719509</v>
      </c>
    </row>
    <row r="116" spans="7:22">
      <c r="G116" s="5">
        <v>113</v>
      </c>
      <c r="H116" s="22">
        <f t="shared" si="8"/>
        <v>1006402.181256626</v>
      </c>
      <c r="I116" s="22">
        <f t="shared" si="9"/>
        <v>2954.4132509529195</v>
      </c>
      <c r="J116" s="22">
        <f t="shared" si="10"/>
        <v>6539.5047843749853</v>
      </c>
      <c r="K116" s="22">
        <f t="shared" si="11"/>
        <v>9493.9180353279044</v>
      </c>
      <c r="L116" s="22">
        <f t="shared" si="12"/>
        <v>575.01323044260835</v>
      </c>
      <c r="M116" s="22"/>
      <c r="N116" s="22"/>
      <c r="O116" s="22"/>
      <c r="P116" s="22"/>
      <c r="Q116" s="22"/>
      <c r="R116" s="22"/>
      <c r="S116" s="23">
        <f t="shared" si="13"/>
        <v>10068.931265770512</v>
      </c>
      <c r="T116" s="24">
        <f t="shared" si="14"/>
        <v>8892.4557719720033</v>
      </c>
      <c r="V116" s="25">
        <f t="shared" si="15"/>
        <v>10068.931265770512</v>
      </c>
    </row>
    <row r="117" spans="7:22">
      <c r="G117" s="5">
        <v>114</v>
      </c>
      <c r="H117" s="22">
        <f t="shared" si="8"/>
        <v>999843.60291662998</v>
      </c>
      <c r="I117" s="22">
        <f t="shared" si="9"/>
        <v>2935.3396953318261</v>
      </c>
      <c r="J117" s="22">
        <f t="shared" si="10"/>
        <v>6558.5783399960783</v>
      </c>
      <c r="K117" s="22">
        <f t="shared" si="11"/>
        <v>9493.9180353279044</v>
      </c>
      <c r="L117" s="22">
        <f t="shared" si="12"/>
        <v>571.30097156001148</v>
      </c>
      <c r="M117" s="22"/>
      <c r="N117" s="22"/>
      <c r="O117" s="22"/>
      <c r="P117" s="22"/>
      <c r="Q117" s="22"/>
      <c r="R117" s="22"/>
      <c r="S117" s="23">
        <f t="shared" si="13"/>
        <v>10065.219006887915</v>
      </c>
      <c r="T117" s="24">
        <f t="shared" si="14"/>
        <v>8896.3387845906364</v>
      </c>
      <c r="V117" s="25">
        <f t="shared" si="15"/>
        <v>10065.219006887915</v>
      </c>
    </row>
    <row r="118" spans="7:22">
      <c r="G118" s="5">
        <v>115</v>
      </c>
      <c r="H118" s="22">
        <f t="shared" si="8"/>
        <v>993265.89538980892</v>
      </c>
      <c r="I118" s="22">
        <f t="shared" si="9"/>
        <v>2916.2105085068374</v>
      </c>
      <c r="J118" s="22">
        <f t="shared" si="10"/>
        <v>6577.7075268210665</v>
      </c>
      <c r="K118" s="22">
        <f t="shared" si="11"/>
        <v>9493.9180353279044</v>
      </c>
      <c r="L118" s="22">
        <f t="shared" si="12"/>
        <v>567.57788525567366</v>
      </c>
      <c r="M118" s="22"/>
      <c r="N118" s="22"/>
      <c r="O118" s="22"/>
      <c r="P118" s="22"/>
      <c r="Q118" s="22"/>
      <c r="R118" s="22"/>
      <c r="S118" s="23">
        <f t="shared" si="13"/>
        <v>10061.495920583578</v>
      </c>
      <c r="T118" s="24">
        <f t="shared" si="14"/>
        <v>8900.2331226627412</v>
      </c>
      <c r="V118" s="25">
        <f t="shared" si="15"/>
        <v>10061.495920583578</v>
      </c>
    </row>
    <row r="119" spans="7:22">
      <c r="G119" s="5">
        <v>116</v>
      </c>
      <c r="H119" s="22">
        <f t="shared" si="8"/>
        <v>986669.00288270134</v>
      </c>
      <c r="I119" s="22">
        <f t="shared" si="9"/>
        <v>2897.0255282202761</v>
      </c>
      <c r="J119" s="22">
        <f t="shared" si="10"/>
        <v>6596.8925071076283</v>
      </c>
      <c r="K119" s="22">
        <f t="shared" si="11"/>
        <v>9493.9180353279044</v>
      </c>
      <c r="L119" s="22">
        <f t="shared" si="12"/>
        <v>563.84393994961488</v>
      </c>
      <c r="M119" s="22"/>
      <c r="N119" s="22"/>
      <c r="O119" s="22"/>
      <c r="P119" s="22"/>
      <c r="Q119" s="22"/>
      <c r="R119" s="22"/>
      <c r="S119" s="23">
        <f t="shared" si="13"/>
        <v>10057.761975277519</v>
      </c>
      <c r="T119" s="24">
        <f t="shared" si="14"/>
        <v>8904.1388192208888</v>
      </c>
      <c r="V119" s="25">
        <f t="shared" si="15"/>
        <v>10057.761975277519</v>
      </c>
    </row>
    <row r="120" spans="7:22">
      <c r="G120" s="5">
        <v>117</v>
      </c>
      <c r="H120" s="22">
        <f t="shared" si="8"/>
        <v>980052.8694391147</v>
      </c>
      <c r="I120" s="22">
        <f t="shared" si="9"/>
        <v>2877.7845917412124</v>
      </c>
      <c r="J120" s="22">
        <f t="shared" si="10"/>
        <v>6616.133443586692</v>
      </c>
      <c r="K120" s="22">
        <f t="shared" si="11"/>
        <v>9493.9180353279044</v>
      </c>
      <c r="L120" s="22">
        <f t="shared" si="12"/>
        <v>560.09910396974681</v>
      </c>
      <c r="M120" s="22"/>
      <c r="N120" s="22"/>
      <c r="O120" s="22"/>
      <c r="P120" s="22"/>
      <c r="Q120" s="22"/>
      <c r="R120" s="22"/>
      <c r="S120" s="23">
        <f t="shared" si="13"/>
        <v>10054.017139297652</v>
      </c>
      <c r="T120" s="24">
        <f t="shared" si="14"/>
        <v>8908.0559073939985</v>
      </c>
      <c r="V120" s="25">
        <f t="shared" si="15"/>
        <v>10054.017139297652</v>
      </c>
    </row>
    <row r="121" spans="7:22">
      <c r="G121" s="5">
        <v>118</v>
      </c>
      <c r="H121" s="22">
        <f t="shared" si="8"/>
        <v>973417.43893965089</v>
      </c>
      <c r="I121" s="22">
        <f t="shared" si="9"/>
        <v>2858.4875358640847</v>
      </c>
      <c r="J121" s="22">
        <f t="shared" si="10"/>
        <v>6635.4304994638196</v>
      </c>
      <c r="K121" s="22">
        <f t="shared" si="11"/>
        <v>9493.9180353279044</v>
      </c>
      <c r="L121" s="22">
        <f t="shared" si="12"/>
        <v>556.34334555160422</v>
      </c>
      <c r="M121" s="22"/>
      <c r="N121" s="22"/>
      <c r="O121" s="22"/>
      <c r="P121" s="22"/>
      <c r="Q121" s="22"/>
      <c r="R121" s="22"/>
      <c r="S121" s="23">
        <f t="shared" si="13"/>
        <v>10050.261380879509</v>
      </c>
      <c r="T121" s="24">
        <f t="shared" si="14"/>
        <v>8911.9844204076126</v>
      </c>
      <c r="V121" s="25">
        <f t="shared" si="15"/>
        <v>10050.261380879509</v>
      </c>
    </row>
    <row r="122" spans="7:22">
      <c r="G122" s="5">
        <v>119</v>
      </c>
      <c r="H122" s="22">
        <f t="shared" si="8"/>
        <v>966762.65510123025</v>
      </c>
      <c r="I122" s="22">
        <f t="shared" si="9"/>
        <v>2839.1341969073151</v>
      </c>
      <c r="J122" s="22">
        <f t="shared" si="10"/>
        <v>6654.7838384205897</v>
      </c>
      <c r="K122" s="22">
        <f t="shared" si="11"/>
        <v>9493.9180353279044</v>
      </c>
      <c r="L122" s="22">
        <f t="shared" si="12"/>
        <v>552.57663283807517</v>
      </c>
      <c r="M122" s="22"/>
      <c r="N122" s="22"/>
      <c r="O122" s="22"/>
      <c r="P122" s="22"/>
      <c r="Q122" s="22"/>
      <c r="R122" s="22"/>
      <c r="S122" s="23">
        <f t="shared" si="13"/>
        <v>10046.49466816598</v>
      </c>
      <c r="T122" s="24">
        <f t="shared" si="14"/>
        <v>8915.9243915841835</v>
      </c>
      <c r="V122" s="25">
        <f t="shared" si="15"/>
        <v>10046.49466816598</v>
      </c>
    </row>
    <row r="123" spans="7:22">
      <c r="G123" s="5">
        <v>120</v>
      </c>
      <c r="H123" s="22">
        <f t="shared" si="8"/>
        <v>960088.46147661423</v>
      </c>
      <c r="I123" s="22">
        <f t="shared" si="9"/>
        <v>2819.7244107119218</v>
      </c>
      <c r="J123" s="22">
        <f t="shared" si="10"/>
        <v>6674.1936246159821</v>
      </c>
      <c r="K123" s="22">
        <f t="shared" si="11"/>
        <v>9493.9180353279044</v>
      </c>
      <c r="L123" s="22">
        <f t="shared" si="12"/>
        <v>548.79893387913182</v>
      </c>
      <c r="M123" s="22"/>
      <c r="N123" s="22"/>
      <c r="O123" s="22"/>
      <c r="P123" s="22"/>
      <c r="Q123" s="22"/>
      <c r="R123" s="22"/>
      <c r="S123" s="23">
        <f t="shared" si="13"/>
        <v>10042.716969207037</v>
      </c>
      <c r="T123" s="24">
        <f t="shared" si="14"/>
        <v>8919.8758543433523</v>
      </c>
      <c r="V123" s="25">
        <f t="shared" si="15"/>
        <v>10042.716969207037</v>
      </c>
    </row>
    <row r="124" spans="7:22">
      <c r="G124" s="5">
        <v>121</v>
      </c>
      <c r="H124" s="22">
        <f t="shared" si="8"/>
        <v>953394.80145392648</v>
      </c>
      <c r="I124" s="22">
        <f t="shared" si="9"/>
        <v>2800.2580126401249</v>
      </c>
      <c r="J124" s="22">
        <f t="shared" si="10"/>
        <v>6693.6600226877799</v>
      </c>
      <c r="K124" s="22">
        <f t="shared" si="11"/>
        <v>9493.9180353279044</v>
      </c>
      <c r="L124" s="22">
        <f t="shared" si="12"/>
        <v>545.01021663155802</v>
      </c>
      <c r="M124" s="22"/>
      <c r="N124" s="22"/>
      <c r="O124" s="22"/>
      <c r="P124" s="22"/>
      <c r="Q124" s="22"/>
      <c r="R124" s="22"/>
      <c r="S124" s="23">
        <f t="shared" si="13"/>
        <v>10038.928251959462</v>
      </c>
      <c r="T124" s="24">
        <f t="shared" si="14"/>
        <v>8923.8388422022344</v>
      </c>
    </row>
    <row r="125" spans="7:22">
      <c r="G125" s="5">
        <v>122</v>
      </c>
      <c r="H125" s="22">
        <f t="shared" si="8"/>
        <v>946681.61825617251</v>
      </c>
      <c r="I125" s="22">
        <f t="shared" si="9"/>
        <v>2780.7348375739525</v>
      </c>
      <c r="J125" s="22">
        <f t="shared" si="10"/>
        <v>6713.1831977539514</v>
      </c>
      <c r="K125" s="22">
        <f t="shared" si="11"/>
        <v>9493.9180353279044</v>
      </c>
      <c r="L125" s="22">
        <f t="shared" si="12"/>
        <v>541.21044895867897</v>
      </c>
      <c r="M125" s="22"/>
      <c r="N125" s="22"/>
      <c r="O125" s="22"/>
      <c r="P125" s="22"/>
      <c r="Q125" s="22"/>
      <c r="R125" s="22"/>
      <c r="S125" s="23">
        <f t="shared" si="13"/>
        <v>10035.128484286583</v>
      </c>
      <c r="T125" s="24">
        <f t="shared" si="14"/>
        <v>8927.8133887757049</v>
      </c>
    </row>
    <row r="126" spans="7:22">
      <c r="G126" s="5">
        <v>123</v>
      </c>
      <c r="H126" s="22">
        <f t="shared" si="8"/>
        <v>939948.85494075844</v>
      </c>
      <c r="I126" s="22">
        <f t="shared" si="9"/>
        <v>2761.1547199138367</v>
      </c>
      <c r="J126" s="22">
        <f t="shared" si="10"/>
        <v>6732.7633154140676</v>
      </c>
      <c r="K126" s="22">
        <f t="shared" si="11"/>
        <v>9493.9180353279044</v>
      </c>
      <c r="L126" s="22">
        <f t="shared" si="12"/>
        <v>537.39959863008733</v>
      </c>
      <c r="M126" s="22"/>
      <c r="N126" s="22"/>
      <c r="O126" s="22"/>
      <c r="P126" s="22"/>
      <c r="Q126" s="22"/>
      <c r="R126" s="22"/>
      <c r="S126" s="23">
        <f t="shared" si="13"/>
        <v>10031.317633957991</v>
      </c>
      <c r="T126" s="24">
        <f t="shared" si="14"/>
        <v>8931.799527776684</v>
      </c>
    </row>
    <row r="127" spans="7:22">
      <c r="G127" s="5">
        <v>124</v>
      </c>
      <c r="H127" s="22">
        <f t="shared" si="8"/>
        <v>933196.45439900772</v>
      </c>
      <c r="I127" s="22">
        <f t="shared" si="9"/>
        <v>2741.517493577212</v>
      </c>
      <c r="J127" s="22">
        <f t="shared" si="10"/>
        <v>6752.4005417506924</v>
      </c>
      <c r="K127" s="22">
        <f t="shared" si="11"/>
        <v>9493.9180353279044</v>
      </c>
      <c r="L127" s="22">
        <f t="shared" si="12"/>
        <v>533.57763332137063</v>
      </c>
      <c r="M127" s="22"/>
      <c r="N127" s="22"/>
      <c r="O127" s="22"/>
      <c r="P127" s="22"/>
      <c r="Q127" s="22"/>
      <c r="R127" s="22"/>
      <c r="S127" s="23">
        <f t="shared" si="13"/>
        <v>10027.495668649275</v>
      </c>
      <c r="T127" s="24">
        <f t="shared" si="14"/>
        <v>8935.7972930164142</v>
      </c>
    </row>
    <row r="128" spans="7:22">
      <c r="G128" s="5">
        <v>125</v>
      </c>
      <c r="H128" s="22">
        <f t="shared" si="8"/>
        <v>926424.35935567692</v>
      </c>
      <c r="I128" s="22">
        <f t="shared" si="9"/>
        <v>2721.8229919971059</v>
      </c>
      <c r="J128" s="22">
        <f t="shared" si="10"/>
        <v>6772.0950433307989</v>
      </c>
      <c r="K128" s="22">
        <f t="shared" si="11"/>
        <v>9493.9180353279044</v>
      </c>
      <c r="L128" s="22">
        <f t="shared" si="12"/>
        <v>529.74452061383681</v>
      </c>
      <c r="M128" s="22"/>
      <c r="N128" s="22"/>
      <c r="O128" s="22"/>
      <c r="P128" s="22"/>
      <c r="Q128" s="22"/>
      <c r="R128" s="22"/>
      <c r="S128" s="23">
        <f t="shared" si="13"/>
        <v>10023.662555941741</v>
      </c>
      <c r="T128" s="24">
        <f t="shared" si="14"/>
        <v>8939.8067184047595</v>
      </c>
    </row>
    <row r="129" spans="7:20">
      <c r="G129" s="5">
        <v>126</v>
      </c>
      <c r="H129" s="22">
        <f t="shared" si="8"/>
        <v>919632.51236846973</v>
      </c>
      <c r="I129" s="22">
        <f t="shared" si="9"/>
        <v>2702.0710481207243</v>
      </c>
      <c r="J129" s="22">
        <f t="shared" si="10"/>
        <v>6791.8469872071801</v>
      </c>
      <c r="K129" s="22">
        <f t="shared" si="11"/>
        <v>9493.9180353279044</v>
      </c>
      <c r="L129" s="22">
        <f t="shared" si="12"/>
        <v>525.90022799423934</v>
      </c>
      <c r="M129" s="22"/>
      <c r="N129" s="22"/>
      <c r="O129" s="22"/>
      <c r="P129" s="22"/>
      <c r="Q129" s="22"/>
      <c r="R129" s="22"/>
      <c r="S129" s="23">
        <f t="shared" si="13"/>
        <v>10019.818263322144</v>
      </c>
      <c r="T129" s="24">
        <f t="shared" si="14"/>
        <v>8943.82783795049</v>
      </c>
    </row>
    <row r="130" spans="7:20">
      <c r="G130" s="5">
        <v>127</v>
      </c>
      <c r="H130" s="22">
        <f t="shared" si="8"/>
        <v>912820.85582754982</v>
      </c>
      <c r="I130" s="22">
        <f t="shared" si="9"/>
        <v>2682.2614944080369</v>
      </c>
      <c r="J130" s="22">
        <f t="shared" si="10"/>
        <v>6811.6565409198674</v>
      </c>
      <c r="K130" s="22">
        <f t="shared" si="11"/>
        <v>9493.9180353279044</v>
      </c>
      <c r="L130" s="22">
        <f t="shared" si="12"/>
        <v>522.0447228545014</v>
      </c>
      <c r="M130" s="22"/>
      <c r="N130" s="22"/>
      <c r="O130" s="22"/>
      <c r="P130" s="22"/>
      <c r="Q130" s="22"/>
      <c r="R130" s="22"/>
      <c r="S130" s="23">
        <f t="shared" si="13"/>
        <v>10015.962758182406</v>
      </c>
      <c r="T130" s="24">
        <f t="shared" si="14"/>
        <v>8947.8606857615596</v>
      </c>
    </row>
    <row r="131" spans="7:20">
      <c r="G131" s="5">
        <v>128</v>
      </c>
      <c r="H131" s="22">
        <f t="shared" si="8"/>
        <v>905989.33195505221</v>
      </c>
      <c r="I131" s="22">
        <f t="shared" si="9"/>
        <v>2662.3941628303537</v>
      </c>
      <c r="J131" s="22">
        <f t="shared" si="10"/>
        <v>6831.5238724975507</v>
      </c>
      <c r="K131" s="22">
        <f t="shared" si="11"/>
        <v>9493.9180353279044</v>
      </c>
      <c r="L131" s="22">
        <f t="shared" si="12"/>
        <v>518.17797249143916</v>
      </c>
      <c r="M131" s="22"/>
      <c r="N131" s="22"/>
      <c r="O131" s="22"/>
      <c r="P131" s="22"/>
      <c r="Q131" s="22"/>
      <c r="R131" s="22"/>
      <c r="S131" s="23">
        <f t="shared" si="13"/>
        <v>10012.096007819344</v>
      </c>
      <c r="T131" s="24">
        <f t="shared" si="14"/>
        <v>8951.9052960454137</v>
      </c>
    </row>
    <row r="132" spans="7:20">
      <c r="G132" s="5">
        <v>129</v>
      </c>
      <c r="H132" s="22">
        <f t="shared" ref="H132:H195" si="16">H131-J132</f>
        <v>899137.88280459319</v>
      </c>
      <c r="I132" s="22">
        <f t="shared" ref="I132:I195" si="17">$E$9/$E$13*H131</f>
        <v>2642.4688848689025</v>
      </c>
      <c r="J132" s="22">
        <f t="shared" ref="J132:J195" si="18">K132-I132</f>
        <v>6851.4491504590023</v>
      </c>
      <c r="K132" s="22">
        <f t="shared" ref="K132:K195" si="19">IF(G132&gt;$E$14,0,$E$16)</f>
        <v>9493.9180353279044</v>
      </c>
      <c r="L132" s="22">
        <f t="shared" ref="L132:L195" si="20">$E$10/$E$13*H131</f>
        <v>514.29994410648465</v>
      </c>
      <c r="M132" s="22"/>
      <c r="N132" s="22"/>
      <c r="O132" s="22"/>
      <c r="P132" s="22"/>
      <c r="Q132" s="22"/>
      <c r="R132" s="22"/>
      <c r="S132" s="23">
        <f t="shared" ref="S132:S195" si="21">K132+L132</f>
        <v>10008.217979434388</v>
      </c>
      <c r="T132" s="24">
        <f t="shared" ref="T132:T195" si="22">S132-1/3*(I132+L132)</f>
        <v>8955.9617031092603</v>
      </c>
    </row>
    <row r="133" spans="7:20">
      <c r="G133" s="5">
        <v>130</v>
      </c>
      <c r="H133" s="22">
        <f t="shared" si="16"/>
        <v>892266.45026077866</v>
      </c>
      <c r="I133" s="22">
        <f t="shared" si="17"/>
        <v>2622.4854915133969</v>
      </c>
      <c r="J133" s="22">
        <f t="shared" si="18"/>
        <v>6871.4325438145079</v>
      </c>
      <c r="K133" s="22">
        <f t="shared" si="19"/>
        <v>9493.9180353279044</v>
      </c>
      <c r="L133" s="22">
        <f t="shared" si="20"/>
        <v>510.41060480540744</v>
      </c>
      <c r="M133" s="22"/>
      <c r="N133" s="22"/>
      <c r="O133" s="22"/>
      <c r="P133" s="22"/>
      <c r="Q133" s="22"/>
      <c r="R133" s="22"/>
      <c r="S133" s="23">
        <f t="shared" si="21"/>
        <v>10004.328640133312</v>
      </c>
      <c r="T133" s="24">
        <f t="shared" si="22"/>
        <v>8960.0299413603771</v>
      </c>
    </row>
    <row r="134" spans="7:20">
      <c r="G134" s="5">
        <v>131</v>
      </c>
      <c r="H134" s="22">
        <f t="shared" si="16"/>
        <v>885374.97603871138</v>
      </c>
      <c r="I134" s="22">
        <f t="shared" si="17"/>
        <v>2602.4438132606047</v>
      </c>
      <c r="J134" s="22">
        <f t="shared" si="18"/>
        <v>6891.4742220672997</v>
      </c>
      <c r="K134" s="22">
        <f t="shared" si="19"/>
        <v>9493.9180353279044</v>
      </c>
      <c r="L134" s="22">
        <f t="shared" si="20"/>
        <v>506.50992159803542</v>
      </c>
      <c r="M134" s="22"/>
      <c r="N134" s="22"/>
      <c r="O134" s="22"/>
      <c r="P134" s="22"/>
      <c r="Q134" s="22"/>
      <c r="R134" s="22"/>
      <c r="S134" s="23">
        <f t="shared" si="21"/>
        <v>10000.42795692594</v>
      </c>
      <c r="T134" s="24">
        <f t="shared" si="22"/>
        <v>8964.1100453063937</v>
      </c>
    </row>
    <row r="135" spans="7:20">
      <c r="G135" s="5">
        <v>132</v>
      </c>
      <c r="H135" s="22">
        <f t="shared" si="16"/>
        <v>878463.40168349643</v>
      </c>
      <c r="I135" s="22">
        <f t="shared" si="17"/>
        <v>2582.3436801129083</v>
      </c>
      <c r="J135" s="22">
        <f t="shared" si="18"/>
        <v>6911.5743552149961</v>
      </c>
      <c r="K135" s="22">
        <f t="shared" si="19"/>
        <v>9493.9180353279044</v>
      </c>
      <c r="L135" s="22">
        <f t="shared" si="20"/>
        <v>502.59786139797524</v>
      </c>
      <c r="M135" s="22"/>
      <c r="N135" s="22"/>
      <c r="O135" s="22"/>
      <c r="P135" s="22"/>
      <c r="Q135" s="22"/>
      <c r="R135" s="22"/>
      <c r="S135" s="23">
        <f t="shared" si="21"/>
        <v>9996.5158967258794</v>
      </c>
      <c r="T135" s="24">
        <f t="shared" si="22"/>
        <v>8968.2020495555844</v>
      </c>
    </row>
    <row r="136" spans="7:20">
      <c r="G136" s="5">
        <v>133</v>
      </c>
      <c r="H136" s="22">
        <f t="shared" si="16"/>
        <v>871531.66856974538</v>
      </c>
      <c r="I136" s="22">
        <f t="shared" si="17"/>
        <v>2562.1849215768648</v>
      </c>
      <c r="J136" s="22">
        <f t="shared" si="18"/>
        <v>6931.7331137510391</v>
      </c>
      <c r="K136" s="22">
        <f t="shared" si="19"/>
        <v>9493.9180353279044</v>
      </c>
      <c r="L136" s="22">
        <f t="shared" si="20"/>
        <v>498.67439102233152</v>
      </c>
      <c r="M136" s="22"/>
      <c r="N136" s="22"/>
      <c r="O136" s="22"/>
      <c r="P136" s="22"/>
      <c r="Q136" s="22"/>
      <c r="R136" s="22"/>
      <c r="S136" s="23">
        <f t="shared" si="21"/>
        <v>9992.5924263502366</v>
      </c>
      <c r="T136" s="24">
        <f t="shared" si="22"/>
        <v>8972.3059888171701</v>
      </c>
    </row>
    <row r="137" spans="7:20">
      <c r="G137" s="5">
        <v>134</v>
      </c>
      <c r="H137" s="22">
        <f t="shared" si="16"/>
        <v>864579.71790107922</v>
      </c>
      <c r="I137" s="22">
        <f t="shared" si="17"/>
        <v>2541.9673666617573</v>
      </c>
      <c r="J137" s="22">
        <f t="shared" si="18"/>
        <v>6951.9506686661471</v>
      </c>
      <c r="K137" s="22">
        <f t="shared" si="19"/>
        <v>9493.9180353279044</v>
      </c>
      <c r="L137" s="22">
        <f t="shared" si="20"/>
        <v>494.73947719142552</v>
      </c>
      <c r="M137" s="22"/>
      <c r="N137" s="22"/>
      <c r="O137" s="22"/>
      <c r="P137" s="22"/>
      <c r="Q137" s="22"/>
      <c r="R137" s="22"/>
      <c r="S137" s="23">
        <f t="shared" si="21"/>
        <v>9988.6575125193303</v>
      </c>
      <c r="T137" s="24">
        <f t="shared" si="22"/>
        <v>8976.4218979016023</v>
      </c>
    </row>
    <row r="138" spans="7:20">
      <c r="G138" s="5">
        <v>135</v>
      </c>
      <c r="H138" s="22">
        <f t="shared" si="16"/>
        <v>857607.49070962949</v>
      </c>
      <c r="I138" s="22">
        <f t="shared" si="17"/>
        <v>2521.6908438781479</v>
      </c>
      <c r="J138" s="22">
        <f t="shared" si="18"/>
        <v>6972.227191449756</v>
      </c>
      <c r="K138" s="22">
        <f t="shared" si="19"/>
        <v>9493.9180353279044</v>
      </c>
      <c r="L138" s="22">
        <f t="shared" si="20"/>
        <v>490.79308652851267</v>
      </c>
      <c r="M138" s="22"/>
      <c r="N138" s="22"/>
      <c r="O138" s="22"/>
      <c r="P138" s="22"/>
      <c r="Q138" s="22"/>
      <c r="R138" s="22"/>
      <c r="S138" s="23">
        <f t="shared" si="21"/>
        <v>9984.7111218564169</v>
      </c>
      <c r="T138" s="24">
        <f t="shared" si="22"/>
        <v>8980.5498117208626</v>
      </c>
    </row>
    <row r="139" spans="7:20">
      <c r="G139" s="5">
        <v>136</v>
      </c>
      <c r="H139" s="22">
        <f t="shared" si="16"/>
        <v>850614.92785553797</v>
      </c>
      <c r="I139" s="22">
        <f t="shared" si="17"/>
        <v>2501.3551812364194</v>
      </c>
      <c r="J139" s="22">
        <f t="shared" si="18"/>
        <v>6992.562854091485</v>
      </c>
      <c r="K139" s="22">
        <f t="shared" si="19"/>
        <v>9493.9180353279044</v>
      </c>
      <c r="L139" s="22">
        <f t="shared" si="20"/>
        <v>486.83518555949973</v>
      </c>
      <c r="M139" s="22"/>
      <c r="N139" s="22"/>
      <c r="O139" s="22"/>
      <c r="P139" s="22"/>
      <c r="Q139" s="22"/>
      <c r="R139" s="22"/>
      <c r="S139" s="23">
        <f t="shared" si="21"/>
        <v>9980.7532208874036</v>
      </c>
      <c r="T139" s="24">
        <f t="shared" si="22"/>
        <v>8984.6897652887637</v>
      </c>
    </row>
    <row r="140" spans="7:20">
      <c r="G140" s="5">
        <v>137</v>
      </c>
      <c r="H140" s="22">
        <f t="shared" si="16"/>
        <v>843601.97002645535</v>
      </c>
      <c r="I140" s="22">
        <f t="shared" si="17"/>
        <v>2480.9602062453191</v>
      </c>
      <c r="J140" s="22">
        <f t="shared" si="18"/>
        <v>7012.9578290825848</v>
      </c>
      <c r="K140" s="22">
        <f t="shared" si="19"/>
        <v>9493.9180353279044</v>
      </c>
      <c r="L140" s="22">
        <f t="shared" si="20"/>
        <v>482.86574071266045</v>
      </c>
      <c r="M140" s="22"/>
      <c r="N140" s="22"/>
      <c r="O140" s="22"/>
      <c r="P140" s="22"/>
      <c r="Q140" s="22"/>
      <c r="R140" s="22"/>
      <c r="S140" s="23">
        <f t="shared" si="21"/>
        <v>9976.7837760405655</v>
      </c>
      <c r="T140" s="24">
        <f t="shared" si="22"/>
        <v>8988.8417937212398</v>
      </c>
    </row>
    <row r="141" spans="7:20">
      <c r="G141" s="5">
        <v>138</v>
      </c>
      <c r="H141" s="22">
        <f t="shared" si="16"/>
        <v>836568.55773703789</v>
      </c>
      <c r="I141" s="22">
        <f t="shared" si="17"/>
        <v>2460.5057459104951</v>
      </c>
      <c r="J141" s="22">
        <f t="shared" si="18"/>
        <v>7033.4122894174088</v>
      </c>
      <c r="K141" s="22">
        <f t="shared" si="19"/>
        <v>9493.9180353279044</v>
      </c>
      <c r="L141" s="22">
        <f t="shared" si="20"/>
        <v>478.88471831835119</v>
      </c>
      <c r="M141" s="22"/>
      <c r="N141" s="22"/>
      <c r="O141" s="22"/>
      <c r="P141" s="22"/>
      <c r="Q141" s="22"/>
      <c r="R141" s="22"/>
      <c r="S141" s="23">
        <f t="shared" si="21"/>
        <v>9972.802753646256</v>
      </c>
      <c r="T141" s="24">
        <f t="shared" si="22"/>
        <v>8993.0059322366396</v>
      </c>
    </row>
    <row r="142" spans="7:20">
      <c r="G142" s="5">
        <v>139</v>
      </c>
      <c r="H142" s="22">
        <f t="shared" si="16"/>
        <v>829514.63132844307</v>
      </c>
      <c r="I142" s="22">
        <f t="shared" si="17"/>
        <v>2439.9916267330273</v>
      </c>
      <c r="J142" s="22">
        <f t="shared" si="18"/>
        <v>7053.9264085948771</v>
      </c>
      <c r="K142" s="22">
        <f t="shared" si="19"/>
        <v>9493.9180353279044</v>
      </c>
      <c r="L142" s="22">
        <f t="shared" si="20"/>
        <v>474.89208460872521</v>
      </c>
      <c r="M142" s="22"/>
      <c r="N142" s="22"/>
      <c r="O142" s="22"/>
      <c r="P142" s="22"/>
      <c r="Q142" s="22"/>
      <c r="R142" s="22"/>
      <c r="S142" s="23">
        <f t="shared" si="21"/>
        <v>9968.8101199366301</v>
      </c>
      <c r="T142" s="24">
        <f t="shared" si="22"/>
        <v>8997.1822161560467</v>
      </c>
    </row>
    <row r="143" spans="7:20">
      <c r="G143" s="5">
        <v>140</v>
      </c>
      <c r="H143" s="22">
        <f t="shared" si="16"/>
        <v>822440.13096782309</v>
      </c>
      <c r="I143" s="22">
        <f t="shared" si="17"/>
        <v>2419.4176747079591</v>
      </c>
      <c r="J143" s="22">
        <f t="shared" si="18"/>
        <v>7074.5003606199452</v>
      </c>
      <c r="K143" s="22">
        <f t="shared" si="19"/>
        <v>9493.9180353279044</v>
      </c>
      <c r="L143" s="22">
        <f t="shared" si="20"/>
        <v>470.88780571744621</v>
      </c>
      <c r="M143" s="22"/>
      <c r="N143" s="22"/>
      <c r="O143" s="22"/>
      <c r="P143" s="22"/>
      <c r="Q143" s="22"/>
      <c r="R143" s="22"/>
      <c r="S143" s="23">
        <f t="shared" si="21"/>
        <v>9964.8058410453505</v>
      </c>
      <c r="T143" s="24">
        <f t="shared" si="22"/>
        <v>9001.3706809035484</v>
      </c>
    </row>
    <row r="144" spans="7:20">
      <c r="G144" s="5">
        <v>141</v>
      </c>
      <c r="H144" s="22">
        <f t="shared" si="16"/>
        <v>815344.99664781801</v>
      </c>
      <c r="I144" s="22">
        <f t="shared" si="17"/>
        <v>2398.7837153228174</v>
      </c>
      <c r="J144" s="22">
        <f t="shared" si="18"/>
        <v>7095.1343200050869</v>
      </c>
      <c r="K144" s="22">
        <f t="shared" si="19"/>
        <v>9493.9180353279044</v>
      </c>
      <c r="L144" s="22">
        <f t="shared" si="20"/>
        <v>466.87184767940096</v>
      </c>
      <c r="M144" s="22"/>
      <c r="N144" s="22"/>
      <c r="O144" s="22"/>
      <c r="P144" s="22"/>
      <c r="Q144" s="22"/>
      <c r="R144" s="22"/>
      <c r="S144" s="23">
        <f t="shared" si="21"/>
        <v>9960.7898830073045</v>
      </c>
      <c r="T144" s="24">
        <f t="shared" si="22"/>
        <v>9005.5713620065653</v>
      </c>
    </row>
    <row r="145" spans="7:20">
      <c r="G145" s="5">
        <v>142</v>
      </c>
      <c r="H145" s="22">
        <f t="shared" si="16"/>
        <v>808229.1681860463</v>
      </c>
      <c r="I145" s="22">
        <f t="shared" si="17"/>
        <v>2378.0895735561362</v>
      </c>
      <c r="J145" s="22">
        <f t="shared" si="18"/>
        <v>7115.8284617717682</v>
      </c>
      <c r="K145" s="22">
        <f t="shared" si="19"/>
        <v>9493.9180353279044</v>
      </c>
      <c r="L145" s="22">
        <f t="shared" si="20"/>
        <v>462.84417643041144</v>
      </c>
      <c r="M145" s="22"/>
      <c r="N145" s="22"/>
      <c r="O145" s="22"/>
      <c r="P145" s="22"/>
      <c r="Q145" s="22"/>
      <c r="R145" s="22"/>
      <c r="S145" s="23">
        <f t="shared" si="21"/>
        <v>9956.762211758316</v>
      </c>
      <c r="T145" s="24">
        <f t="shared" si="22"/>
        <v>9009.7842950961331</v>
      </c>
    </row>
    <row r="146" spans="7:20">
      <c r="G146" s="5">
        <v>143</v>
      </c>
      <c r="H146" s="22">
        <f t="shared" si="16"/>
        <v>801092.58522459434</v>
      </c>
      <c r="I146" s="22">
        <f t="shared" si="17"/>
        <v>2357.3350738759686</v>
      </c>
      <c r="J146" s="22">
        <f t="shared" si="18"/>
        <v>7136.5829614519353</v>
      </c>
      <c r="K146" s="22">
        <f t="shared" si="19"/>
        <v>9493.9180353279044</v>
      </c>
      <c r="L146" s="22">
        <f t="shared" si="20"/>
        <v>458.80475780694564</v>
      </c>
      <c r="M146" s="22"/>
      <c r="N146" s="22"/>
      <c r="O146" s="22"/>
      <c r="P146" s="22"/>
      <c r="Q146" s="22"/>
      <c r="R146" s="22"/>
      <c r="S146" s="23">
        <f t="shared" si="21"/>
        <v>9952.7227931348498</v>
      </c>
      <c r="T146" s="24">
        <f t="shared" si="22"/>
        <v>9014.0095159072116</v>
      </c>
    </row>
    <row r="147" spans="7:20">
      <c r="G147" s="5">
        <v>144</v>
      </c>
      <c r="H147" s="22">
        <f t="shared" si="16"/>
        <v>793935.18722950481</v>
      </c>
      <c r="I147" s="22">
        <f t="shared" si="17"/>
        <v>2336.5200402384003</v>
      </c>
      <c r="J147" s="22">
        <f t="shared" si="18"/>
        <v>7157.3979950895045</v>
      </c>
      <c r="K147" s="22">
        <f t="shared" si="19"/>
        <v>9493.9180353279044</v>
      </c>
      <c r="L147" s="22">
        <f t="shared" si="20"/>
        <v>454.75355754582813</v>
      </c>
      <c r="M147" s="22"/>
      <c r="N147" s="22"/>
      <c r="O147" s="22"/>
      <c r="P147" s="22"/>
      <c r="Q147" s="22"/>
      <c r="R147" s="22"/>
      <c r="S147" s="23">
        <f t="shared" si="21"/>
        <v>9948.6715928737322</v>
      </c>
      <c r="T147" s="24">
        <f t="shared" si="22"/>
        <v>9018.247060278989</v>
      </c>
    </row>
    <row r="148" spans="7:20">
      <c r="G148" s="5">
        <v>145</v>
      </c>
      <c r="H148" s="22">
        <f t="shared" si="16"/>
        <v>786756.91349026293</v>
      </c>
      <c r="I148" s="22">
        <f t="shared" si="17"/>
        <v>2315.6442960860559</v>
      </c>
      <c r="J148" s="22">
        <f t="shared" si="18"/>
        <v>7178.2737392418485</v>
      </c>
      <c r="K148" s="22">
        <f t="shared" si="19"/>
        <v>9493.9180353279044</v>
      </c>
      <c r="L148" s="22">
        <f t="shared" si="20"/>
        <v>450.69054128394896</v>
      </c>
      <c r="M148" s="22"/>
      <c r="N148" s="22"/>
      <c r="O148" s="22"/>
      <c r="P148" s="22"/>
      <c r="Q148" s="22"/>
      <c r="R148" s="22"/>
      <c r="S148" s="23">
        <f t="shared" si="21"/>
        <v>9944.608576611854</v>
      </c>
      <c r="T148" s="24">
        <f t="shared" si="22"/>
        <v>9022.4969641551852</v>
      </c>
    </row>
    <row r="149" spans="7:20">
      <c r="G149" s="5">
        <v>146</v>
      </c>
      <c r="H149" s="22">
        <f t="shared" si="16"/>
        <v>779557.70311928168</v>
      </c>
      <c r="I149" s="22">
        <f t="shared" si="17"/>
        <v>2294.7076643466003</v>
      </c>
      <c r="J149" s="22">
        <f t="shared" si="18"/>
        <v>7199.2103709813036</v>
      </c>
      <c r="K149" s="22">
        <f t="shared" si="19"/>
        <v>9493.9180353279044</v>
      </c>
      <c r="L149" s="22">
        <f t="shared" si="20"/>
        <v>446.61567455797262</v>
      </c>
      <c r="M149" s="22"/>
      <c r="N149" s="22"/>
      <c r="O149" s="22"/>
      <c r="P149" s="22"/>
      <c r="Q149" s="22"/>
      <c r="R149" s="22"/>
      <c r="S149" s="23">
        <f t="shared" si="21"/>
        <v>9940.5337098858763</v>
      </c>
      <c r="T149" s="24">
        <f t="shared" si="22"/>
        <v>9026.7592635843521</v>
      </c>
    </row>
    <row r="150" spans="7:20">
      <c r="G150" s="5">
        <v>147</v>
      </c>
      <c r="H150" s="22">
        <f t="shared" si="16"/>
        <v>772337.49505138502</v>
      </c>
      <c r="I150" s="22">
        <f t="shared" si="17"/>
        <v>2273.7099674312385</v>
      </c>
      <c r="J150" s="22">
        <f t="shared" si="18"/>
        <v>7220.2080678966659</v>
      </c>
      <c r="K150" s="22">
        <f t="shared" si="19"/>
        <v>9493.9180353279044</v>
      </c>
      <c r="L150" s="22">
        <f t="shared" si="20"/>
        <v>442.52892280404564</v>
      </c>
      <c r="M150" s="22"/>
      <c r="N150" s="22"/>
      <c r="O150" s="22"/>
      <c r="P150" s="22"/>
      <c r="Q150" s="22"/>
      <c r="R150" s="22"/>
      <c r="S150" s="23">
        <f t="shared" si="21"/>
        <v>9936.4469581319499</v>
      </c>
      <c r="T150" s="24">
        <f t="shared" si="22"/>
        <v>9031.0339947201883</v>
      </c>
    </row>
    <row r="151" spans="7:20">
      <c r="G151" s="5">
        <v>148</v>
      </c>
      <c r="H151" s="22">
        <f t="shared" si="16"/>
        <v>765096.22804329032</v>
      </c>
      <c r="I151" s="22">
        <f t="shared" si="17"/>
        <v>2252.6510272332066</v>
      </c>
      <c r="J151" s="22">
        <f t="shared" si="18"/>
        <v>7241.2670080946973</v>
      </c>
      <c r="K151" s="22">
        <f t="shared" si="19"/>
        <v>9493.9180353279044</v>
      </c>
      <c r="L151" s="22">
        <f t="shared" si="20"/>
        <v>438.43025135750293</v>
      </c>
      <c r="M151" s="22"/>
      <c r="N151" s="22"/>
      <c r="O151" s="22"/>
      <c r="P151" s="22"/>
      <c r="Q151" s="22"/>
      <c r="R151" s="22"/>
      <c r="S151" s="23">
        <f t="shared" si="21"/>
        <v>9932.3482866854065</v>
      </c>
      <c r="T151" s="24">
        <f t="shared" si="22"/>
        <v>9035.3211938218374</v>
      </c>
    </row>
    <row r="152" spans="7:20">
      <c r="G152" s="5">
        <v>149</v>
      </c>
      <c r="H152" s="22">
        <f t="shared" si="16"/>
        <v>757833.84067308868</v>
      </c>
      <c r="I152" s="22">
        <f t="shared" si="17"/>
        <v>2231.5306651262636</v>
      </c>
      <c r="J152" s="22">
        <f t="shared" si="18"/>
        <v>7262.3873702016408</v>
      </c>
      <c r="K152" s="22">
        <f t="shared" si="19"/>
        <v>9493.9180353279044</v>
      </c>
      <c r="L152" s="22">
        <f t="shared" si="20"/>
        <v>434.31962545257454</v>
      </c>
      <c r="M152" s="22"/>
      <c r="N152" s="22"/>
      <c r="O152" s="22"/>
      <c r="P152" s="22"/>
      <c r="Q152" s="22"/>
      <c r="R152" s="22"/>
      <c r="S152" s="23">
        <f t="shared" si="21"/>
        <v>9928.2376607804781</v>
      </c>
      <c r="T152" s="24">
        <f t="shared" si="22"/>
        <v>9039.620897254199</v>
      </c>
    </row>
    <row r="153" spans="7:20">
      <c r="G153" s="5">
        <v>150</v>
      </c>
      <c r="H153" s="22">
        <f t="shared" si="16"/>
        <v>750550.27133972396</v>
      </c>
      <c r="I153" s="22">
        <f t="shared" si="17"/>
        <v>2210.3487019631752</v>
      </c>
      <c r="J153" s="22">
        <f t="shared" si="18"/>
        <v>7283.5693333647287</v>
      </c>
      <c r="K153" s="22">
        <f t="shared" si="19"/>
        <v>9493.9180353279044</v>
      </c>
      <c r="L153" s="22">
        <f t="shared" si="20"/>
        <v>430.19701022209006</v>
      </c>
      <c r="M153" s="22"/>
      <c r="N153" s="22"/>
      <c r="O153" s="22"/>
      <c r="P153" s="22"/>
      <c r="Q153" s="22"/>
      <c r="R153" s="22"/>
      <c r="S153" s="23">
        <f t="shared" si="21"/>
        <v>9924.1150455499937</v>
      </c>
      <c r="T153" s="24">
        <f t="shared" si="22"/>
        <v>9043.9331414882381</v>
      </c>
    </row>
    <row r="154" spans="7:20">
      <c r="G154" s="5">
        <v>151</v>
      </c>
      <c r="H154" s="22">
        <f t="shared" si="16"/>
        <v>743245.4582624702</v>
      </c>
      <c r="I154" s="22">
        <f t="shared" si="17"/>
        <v>2189.1049580741951</v>
      </c>
      <c r="J154" s="22">
        <f t="shared" si="18"/>
        <v>7304.8130772537097</v>
      </c>
      <c r="K154" s="22">
        <f t="shared" si="19"/>
        <v>9493.9180353279044</v>
      </c>
      <c r="L154" s="22">
        <f t="shared" si="20"/>
        <v>426.06237069718333</v>
      </c>
      <c r="M154" s="22"/>
      <c r="N154" s="22"/>
      <c r="O154" s="22"/>
      <c r="P154" s="22"/>
      <c r="Q154" s="22"/>
      <c r="R154" s="22"/>
      <c r="S154" s="23">
        <f t="shared" si="21"/>
        <v>9919.9804060250881</v>
      </c>
      <c r="T154" s="24">
        <f t="shared" si="22"/>
        <v>9048.2579631012959</v>
      </c>
    </row>
    <row r="155" spans="7:20">
      <c r="G155" s="5">
        <v>152</v>
      </c>
      <c r="H155" s="22">
        <f t="shared" si="16"/>
        <v>735919.33948040789</v>
      </c>
      <c r="I155" s="22">
        <f t="shared" si="17"/>
        <v>2167.799253265538</v>
      </c>
      <c r="J155" s="22">
        <f t="shared" si="18"/>
        <v>7326.1187820623663</v>
      </c>
      <c r="K155" s="22">
        <f t="shared" si="19"/>
        <v>9493.9180353279044</v>
      </c>
      <c r="L155" s="22">
        <f t="shared" si="20"/>
        <v>421.91567180699565</v>
      </c>
      <c r="M155" s="22"/>
      <c r="N155" s="22"/>
      <c r="O155" s="22"/>
      <c r="P155" s="22"/>
      <c r="Q155" s="22"/>
      <c r="R155" s="22"/>
      <c r="S155" s="23">
        <f t="shared" si="21"/>
        <v>9915.8337071348997</v>
      </c>
      <c r="T155" s="24">
        <f t="shared" si="22"/>
        <v>9052.5953987773883</v>
      </c>
    </row>
    <row r="156" spans="7:20">
      <c r="G156" s="5">
        <v>153</v>
      </c>
      <c r="H156" s="22">
        <f t="shared" si="16"/>
        <v>728571.85285189783</v>
      </c>
      <c r="I156" s="22">
        <f t="shared" si="17"/>
        <v>2146.4314068178564</v>
      </c>
      <c r="J156" s="22">
        <f t="shared" si="18"/>
        <v>7347.4866285100479</v>
      </c>
      <c r="K156" s="22">
        <f t="shared" si="19"/>
        <v>9493.9180353279044</v>
      </c>
      <c r="L156" s="22">
        <f t="shared" si="20"/>
        <v>417.75687837837825</v>
      </c>
      <c r="M156" s="22"/>
      <c r="N156" s="22"/>
      <c r="O156" s="22"/>
      <c r="P156" s="22"/>
      <c r="Q156" s="22"/>
      <c r="R156" s="22"/>
      <c r="S156" s="23">
        <f t="shared" si="21"/>
        <v>9911.6749137062834</v>
      </c>
      <c r="T156" s="24">
        <f t="shared" si="22"/>
        <v>9056.9454853075385</v>
      </c>
    </row>
    <row r="157" spans="7:20">
      <c r="G157" s="5">
        <v>154</v>
      </c>
      <c r="H157" s="22">
        <f t="shared" si="16"/>
        <v>721202.93605405465</v>
      </c>
      <c r="I157" s="22">
        <f t="shared" si="17"/>
        <v>2125.001237484702</v>
      </c>
      <c r="J157" s="22">
        <f t="shared" si="18"/>
        <v>7368.9167978432024</v>
      </c>
      <c r="K157" s="22">
        <f t="shared" si="19"/>
        <v>9493.9180353279044</v>
      </c>
      <c r="L157" s="22">
        <f t="shared" si="20"/>
        <v>413.58595513559402</v>
      </c>
      <c r="M157" s="22"/>
      <c r="N157" s="22"/>
      <c r="O157" s="22"/>
      <c r="P157" s="22"/>
      <c r="Q157" s="22"/>
      <c r="R157" s="22"/>
      <c r="S157" s="23">
        <f t="shared" si="21"/>
        <v>9907.5039904634978</v>
      </c>
      <c r="T157" s="24">
        <f t="shared" si="22"/>
        <v>9061.3082595900651</v>
      </c>
    </row>
    <row r="158" spans="7:20">
      <c r="G158" s="5">
        <v>155</v>
      </c>
      <c r="H158" s="22">
        <f t="shared" si="16"/>
        <v>713812.52658221778</v>
      </c>
      <c r="I158" s="22">
        <f t="shared" si="17"/>
        <v>2103.5085634909929</v>
      </c>
      <c r="J158" s="22">
        <f t="shared" si="18"/>
        <v>7390.4094718369115</v>
      </c>
      <c r="K158" s="22">
        <f t="shared" si="19"/>
        <v>9493.9180353279044</v>
      </c>
      <c r="L158" s="22">
        <f t="shared" si="20"/>
        <v>409.40286670001842</v>
      </c>
      <c r="M158" s="22"/>
      <c r="N158" s="22"/>
      <c r="O158" s="22"/>
      <c r="P158" s="22"/>
      <c r="Q158" s="22"/>
      <c r="R158" s="22"/>
      <c r="S158" s="23">
        <f t="shared" si="21"/>
        <v>9903.3209020279228</v>
      </c>
      <c r="T158" s="24">
        <f t="shared" si="22"/>
        <v>9065.6837586309193</v>
      </c>
    </row>
    <row r="159" spans="7:20">
      <c r="G159" s="5">
        <v>156</v>
      </c>
      <c r="H159" s="22">
        <f t="shared" si="16"/>
        <v>706400.56174942129</v>
      </c>
      <c r="I159" s="22">
        <f t="shared" si="17"/>
        <v>2081.9532025314688</v>
      </c>
      <c r="J159" s="22">
        <f t="shared" si="18"/>
        <v>7411.9648327964351</v>
      </c>
      <c r="K159" s="22">
        <f t="shared" si="19"/>
        <v>9493.9180353279044</v>
      </c>
      <c r="L159" s="22">
        <f t="shared" si="20"/>
        <v>405.20757758983899</v>
      </c>
      <c r="M159" s="22"/>
      <c r="N159" s="22"/>
      <c r="O159" s="22"/>
      <c r="P159" s="22"/>
      <c r="Q159" s="22"/>
      <c r="R159" s="22"/>
      <c r="S159" s="23">
        <f t="shared" si="21"/>
        <v>9899.1256129177436</v>
      </c>
      <c r="T159" s="24">
        <f t="shared" si="22"/>
        <v>9070.0720195439753</v>
      </c>
    </row>
    <row r="160" spans="7:20">
      <c r="G160" s="5">
        <v>157</v>
      </c>
      <c r="H160" s="22">
        <f t="shared" si="16"/>
        <v>698966.9786858625</v>
      </c>
      <c r="I160" s="22">
        <f t="shared" si="17"/>
        <v>2060.3349717691453</v>
      </c>
      <c r="J160" s="22">
        <f t="shared" si="18"/>
        <v>7433.583063558759</v>
      </c>
      <c r="K160" s="22">
        <f t="shared" si="19"/>
        <v>9493.9180353279044</v>
      </c>
      <c r="L160" s="22">
        <f t="shared" si="20"/>
        <v>401.00005221975488</v>
      </c>
      <c r="M160" s="22"/>
      <c r="N160" s="22"/>
      <c r="O160" s="22"/>
      <c r="P160" s="22"/>
      <c r="Q160" s="22"/>
      <c r="R160" s="22"/>
      <c r="S160" s="23">
        <f t="shared" si="21"/>
        <v>9894.9180875476595</v>
      </c>
      <c r="T160" s="24">
        <f t="shared" si="22"/>
        <v>9074.4730795513588</v>
      </c>
    </row>
    <row r="161" spans="7:20">
      <c r="G161" s="5">
        <v>158</v>
      </c>
      <c r="H161" s="22">
        <f t="shared" si="16"/>
        <v>691511.71433836839</v>
      </c>
      <c r="I161" s="22">
        <f t="shared" si="17"/>
        <v>2038.6536878337656</v>
      </c>
      <c r="J161" s="22">
        <f t="shared" si="18"/>
        <v>7455.2643474941387</v>
      </c>
      <c r="K161" s="22">
        <f t="shared" si="19"/>
        <v>9493.9180353279044</v>
      </c>
      <c r="L161" s="22">
        <f t="shared" si="20"/>
        <v>396.78025490067466</v>
      </c>
      <c r="M161" s="22"/>
      <c r="N161" s="22"/>
      <c r="O161" s="22"/>
      <c r="P161" s="22"/>
      <c r="Q161" s="22"/>
      <c r="R161" s="22"/>
      <c r="S161" s="23">
        <f t="shared" si="21"/>
        <v>9890.6982902285781</v>
      </c>
      <c r="T161" s="24">
        <f t="shared" si="22"/>
        <v>9078.8869759837653</v>
      </c>
    </row>
    <row r="162" spans="7:20">
      <c r="G162" s="5">
        <v>159</v>
      </c>
      <c r="H162" s="22">
        <f t="shared" si="16"/>
        <v>684034.7054698607</v>
      </c>
      <c r="I162" s="22">
        <f t="shared" si="17"/>
        <v>2016.9091668202411</v>
      </c>
      <c r="J162" s="22">
        <f t="shared" si="18"/>
        <v>7477.0088685076635</v>
      </c>
      <c r="K162" s="22">
        <f t="shared" si="19"/>
        <v>9493.9180353279044</v>
      </c>
      <c r="L162" s="22">
        <f t="shared" si="20"/>
        <v>392.54814983941384</v>
      </c>
      <c r="M162" s="22"/>
      <c r="N162" s="22"/>
      <c r="O162" s="22"/>
      <c r="P162" s="22"/>
      <c r="Q162" s="22"/>
      <c r="R162" s="22"/>
      <c r="S162" s="23">
        <f t="shared" si="21"/>
        <v>9886.4661851673191</v>
      </c>
      <c r="T162" s="24">
        <f t="shared" si="22"/>
        <v>9083.3137462807681</v>
      </c>
    </row>
    <row r="163" spans="7:20">
      <c r="G163" s="5">
        <v>160</v>
      </c>
      <c r="H163" s="22">
        <f t="shared" si="16"/>
        <v>676535.88865881984</v>
      </c>
      <c r="I163" s="22">
        <f t="shared" si="17"/>
        <v>1995.1012242870938</v>
      </c>
      <c r="J163" s="22">
        <f t="shared" si="18"/>
        <v>7498.8168110408105</v>
      </c>
      <c r="K163" s="22">
        <f t="shared" si="19"/>
        <v>9493.9180353279044</v>
      </c>
      <c r="L163" s="22">
        <f t="shared" si="20"/>
        <v>388.30370113839098</v>
      </c>
      <c r="M163" s="22"/>
      <c r="N163" s="22"/>
      <c r="O163" s="22"/>
      <c r="P163" s="22"/>
      <c r="Q163" s="22"/>
      <c r="R163" s="22"/>
      <c r="S163" s="23">
        <f t="shared" si="21"/>
        <v>9882.2217364662956</v>
      </c>
      <c r="T163" s="24">
        <f t="shared" si="22"/>
        <v>9087.7534279911342</v>
      </c>
    </row>
    <row r="164" spans="7:20">
      <c r="G164" s="5">
        <v>161</v>
      </c>
      <c r="H164" s="22">
        <f t="shared" si="16"/>
        <v>669015.20029874681</v>
      </c>
      <c r="I164" s="22">
        <f t="shared" si="17"/>
        <v>1973.2296752548914</v>
      </c>
      <c r="J164" s="22">
        <f t="shared" si="18"/>
        <v>7520.6883600730125</v>
      </c>
      <c r="K164" s="22">
        <f t="shared" si="19"/>
        <v>9493.9180353279044</v>
      </c>
      <c r="L164" s="22">
        <f t="shared" si="20"/>
        <v>384.04687279532345</v>
      </c>
      <c r="M164" s="22"/>
      <c r="N164" s="22"/>
      <c r="O164" s="22"/>
      <c r="P164" s="22"/>
      <c r="Q164" s="22"/>
      <c r="R164" s="22"/>
      <c r="S164" s="23">
        <f t="shared" si="21"/>
        <v>9877.9649081232274</v>
      </c>
      <c r="T164" s="24">
        <f t="shared" si="22"/>
        <v>9092.2060587731557</v>
      </c>
    </row>
    <row r="165" spans="7:20">
      <c r="G165" s="5">
        <v>162</v>
      </c>
      <c r="H165" s="22">
        <f t="shared" si="16"/>
        <v>661472.57659762364</v>
      </c>
      <c r="I165" s="22">
        <f t="shared" si="17"/>
        <v>1951.2943342046783</v>
      </c>
      <c r="J165" s="22">
        <f t="shared" si="18"/>
        <v>7542.6237011232261</v>
      </c>
      <c r="K165" s="22">
        <f t="shared" si="19"/>
        <v>9493.9180353279044</v>
      </c>
      <c r="L165" s="22">
        <f t="shared" si="20"/>
        <v>379.77762870292196</v>
      </c>
      <c r="M165" s="22"/>
      <c r="N165" s="22"/>
      <c r="O165" s="22"/>
      <c r="P165" s="22"/>
      <c r="Q165" s="22"/>
      <c r="R165" s="22"/>
      <c r="S165" s="23">
        <f t="shared" si="21"/>
        <v>9873.6956640308272</v>
      </c>
      <c r="T165" s="24">
        <f t="shared" si="22"/>
        <v>9096.6716763949607</v>
      </c>
    </row>
    <row r="166" spans="7:20">
      <c r="G166" s="5">
        <v>163</v>
      </c>
      <c r="H166" s="22">
        <f t="shared" si="16"/>
        <v>653907.95357737213</v>
      </c>
      <c r="I166" s="22">
        <f t="shared" si="17"/>
        <v>1929.2950150764025</v>
      </c>
      <c r="J166" s="22">
        <f t="shared" si="18"/>
        <v>7564.6230202515017</v>
      </c>
      <c r="K166" s="22">
        <f t="shared" si="19"/>
        <v>9493.9180353279044</v>
      </c>
      <c r="L166" s="22">
        <f t="shared" si="20"/>
        <v>375.49593264858441</v>
      </c>
      <c r="M166" s="22"/>
      <c r="N166" s="22"/>
      <c r="O166" s="22"/>
      <c r="P166" s="22"/>
      <c r="Q166" s="22"/>
      <c r="R166" s="22"/>
      <c r="S166" s="23">
        <f t="shared" si="21"/>
        <v>9869.4139679764885</v>
      </c>
      <c r="T166" s="24">
        <f t="shared" si="22"/>
        <v>9101.1503187348262</v>
      </c>
    </row>
    <row r="167" spans="7:20">
      <c r="G167" s="5">
        <v>164</v>
      </c>
      <c r="H167" s="22">
        <f t="shared" si="16"/>
        <v>646321.26707331161</v>
      </c>
      <c r="I167" s="22">
        <f t="shared" si="17"/>
        <v>1907.2315312673354</v>
      </c>
      <c r="J167" s="22">
        <f t="shared" si="18"/>
        <v>7586.686504060569</v>
      </c>
      <c r="K167" s="22">
        <f t="shared" si="19"/>
        <v>9493.9180353279044</v>
      </c>
      <c r="L167" s="22">
        <f t="shared" si="20"/>
        <v>371.20174831408826</v>
      </c>
      <c r="M167" s="22"/>
      <c r="N167" s="22"/>
      <c r="O167" s="22"/>
      <c r="P167" s="22"/>
      <c r="Q167" s="22"/>
      <c r="R167" s="22"/>
      <c r="S167" s="23">
        <f t="shared" si="21"/>
        <v>9865.1197836419924</v>
      </c>
      <c r="T167" s="24">
        <f t="shared" si="22"/>
        <v>9105.6420237815182</v>
      </c>
    </row>
    <row r="168" spans="7:20">
      <c r="G168" s="5">
        <v>165</v>
      </c>
      <c r="H168" s="22">
        <f t="shared" si="16"/>
        <v>638712.45273361425</v>
      </c>
      <c r="I168" s="22">
        <f t="shared" si="17"/>
        <v>1885.1036956304922</v>
      </c>
      <c r="J168" s="22">
        <f t="shared" si="18"/>
        <v>7608.8143396974119</v>
      </c>
      <c r="K168" s="22">
        <f t="shared" si="19"/>
        <v>9493.9180353279044</v>
      </c>
      <c r="L168" s="22">
        <f t="shared" si="20"/>
        <v>366.89503927528324</v>
      </c>
      <c r="M168" s="22"/>
      <c r="N168" s="22"/>
      <c r="O168" s="22"/>
      <c r="P168" s="22"/>
      <c r="Q168" s="22"/>
      <c r="R168" s="22"/>
      <c r="S168" s="23">
        <f t="shared" si="21"/>
        <v>9860.8130746031875</v>
      </c>
      <c r="T168" s="24">
        <f t="shared" si="22"/>
        <v>9110.1468296345956</v>
      </c>
    </row>
    <row r="169" spans="7:20">
      <c r="G169" s="5">
        <v>166</v>
      </c>
      <c r="H169" s="22">
        <f t="shared" si="16"/>
        <v>631081.44601875939</v>
      </c>
      <c r="I169" s="22">
        <f t="shared" si="17"/>
        <v>1862.9113204730415</v>
      </c>
      <c r="J169" s="22">
        <f t="shared" si="18"/>
        <v>7631.0067148548624</v>
      </c>
      <c r="K169" s="22">
        <f t="shared" si="19"/>
        <v>9493.9180353279044</v>
      </c>
      <c r="L169" s="22">
        <f t="shared" si="20"/>
        <v>362.57576900178174</v>
      </c>
      <c r="M169" s="22"/>
      <c r="N169" s="22"/>
      <c r="O169" s="22"/>
      <c r="P169" s="22"/>
      <c r="Q169" s="22"/>
      <c r="R169" s="22"/>
      <c r="S169" s="23">
        <f t="shared" si="21"/>
        <v>9856.4938043296861</v>
      </c>
      <c r="T169" s="24">
        <f t="shared" si="22"/>
        <v>9114.6647745047449</v>
      </c>
    </row>
    <row r="170" spans="7:20">
      <c r="G170" s="5">
        <v>167</v>
      </c>
      <c r="H170" s="22">
        <f t="shared" si="16"/>
        <v>623428.18220098619</v>
      </c>
      <c r="I170" s="22">
        <f t="shared" si="17"/>
        <v>1840.6542175547149</v>
      </c>
      <c r="J170" s="22">
        <f t="shared" si="18"/>
        <v>7653.2638177731897</v>
      </c>
      <c r="K170" s="22">
        <f t="shared" si="19"/>
        <v>9493.9180353279044</v>
      </c>
      <c r="L170" s="22">
        <f t="shared" si="20"/>
        <v>358.24390085664913</v>
      </c>
      <c r="M170" s="22"/>
      <c r="N170" s="22"/>
      <c r="O170" s="22"/>
      <c r="P170" s="22"/>
      <c r="Q170" s="22"/>
      <c r="R170" s="22"/>
      <c r="S170" s="23">
        <f t="shared" si="21"/>
        <v>9852.1619361845533</v>
      </c>
      <c r="T170" s="24">
        <f t="shared" si="22"/>
        <v>9119.1958967140981</v>
      </c>
    </row>
    <row r="171" spans="7:20">
      <c r="G171" s="5">
        <v>168</v>
      </c>
      <c r="H171" s="22">
        <f t="shared" si="16"/>
        <v>615752.59636374447</v>
      </c>
      <c r="I171" s="22">
        <f t="shared" si="17"/>
        <v>1818.3321980862097</v>
      </c>
      <c r="J171" s="22">
        <f t="shared" si="18"/>
        <v>7675.5858372416951</v>
      </c>
      <c r="K171" s="22">
        <f t="shared" si="19"/>
        <v>9493.9180353279044</v>
      </c>
      <c r="L171" s="22">
        <f t="shared" si="20"/>
        <v>353.89939809609319</v>
      </c>
      <c r="M171" s="22"/>
      <c r="N171" s="22"/>
      <c r="O171" s="22"/>
      <c r="P171" s="22"/>
      <c r="Q171" s="22"/>
      <c r="R171" s="22"/>
      <c r="S171" s="23">
        <f t="shared" si="21"/>
        <v>9847.8174334239975</v>
      </c>
      <c r="T171" s="24">
        <f t="shared" si="22"/>
        <v>9123.7402346965628</v>
      </c>
    </row>
    <row r="172" spans="7:20">
      <c r="G172" s="5">
        <v>169</v>
      </c>
      <c r="H172" s="22">
        <f t="shared" si="16"/>
        <v>608054.62340114417</v>
      </c>
      <c r="I172" s="22">
        <f t="shared" si="17"/>
        <v>1795.945072727588</v>
      </c>
      <c r="J172" s="22">
        <f t="shared" si="18"/>
        <v>7697.9729626003164</v>
      </c>
      <c r="K172" s="22">
        <f t="shared" si="19"/>
        <v>9493.9180353279044</v>
      </c>
      <c r="L172" s="22">
        <f t="shared" si="20"/>
        <v>349.54222386915234</v>
      </c>
      <c r="M172" s="22"/>
      <c r="N172" s="22"/>
      <c r="O172" s="22"/>
      <c r="P172" s="22"/>
      <c r="Q172" s="22"/>
      <c r="R172" s="22"/>
      <c r="S172" s="23">
        <f t="shared" si="21"/>
        <v>9843.4602591970561</v>
      </c>
      <c r="T172" s="24">
        <f t="shared" si="22"/>
        <v>9128.2978269981431</v>
      </c>
    </row>
    <row r="173" spans="7:20">
      <c r="G173" s="5">
        <v>170</v>
      </c>
      <c r="H173" s="22">
        <f t="shared" si="16"/>
        <v>600334.1980174029</v>
      </c>
      <c r="I173" s="22">
        <f t="shared" si="17"/>
        <v>1773.4926515866705</v>
      </c>
      <c r="J173" s="22">
        <f t="shared" si="18"/>
        <v>7720.4253837412343</v>
      </c>
      <c r="K173" s="22">
        <f t="shared" si="19"/>
        <v>9493.9180353279044</v>
      </c>
      <c r="L173" s="22">
        <f t="shared" si="20"/>
        <v>345.17234121738289</v>
      </c>
      <c r="M173" s="22"/>
      <c r="N173" s="22"/>
      <c r="O173" s="22"/>
      <c r="P173" s="22"/>
      <c r="Q173" s="22"/>
      <c r="R173" s="22"/>
      <c r="S173" s="23">
        <f t="shared" si="21"/>
        <v>9839.0903765452877</v>
      </c>
      <c r="T173" s="24">
        <f t="shared" si="22"/>
        <v>9132.8687122772699</v>
      </c>
    </row>
    <row r="174" spans="7:20">
      <c r="G174" s="5">
        <v>171</v>
      </c>
      <c r="H174" s="22">
        <f t="shared" si="16"/>
        <v>592591.25472629245</v>
      </c>
      <c r="I174" s="22">
        <f t="shared" si="17"/>
        <v>1750.9747442174253</v>
      </c>
      <c r="J174" s="22">
        <f t="shared" si="18"/>
        <v>7742.9432911104795</v>
      </c>
      <c r="K174" s="22">
        <f t="shared" si="19"/>
        <v>9493.9180353279044</v>
      </c>
      <c r="L174" s="22">
        <f t="shared" si="20"/>
        <v>340.78971307454577</v>
      </c>
      <c r="M174" s="22"/>
      <c r="N174" s="22"/>
      <c r="O174" s="22"/>
      <c r="P174" s="22"/>
      <c r="Q174" s="22"/>
      <c r="R174" s="22"/>
      <c r="S174" s="23">
        <f t="shared" si="21"/>
        <v>9834.7077484024503</v>
      </c>
      <c r="T174" s="24">
        <f t="shared" si="22"/>
        <v>9137.4529293051273</v>
      </c>
    </row>
    <row r="175" spans="7:20">
      <c r="G175" s="5">
        <v>172</v>
      </c>
      <c r="H175" s="22">
        <f t="shared" si="16"/>
        <v>584825.72785058292</v>
      </c>
      <c r="I175" s="22">
        <f t="shared" si="17"/>
        <v>1728.391159618353</v>
      </c>
      <c r="J175" s="22">
        <f t="shared" si="18"/>
        <v>7765.5268757095509</v>
      </c>
      <c r="K175" s="22">
        <f t="shared" si="19"/>
        <v>9493.9180353279044</v>
      </c>
      <c r="L175" s="22">
        <f t="shared" si="20"/>
        <v>336.39430226629207</v>
      </c>
      <c r="M175" s="22"/>
      <c r="N175" s="22"/>
      <c r="O175" s="22"/>
      <c r="P175" s="22"/>
      <c r="Q175" s="22"/>
      <c r="R175" s="22"/>
      <c r="S175" s="23">
        <f t="shared" si="21"/>
        <v>9830.3123375941959</v>
      </c>
      <c r="T175" s="24">
        <f t="shared" si="22"/>
        <v>9142.0505169659809</v>
      </c>
    </row>
    <row r="176" spans="7:20">
      <c r="G176" s="5">
        <v>173</v>
      </c>
      <c r="H176" s="22">
        <f t="shared" si="16"/>
        <v>577037.5515214859</v>
      </c>
      <c r="I176" s="22">
        <f t="shared" si="17"/>
        <v>1705.7417062308668</v>
      </c>
      <c r="J176" s="22">
        <f t="shared" si="18"/>
        <v>7788.1763290970375</v>
      </c>
      <c r="K176" s="22">
        <f t="shared" si="19"/>
        <v>9493.9180353279044</v>
      </c>
      <c r="L176" s="22">
        <f t="shared" si="20"/>
        <v>331.98607150984759</v>
      </c>
      <c r="M176" s="22"/>
      <c r="N176" s="22"/>
      <c r="O176" s="22"/>
      <c r="P176" s="22"/>
      <c r="Q176" s="22"/>
      <c r="R176" s="22"/>
      <c r="S176" s="23">
        <f t="shared" si="21"/>
        <v>9825.9041068377519</v>
      </c>
      <c r="T176" s="24">
        <f t="shared" si="22"/>
        <v>9146.6615142575138</v>
      </c>
    </row>
    <row r="177" spans="7:20">
      <c r="G177" s="5">
        <v>174</v>
      </c>
      <c r="H177" s="22">
        <f t="shared" si="16"/>
        <v>569226.65967809572</v>
      </c>
      <c r="I177" s="22">
        <f t="shared" si="17"/>
        <v>1683.0261919376674</v>
      </c>
      <c r="J177" s="22">
        <f t="shared" si="18"/>
        <v>7810.8918433902372</v>
      </c>
      <c r="K177" s="22">
        <f t="shared" si="19"/>
        <v>9493.9180353279044</v>
      </c>
      <c r="L177" s="22">
        <f t="shared" si="20"/>
        <v>327.56498341369689</v>
      </c>
      <c r="M177" s="22"/>
      <c r="N177" s="22"/>
      <c r="O177" s="22"/>
      <c r="P177" s="22"/>
      <c r="Q177" s="22"/>
      <c r="R177" s="22"/>
      <c r="S177" s="23">
        <f t="shared" si="21"/>
        <v>9821.483018741601</v>
      </c>
      <c r="T177" s="24">
        <f t="shared" si="22"/>
        <v>9151.2859602911467</v>
      </c>
    </row>
    <row r="178" spans="7:20">
      <c r="G178" s="5">
        <v>175</v>
      </c>
      <c r="H178" s="22">
        <f t="shared" si="16"/>
        <v>561392.98606682895</v>
      </c>
      <c r="I178" s="22">
        <f t="shared" si="17"/>
        <v>1660.2444240611126</v>
      </c>
      <c r="J178" s="22">
        <f t="shared" si="18"/>
        <v>7833.6736112667913</v>
      </c>
      <c r="K178" s="22">
        <f t="shared" si="19"/>
        <v>9493.9180353279044</v>
      </c>
      <c r="L178" s="22">
        <f t="shared" si="20"/>
        <v>323.13100047726573</v>
      </c>
      <c r="M178" s="22"/>
      <c r="N178" s="22"/>
      <c r="O178" s="22"/>
      <c r="P178" s="22"/>
      <c r="Q178" s="22"/>
      <c r="R178" s="22"/>
      <c r="S178" s="23">
        <f t="shared" si="21"/>
        <v>9817.0490358051702</v>
      </c>
      <c r="T178" s="24">
        <f t="shared" si="22"/>
        <v>9155.9238942923766</v>
      </c>
    </row>
    <row r="179" spans="7:20">
      <c r="G179" s="5">
        <v>176</v>
      </c>
      <c r="H179" s="22">
        <f t="shared" si="16"/>
        <v>553536.46424086264</v>
      </c>
      <c r="I179" s="22">
        <f t="shared" si="17"/>
        <v>1637.3962093615844</v>
      </c>
      <c r="J179" s="22">
        <f t="shared" si="18"/>
        <v>7856.5218259663197</v>
      </c>
      <c r="K179" s="22">
        <f t="shared" si="19"/>
        <v>9493.9180353279044</v>
      </c>
      <c r="L179" s="22">
        <f t="shared" si="20"/>
        <v>318.68408509060328</v>
      </c>
      <c r="M179" s="22"/>
      <c r="N179" s="22"/>
      <c r="O179" s="22"/>
      <c r="P179" s="22"/>
      <c r="Q179" s="22"/>
      <c r="R179" s="22"/>
      <c r="S179" s="23">
        <f t="shared" si="21"/>
        <v>9812.6021204185072</v>
      </c>
      <c r="T179" s="24">
        <f t="shared" si="22"/>
        <v>9160.5753556011114</v>
      </c>
    </row>
    <row r="180" spans="7:20">
      <c r="G180" s="5">
        <v>177</v>
      </c>
      <c r="H180" s="22">
        <f t="shared" si="16"/>
        <v>545657.02755957062</v>
      </c>
      <c r="I180" s="22">
        <f t="shared" si="17"/>
        <v>1614.4813540358493</v>
      </c>
      <c r="J180" s="22">
        <f t="shared" si="18"/>
        <v>7879.4366812920553</v>
      </c>
      <c r="K180" s="22">
        <f t="shared" si="19"/>
        <v>9493.9180353279044</v>
      </c>
      <c r="L180" s="22">
        <f t="shared" si="20"/>
        <v>314.22419953406308</v>
      </c>
      <c r="M180" s="22"/>
      <c r="N180" s="22"/>
      <c r="O180" s="22"/>
      <c r="P180" s="22"/>
      <c r="Q180" s="22"/>
      <c r="R180" s="22"/>
      <c r="S180" s="23">
        <f t="shared" si="21"/>
        <v>9808.1422348619672</v>
      </c>
      <c r="T180" s="24">
        <f t="shared" si="22"/>
        <v>9165.2403836719968</v>
      </c>
    </row>
    <row r="181" spans="7:20">
      <c r="G181" s="5">
        <v>178</v>
      </c>
      <c r="H181" s="22">
        <f t="shared" si="16"/>
        <v>537754.60918795818</v>
      </c>
      <c r="I181" s="22">
        <f t="shared" si="17"/>
        <v>1591.4996637154143</v>
      </c>
      <c r="J181" s="22">
        <f t="shared" si="18"/>
        <v>7902.4183716124899</v>
      </c>
      <c r="K181" s="22">
        <f t="shared" si="19"/>
        <v>9493.9180353279044</v>
      </c>
      <c r="L181" s="22">
        <f t="shared" si="20"/>
        <v>309.75130597798295</v>
      </c>
      <c r="M181" s="22"/>
      <c r="N181" s="22"/>
      <c r="O181" s="22"/>
      <c r="P181" s="22"/>
      <c r="Q181" s="22"/>
      <c r="R181" s="22"/>
      <c r="S181" s="23">
        <f t="shared" si="21"/>
        <v>9803.6693413058874</v>
      </c>
      <c r="T181" s="24">
        <f t="shared" si="22"/>
        <v>9169.9190180747555</v>
      </c>
    </row>
    <row r="182" spans="7:20">
      <c r="G182" s="5">
        <v>179</v>
      </c>
      <c r="H182" s="22">
        <f t="shared" si="16"/>
        <v>529829.14209609514</v>
      </c>
      <c r="I182" s="22">
        <f t="shared" si="17"/>
        <v>1568.450943464878</v>
      </c>
      <c r="J182" s="22">
        <f t="shared" si="18"/>
        <v>7925.4670918630263</v>
      </c>
      <c r="K182" s="22">
        <f t="shared" si="19"/>
        <v>9493.9180353279044</v>
      </c>
      <c r="L182" s="22">
        <f t="shared" si="20"/>
        <v>305.2653664823643</v>
      </c>
      <c r="M182" s="22"/>
      <c r="N182" s="22"/>
      <c r="O182" s="22"/>
      <c r="P182" s="22"/>
      <c r="Q182" s="22"/>
      <c r="R182" s="22"/>
      <c r="S182" s="23">
        <f t="shared" si="21"/>
        <v>9799.1834018102691</v>
      </c>
      <c r="T182" s="24">
        <f t="shared" si="22"/>
        <v>9174.6112984945212</v>
      </c>
    </row>
    <row r="183" spans="7:20">
      <c r="G183" s="5">
        <v>180</v>
      </c>
      <c r="H183" s="22">
        <f t="shared" si="16"/>
        <v>521880.55905854749</v>
      </c>
      <c r="I183" s="22">
        <f t="shared" si="17"/>
        <v>1545.3349977802775</v>
      </c>
      <c r="J183" s="22">
        <f t="shared" si="18"/>
        <v>7948.5830375476271</v>
      </c>
      <c r="K183" s="22">
        <f t="shared" si="19"/>
        <v>9493.9180353279044</v>
      </c>
      <c r="L183" s="22">
        <f t="shared" si="20"/>
        <v>300.76634299655007</v>
      </c>
      <c r="M183" s="22"/>
      <c r="N183" s="22"/>
      <c r="O183" s="22"/>
      <c r="P183" s="22"/>
      <c r="Q183" s="22"/>
      <c r="R183" s="22"/>
      <c r="S183" s="23">
        <f t="shared" si="21"/>
        <v>9794.6843783244549</v>
      </c>
      <c r="T183" s="24">
        <f t="shared" si="22"/>
        <v>9179.317264732179</v>
      </c>
    </row>
    <row r="184" spans="7:20">
      <c r="G184" s="5">
        <v>181</v>
      </c>
      <c r="H184" s="22">
        <f t="shared" si="16"/>
        <v>513908.79265380703</v>
      </c>
      <c r="I184" s="22">
        <f t="shared" si="17"/>
        <v>1522.1516305874302</v>
      </c>
      <c r="J184" s="22">
        <f t="shared" si="18"/>
        <v>7971.7664047404742</v>
      </c>
      <c r="K184" s="22">
        <f t="shared" si="19"/>
        <v>9493.9180353279044</v>
      </c>
      <c r="L184" s="22">
        <f t="shared" si="20"/>
        <v>296.25419735890216</v>
      </c>
      <c r="M184" s="22"/>
      <c r="N184" s="22"/>
      <c r="O184" s="22"/>
      <c r="P184" s="22"/>
      <c r="Q184" s="22"/>
      <c r="R184" s="22"/>
      <c r="S184" s="23">
        <f t="shared" si="21"/>
        <v>9790.1722326868057</v>
      </c>
      <c r="T184" s="24">
        <f t="shared" si="22"/>
        <v>9184.0369567046946</v>
      </c>
    </row>
    <row r="185" spans="7:20">
      <c r="G185" s="5">
        <v>182</v>
      </c>
      <c r="H185" s="22">
        <f t="shared" si="16"/>
        <v>505913.77526371938</v>
      </c>
      <c r="I185" s="22">
        <f t="shared" si="17"/>
        <v>1498.9006452402705</v>
      </c>
      <c r="J185" s="22">
        <f t="shared" si="18"/>
        <v>7995.0173900876343</v>
      </c>
      <c r="K185" s="22">
        <f t="shared" si="19"/>
        <v>9493.9180353279044</v>
      </c>
      <c r="L185" s="22">
        <f t="shared" si="20"/>
        <v>291.7288912964778</v>
      </c>
      <c r="M185" s="22"/>
      <c r="N185" s="22"/>
      <c r="O185" s="22"/>
      <c r="P185" s="22"/>
      <c r="Q185" s="22"/>
      <c r="R185" s="22"/>
      <c r="S185" s="23">
        <f t="shared" si="21"/>
        <v>9785.6469266243821</v>
      </c>
      <c r="T185" s="24">
        <f t="shared" si="22"/>
        <v>9188.7704144454656</v>
      </c>
    </row>
    <row r="186" spans="7:20">
      <c r="G186" s="5">
        <v>183</v>
      </c>
      <c r="H186" s="22">
        <f t="shared" si="16"/>
        <v>497895.43907291064</v>
      </c>
      <c r="I186" s="22">
        <f t="shared" si="17"/>
        <v>1475.5818445191817</v>
      </c>
      <c r="J186" s="22">
        <f t="shared" si="18"/>
        <v>8018.3361908087227</v>
      </c>
      <c r="K186" s="22">
        <f t="shared" si="19"/>
        <v>9493.9180353279044</v>
      </c>
      <c r="L186" s="22">
        <f t="shared" si="20"/>
        <v>287.19038642470474</v>
      </c>
      <c r="M186" s="22"/>
      <c r="N186" s="22"/>
      <c r="O186" s="22"/>
      <c r="P186" s="22"/>
      <c r="Q186" s="22"/>
      <c r="R186" s="22"/>
      <c r="S186" s="23">
        <f t="shared" si="21"/>
        <v>9781.1084217526095</v>
      </c>
      <c r="T186" s="24">
        <f t="shared" si="22"/>
        <v>9193.5176781046466</v>
      </c>
    </row>
    <row r="187" spans="7:20">
      <c r="G187" s="5">
        <v>184</v>
      </c>
      <c r="H187" s="22">
        <f t="shared" si="16"/>
        <v>489853.71606821206</v>
      </c>
      <c r="I187" s="22">
        <f t="shared" si="17"/>
        <v>1452.1950306293227</v>
      </c>
      <c r="J187" s="22">
        <f t="shared" si="18"/>
        <v>8041.7230046985815</v>
      </c>
      <c r="K187" s="22">
        <f t="shared" si="19"/>
        <v>9493.9180353279044</v>
      </c>
      <c r="L187" s="22">
        <f t="shared" si="20"/>
        <v>282.63864424705565</v>
      </c>
      <c r="M187" s="22"/>
      <c r="N187" s="22"/>
      <c r="O187" s="22"/>
      <c r="P187" s="22"/>
      <c r="Q187" s="22"/>
      <c r="R187" s="22"/>
      <c r="S187" s="23">
        <f t="shared" si="21"/>
        <v>9776.5566795749601</v>
      </c>
      <c r="T187" s="24">
        <f t="shared" si="22"/>
        <v>9198.2787879495008</v>
      </c>
    </row>
    <row r="188" spans="7:20">
      <c r="G188" s="5">
        <v>185</v>
      </c>
      <c r="H188" s="22">
        <f t="shared" si="16"/>
        <v>481788.53803808312</v>
      </c>
      <c r="I188" s="22">
        <f t="shared" si="17"/>
        <v>1428.7400051989518</v>
      </c>
      <c r="J188" s="22">
        <f t="shared" si="18"/>
        <v>8065.1780301289527</v>
      </c>
      <c r="K188" s="22">
        <f t="shared" si="19"/>
        <v>9493.9180353279044</v>
      </c>
      <c r="L188" s="22">
        <f t="shared" si="20"/>
        <v>278.07362615472175</v>
      </c>
      <c r="M188" s="22"/>
      <c r="N188" s="22"/>
      <c r="O188" s="22"/>
      <c r="P188" s="22"/>
      <c r="Q188" s="22"/>
      <c r="R188" s="22"/>
      <c r="S188" s="23">
        <f t="shared" si="21"/>
        <v>9771.9916614826252</v>
      </c>
      <c r="T188" s="24">
        <f t="shared" si="22"/>
        <v>9203.0537843647344</v>
      </c>
    </row>
    <row r="189" spans="7:20">
      <c r="G189" s="5">
        <v>186</v>
      </c>
      <c r="H189" s="22">
        <f t="shared" si="16"/>
        <v>473699.83657203295</v>
      </c>
      <c r="I189" s="22">
        <f t="shared" si="17"/>
        <v>1405.2165692777426</v>
      </c>
      <c r="J189" s="22">
        <f t="shared" si="18"/>
        <v>8088.7014660501618</v>
      </c>
      <c r="K189" s="22">
        <f t="shared" si="19"/>
        <v>9493.9180353279044</v>
      </c>
      <c r="L189" s="22">
        <f t="shared" si="20"/>
        <v>273.49529342628523</v>
      </c>
      <c r="M189" s="22"/>
      <c r="N189" s="22"/>
      <c r="O189" s="22"/>
      <c r="P189" s="22"/>
      <c r="Q189" s="22"/>
      <c r="R189" s="22"/>
      <c r="S189" s="23">
        <f t="shared" si="21"/>
        <v>9767.4133287541899</v>
      </c>
      <c r="T189" s="24">
        <f t="shared" si="22"/>
        <v>9207.8427078528475</v>
      </c>
    </row>
    <row r="190" spans="7:20">
      <c r="G190" s="5">
        <v>187</v>
      </c>
      <c r="H190" s="22">
        <f t="shared" si="16"/>
        <v>465587.54306004016</v>
      </c>
      <c r="I190" s="22">
        <f t="shared" si="17"/>
        <v>1381.6245233350962</v>
      </c>
      <c r="J190" s="22">
        <f t="shared" si="18"/>
        <v>8112.2935119928079</v>
      </c>
      <c r="K190" s="22">
        <f t="shared" si="19"/>
        <v>9493.9180353279044</v>
      </c>
      <c r="L190" s="22">
        <f t="shared" si="20"/>
        <v>268.90360722739075</v>
      </c>
      <c r="M190" s="22"/>
      <c r="N190" s="22"/>
      <c r="O190" s="22"/>
      <c r="P190" s="22"/>
      <c r="Q190" s="22"/>
      <c r="R190" s="22"/>
      <c r="S190" s="23">
        <f t="shared" si="21"/>
        <v>9762.8216425552946</v>
      </c>
      <c r="T190" s="24">
        <f t="shared" si="22"/>
        <v>9212.6455990344657</v>
      </c>
    </row>
    <row r="191" spans="7:20">
      <c r="G191" s="5">
        <v>188</v>
      </c>
      <c r="H191" s="22">
        <f t="shared" si="16"/>
        <v>457451.58869197068</v>
      </c>
      <c r="I191" s="22">
        <f t="shared" si="17"/>
        <v>1357.9636672584504</v>
      </c>
      <c r="J191" s="22">
        <f t="shared" si="18"/>
        <v>8135.9543680694542</v>
      </c>
      <c r="K191" s="22">
        <f t="shared" si="19"/>
        <v>9493.9180353279044</v>
      </c>
      <c r="L191" s="22">
        <f t="shared" si="20"/>
        <v>264.29852861041616</v>
      </c>
      <c r="M191" s="22"/>
      <c r="N191" s="22"/>
      <c r="O191" s="22"/>
      <c r="P191" s="22"/>
      <c r="Q191" s="22"/>
      <c r="R191" s="22"/>
      <c r="S191" s="23">
        <f t="shared" si="21"/>
        <v>9758.2165639383202</v>
      </c>
      <c r="T191" s="24">
        <f t="shared" si="22"/>
        <v>9217.4624986486979</v>
      </c>
    </row>
    <row r="192" spans="7:20">
      <c r="G192" s="5">
        <v>189</v>
      </c>
      <c r="H192" s="22">
        <f t="shared" si="16"/>
        <v>449291.90445699438</v>
      </c>
      <c r="I192" s="22">
        <f t="shared" si="17"/>
        <v>1334.2338003515813</v>
      </c>
      <c r="J192" s="22">
        <f t="shared" si="18"/>
        <v>8159.6842349763228</v>
      </c>
      <c r="K192" s="22">
        <f t="shared" si="19"/>
        <v>9493.9180353279044</v>
      </c>
      <c r="L192" s="22">
        <f t="shared" si="20"/>
        <v>259.68001851414203</v>
      </c>
      <c r="M192" s="22"/>
      <c r="N192" s="22"/>
      <c r="O192" s="22"/>
      <c r="P192" s="22"/>
      <c r="Q192" s="22"/>
      <c r="R192" s="22"/>
      <c r="S192" s="23">
        <f t="shared" si="21"/>
        <v>9753.5980538420463</v>
      </c>
      <c r="T192" s="24">
        <f t="shared" si="22"/>
        <v>9222.2934475534712</v>
      </c>
    </row>
    <row r="193" spans="7:20">
      <c r="G193" s="5">
        <v>190</v>
      </c>
      <c r="H193" s="22">
        <f t="shared" si="16"/>
        <v>441108.42114299937</v>
      </c>
      <c r="I193" s="22">
        <f t="shared" si="17"/>
        <v>1310.4347213329004</v>
      </c>
      <c r="J193" s="22">
        <f t="shared" si="18"/>
        <v>8183.4833139950042</v>
      </c>
      <c r="K193" s="22">
        <f t="shared" si="19"/>
        <v>9493.9180353279044</v>
      </c>
      <c r="L193" s="22">
        <f t="shared" si="20"/>
        <v>255.0480377634205</v>
      </c>
      <c r="M193" s="22"/>
      <c r="N193" s="22"/>
      <c r="O193" s="22"/>
      <c r="P193" s="22"/>
      <c r="Q193" s="22"/>
      <c r="R193" s="22"/>
      <c r="S193" s="23">
        <f t="shared" si="21"/>
        <v>9748.9660730913256</v>
      </c>
      <c r="T193" s="24">
        <f t="shared" si="22"/>
        <v>9227.1384867258857</v>
      </c>
    </row>
    <row r="194" spans="7:20">
      <c r="G194" s="5">
        <v>191</v>
      </c>
      <c r="H194" s="22">
        <f t="shared" si="16"/>
        <v>432901.0693360052</v>
      </c>
      <c r="I194" s="22">
        <f t="shared" si="17"/>
        <v>1286.5662283337483</v>
      </c>
      <c r="J194" s="22">
        <f t="shared" si="18"/>
        <v>8207.3518069941565</v>
      </c>
      <c r="K194" s="22">
        <f t="shared" si="19"/>
        <v>9493.9180353279044</v>
      </c>
      <c r="L194" s="22">
        <f t="shared" si="20"/>
        <v>250.40254706884267</v>
      </c>
      <c r="M194" s="22"/>
      <c r="N194" s="22"/>
      <c r="O194" s="22"/>
      <c r="P194" s="22"/>
      <c r="Q194" s="22"/>
      <c r="R194" s="22"/>
      <c r="S194" s="23">
        <f t="shared" si="21"/>
        <v>9744.3205823967473</v>
      </c>
      <c r="T194" s="24">
        <f t="shared" si="22"/>
        <v>9231.997657262551</v>
      </c>
    </row>
    <row r="195" spans="7:20">
      <c r="G195" s="5">
        <v>192</v>
      </c>
      <c r="H195" s="22">
        <f t="shared" si="16"/>
        <v>424669.77941957396</v>
      </c>
      <c r="I195" s="22">
        <f t="shared" si="17"/>
        <v>1262.6281188966818</v>
      </c>
      <c r="J195" s="22">
        <f t="shared" si="18"/>
        <v>8231.2899164312221</v>
      </c>
      <c r="K195" s="22">
        <f t="shared" si="19"/>
        <v>9493.9180353279044</v>
      </c>
      <c r="L195" s="22">
        <f t="shared" si="20"/>
        <v>245.74350702640564</v>
      </c>
      <c r="M195" s="22"/>
      <c r="N195" s="22"/>
      <c r="O195" s="22"/>
      <c r="P195" s="22"/>
      <c r="Q195" s="22"/>
      <c r="R195" s="22"/>
      <c r="S195" s="23">
        <f t="shared" si="21"/>
        <v>9739.6615423543099</v>
      </c>
      <c r="T195" s="24">
        <f t="shared" si="22"/>
        <v>9236.8710003799479</v>
      </c>
    </row>
    <row r="196" spans="7:20">
      <c r="G196" s="5">
        <v>193</v>
      </c>
      <c r="H196" s="22">
        <f t="shared" ref="H196:H259" si="23">H195-J196</f>
        <v>416414.48157421983</v>
      </c>
      <c r="I196" s="22">
        <f t="shared" ref="I196:I259" si="24">$E$9/$E$13*H195</f>
        <v>1238.6201899737575</v>
      </c>
      <c r="J196" s="22">
        <f t="shared" ref="J196:J259" si="25">K196-I196</f>
        <v>8255.2978453541473</v>
      </c>
      <c r="K196" s="22">
        <f t="shared" ref="K196:K259" si="26">IF(G196&gt;$E$14,0,$E$16)</f>
        <v>9493.9180353279044</v>
      </c>
      <c r="L196" s="22">
        <f t="shared" ref="L196:L259" si="27">$E$10/$E$13*H195</f>
        <v>241.07087811717818</v>
      </c>
      <c r="M196" s="22"/>
      <c r="N196" s="22"/>
      <c r="O196" s="22"/>
      <c r="P196" s="22"/>
      <c r="Q196" s="22"/>
      <c r="R196" s="22"/>
      <c r="S196" s="23">
        <f t="shared" ref="S196:S259" si="28">K196+L196</f>
        <v>9734.9889134450823</v>
      </c>
      <c r="T196" s="24">
        <f t="shared" ref="T196:T259" si="29">S196-1/3*(I196+L196)</f>
        <v>9241.7585574147706</v>
      </c>
    </row>
    <row r="197" spans="7:20">
      <c r="G197" s="5">
        <v>194</v>
      </c>
      <c r="H197" s="22">
        <f t="shared" si="23"/>
        <v>408135.10577681672</v>
      </c>
      <c r="I197" s="22">
        <f t="shared" si="24"/>
        <v>1214.542237924808</v>
      </c>
      <c r="J197" s="22">
        <f t="shared" si="25"/>
        <v>8279.3757974030959</v>
      </c>
      <c r="K197" s="22">
        <f t="shared" si="26"/>
        <v>9493.9180353279044</v>
      </c>
      <c r="L197" s="22">
        <f t="shared" si="27"/>
        <v>236.38462070696548</v>
      </c>
      <c r="M197" s="22"/>
      <c r="N197" s="22"/>
      <c r="O197" s="22"/>
      <c r="P197" s="22"/>
      <c r="Q197" s="22"/>
      <c r="R197" s="22"/>
      <c r="S197" s="23">
        <f t="shared" si="28"/>
        <v>9730.3026560348699</v>
      </c>
      <c r="T197" s="24">
        <f t="shared" si="29"/>
        <v>9246.660369824278</v>
      </c>
    </row>
    <row r="198" spans="7:20">
      <c r="G198" s="5">
        <v>195</v>
      </c>
      <c r="H198" s="22">
        <f t="shared" si="23"/>
        <v>399831.58180000453</v>
      </c>
      <c r="I198" s="22">
        <f t="shared" si="24"/>
        <v>1190.3940585157154</v>
      </c>
      <c r="J198" s="22">
        <f t="shared" si="25"/>
        <v>8303.5239768121883</v>
      </c>
      <c r="K198" s="22">
        <f t="shared" si="26"/>
        <v>9493.9180353279044</v>
      </c>
      <c r="L198" s="22">
        <f t="shared" si="27"/>
        <v>231.68469504597297</v>
      </c>
      <c r="M198" s="22"/>
      <c r="N198" s="22"/>
      <c r="O198" s="22"/>
      <c r="P198" s="22"/>
      <c r="Q198" s="22"/>
      <c r="R198" s="22"/>
      <c r="S198" s="23">
        <f t="shared" si="28"/>
        <v>9725.6027303738774</v>
      </c>
      <c r="T198" s="24">
        <f t="shared" si="29"/>
        <v>9251.5764791866477</v>
      </c>
    </row>
    <row r="199" spans="7:20">
      <c r="G199" s="5">
        <v>196</v>
      </c>
      <c r="H199" s="22">
        <f t="shared" si="23"/>
        <v>391503.83921159332</v>
      </c>
      <c r="I199" s="22">
        <f t="shared" si="24"/>
        <v>1166.1754469166799</v>
      </c>
      <c r="J199" s="22">
        <f t="shared" si="25"/>
        <v>8327.7425884112236</v>
      </c>
      <c r="K199" s="22">
        <f t="shared" si="26"/>
        <v>9493.9180353279044</v>
      </c>
      <c r="L199" s="22">
        <f t="shared" si="27"/>
        <v>226.97106126846927</v>
      </c>
      <c r="M199" s="22"/>
      <c r="N199" s="22"/>
      <c r="O199" s="22"/>
      <c r="P199" s="22"/>
      <c r="Q199" s="22"/>
      <c r="R199" s="22"/>
      <c r="S199" s="23">
        <f t="shared" si="28"/>
        <v>9720.8890965963728</v>
      </c>
      <c r="T199" s="24">
        <f t="shared" si="29"/>
        <v>9256.5069272013225</v>
      </c>
    </row>
    <row r="200" spans="7:20">
      <c r="G200" s="5">
        <v>197</v>
      </c>
      <c r="H200" s="22">
        <f t="shared" si="23"/>
        <v>383151.80737396592</v>
      </c>
      <c r="I200" s="22">
        <f t="shared" si="24"/>
        <v>1141.8861977004806</v>
      </c>
      <c r="J200" s="22">
        <f t="shared" si="25"/>
        <v>8352.0318376274245</v>
      </c>
      <c r="K200" s="22">
        <f t="shared" si="26"/>
        <v>9493.9180353279044</v>
      </c>
      <c r="L200" s="22">
        <f t="shared" si="27"/>
        <v>222.24367939244783</v>
      </c>
      <c r="M200" s="22"/>
      <c r="N200" s="22"/>
      <c r="O200" s="22"/>
      <c r="P200" s="22"/>
      <c r="Q200" s="22"/>
      <c r="R200" s="22"/>
      <c r="S200" s="23">
        <f t="shared" si="28"/>
        <v>9716.1617147203524</v>
      </c>
      <c r="T200" s="24">
        <f t="shared" si="29"/>
        <v>9261.451755689377</v>
      </c>
    </row>
    <row r="201" spans="7:20">
      <c r="G201" s="5">
        <v>198</v>
      </c>
      <c r="H201" s="22">
        <f t="shared" si="23"/>
        <v>374775.41544347873</v>
      </c>
      <c r="I201" s="22">
        <f t="shared" si="24"/>
        <v>1117.526104840734</v>
      </c>
      <c r="J201" s="22">
        <f t="shared" si="25"/>
        <v>8376.3919304871706</v>
      </c>
      <c r="K201" s="22">
        <f t="shared" si="26"/>
        <v>9493.9180353279044</v>
      </c>
      <c r="L201" s="22">
        <f t="shared" si="27"/>
        <v>217.50250931928801</v>
      </c>
      <c r="M201" s="22"/>
      <c r="N201" s="22"/>
      <c r="O201" s="22"/>
      <c r="P201" s="22"/>
      <c r="Q201" s="22"/>
      <c r="R201" s="22"/>
      <c r="S201" s="23">
        <f t="shared" si="28"/>
        <v>9711.4205446471915</v>
      </c>
      <c r="T201" s="24">
        <f t="shared" si="29"/>
        <v>9266.4110065938512</v>
      </c>
    </row>
    <row r="202" spans="7:20">
      <c r="G202" s="5">
        <v>199</v>
      </c>
      <c r="H202" s="22">
        <f t="shared" si="23"/>
        <v>366374.59236986097</v>
      </c>
      <c r="I202" s="22">
        <f t="shared" si="24"/>
        <v>1093.0949617101464</v>
      </c>
      <c r="J202" s="22">
        <f t="shared" si="25"/>
        <v>8400.8230736177575</v>
      </c>
      <c r="K202" s="22">
        <f t="shared" si="26"/>
        <v>9493.9180353279044</v>
      </c>
      <c r="L202" s="22">
        <f t="shared" si="27"/>
        <v>212.74751083341479</v>
      </c>
      <c r="M202" s="22"/>
      <c r="N202" s="22"/>
      <c r="O202" s="22"/>
      <c r="P202" s="22"/>
      <c r="Q202" s="22"/>
      <c r="R202" s="22"/>
      <c r="S202" s="23">
        <f t="shared" si="28"/>
        <v>9706.6655461613191</v>
      </c>
      <c r="T202" s="24">
        <f t="shared" si="29"/>
        <v>9271.3847219801319</v>
      </c>
    </row>
    <row r="203" spans="7:20">
      <c r="G203" s="5">
        <v>200</v>
      </c>
      <c r="H203" s="22">
        <f t="shared" si="23"/>
        <v>357949.26689561183</v>
      </c>
      <c r="I203" s="22">
        <f t="shared" si="24"/>
        <v>1068.5925610787613</v>
      </c>
      <c r="J203" s="22">
        <f t="shared" si="25"/>
        <v>8425.3254742491426</v>
      </c>
      <c r="K203" s="22">
        <f t="shared" si="26"/>
        <v>9493.9180353279044</v>
      </c>
      <c r="L203" s="22">
        <f t="shared" si="27"/>
        <v>207.97864360195777</v>
      </c>
      <c r="M203" s="22"/>
      <c r="N203" s="22"/>
      <c r="O203" s="22"/>
      <c r="P203" s="22"/>
      <c r="Q203" s="22"/>
      <c r="R203" s="22"/>
      <c r="S203" s="23">
        <f t="shared" si="28"/>
        <v>9701.8966789298629</v>
      </c>
      <c r="T203" s="24">
        <f t="shared" si="29"/>
        <v>9276.3729440362895</v>
      </c>
    </row>
    <row r="204" spans="7:20">
      <c r="G204" s="5">
        <v>201</v>
      </c>
      <c r="H204" s="22">
        <f t="shared" si="23"/>
        <v>349499.36755539611</v>
      </c>
      <c r="I204" s="22">
        <f t="shared" si="24"/>
        <v>1044.0186951122012</v>
      </c>
      <c r="J204" s="22">
        <f t="shared" si="25"/>
        <v>8449.899340215703</v>
      </c>
      <c r="K204" s="22">
        <f t="shared" si="26"/>
        <v>9493.9180353279044</v>
      </c>
      <c r="L204" s="22">
        <f t="shared" si="27"/>
        <v>203.19586717440902</v>
      </c>
      <c r="M204" s="22"/>
      <c r="N204" s="22"/>
      <c r="O204" s="22"/>
      <c r="P204" s="22"/>
      <c r="Q204" s="22"/>
      <c r="R204" s="22"/>
      <c r="S204" s="23">
        <f t="shared" si="28"/>
        <v>9697.1139025023131</v>
      </c>
      <c r="T204" s="24">
        <f t="shared" si="29"/>
        <v>9281.3757150734436</v>
      </c>
    </row>
    <row r="205" spans="7:20">
      <c r="G205" s="5">
        <v>202</v>
      </c>
      <c r="H205" s="22">
        <f t="shared" si="23"/>
        <v>341024.82267543813</v>
      </c>
      <c r="I205" s="22">
        <f t="shared" si="24"/>
        <v>1019.3731553699054</v>
      </c>
      <c r="J205" s="22">
        <f t="shared" si="25"/>
        <v>8474.544879957999</v>
      </c>
      <c r="K205" s="22">
        <f t="shared" si="26"/>
        <v>9493.9180353279044</v>
      </c>
      <c r="L205" s="22">
        <f t="shared" si="27"/>
        <v>198.39914098227987</v>
      </c>
      <c r="M205" s="22"/>
      <c r="N205" s="22"/>
      <c r="O205" s="22"/>
      <c r="P205" s="22"/>
      <c r="Q205" s="22"/>
      <c r="R205" s="22"/>
      <c r="S205" s="23">
        <f t="shared" si="28"/>
        <v>9692.3171763101836</v>
      </c>
      <c r="T205" s="24">
        <f t="shared" si="29"/>
        <v>9286.3930775261215</v>
      </c>
    </row>
    <row r="206" spans="7:20">
      <c r="G206" s="5">
        <v>203</v>
      </c>
      <c r="H206" s="22">
        <f t="shared" si="23"/>
        <v>332525.56037291361</v>
      </c>
      <c r="I206" s="22">
        <f t="shared" si="24"/>
        <v>994.65573280336127</v>
      </c>
      <c r="J206" s="22">
        <f t="shared" si="25"/>
        <v>8499.262302524543</v>
      </c>
      <c r="K206" s="22">
        <f t="shared" si="26"/>
        <v>9493.9180353279044</v>
      </c>
      <c r="L206" s="22">
        <f t="shared" si="27"/>
        <v>193.58842433875708</v>
      </c>
      <c r="M206" s="22"/>
      <c r="N206" s="22"/>
      <c r="O206" s="22"/>
      <c r="P206" s="22"/>
      <c r="Q206" s="22"/>
      <c r="R206" s="22"/>
      <c r="S206" s="23">
        <f t="shared" si="28"/>
        <v>9687.5064596666616</v>
      </c>
      <c r="T206" s="24">
        <f t="shared" si="29"/>
        <v>9291.4250739526215</v>
      </c>
    </row>
    <row r="207" spans="7:20">
      <c r="G207" s="5">
        <v>204</v>
      </c>
      <c r="H207" s="22">
        <f t="shared" si="23"/>
        <v>324001.50855534006</v>
      </c>
      <c r="I207" s="22">
        <f t="shared" si="24"/>
        <v>969.86621775433139</v>
      </c>
      <c r="J207" s="22">
        <f t="shared" si="25"/>
        <v>8524.0518175735724</v>
      </c>
      <c r="K207" s="22">
        <f t="shared" si="26"/>
        <v>9493.9180353279044</v>
      </c>
      <c r="L207" s="22">
        <f t="shared" si="27"/>
        <v>188.76367643835732</v>
      </c>
      <c r="M207" s="22"/>
      <c r="N207" s="22"/>
      <c r="O207" s="22"/>
      <c r="P207" s="22"/>
      <c r="Q207" s="22"/>
      <c r="R207" s="22"/>
      <c r="S207" s="23">
        <f t="shared" si="28"/>
        <v>9682.6817117662613</v>
      </c>
      <c r="T207" s="24">
        <f t="shared" si="29"/>
        <v>9296.4717470353644</v>
      </c>
    </row>
    <row r="208" spans="7:20">
      <c r="G208" s="5">
        <v>205</v>
      </c>
      <c r="H208" s="22">
        <f t="shared" si="23"/>
        <v>315452.59491996525</v>
      </c>
      <c r="I208" s="22">
        <f t="shared" si="24"/>
        <v>945.00439995307522</v>
      </c>
      <c r="J208" s="22">
        <f t="shared" si="25"/>
        <v>8548.913635374829</v>
      </c>
      <c r="K208" s="22">
        <f t="shared" si="26"/>
        <v>9493.9180353279044</v>
      </c>
      <c r="L208" s="22">
        <f t="shared" si="27"/>
        <v>183.92485635658139</v>
      </c>
      <c r="M208" s="22"/>
      <c r="N208" s="22"/>
      <c r="O208" s="22"/>
      <c r="P208" s="22"/>
      <c r="Q208" s="22"/>
      <c r="R208" s="22"/>
      <c r="S208" s="23">
        <f t="shared" si="28"/>
        <v>9677.8428916844859</v>
      </c>
      <c r="T208" s="24">
        <f t="shared" si="29"/>
        <v>9301.5331395812664</v>
      </c>
    </row>
    <row r="209" spans="7:20">
      <c r="G209" s="5">
        <v>206</v>
      </c>
      <c r="H209" s="22">
        <f t="shared" si="23"/>
        <v>306878.74695315392</v>
      </c>
      <c r="I209" s="22">
        <f t="shared" si="24"/>
        <v>920.07006851656536</v>
      </c>
      <c r="J209" s="22">
        <f t="shared" si="25"/>
        <v>8573.8479668113396</v>
      </c>
      <c r="K209" s="22">
        <f t="shared" si="26"/>
        <v>9493.9180353279044</v>
      </c>
      <c r="L209" s="22">
        <f t="shared" si="27"/>
        <v>179.07192304956698</v>
      </c>
      <c r="M209" s="22"/>
      <c r="N209" s="22"/>
      <c r="O209" s="22"/>
      <c r="P209" s="22"/>
      <c r="Q209" s="22"/>
      <c r="R209" s="22"/>
      <c r="S209" s="23">
        <f t="shared" si="28"/>
        <v>9672.9899583774713</v>
      </c>
      <c r="T209" s="24">
        <f t="shared" si="29"/>
        <v>9306.6092945220935</v>
      </c>
    </row>
    <row r="210" spans="7:20">
      <c r="G210" s="5">
        <v>207</v>
      </c>
      <c r="H210" s="22">
        <f t="shared" si="23"/>
        <v>298279.89192977274</v>
      </c>
      <c r="I210" s="22">
        <f t="shared" si="24"/>
        <v>895.06301194669902</v>
      </c>
      <c r="J210" s="22">
        <f t="shared" si="25"/>
        <v>8598.8550233812057</v>
      </c>
      <c r="K210" s="22">
        <f t="shared" si="26"/>
        <v>9493.9180353279044</v>
      </c>
      <c r="L210" s="22">
        <f t="shared" si="27"/>
        <v>174.20483535374041</v>
      </c>
      <c r="M210" s="22"/>
      <c r="N210" s="22"/>
      <c r="O210" s="22"/>
      <c r="P210" s="22"/>
      <c r="Q210" s="22"/>
      <c r="R210" s="22"/>
      <c r="S210" s="23">
        <f t="shared" si="28"/>
        <v>9668.1228706816455</v>
      </c>
      <c r="T210" s="24">
        <f t="shared" si="29"/>
        <v>9311.7002549148328</v>
      </c>
    </row>
    <row r="211" spans="7:20">
      <c r="G211" s="5">
        <v>208</v>
      </c>
      <c r="H211" s="22">
        <f t="shared" si="23"/>
        <v>289655.95691257331</v>
      </c>
      <c r="I211" s="22">
        <f t="shared" si="24"/>
        <v>869.98301812850389</v>
      </c>
      <c r="J211" s="22">
        <f t="shared" si="25"/>
        <v>8623.935017199401</v>
      </c>
      <c r="K211" s="22">
        <f t="shared" si="26"/>
        <v>9493.9180353279044</v>
      </c>
      <c r="L211" s="22">
        <f t="shared" si="27"/>
        <v>169.32355198546767</v>
      </c>
      <c r="M211" s="22"/>
      <c r="N211" s="22"/>
      <c r="O211" s="22"/>
      <c r="P211" s="22"/>
      <c r="Q211" s="22"/>
      <c r="R211" s="22"/>
      <c r="S211" s="23">
        <f t="shared" si="28"/>
        <v>9663.2415873133723</v>
      </c>
      <c r="T211" s="24">
        <f t="shared" si="29"/>
        <v>9316.8060639420491</v>
      </c>
    </row>
    <row r="212" spans="7:20">
      <c r="G212" s="5">
        <v>209</v>
      </c>
      <c r="H212" s="22">
        <f t="shared" si="23"/>
        <v>281006.86875157373</v>
      </c>
      <c r="I212" s="22">
        <f t="shared" si="24"/>
        <v>844.82987432833886</v>
      </c>
      <c r="J212" s="22">
        <f t="shared" si="25"/>
        <v>8649.0881609995649</v>
      </c>
      <c r="K212" s="22">
        <f t="shared" si="26"/>
        <v>9493.9180353279044</v>
      </c>
      <c r="L212" s="22">
        <f t="shared" si="27"/>
        <v>164.42803154070413</v>
      </c>
      <c r="M212" s="22"/>
      <c r="N212" s="22"/>
      <c r="O212" s="22"/>
      <c r="P212" s="22"/>
      <c r="Q212" s="22"/>
      <c r="R212" s="22"/>
      <c r="S212" s="23">
        <f t="shared" si="28"/>
        <v>9658.3460668686093</v>
      </c>
      <c r="T212" s="24">
        <f t="shared" si="29"/>
        <v>9321.9267649122612</v>
      </c>
    </row>
    <row r="213" spans="7:20">
      <c r="G213" s="5">
        <v>210</v>
      </c>
      <c r="H213" s="22">
        <f t="shared" si="23"/>
        <v>272332.55408343789</v>
      </c>
      <c r="I213" s="22">
        <f t="shared" si="24"/>
        <v>819.6033671920901</v>
      </c>
      <c r="J213" s="22">
        <f t="shared" si="25"/>
        <v>8674.3146681358139</v>
      </c>
      <c r="K213" s="22">
        <f t="shared" si="26"/>
        <v>9493.9180353279044</v>
      </c>
      <c r="L213" s="22">
        <f t="shared" si="27"/>
        <v>159.51823249464337</v>
      </c>
      <c r="M213" s="22"/>
      <c r="N213" s="22"/>
      <c r="O213" s="22"/>
      <c r="P213" s="22"/>
      <c r="Q213" s="22"/>
      <c r="R213" s="22"/>
      <c r="S213" s="23">
        <f t="shared" si="28"/>
        <v>9653.436267822548</v>
      </c>
      <c r="T213" s="24">
        <f t="shared" si="29"/>
        <v>9327.0624012603039</v>
      </c>
    </row>
    <row r="214" spans="7:20">
      <c r="G214" s="5">
        <v>211</v>
      </c>
      <c r="H214" s="22">
        <f t="shared" si="23"/>
        <v>263632.93933085335</v>
      </c>
      <c r="I214" s="22">
        <f t="shared" si="24"/>
        <v>794.30328274336057</v>
      </c>
      <c r="J214" s="22">
        <f t="shared" si="25"/>
        <v>8699.6147525845445</v>
      </c>
      <c r="K214" s="22">
        <f t="shared" si="26"/>
        <v>9493.9180353279044</v>
      </c>
      <c r="L214" s="22">
        <f t="shared" si="27"/>
        <v>154.59411320136493</v>
      </c>
      <c r="M214" s="22"/>
      <c r="N214" s="22"/>
      <c r="O214" s="22"/>
      <c r="P214" s="22"/>
      <c r="Q214" s="22"/>
      <c r="R214" s="22"/>
      <c r="S214" s="23">
        <f t="shared" si="28"/>
        <v>9648.5121485292693</v>
      </c>
      <c r="T214" s="24">
        <f t="shared" si="29"/>
        <v>9332.2130165476938</v>
      </c>
    </row>
    <row r="215" spans="7:20">
      <c r="G215" s="5">
        <v>212</v>
      </c>
      <c r="H215" s="22">
        <f t="shared" si="23"/>
        <v>254907.9507019071</v>
      </c>
      <c r="I215" s="22">
        <f t="shared" si="24"/>
        <v>768.92940638165567</v>
      </c>
      <c r="J215" s="22">
        <f t="shared" si="25"/>
        <v>8724.9886289462484</v>
      </c>
      <c r="K215" s="22">
        <f t="shared" si="26"/>
        <v>9493.9180353279044</v>
      </c>
      <c r="L215" s="22">
        <f t="shared" si="27"/>
        <v>149.65563189348111</v>
      </c>
      <c r="M215" s="22"/>
      <c r="N215" s="22"/>
      <c r="O215" s="22"/>
      <c r="P215" s="22"/>
      <c r="Q215" s="22"/>
      <c r="R215" s="22"/>
      <c r="S215" s="23">
        <f t="shared" si="28"/>
        <v>9643.5736672213861</v>
      </c>
      <c r="T215" s="24">
        <f t="shared" si="29"/>
        <v>9337.3786544630075</v>
      </c>
    </row>
    <row r="216" spans="7:20">
      <c r="G216" s="5">
        <v>213</v>
      </c>
      <c r="H216" s="22">
        <f t="shared" si="23"/>
        <v>246157.51418945976</v>
      </c>
      <c r="I216" s="22">
        <f t="shared" si="24"/>
        <v>743.48152288056247</v>
      </c>
      <c r="J216" s="22">
        <f t="shared" si="25"/>
        <v>8750.4365124473425</v>
      </c>
      <c r="K216" s="22">
        <f t="shared" si="26"/>
        <v>9493.9180353279044</v>
      </c>
      <c r="L216" s="22">
        <f t="shared" si="27"/>
        <v>144.70274668178263</v>
      </c>
      <c r="M216" s="22"/>
      <c r="N216" s="22"/>
      <c r="O216" s="22"/>
      <c r="P216" s="22"/>
      <c r="Q216" s="22"/>
      <c r="R216" s="22"/>
      <c r="S216" s="23">
        <f t="shared" si="28"/>
        <v>9638.6207820096861</v>
      </c>
      <c r="T216" s="24">
        <f t="shared" si="29"/>
        <v>9342.5593588222382</v>
      </c>
    </row>
    <row r="217" spans="7:20">
      <c r="G217" s="5">
        <v>214</v>
      </c>
      <c r="H217" s="22">
        <f t="shared" si="23"/>
        <v>237381.55557051778</v>
      </c>
      <c r="I217" s="22">
        <f t="shared" si="24"/>
        <v>717.95941638592433</v>
      </c>
      <c r="J217" s="22">
        <f t="shared" si="25"/>
        <v>8775.9586189419806</v>
      </c>
      <c r="K217" s="22">
        <f t="shared" si="26"/>
        <v>9493.9180353279044</v>
      </c>
      <c r="L217" s="22">
        <f t="shared" si="27"/>
        <v>139.73541555488333</v>
      </c>
      <c r="M217" s="22"/>
      <c r="N217" s="22"/>
      <c r="O217" s="22"/>
      <c r="P217" s="22"/>
      <c r="Q217" s="22"/>
      <c r="R217" s="22"/>
      <c r="S217" s="23">
        <f t="shared" si="28"/>
        <v>9633.6534508827881</v>
      </c>
      <c r="T217" s="24">
        <f t="shared" si="29"/>
        <v>9347.755173569185</v>
      </c>
    </row>
    <row r="218" spans="7:20">
      <c r="G218" s="5">
        <v>215</v>
      </c>
      <c r="H218" s="22">
        <f t="shared" si="23"/>
        <v>228580.0004056039</v>
      </c>
      <c r="I218" s="22">
        <f t="shared" si="24"/>
        <v>692.36287041401022</v>
      </c>
      <c r="J218" s="22">
        <f t="shared" si="25"/>
        <v>8801.5551649138943</v>
      </c>
      <c r="K218" s="22">
        <f t="shared" si="26"/>
        <v>9493.9180353279044</v>
      </c>
      <c r="L218" s="22">
        <f t="shared" si="27"/>
        <v>134.75359637886393</v>
      </c>
      <c r="M218" s="22"/>
      <c r="N218" s="22"/>
      <c r="O218" s="22"/>
      <c r="P218" s="22"/>
      <c r="Q218" s="22"/>
      <c r="R218" s="22"/>
      <c r="S218" s="23">
        <f t="shared" si="28"/>
        <v>9628.6716317067676</v>
      </c>
      <c r="T218" s="24">
        <f t="shared" si="29"/>
        <v>9352.9661427758092</v>
      </c>
    </row>
    <row r="219" spans="7:20">
      <c r="G219" s="5">
        <v>216</v>
      </c>
      <c r="H219" s="22">
        <f t="shared" si="23"/>
        <v>219752.77403812567</v>
      </c>
      <c r="I219" s="22">
        <f t="shared" si="24"/>
        <v>666.69166784967808</v>
      </c>
      <c r="J219" s="22">
        <f t="shared" si="25"/>
        <v>8827.2263674782262</v>
      </c>
      <c r="K219" s="22">
        <f t="shared" si="26"/>
        <v>9493.9180353279044</v>
      </c>
      <c r="L219" s="22">
        <f t="shared" si="27"/>
        <v>129.75724689691449</v>
      </c>
      <c r="M219" s="22"/>
      <c r="N219" s="22"/>
      <c r="O219" s="22"/>
      <c r="P219" s="22"/>
      <c r="Q219" s="22"/>
      <c r="R219" s="22"/>
      <c r="S219" s="23">
        <f t="shared" si="28"/>
        <v>9623.6752822248181</v>
      </c>
      <c r="T219" s="24">
        <f t="shared" si="29"/>
        <v>9358.1923106426202</v>
      </c>
    </row>
    <row r="220" spans="7:20">
      <c r="G220" s="5">
        <v>217</v>
      </c>
      <c r="H220" s="22">
        <f t="shared" si="23"/>
        <v>210899.8015937423</v>
      </c>
      <c r="I220" s="22">
        <f t="shared" si="24"/>
        <v>640.94559094453325</v>
      </c>
      <c r="J220" s="22">
        <f t="shared" si="25"/>
        <v>8852.9724443833711</v>
      </c>
      <c r="K220" s="22">
        <f t="shared" si="26"/>
        <v>9493.9180353279044</v>
      </c>
      <c r="L220" s="22">
        <f t="shared" si="27"/>
        <v>124.74632472897602</v>
      </c>
      <c r="M220" s="22"/>
      <c r="N220" s="22"/>
      <c r="O220" s="22"/>
      <c r="P220" s="22"/>
      <c r="Q220" s="22"/>
      <c r="R220" s="22"/>
      <c r="S220" s="23">
        <f t="shared" si="28"/>
        <v>9618.6643600568805</v>
      </c>
      <c r="T220" s="24">
        <f t="shared" si="29"/>
        <v>9363.4337214990446</v>
      </c>
    </row>
    <row r="221" spans="7:20">
      <c r="G221" s="5">
        <v>218</v>
      </c>
      <c r="H221" s="22">
        <f t="shared" si="23"/>
        <v>202021.00797972947</v>
      </c>
      <c r="I221" s="22">
        <f t="shared" si="24"/>
        <v>615.1244213150818</v>
      </c>
      <c r="J221" s="22">
        <f t="shared" si="25"/>
        <v>8878.7936140128222</v>
      </c>
      <c r="K221" s="22">
        <f t="shared" si="26"/>
        <v>9493.9180353279044</v>
      </c>
      <c r="L221" s="22">
        <f t="shared" si="27"/>
        <v>119.72078737138106</v>
      </c>
      <c r="M221" s="22"/>
      <c r="N221" s="22"/>
      <c r="O221" s="22"/>
      <c r="P221" s="22"/>
      <c r="Q221" s="22"/>
      <c r="R221" s="22"/>
      <c r="S221" s="23">
        <f t="shared" si="28"/>
        <v>9613.6388226992858</v>
      </c>
      <c r="T221" s="24">
        <f t="shared" si="29"/>
        <v>9368.6904198037973</v>
      </c>
    </row>
    <row r="222" spans="7:20">
      <c r="G222" s="5">
        <v>219</v>
      </c>
      <c r="H222" s="22">
        <f t="shared" si="23"/>
        <v>193116.31788434245</v>
      </c>
      <c r="I222" s="22">
        <f t="shared" si="24"/>
        <v>589.22793994087772</v>
      </c>
      <c r="J222" s="22">
        <f t="shared" si="25"/>
        <v>8904.6900953870263</v>
      </c>
      <c r="K222" s="22">
        <f t="shared" si="26"/>
        <v>9493.9180353279044</v>
      </c>
      <c r="L222" s="22">
        <f t="shared" si="27"/>
        <v>114.68059219649311</v>
      </c>
      <c r="M222" s="22"/>
      <c r="N222" s="22"/>
      <c r="O222" s="22"/>
      <c r="P222" s="22"/>
      <c r="Q222" s="22"/>
      <c r="R222" s="22"/>
      <c r="S222" s="23">
        <f t="shared" si="28"/>
        <v>9608.5986275243977</v>
      </c>
      <c r="T222" s="24">
        <f t="shared" si="29"/>
        <v>9373.9624501452745</v>
      </c>
    </row>
    <row r="223" spans="7:20">
      <c r="G223" s="5">
        <v>220</v>
      </c>
      <c r="H223" s="22">
        <f t="shared" si="23"/>
        <v>184185.65577617721</v>
      </c>
      <c r="I223" s="22">
        <f t="shared" si="24"/>
        <v>563.25592716266556</v>
      </c>
      <c r="J223" s="22">
        <f t="shared" si="25"/>
        <v>8930.6621081652393</v>
      </c>
      <c r="K223" s="22">
        <f t="shared" si="26"/>
        <v>9493.9180353279044</v>
      </c>
      <c r="L223" s="22">
        <f t="shared" si="27"/>
        <v>109.62569645234508</v>
      </c>
      <c r="M223" s="22"/>
      <c r="N223" s="22"/>
      <c r="O223" s="22"/>
      <c r="P223" s="22"/>
      <c r="Q223" s="22"/>
      <c r="R223" s="22"/>
      <c r="S223" s="23">
        <f t="shared" si="28"/>
        <v>9603.5437317802498</v>
      </c>
      <c r="T223" s="24">
        <f t="shared" si="29"/>
        <v>9379.2498572419136</v>
      </c>
    </row>
    <row r="224" spans="7:20">
      <c r="G224" s="5">
        <v>221</v>
      </c>
      <c r="H224" s="22">
        <f t="shared" si="23"/>
        <v>175228.94590352982</v>
      </c>
      <c r="I224" s="22">
        <f t="shared" si="24"/>
        <v>537.20816268051692</v>
      </c>
      <c r="J224" s="22">
        <f t="shared" si="25"/>
        <v>8956.7098726473869</v>
      </c>
      <c r="K224" s="22">
        <f t="shared" si="26"/>
        <v>9493.9180353279044</v>
      </c>
      <c r="L224" s="22">
        <f t="shared" si="27"/>
        <v>104.55605726227661</v>
      </c>
      <c r="M224" s="22"/>
      <c r="N224" s="22"/>
      <c r="O224" s="22"/>
      <c r="P224" s="22"/>
      <c r="Q224" s="22"/>
      <c r="R224" s="22"/>
      <c r="S224" s="23">
        <f t="shared" si="28"/>
        <v>9598.4740925901806</v>
      </c>
      <c r="T224" s="24">
        <f t="shared" si="29"/>
        <v>9384.5526859425827</v>
      </c>
    </row>
    <row r="225" spans="7:20">
      <c r="G225" s="5">
        <v>222</v>
      </c>
      <c r="H225" s="22">
        <f t="shared" si="23"/>
        <v>166246.11229375389</v>
      </c>
      <c r="I225" s="22">
        <f t="shared" si="24"/>
        <v>511.084425551962</v>
      </c>
      <c r="J225" s="22">
        <f t="shared" si="25"/>
        <v>8982.833609775942</v>
      </c>
      <c r="K225" s="22">
        <f t="shared" si="26"/>
        <v>9493.9180353279044</v>
      </c>
      <c r="L225" s="22">
        <f t="shared" si="27"/>
        <v>99.471631624570435</v>
      </c>
      <c r="M225" s="22"/>
      <c r="N225" s="22"/>
      <c r="O225" s="22"/>
      <c r="P225" s="22"/>
      <c r="Q225" s="22"/>
      <c r="R225" s="22"/>
      <c r="S225" s="23">
        <f t="shared" si="28"/>
        <v>9593.3896669524747</v>
      </c>
      <c r="T225" s="24">
        <f t="shared" si="29"/>
        <v>9389.8709812269644</v>
      </c>
    </row>
    <row r="226" spans="7:20">
      <c r="G226" s="5">
        <v>223</v>
      </c>
      <c r="H226" s="22">
        <f t="shared" si="23"/>
        <v>157237.0787526161</v>
      </c>
      <c r="I226" s="22">
        <f t="shared" si="24"/>
        <v>484.88449419011556</v>
      </c>
      <c r="J226" s="22">
        <f t="shared" si="25"/>
        <v>9009.0335411377891</v>
      </c>
      <c r="K226" s="22">
        <f t="shared" si="26"/>
        <v>9493.9180353279044</v>
      </c>
      <c r="L226" s="22">
        <f t="shared" si="27"/>
        <v>94.372376412087633</v>
      </c>
      <c r="M226" s="22"/>
      <c r="N226" s="22"/>
      <c r="O226" s="22"/>
      <c r="P226" s="22"/>
      <c r="Q226" s="22"/>
      <c r="R226" s="22"/>
      <c r="S226" s="23">
        <f t="shared" si="28"/>
        <v>9588.2904117399921</v>
      </c>
      <c r="T226" s="24">
        <f t="shared" si="29"/>
        <v>9395.2047882059251</v>
      </c>
    </row>
    <row r="227" spans="7:20">
      <c r="G227" s="5">
        <v>224</v>
      </c>
      <c r="H227" s="22">
        <f t="shared" si="23"/>
        <v>148201.76886364998</v>
      </c>
      <c r="I227" s="22">
        <f t="shared" si="24"/>
        <v>458.60814636179697</v>
      </c>
      <c r="J227" s="22">
        <f t="shared" si="25"/>
        <v>9035.3098889661069</v>
      </c>
      <c r="K227" s="22">
        <f t="shared" si="26"/>
        <v>9493.9180353279044</v>
      </c>
      <c r="L227" s="22">
        <f t="shared" si="27"/>
        <v>89.258248371901743</v>
      </c>
      <c r="M227" s="22"/>
      <c r="N227" s="22"/>
      <c r="O227" s="22"/>
      <c r="P227" s="22"/>
      <c r="Q227" s="22"/>
      <c r="R227" s="22"/>
      <c r="S227" s="23">
        <f t="shared" si="28"/>
        <v>9583.1762836998059</v>
      </c>
      <c r="T227" s="24">
        <f t="shared" si="29"/>
        <v>9400.5541521219056</v>
      </c>
    </row>
    <row r="228" spans="7:20">
      <c r="G228" s="5">
        <v>225</v>
      </c>
      <c r="H228" s="22">
        <f t="shared" si="23"/>
        <v>139140.10598750773</v>
      </c>
      <c r="I228" s="22">
        <f t="shared" si="24"/>
        <v>432.25515918564582</v>
      </c>
      <c r="J228" s="22">
        <f t="shared" si="25"/>
        <v>9061.662876142258</v>
      </c>
      <c r="K228" s="22">
        <f t="shared" si="26"/>
        <v>9493.9180353279044</v>
      </c>
      <c r="L228" s="22">
        <f t="shared" si="27"/>
        <v>84.129204124931988</v>
      </c>
      <c r="M228" s="22"/>
      <c r="N228" s="22"/>
      <c r="O228" s="22"/>
      <c r="P228" s="22"/>
      <c r="Q228" s="22"/>
      <c r="R228" s="22"/>
      <c r="S228" s="23">
        <f t="shared" si="28"/>
        <v>9578.0472394528369</v>
      </c>
      <c r="T228" s="24">
        <f t="shared" si="29"/>
        <v>9405.9191183493112</v>
      </c>
    </row>
    <row r="229" spans="7:20">
      <c r="G229" s="5">
        <v>226</v>
      </c>
      <c r="H229" s="22">
        <f t="shared" si="23"/>
        <v>130052.01326131006</v>
      </c>
      <c r="I229" s="22">
        <f t="shared" si="24"/>
        <v>405.82530913023089</v>
      </c>
      <c r="J229" s="22">
        <f t="shared" si="25"/>
        <v>9088.092726197674</v>
      </c>
      <c r="K229" s="22">
        <f t="shared" si="26"/>
        <v>9493.9180353279044</v>
      </c>
      <c r="L229" s="22">
        <f t="shared" si="27"/>
        <v>78.985200165575236</v>
      </c>
      <c r="M229" s="22"/>
      <c r="N229" s="22"/>
      <c r="O229" s="22"/>
      <c r="P229" s="22"/>
      <c r="Q229" s="22"/>
      <c r="R229" s="22"/>
      <c r="S229" s="23">
        <f t="shared" si="28"/>
        <v>9572.9032354934789</v>
      </c>
      <c r="T229" s="24">
        <f t="shared" si="29"/>
        <v>9411.2997323948766</v>
      </c>
    </row>
    <row r="230" spans="7:20">
      <c r="G230" s="5">
        <v>227</v>
      </c>
      <c r="H230" s="22">
        <f t="shared" si="23"/>
        <v>120937.41359799431</v>
      </c>
      <c r="I230" s="22">
        <f t="shared" si="24"/>
        <v>379.31837201215433</v>
      </c>
      <c r="J230" s="22">
        <f t="shared" si="25"/>
        <v>9114.5996633157501</v>
      </c>
      <c r="K230" s="22">
        <f t="shared" si="26"/>
        <v>9493.9180353279044</v>
      </c>
      <c r="L230" s="22">
        <f t="shared" si="27"/>
        <v>73.82619286133702</v>
      </c>
      <c r="M230" s="22"/>
      <c r="N230" s="22"/>
      <c r="O230" s="22"/>
      <c r="P230" s="22"/>
      <c r="Q230" s="22"/>
      <c r="R230" s="22"/>
      <c r="S230" s="23">
        <f t="shared" si="28"/>
        <v>9567.7442281892418</v>
      </c>
      <c r="T230" s="24">
        <f t="shared" si="29"/>
        <v>9416.6960398980773</v>
      </c>
    </row>
    <row r="231" spans="7:20">
      <c r="G231" s="5">
        <v>228</v>
      </c>
      <c r="H231" s="22">
        <f t="shared" si="23"/>
        <v>111796.22968566055</v>
      </c>
      <c r="I231" s="22">
        <f t="shared" si="24"/>
        <v>352.73412299415008</v>
      </c>
      <c r="J231" s="22">
        <f t="shared" si="25"/>
        <v>9141.1839123337541</v>
      </c>
      <c r="K231" s="22">
        <f t="shared" si="26"/>
        <v>9493.9180353279044</v>
      </c>
      <c r="L231" s="22">
        <f t="shared" si="27"/>
        <v>68.652138452461443</v>
      </c>
      <c r="M231" s="22"/>
      <c r="N231" s="22"/>
      <c r="O231" s="22"/>
      <c r="P231" s="22"/>
      <c r="Q231" s="22"/>
      <c r="R231" s="22"/>
      <c r="S231" s="23">
        <f t="shared" si="28"/>
        <v>9562.5701737803665</v>
      </c>
      <c r="T231" s="24">
        <f t="shared" si="29"/>
        <v>9422.1080866314969</v>
      </c>
    </row>
    <row r="232" spans="7:20">
      <c r="G232" s="5">
        <v>229</v>
      </c>
      <c r="H232" s="22">
        <f t="shared" si="23"/>
        <v>102628.38398691583</v>
      </c>
      <c r="I232" s="22">
        <f t="shared" si="24"/>
        <v>326.07233658317665</v>
      </c>
      <c r="J232" s="22">
        <f t="shared" si="25"/>
        <v>9167.845698744728</v>
      </c>
      <c r="K232" s="22">
        <f t="shared" si="26"/>
        <v>9493.9180353279044</v>
      </c>
      <c r="L232" s="22">
        <f t="shared" si="27"/>
        <v>63.462993051559984</v>
      </c>
      <c r="M232" s="22"/>
      <c r="N232" s="22"/>
      <c r="O232" s="22"/>
      <c r="P232" s="22"/>
      <c r="Q232" s="22"/>
      <c r="R232" s="22"/>
      <c r="S232" s="23">
        <f t="shared" si="28"/>
        <v>9557.3810283794646</v>
      </c>
      <c r="T232" s="24">
        <f t="shared" si="29"/>
        <v>9427.5359185012185</v>
      </c>
    </row>
    <row r="233" spans="7:20">
      <c r="G233" s="5">
        <v>230</v>
      </c>
      <c r="H233" s="22">
        <f t="shared" si="23"/>
        <v>93433.798738216428</v>
      </c>
      <c r="I233" s="22">
        <f t="shared" si="24"/>
        <v>299.33278662850449</v>
      </c>
      <c r="J233" s="22">
        <f t="shared" si="25"/>
        <v>9194.585248699399</v>
      </c>
      <c r="K233" s="22">
        <f t="shared" si="26"/>
        <v>9493.9180353279044</v>
      </c>
      <c r="L233" s="22">
        <f t="shared" si="27"/>
        <v>58.258712643239221</v>
      </c>
      <c r="M233" s="22"/>
      <c r="N233" s="22"/>
      <c r="O233" s="22"/>
      <c r="P233" s="22"/>
      <c r="Q233" s="22"/>
      <c r="R233" s="22"/>
      <c r="S233" s="23">
        <f t="shared" si="28"/>
        <v>9552.1767479711434</v>
      </c>
      <c r="T233" s="24">
        <f t="shared" si="29"/>
        <v>9432.979581547228</v>
      </c>
    </row>
    <row r="234" spans="7:20">
      <c r="G234" s="5">
        <v>231</v>
      </c>
      <c r="H234" s="22">
        <f t="shared" si="23"/>
        <v>84212.395949208323</v>
      </c>
      <c r="I234" s="22">
        <f t="shared" si="24"/>
        <v>272.51524631979794</v>
      </c>
      <c r="J234" s="22">
        <f t="shared" si="25"/>
        <v>9221.402789008107</v>
      </c>
      <c r="K234" s="22">
        <f t="shared" si="26"/>
        <v>9493.9180353279044</v>
      </c>
      <c r="L234" s="22">
        <f t="shared" si="27"/>
        <v>53.03925308372753</v>
      </c>
      <c r="M234" s="22"/>
      <c r="N234" s="22"/>
      <c r="O234" s="22"/>
      <c r="P234" s="22"/>
      <c r="Q234" s="22"/>
      <c r="R234" s="22"/>
      <c r="S234" s="23">
        <f t="shared" si="28"/>
        <v>9546.9572884116315</v>
      </c>
      <c r="T234" s="24">
        <f t="shared" si="29"/>
        <v>9438.4391219437894</v>
      </c>
    </row>
    <row r="235" spans="7:20">
      <c r="G235" s="5">
        <v>232</v>
      </c>
      <c r="H235" s="22">
        <f t="shared" si="23"/>
        <v>74964.097402065614</v>
      </c>
      <c r="I235" s="22">
        <f t="shared" si="24"/>
        <v>245.61948818519096</v>
      </c>
      <c r="J235" s="22">
        <f t="shared" si="25"/>
        <v>9248.2985471427128</v>
      </c>
      <c r="K235" s="22">
        <f t="shared" si="26"/>
        <v>9493.9180353279044</v>
      </c>
      <c r="L235" s="22">
        <f t="shared" si="27"/>
        <v>47.804570100500598</v>
      </c>
      <c r="M235" s="22"/>
      <c r="N235" s="22"/>
      <c r="O235" s="22"/>
      <c r="P235" s="22"/>
      <c r="Q235" s="22"/>
      <c r="R235" s="22"/>
      <c r="S235" s="23">
        <f t="shared" si="28"/>
        <v>9541.7226054284056</v>
      </c>
      <c r="T235" s="24">
        <f t="shared" si="29"/>
        <v>9443.9145859998425</v>
      </c>
    </row>
    <row r="236" spans="7:20">
      <c r="G236" s="5">
        <v>233</v>
      </c>
      <c r="H236" s="22">
        <f t="shared" si="23"/>
        <v>65688.824650827068</v>
      </c>
      <c r="I236" s="22">
        <f t="shared" si="24"/>
        <v>218.64528408935806</v>
      </c>
      <c r="J236" s="22">
        <f t="shared" si="25"/>
        <v>9275.2727512385463</v>
      </c>
      <c r="K236" s="22">
        <f t="shared" si="26"/>
        <v>9493.9180353279044</v>
      </c>
      <c r="L236" s="22">
        <f t="shared" si="27"/>
        <v>42.554619291905915</v>
      </c>
      <c r="M236" s="22"/>
      <c r="N236" s="22"/>
      <c r="O236" s="22"/>
      <c r="P236" s="22"/>
      <c r="Q236" s="22"/>
      <c r="R236" s="22"/>
      <c r="S236" s="23">
        <f t="shared" si="28"/>
        <v>9536.4726546198108</v>
      </c>
      <c r="T236" s="24">
        <f t="shared" si="29"/>
        <v>9449.4060201593893</v>
      </c>
    </row>
    <row r="237" spans="7:20">
      <c r="G237" s="5">
        <v>234</v>
      </c>
      <c r="H237" s="22">
        <f t="shared" si="23"/>
        <v>56386.499020730742</v>
      </c>
      <c r="I237" s="22">
        <f t="shared" si="24"/>
        <v>191.59240523157897</v>
      </c>
      <c r="J237" s="22">
        <f t="shared" si="25"/>
        <v>9302.3256300963258</v>
      </c>
      <c r="K237" s="22">
        <f t="shared" si="26"/>
        <v>9493.9180353279044</v>
      </c>
      <c r="L237" s="22">
        <f t="shared" si="27"/>
        <v>37.289356126786167</v>
      </c>
      <c r="M237" s="22"/>
      <c r="N237" s="22"/>
      <c r="O237" s="22"/>
      <c r="P237" s="22"/>
      <c r="Q237" s="22"/>
      <c r="R237" s="22"/>
      <c r="S237" s="23">
        <f t="shared" si="28"/>
        <v>9531.2073914546909</v>
      </c>
      <c r="T237" s="24">
        <f t="shared" si="29"/>
        <v>9454.9134710019025</v>
      </c>
    </row>
    <row r="238" spans="7:20">
      <c r="G238" s="5">
        <v>235</v>
      </c>
      <c r="H238" s="22">
        <f t="shared" si="23"/>
        <v>47057.041607546635</v>
      </c>
      <c r="I238" s="22">
        <f t="shared" si="24"/>
        <v>164.46062214379799</v>
      </c>
      <c r="J238" s="22">
        <f t="shared" si="25"/>
        <v>9329.4574131841073</v>
      </c>
      <c r="K238" s="22">
        <f t="shared" si="26"/>
        <v>9493.9180353279044</v>
      </c>
      <c r="L238" s="22">
        <f t="shared" si="27"/>
        <v>32.008735944101488</v>
      </c>
      <c r="M238" s="22"/>
      <c r="N238" s="22"/>
      <c r="O238" s="22"/>
      <c r="P238" s="22"/>
      <c r="Q238" s="22"/>
      <c r="R238" s="22"/>
      <c r="S238" s="23">
        <f t="shared" si="28"/>
        <v>9525.9267712720066</v>
      </c>
      <c r="T238" s="24">
        <f t="shared" si="29"/>
        <v>9460.4369852427062</v>
      </c>
    </row>
    <row r="239" spans="7:20">
      <c r="G239" s="5">
        <v>236</v>
      </c>
      <c r="H239" s="22">
        <f t="shared" si="23"/>
        <v>37700.373276907412</v>
      </c>
      <c r="I239" s="22">
        <f t="shared" si="24"/>
        <v>137.2497046886777</v>
      </c>
      <c r="J239" s="22">
        <f t="shared" si="25"/>
        <v>9356.668330639226</v>
      </c>
      <c r="K239" s="22">
        <f t="shared" si="26"/>
        <v>9493.9180353279044</v>
      </c>
      <c r="L239" s="22">
        <f t="shared" si="27"/>
        <v>26.712713952550644</v>
      </c>
      <c r="M239" s="22"/>
      <c r="N239" s="22"/>
      <c r="O239" s="22"/>
      <c r="P239" s="22"/>
      <c r="Q239" s="22"/>
      <c r="R239" s="22"/>
      <c r="S239" s="23">
        <f t="shared" si="28"/>
        <v>9520.6307492804553</v>
      </c>
      <c r="T239" s="24">
        <f t="shared" si="29"/>
        <v>9465.9766097333795</v>
      </c>
    </row>
    <row r="240" spans="7:20">
      <c r="G240" s="5">
        <v>237</v>
      </c>
      <c r="H240" s="22">
        <f t="shared" si="23"/>
        <v>28316.414663637155</v>
      </c>
      <c r="I240" s="22">
        <f t="shared" si="24"/>
        <v>109.95942205764662</v>
      </c>
      <c r="J240" s="22">
        <f t="shared" si="25"/>
        <v>9383.958613270257</v>
      </c>
      <c r="K240" s="22">
        <f t="shared" si="26"/>
        <v>9493.9180353279044</v>
      </c>
      <c r="L240" s="22">
        <f t="shared" si="27"/>
        <v>21.401245230191112</v>
      </c>
      <c r="M240" s="22"/>
      <c r="N240" s="22"/>
      <c r="O240" s="22"/>
      <c r="P240" s="22"/>
      <c r="Q240" s="22"/>
      <c r="R240" s="22"/>
      <c r="S240" s="23">
        <f t="shared" si="28"/>
        <v>9515.3192805580948</v>
      </c>
      <c r="T240" s="24">
        <f t="shared" si="29"/>
        <v>9471.5323914621495</v>
      </c>
    </row>
    <row r="241" spans="7:20">
      <c r="G241" s="5">
        <v>238</v>
      </c>
      <c r="H241" s="22">
        <f t="shared" si="23"/>
        <v>18905.08617107819</v>
      </c>
      <c r="I241" s="22">
        <f t="shared" si="24"/>
        <v>82.589542768941712</v>
      </c>
      <c r="J241" s="22">
        <f t="shared" si="25"/>
        <v>9411.3284925589633</v>
      </c>
      <c r="K241" s="22">
        <f t="shared" si="26"/>
        <v>9493.9180353279044</v>
      </c>
      <c r="L241" s="22">
        <f t="shared" si="27"/>
        <v>16.074284724058028</v>
      </c>
      <c r="M241" s="22"/>
      <c r="N241" s="22"/>
      <c r="O241" s="22"/>
      <c r="P241" s="22"/>
      <c r="Q241" s="22"/>
      <c r="R241" s="22"/>
      <c r="S241" s="23">
        <f t="shared" si="28"/>
        <v>9509.9923200519625</v>
      </c>
      <c r="T241" s="24">
        <f t="shared" si="29"/>
        <v>9477.1043775542967</v>
      </c>
    </row>
    <row r="242" spans="7:20">
      <c r="G242" s="5">
        <v>239</v>
      </c>
      <c r="H242" s="22">
        <f t="shared" si="23"/>
        <v>9466.30797041593</v>
      </c>
      <c r="I242" s="22">
        <f t="shared" si="24"/>
        <v>55.13983466564472</v>
      </c>
      <c r="J242" s="22">
        <f t="shared" si="25"/>
        <v>9438.7782006622601</v>
      </c>
      <c r="K242" s="22">
        <f t="shared" si="26"/>
        <v>9493.9180353279044</v>
      </c>
      <c r="L242" s="22">
        <f t="shared" si="27"/>
        <v>10.731787249782053</v>
      </c>
      <c r="M242" s="22"/>
      <c r="N242" s="22"/>
      <c r="O242" s="22"/>
      <c r="P242" s="22"/>
      <c r="Q242" s="22"/>
      <c r="R242" s="22"/>
      <c r="S242" s="23">
        <f t="shared" si="28"/>
        <v>9504.6498225776868</v>
      </c>
      <c r="T242" s="24">
        <f t="shared" si="29"/>
        <v>9482.6926152725446</v>
      </c>
    </row>
    <row r="243" spans="7:20">
      <c r="G243" s="5">
        <v>240</v>
      </c>
      <c r="H243" s="22">
        <f t="shared" si="23"/>
        <v>1.7389538697898388E-9</v>
      </c>
      <c r="I243" s="22">
        <f t="shared" si="24"/>
        <v>27.610064913713131</v>
      </c>
      <c r="J243" s="22">
        <f t="shared" si="25"/>
        <v>9466.307970414191</v>
      </c>
      <c r="K243" s="22">
        <f t="shared" si="26"/>
        <v>9493.9180353279044</v>
      </c>
      <c r="L243" s="22">
        <f t="shared" si="27"/>
        <v>5.37370749120611</v>
      </c>
      <c r="M243" s="22"/>
      <c r="N243" s="22"/>
      <c r="O243" s="22"/>
      <c r="P243" s="22"/>
      <c r="Q243" s="22"/>
      <c r="R243" s="22"/>
      <c r="S243" s="23">
        <f t="shared" si="28"/>
        <v>9499.2917428191104</v>
      </c>
      <c r="T243" s="24">
        <f t="shared" si="29"/>
        <v>9488.2971520174706</v>
      </c>
    </row>
    <row r="244" spans="7:20">
      <c r="G244" s="5">
        <v>241</v>
      </c>
      <c r="H244" s="22">
        <f t="shared" si="23"/>
        <v>1.7440258185767258E-9</v>
      </c>
      <c r="I244" s="22">
        <f t="shared" si="24"/>
        <v>5.0719487868870302E-12</v>
      </c>
      <c r="J244" s="22">
        <f t="shared" si="25"/>
        <v>-5.0719487868870302E-12</v>
      </c>
      <c r="K244" s="22">
        <f t="shared" si="26"/>
        <v>0</v>
      </c>
      <c r="L244" s="22">
        <f t="shared" si="27"/>
        <v>9.8714614675069853E-13</v>
      </c>
      <c r="M244" s="22"/>
      <c r="N244" s="22"/>
      <c r="O244" s="22"/>
      <c r="P244" s="22"/>
      <c r="Q244" s="22"/>
      <c r="R244" s="22"/>
      <c r="S244" s="23">
        <f t="shared" si="28"/>
        <v>9.8714614675069853E-13</v>
      </c>
      <c r="T244" s="24">
        <f t="shared" si="29"/>
        <v>-1.0325521644618774E-12</v>
      </c>
    </row>
    <row r="245" spans="7:20">
      <c r="G245" s="5">
        <v>242</v>
      </c>
      <c r="H245" s="22">
        <f t="shared" si="23"/>
        <v>1.7491125605475745E-9</v>
      </c>
      <c r="I245" s="22">
        <f t="shared" si="24"/>
        <v>5.0867419708487837E-12</v>
      </c>
      <c r="J245" s="22">
        <f t="shared" si="25"/>
        <v>-5.0867419708487837E-12</v>
      </c>
      <c r="K245" s="22">
        <f t="shared" si="26"/>
        <v>0</v>
      </c>
      <c r="L245" s="22">
        <f t="shared" si="27"/>
        <v>9.9002532301205487E-13</v>
      </c>
      <c r="M245" s="22"/>
      <c r="N245" s="22"/>
      <c r="O245" s="22"/>
      <c r="P245" s="22"/>
      <c r="Q245" s="22"/>
      <c r="R245" s="22"/>
      <c r="S245" s="23">
        <f t="shared" si="28"/>
        <v>9.9002532301205487E-13</v>
      </c>
      <c r="T245" s="24">
        <f t="shared" si="29"/>
        <v>-1.0355637749415576E-12</v>
      </c>
    </row>
    <row r="246" spans="7:20">
      <c r="G246" s="5">
        <v>243</v>
      </c>
      <c r="H246" s="22">
        <f t="shared" si="23"/>
        <v>1.7542141388491717E-9</v>
      </c>
      <c r="I246" s="22">
        <f t="shared" si="24"/>
        <v>5.1015783015970923E-12</v>
      </c>
      <c r="J246" s="22">
        <f t="shared" si="25"/>
        <v>-5.1015783015970923E-12</v>
      </c>
      <c r="K246" s="22">
        <f t="shared" si="26"/>
        <v>0</v>
      </c>
      <c r="L246" s="22">
        <f t="shared" si="27"/>
        <v>9.9291289687083988E-13</v>
      </c>
      <c r="M246" s="22"/>
      <c r="N246" s="22"/>
      <c r="O246" s="22"/>
      <c r="P246" s="22"/>
      <c r="Q246" s="22"/>
      <c r="R246" s="22"/>
      <c r="S246" s="23">
        <f t="shared" si="28"/>
        <v>9.9291289687083988E-13</v>
      </c>
      <c r="T246" s="24">
        <f t="shared" si="29"/>
        <v>-1.0385841692851372E-12</v>
      </c>
    </row>
    <row r="247" spans="7:20">
      <c r="G247" s="5">
        <v>244</v>
      </c>
      <c r="H247" s="22">
        <f t="shared" si="23"/>
        <v>1.7593305967541484E-9</v>
      </c>
      <c r="I247" s="22">
        <f t="shared" si="24"/>
        <v>5.1164579049767505E-12</v>
      </c>
      <c r="J247" s="22">
        <f t="shared" si="25"/>
        <v>-5.1164579049767505E-12</v>
      </c>
      <c r="K247" s="22">
        <f t="shared" si="26"/>
        <v>0</v>
      </c>
      <c r="L247" s="22">
        <f t="shared" si="27"/>
        <v>9.9580889282004658E-13</v>
      </c>
      <c r="M247" s="22"/>
      <c r="N247" s="22"/>
      <c r="O247" s="22"/>
      <c r="P247" s="22"/>
      <c r="Q247" s="22"/>
      <c r="R247" s="22"/>
      <c r="S247" s="23">
        <f t="shared" si="28"/>
        <v>9.9580889282004658E-13</v>
      </c>
      <c r="T247" s="24">
        <f t="shared" si="29"/>
        <v>-1.0416133731122187E-12</v>
      </c>
    </row>
    <row r="248" spans="7:20">
      <c r="G248" s="5">
        <v>245</v>
      </c>
      <c r="H248" s="22">
        <f t="shared" si="23"/>
        <v>1.7644619776613481E-9</v>
      </c>
      <c r="I248" s="22">
        <f t="shared" si="24"/>
        <v>5.1313809071995999E-12</v>
      </c>
      <c r="J248" s="22">
        <f t="shared" si="25"/>
        <v>-5.1313809071995999E-12</v>
      </c>
      <c r="K248" s="22">
        <f t="shared" si="26"/>
        <v>0</v>
      </c>
      <c r="L248" s="22">
        <f t="shared" si="27"/>
        <v>9.9871333542410503E-13</v>
      </c>
      <c r="M248" s="22"/>
      <c r="N248" s="22"/>
      <c r="O248" s="22"/>
      <c r="P248" s="22"/>
      <c r="Q248" s="22"/>
      <c r="R248" s="22"/>
      <c r="S248" s="23">
        <f t="shared" si="28"/>
        <v>9.9871333542410503E-13</v>
      </c>
      <c r="T248" s="24">
        <f t="shared" si="29"/>
        <v>-1.0446514121171299E-12</v>
      </c>
    </row>
    <row r="249" spans="7:20">
      <c r="G249" s="5">
        <v>246</v>
      </c>
      <c r="H249" s="22">
        <f t="shared" si="23"/>
        <v>1.7696083250961936E-9</v>
      </c>
      <c r="I249" s="22">
        <f t="shared" si="24"/>
        <v>5.1463474348455991E-12</v>
      </c>
      <c r="J249" s="22">
        <f t="shared" si="25"/>
        <v>-5.1463474348455991E-12</v>
      </c>
      <c r="K249" s="22">
        <f t="shared" si="26"/>
        <v>0</v>
      </c>
      <c r="L249" s="22">
        <f t="shared" si="27"/>
        <v>1.0016262493190921E-12</v>
      </c>
      <c r="M249" s="22"/>
      <c r="N249" s="22"/>
      <c r="O249" s="22"/>
      <c r="P249" s="22"/>
      <c r="Q249" s="22"/>
      <c r="R249" s="22"/>
      <c r="S249" s="23">
        <f t="shared" si="28"/>
        <v>1.0016262493190921E-12</v>
      </c>
      <c r="T249" s="24">
        <f t="shared" si="29"/>
        <v>-1.0476983120691382E-12</v>
      </c>
    </row>
    <row r="250" spans="7:20">
      <c r="G250" s="5">
        <v>247</v>
      </c>
      <c r="H250" s="22">
        <f t="shared" si="23"/>
        <v>1.7747696827110575E-9</v>
      </c>
      <c r="I250" s="22">
        <f t="shared" si="24"/>
        <v>5.1613576148638984E-12</v>
      </c>
      <c r="J250" s="22">
        <f t="shared" si="25"/>
        <v>-5.1613576148638984E-12</v>
      </c>
      <c r="K250" s="22">
        <f t="shared" si="26"/>
        <v>0</v>
      </c>
      <c r="L250" s="22">
        <f t="shared" si="27"/>
        <v>1.0045476592129394E-12</v>
      </c>
      <c r="M250" s="22"/>
      <c r="N250" s="22"/>
      <c r="O250" s="22"/>
      <c r="P250" s="22"/>
      <c r="Q250" s="22"/>
      <c r="R250" s="22"/>
      <c r="S250" s="23">
        <f t="shared" si="28"/>
        <v>1.0045476592129394E-12</v>
      </c>
      <c r="T250" s="24">
        <f t="shared" si="29"/>
        <v>-1.0507540988126732E-12</v>
      </c>
    </row>
    <row r="251" spans="7:20">
      <c r="G251" s="5">
        <v>248</v>
      </c>
      <c r="H251" s="22">
        <f t="shared" si="23"/>
        <v>1.7799460942856314E-9</v>
      </c>
      <c r="I251" s="22">
        <f t="shared" si="24"/>
        <v>5.1764115745739178E-12</v>
      </c>
      <c r="J251" s="22">
        <f t="shared" si="25"/>
        <v>-5.1764115745739178E-12</v>
      </c>
      <c r="K251" s="22">
        <f t="shared" si="26"/>
        <v>0</v>
      </c>
      <c r="L251" s="22">
        <f t="shared" si="27"/>
        <v>1.0074775898856437E-12</v>
      </c>
      <c r="M251" s="22"/>
      <c r="N251" s="22"/>
      <c r="O251" s="22"/>
      <c r="P251" s="22"/>
      <c r="Q251" s="22"/>
      <c r="R251" s="22"/>
      <c r="S251" s="23">
        <f t="shared" si="28"/>
        <v>1.0074775898856437E-12</v>
      </c>
      <c r="T251" s="24">
        <f t="shared" si="29"/>
        <v>-1.0538187982675435E-12</v>
      </c>
    </row>
    <row r="252" spans="7:20">
      <c r="G252" s="5">
        <v>249</v>
      </c>
      <c r="H252" s="22">
        <f t="shared" si="23"/>
        <v>1.7851376037272979E-9</v>
      </c>
      <c r="I252" s="22">
        <f t="shared" si="24"/>
        <v>5.1915094416664252E-12</v>
      </c>
      <c r="J252" s="22">
        <f t="shared" si="25"/>
        <v>-5.1915094416664252E-12</v>
      </c>
      <c r="K252" s="22">
        <f t="shared" si="26"/>
        <v>0</v>
      </c>
      <c r="L252" s="22">
        <f t="shared" si="27"/>
        <v>1.010416066189477E-12</v>
      </c>
      <c r="M252" s="22"/>
      <c r="N252" s="22"/>
      <c r="O252" s="22"/>
      <c r="P252" s="22"/>
      <c r="Q252" s="22"/>
      <c r="R252" s="22"/>
      <c r="S252" s="23">
        <f t="shared" si="28"/>
        <v>1.010416066189477E-12</v>
      </c>
      <c r="T252" s="24">
        <f t="shared" si="29"/>
        <v>-1.0568924364291571E-12</v>
      </c>
    </row>
    <row r="253" spans="7:20">
      <c r="G253" s="5">
        <v>250</v>
      </c>
      <c r="H253" s="22">
        <f t="shared" si="23"/>
        <v>1.7903442550715026E-9</v>
      </c>
      <c r="I253" s="22">
        <f t="shared" si="24"/>
        <v>5.206651344204619E-12</v>
      </c>
      <c r="J253" s="22">
        <f t="shared" si="25"/>
        <v>-5.206651344204619E-12</v>
      </c>
      <c r="K253" s="22">
        <f t="shared" si="26"/>
        <v>0</v>
      </c>
      <c r="L253" s="22">
        <f t="shared" si="27"/>
        <v>1.0133631130491962E-12</v>
      </c>
      <c r="M253" s="22"/>
      <c r="N253" s="22"/>
      <c r="O253" s="22"/>
      <c r="P253" s="22"/>
      <c r="Q253" s="22"/>
      <c r="R253" s="22"/>
      <c r="S253" s="23">
        <f t="shared" si="28"/>
        <v>1.0133631130491962E-12</v>
      </c>
      <c r="T253" s="24">
        <f t="shared" si="29"/>
        <v>-1.0599750393687418E-12</v>
      </c>
    </row>
    <row r="254" spans="7:20">
      <c r="G254" s="5">
        <v>251</v>
      </c>
      <c r="H254" s="22">
        <f t="shared" si="23"/>
        <v>1.7955660924821279E-9</v>
      </c>
      <c r="I254" s="22">
        <f t="shared" si="24"/>
        <v>5.2218374106252166E-12</v>
      </c>
      <c r="J254" s="22">
        <f t="shared" si="25"/>
        <v>-5.2218374106252166E-12</v>
      </c>
      <c r="K254" s="22">
        <f t="shared" si="26"/>
        <v>0</v>
      </c>
      <c r="L254" s="22">
        <f t="shared" si="27"/>
        <v>1.0163187554622564E-12</v>
      </c>
      <c r="M254" s="22"/>
      <c r="N254" s="22"/>
      <c r="O254" s="22"/>
      <c r="P254" s="22"/>
      <c r="Q254" s="22"/>
      <c r="R254" s="22"/>
      <c r="S254" s="23">
        <f t="shared" si="28"/>
        <v>1.0163187554622564E-12</v>
      </c>
      <c r="T254" s="24">
        <f t="shared" si="29"/>
        <v>-1.0630666332335679E-12</v>
      </c>
    </row>
    <row r="255" spans="7:20">
      <c r="G255" s="5">
        <v>252</v>
      </c>
      <c r="H255" s="22">
        <f t="shared" si="23"/>
        <v>1.8008031602518674E-9</v>
      </c>
      <c r="I255" s="22">
        <f t="shared" si="24"/>
        <v>5.23706776973954E-12</v>
      </c>
      <c r="J255" s="22">
        <f t="shared" si="25"/>
        <v>-5.23706776973954E-12</v>
      </c>
      <c r="K255" s="22">
        <f t="shared" si="26"/>
        <v>0</v>
      </c>
      <c r="L255" s="22">
        <f t="shared" si="27"/>
        <v>1.0192830184990214E-12</v>
      </c>
      <c r="M255" s="22"/>
      <c r="N255" s="22"/>
      <c r="O255" s="22"/>
      <c r="P255" s="22"/>
      <c r="Q255" s="22"/>
      <c r="R255" s="22"/>
      <c r="S255" s="23">
        <f t="shared" si="28"/>
        <v>1.0192830184990214E-12</v>
      </c>
      <c r="T255" s="24">
        <f t="shared" si="29"/>
        <v>-1.0661672442471653E-12</v>
      </c>
    </row>
    <row r="256" spans="7:20">
      <c r="G256" s="5">
        <v>253</v>
      </c>
      <c r="H256" s="22">
        <f t="shared" si="23"/>
        <v>1.8060555028026021E-9</v>
      </c>
      <c r="I256" s="22">
        <f t="shared" si="24"/>
        <v>5.2523425507346136E-12</v>
      </c>
      <c r="J256" s="22">
        <f t="shared" si="25"/>
        <v>-5.2523425507346136E-12</v>
      </c>
      <c r="K256" s="22">
        <f t="shared" si="26"/>
        <v>0</v>
      </c>
      <c r="L256" s="22">
        <f t="shared" si="27"/>
        <v>1.0222559273029768E-12</v>
      </c>
      <c r="M256" s="22"/>
      <c r="N256" s="22"/>
      <c r="O256" s="22"/>
      <c r="P256" s="22"/>
      <c r="Q256" s="22"/>
      <c r="R256" s="22"/>
      <c r="S256" s="23">
        <f t="shared" si="28"/>
        <v>1.0222559273029768E-12</v>
      </c>
      <c r="T256" s="24">
        <f t="shared" si="29"/>
        <v>-1.0692768987095533E-12</v>
      </c>
    </row>
    <row r="257" spans="7:20">
      <c r="G257" s="5">
        <v>254</v>
      </c>
      <c r="H257" s="22">
        <f t="shared" si="23"/>
        <v>1.8113231646857765E-9</v>
      </c>
      <c r="I257" s="22">
        <f t="shared" si="24"/>
        <v>5.2676618831742562E-12</v>
      </c>
      <c r="J257" s="22">
        <f t="shared" si="25"/>
        <v>-5.2676618831742562E-12</v>
      </c>
      <c r="K257" s="22">
        <f t="shared" si="26"/>
        <v>0</v>
      </c>
      <c r="L257" s="22">
        <f t="shared" si="27"/>
        <v>1.025237507090944E-12</v>
      </c>
      <c r="M257" s="22"/>
      <c r="N257" s="22"/>
      <c r="O257" s="22"/>
      <c r="P257" s="22"/>
      <c r="Q257" s="22"/>
      <c r="R257" s="22"/>
      <c r="S257" s="23">
        <f t="shared" si="28"/>
        <v>1.025237507090944E-12</v>
      </c>
      <c r="T257" s="24">
        <f t="shared" si="29"/>
        <v>-1.072395622997456E-12</v>
      </c>
    </row>
    <row r="258" spans="7:20">
      <c r="G258" s="5">
        <v>255</v>
      </c>
      <c r="H258" s="22">
        <f t="shared" si="23"/>
        <v>1.8166061905827766E-9</v>
      </c>
      <c r="I258" s="22">
        <f t="shared" si="24"/>
        <v>5.2830258970001815E-12</v>
      </c>
      <c r="J258" s="22">
        <f t="shared" si="25"/>
        <v>-5.2830258970001815E-12</v>
      </c>
      <c r="K258" s="22">
        <f t="shared" si="26"/>
        <v>0</v>
      </c>
      <c r="L258" s="22">
        <f t="shared" si="27"/>
        <v>1.0282277831532926E-12</v>
      </c>
      <c r="M258" s="22"/>
      <c r="N258" s="22"/>
      <c r="O258" s="22"/>
      <c r="P258" s="22"/>
      <c r="Q258" s="22"/>
      <c r="R258" s="22"/>
      <c r="S258" s="23">
        <f t="shared" si="28"/>
        <v>1.0282277831532926E-12</v>
      </c>
      <c r="T258" s="24">
        <f t="shared" si="29"/>
        <v>-1.0755234435645318E-12</v>
      </c>
    </row>
    <row r="259" spans="7:20">
      <c r="G259" s="5">
        <v>256</v>
      </c>
      <c r="H259" s="22">
        <f t="shared" si="23"/>
        <v>1.8219046253053098E-9</v>
      </c>
      <c r="I259" s="22">
        <f t="shared" si="24"/>
        <v>5.2984347225330986E-12</v>
      </c>
      <c r="J259" s="22">
        <f t="shared" si="25"/>
        <v>-5.2984347225330986E-12</v>
      </c>
      <c r="K259" s="22">
        <f t="shared" si="26"/>
        <v>0</v>
      </c>
      <c r="L259" s="22">
        <f t="shared" si="27"/>
        <v>1.0312267808541563E-12</v>
      </c>
      <c r="M259" s="22"/>
      <c r="N259" s="22"/>
      <c r="O259" s="22"/>
      <c r="P259" s="22"/>
      <c r="Q259" s="22"/>
      <c r="R259" s="22"/>
      <c r="S259" s="23">
        <f t="shared" si="28"/>
        <v>1.0312267808541563E-12</v>
      </c>
      <c r="T259" s="24">
        <f t="shared" si="29"/>
        <v>-1.0786603869415953E-12</v>
      </c>
    </row>
    <row r="260" spans="7:20">
      <c r="G260" s="5">
        <v>257</v>
      </c>
      <c r="H260" s="22">
        <f t="shared" ref="H260:H323" si="30">H259-J260</f>
        <v>1.8272185137957836E-9</v>
      </c>
      <c r="I260" s="22">
        <f t="shared" ref="I260:I323" si="31">$E$9/$E$13*H259</f>
        <v>5.3138884904738201E-12</v>
      </c>
      <c r="J260" s="22">
        <f t="shared" ref="J260:J323" si="32">K260-I260</f>
        <v>-5.3138884904738201E-12</v>
      </c>
      <c r="K260" s="22">
        <f t="shared" ref="K260:K323" si="33">IF(G260&gt;$E$14,0,$E$16)</f>
        <v>0</v>
      </c>
      <c r="L260" s="22">
        <f t="shared" ref="L260:L323" si="34">$E$10/$E$13*H259</f>
        <v>1.0342345256316476E-12</v>
      </c>
      <c r="M260" s="22"/>
      <c r="N260" s="22"/>
      <c r="O260" s="22"/>
      <c r="P260" s="22"/>
      <c r="Q260" s="22"/>
      <c r="R260" s="22"/>
      <c r="S260" s="23">
        <f t="shared" ref="S260:S323" si="35">K260+L260</f>
        <v>1.0342345256316476E-12</v>
      </c>
      <c r="T260" s="24">
        <f t="shared" ref="T260:T323" si="36">S260-1/3*(I260+L260)</f>
        <v>-1.0818064797368415E-12</v>
      </c>
    </row>
    <row r="261" spans="7:20">
      <c r="G261" s="5">
        <v>258</v>
      </c>
      <c r="H261" s="22">
        <f t="shared" si="30"/>
        <v>1.8325479011276879E-9</v>
      </c>
      <c r="I261" s="22">
        <f t="shared" si="31"/>
        <v>5.3293873319043686E-12</v>
      </c>
      <c r="J261" s="22">
        <f t="shared" si="32"/>
        <v>-5.3293873319043686E-12</v>
      </c>
      <c r="K261" s="22">
        <f t="shared" si="33"/>
        <v>0</v>
      </c>
      <c r="L261" s="22">
        <f t="shared" si="34"/>
        <v>1.0372510429980733E-12</v>
      </c>
      <c r="M261" s="22"/>
      <c r="N261" s="22"/>
      <c r="O261" s="22"/>
      <c r="P261" s="22"/>
      <c r="Q261" s="22"/>
      <c r="R261" s="22"/>
      <c r="S261" s="23">
        <f t="shared" si="35"/>
        <v>1.0372510429980733E-12</v>
      </c>
      <c r="T261" s="24">
        <f t="shared" si="36"/>
        <v>-1.0849617486360737E-12</v>
      </c>
    </row>
    <row r="262" spans="7:20">
      <c r="G262" s="5">
        <v>259</v>
      </c>
      <c r="H262" s="22">
        <f t="shared" si="30"/>
        <v>1.8378928325059769E-9</v>
      </c>
      <c r="I262" s="22">
        <f t="shared" si="31"/>
        <v>5.3449313782890902E-12</v>
      </c>
      <c r="J262" s="22">
        <f t="shared" si="32"/>
        <v>-5.3449313782890902E-12</v>
      </c>
      <c r="K262" s="22">
        <f t="shared" si="33"/>
        <v>0</v>
      </c>
      <c r="L262" s="22">
        <f t="shared" si="34"/>
        <v>1.0402763585401509E-12</v>
      </c>
      <c r="M262" s="22"/>
      <c r="N262" s="22"/>
      <c r="O262" s="22"/>
      <c r="P262" s="22"/>
      <c r="Q262" s="22"/>
      <c r="R262" s="22"/>
      <c r="S262" s="23">
        <f t="shared" si="35"/>
        <v>1.0402763585401509E-12</v>
      </c>
      <c r="T262" s="24">
        <f t="shared" si="36"/>
        <v>-1.0881262204029294E-12</v>
      </c>
    </row>
    <row r="263" spans="7:20">
      <c r="G263" s="5">
        <v>260</v>
      </c>
      <c r="H263" s="22">
        <f t="shared" si="30"/>
        <v>1.8432533532674526E-9</v>
      </c>
      <c r="I263" s="22">
        <f t="shared" si="31"/>
        <v>5.3605207614757665E-12</v>
      </c>
      <c r="J263" s="22">
        <f t="shared" si="32"/>
        <v>-5.3605207614757665E-12</v>
      </c>
      <c r="K263" s="22">
        <f t="shared" si="33"/>
        <v>0</v>
      </c>
      <c r="L263" s="22">
        <f t="shared" si="34"/>
        <v>1.0433104979192264E-12</v>
      </c>
      <c r="M263" s="22"/>
      <c r="N263" s="22"/>
      <c r="O263" s="22"/>
      <c r="P263" s="22"/>
      <c r="Q263" s="22"/>
      <c r="R263" s="22"/>
      <c r="S263" s="23">
        <f t="shared" si="35"/>
        <v>1.0433104979192264E-12</v>
      </c>
      <c r="T263" s="24">
        <f t="shared" si="36"/>
        <v>-1.0912999218791047E-12</v>
      </c>
    </row>
    <row r="264" spans="7:20">
      <c r="G264" s="5">
        <v>261</v>
      </c>
      <c r="H264" s="22">
        <f t="shared" si="30"/>
        <v>1.8486295088811492E-9</v>
      </c>
      <c r="I264" s="22">
        <f t="shared" si="31"/>
        <v>5.3761556136967368E-12</v>
      </c>
      <c r="J264" s="22">
        <f t="shared" si="32"/>
        <v>-5.3761556136967368E-12</v>
      </c>
      <c r="K264" s="22">
        <f t="shared" si="33"/>
        <v>0</v>
      </c>
      <c r="L264" s="22">
        <f t="shared" si="34"/>
        <v>1.0463534868714906E-12</v>
      </c>
      <c r="M264" s="22"/>
      <c r="N264" s="22"/>
      <c r="O264" s="22"/>
      <c r="P264" s="22"/>
      <c r="Q264" s="22"/>
      <c r="R264" s="22"/>
      <c r="S264" s="23">
        <f t="shared" si="35"/>
        <v>1.0463534868714906E-12</v>
      </c>
      <c r="T264" s="24">
        <f t="shared" si="36"/>
        <v>-1.094482879984585E-12</v>
      </c>
    </row>
    <row r="265" spans="7:20">
      <c r="G265" s="5">
        <v>262</v>
      </c>
      <c r="H265" s="22">
        <f t="shared" si="30"/>
        <v>1.8540213449487192E-9</v>
      </c>
      <c r="I265" s="22">
        <f t="shared" si="31"/>
        <v>5.3918360675700185E-12</v>
      </c>
      <c r="J265" s="22">
        <f t="shared" si="32"/>
        <v>-5.3918360675700185E-12</v>
      </c>
      <c r="K265" s="22">
        <f t="shared" si="33"/>
        <v>0</v>
      </c>
      <c r="L265" s="22">
        <f t="shared" si="34"/>
        <v>1.0494053512081991E-12</v>
      </c>
      <c r="M265" s="22"/>
      <c r="N265" s="22"/>
      <c r="O265" s="22"/>
      <c r="P265" s="22"/>
      <c r="Q265" s="22"/>
      <c r="R265" s="22"/>
      <c r="S265" s="23">
        <f t="shared" si="35"/>
        <v>1.0494053512081991E-12</v>
      </c>
      <c r="T265" s="24">
        <f t="shared" si="36"/>
        <v>-1.0976751217178734E-12</v>
      </c>
    </row>
    <row r="266" spans="7:20">
      <c r="G266" s="5">
        <v>263</v>
      </c>
      <c r="H266" s="22">
        <f t="shared" si="30"/>
        <v>1.8594289072048196E-9</v>
      </c>
      <c r="I266" s="22">
        <f t="shared" si="31"/>
        <v>5.4075622561004317E-12</v>
      </c>
      <c r="J266" s="22">
        <f t="shared" si="32"/>
        <v>-5.4075622561004317E-12</v>
      </c>
      <c r="K266" s="22">
        <f t="shared" si="33"/>
        <v>0</v>
      </c>
      <c r="L266" s="22">
        <f t="shared" si="34"/>
        <v>1.0524661168158898E-12</v>
      </c>
      <c r="M266" s="22"/>
      <c r="N266" s="22"/>
      <c r="O266" s="22"/>
      <c r="P266" s="22"/>
      <c r="Q266" s="22"/>
      <c r="R266" s="22"/>
      <c r="S266" s="23">
        <f t="shared" si="35"/>
        <v>1.0524661168158898E-12</v>
      </c>
      <c r="T266" s="24">
        <f t="shared" si="36"/>
        <v>-1.1008766741562172E-12</v>
      </c>
    </row>
    <row r="267" spans="7:20">
      <c r="G267" s="5">
        <v>264</v>
      </c>
      <c r="H267" s="22">
        <f t="shared" si="30"/>
        <v>1.8648522415175003E-9</v>
      </c>
      <c r="I267" s="22">
        <f t="shared" si="31"/>
        <v>5.4233343126807238E-12</v>
      </c>
      <c r="J267" s="22">
        <f t="shared" si="32"/>
        <v>-5.4233343126807238E-12</v>
      </c>
      <c r="K267" s="22">
        <f t="shared" si="33"/>
        <v>0</v>
      </c>
      <c r="L267" s="22">
        <f t="shared" si="34"/>
        <v>1.0555358096566028E-12</v>
      </c>
      <c r="M267" s="22"/>
      <c r="N267" s="22"/>
      <c r="O267" s="22"/>
      <c r="P267" s="22"/>
      <c r="Q267" s="22"/>
      <c r="R267" s="22"/>
      <c r="S267" s="23">
        <f t="shared" si="35"/>
        <v>1.0555358096566028E-12</v>
      </c>
      <c r="T267" s="24">
        <f t="shared" si="36"/>
        <v>-1.1040875644558393E-12</v>
      </c>
    </row>
    <row r="268" spans="7:20">
      <c r="G268" s="5">
        <v>265</v>
      </c>
      <c r="H268" s="22">
        <f t="shared" si="30"/>
        <v>1.870291393888593E-9</v>
      </c>
      <c r="I268" s="22">
        <f t="shared" si="31"/>
        <v>5.4391523710927094E-12</v>
      </c>
      <c r="J268" s="22">
        <f t="shared" si="32"/>
        <v>-5.4391523710927094E-12</v>
      </c>
      <c r="K268" s="22">
        <f t="shared" si="33"/>
        <v>0</v>
      </c>
      <c r="L268" s="22">
        <f t="shared" si="34"/>
        <v>1.0586144557681011E-12</v>
      </c>
      <c r="M268" s="22"/>
      <c r="N268" s="22"/>
      <c r="O268" s="22"/>
      <c r="P268" s="22"/>
      <c r="Q268" s="22"/>
      <c r="R268" s="22"/>
      <c r="S268" s="23">
        <f t="shared" si="35"/>
        <v>1.0586144557681011E-12</v>
      </c>
      <c r="T268" s="24">
        <f t="shared" si="36"/>
        <v>-1.1073078198521687E-12</v>
      </c>
    </row>
    <row r="269" spans="7:20">
      <c r="G269" s="5">
        <v>266</v>
      </c>
      <c r="H269" s="22">
        <f t="shared" si="30"/>
        <v>1.8757464104541013E-9</v>
      </c>
      <c r="I269" s="22">
        <f t="shared" si="31"/>
        <v>5.4550165655083961E-12</v>
      </c>
      <c r="J269" s="22">
        <f t="shared" si="32"/>
        <v>-5.4550165655083961E-12</v>
      </c>
      <c r="K269" s="22">
        <f t="shared" si="33"/>
        <v>0</v>
      </c>
      <c r="L269" s="22">
        <f t="shared" si="34"/>
        <v>1.0617020812640914E-12</v>
      </c>
      <c r="M269" s="22"/>
      <c r="N269" s="22"/>
      <c r="O269" s="22"/>
      <c r="P269" s="22"/>
      <c r="Q269" s="22"/>
      <c r="R269" s="22"/>
      <c r="S269" s="23">
        <f t="shared" si="35"/>
        <v>1.0617020812640914E-12</v>
      </c>
      <c r="T269" s="24">
        <f t="shared" si="36"/>
        <v>-1.1105374676600708E-12</v>
      </c>
    </row>
    <row r="270" spans="7:20">
      <c r="G270" s="5">
        <v>267</v>
      </c>
      <c r="H270" s="22">
        <f t="shared" si="30"/>
        <v>1.8812173374845925E-9</v>
      </c>
      <c r="I270" s="22">
        <f t="shared" si="31"/>
        <v>5.4709270304911289E-12</v>
      </c>
      <c r="J270" s="22">
        <f t="shared" si="32"/>
        <v>-5.4709270304911289E-12</v>
      </c>
      <c r="K270" s="22">
        <f t="shared" si="33"/>
        <v>0</v>
      </c>
      <c r="L270" s="22">
        <f t="shared" si="34"/>
        <v>1.0647987123344449E-12</v>
      </c>
      <c r="M270" s="22"/>
      <c r="N270" s="22"/>
      <c r="O270" s="22"/>
      <c r="P270" s="22"/>
      <c r="Q270" s="22"/>
      <c r="R270" s="22"/>
      <c r="S270" s="23">
        <f t="shared" si="35"/>
        <v>1.0647987123344449E-12</v>
      </c>
      <c r="T270" s="24">
        <f t="shared" si="36"/>
        <v>-1.1137765352740797E-12</v>
      </c>
    </row>
    <row r="271" spans="7:20">
      <c r="G271" s="5">
        <v>268</v>
      </c>
      <c r="H271" s="22">
        <f t="shared" si="30"/>
        <v>1.8867042213855895E-9</v>
      </c>
      <c r="I271" s="22">
        <f t="shared" si="31"/>
        <v>5.4868839009967288E-12</v>
      </c>
      <c r="J271" s="22">
        <f t="shared" si="32"/>
        <v>-5.4868839009967288E-12</v>
      </c>
      <c r="K271" s="22">
        <f t="shared" si="33"/>
        <v>0</v>
      </c>
      <c r="L271" s="22">
        <f t="shared" si="34"/>
        <v>1.0679043752454204E-12</v>
      </c>
      <c r="M271" s="22"/>
      <c r="N271" s="22"/>
      <c r="O271" s="22"/>
      <c r="P271" s="22"/>
      <c r="Q271" s="22"/>
      <c r="R271" s="22"/>
      <c r="S271" s="23">
        <f t="shared" si="35"/>
        <v>1.0679043752454204E-12</v>
      </c>
      <c r="T271" s="24">
        <f t="shared" si="36"/>
        <v>-1.1170250501686292E-12</v>
      </c>
    </row>
    <row r="272" spans="7:20">
      <c r="G272" s="5">
        <v>269</v>
      </c>
      <c r="H272" s="22">
        <f t="shared" si="30"/>
        <v>1.8922071086979641E-9</v>
      </c>
      <c r="I272" s="22">
        <f t="shared" si="31"/>
        <v>5.5028873123746364E-12</v>
      </c>
      <c r="J272" s="22">
        <f t="shared" si="32"/>
        <v>-5.5028873123746364E-12</v>
      </c>
      <c r="K272" s="22">
        <f t="shared" si="33"/>
        <v>0</v>
      </c>
      <c r="L272" s="22">
        <f t="shared" si="34"/>
        <v>1.0710190963398864E-12</v>
      </c>
      <c r="M272" s="22"/>
      <c r="N272" s="22"/>
      <c r="O272" s="22"/>
      <c r="P272" s="22"/>
      <c r="Q272" s="22"/>
      <c r="R272" s="22"/>
      <c r="S272" s="23">
        <f t="shared" si="35"/>
        <v>1.0710190963398864E-12</v>
      </c>
      <c r="T272" s="24">
        <f t="shared" si="36"/>
        <v>-1.1202830398982877E-12</v>
      </c>
    </row>
    <row r="273" spans="7:20">
      <c r="G273" s="5">
        <v>270</v>
      </c>
      <c r="H273" s="22">
        <f t="shared" si="30"/>
        <v>1.8977260460983332E-9</v>
      </c>
      <c r="I273" s="22">
        <f t="shared" si="31"/>
        <v>5.5189374003690619E-12</v>
      </c>
      <c r="J273" s="22">
        <f t="shared" si="32"/>
        <v>-5.5189374003690619E-12</v>
      </c>
      <c r="K273" s="22">
        <f t="shared" si="33"/>
        <v>0</v>
      </c>
      <c r="L273" s="22">
        <f t="shared" si="34"/>
        <v>1.0741429020375443E-12</v>
      </c>
      <c r="M273" s="22"/>
      <c r="N273" s="22"/>
      <c r="O273" s="22"/>
      <c r="P273" s="22"/>
      <c r="Q273" s="22"/>
      <c r="R273" s="22"/>
      <c r="S273" s="23">
        <f t="shared" si="35"/>
        <v>1.0741429020375443E-12</v>
      </c>
      <c r="T273" s="24">
        <f t="shared" si="36"/>
        <v>-1.1235505320979911E-12</v>
      </c>
    </row>
    <row r="274" spans="7:20">
      <c r="G274" s="5">
        <v>271</v>
      </c>
      <c r="H274" s="22">
        <f t="shared" si="30"/>
        <v>1.9032610803994535E-9</v>
      </c>
      <c r="I274" s="22">
        <f t="shared" si="31"/>
        <v>5.5350343011201388E-12</v>
      </c>
      <c r="J274" s="22">
        <f t="shared" si="32"/>
        <v>-5.5350343011201388E-12</v>
      </c>
      <c r="K274" s="22">
        <f t="shared" si="33"/>
        <v>0</v>
      </c>
      <c r="L274" s="22">
        <f t="shared" si="34"/>
        <v>1.077275818835154E-12</v>
      </c>
      <c r="M274" s="22"/>
      <c r="N274" s="22"/>
      <c r="O274" s="22"/>
      <c r="P274" s="22"/>
      <c r="Q274" s="22"/>
      <c r="R274" s="22"/>
      <c r="S274" s="23">
        <f t="shared" si="35"/>
        <v>1.077275818835154E-12</v>
      </c>
      <c r="T274" s="24">
        <f t="shared" si="36"/>
        <v>-1.1268275544832769E-12</v>
      </c>
    </row>
    <row r="275" spans="7:20">
      <c r="G275" s="5">
        <v>272</v>
      </c>
      <c r="H275" s="22">
        <f t="shared" si="30"/>
        <v>1.9088122585506186E-9</v>
      </c>
      <c r="I275" s="22">
        <f t="shared" si="31"/>
        <v>5.5511781511650729E-12</v>
      </c>
      <c r="J275" s="22">
        <f t="shared" si="32"/>
        <v>-5.5511781511650729E-12</v>
      </c>
      <c r="K275" s="22">
        <f t="shared" si="33"/>
        <v>0</v>
      </c>
      <c r="L275" s="22">
        <f t="shared" si="34"/>
        <v>1.0804178733067566E-12</v>
      </c>
      <c r="M275" s="22"/>
      <c r="N275" s="22"/>
      <c r="O275" s="22"/>
      <c r="P275" s="22"/>
      <c r="Q275" s="22"/>
      <c r="R275" s="22"/>
      <c r="S275" s="23">
        <f t="shared" si="35"/>
        <v>1.0804178733067566E-12</v>
      </c>
      <c r="T275" s="24">
        <f t="shared" si="36"/>
        <v>-1.1301141348505196E-12</v>
      </c>
    </row>
    <row r="276" spans="7:20">
      <c r="G276" s="5">
        <v>273</v>
      </c>
      <c r="H276" s="22">
        <f t="shared" si="30"/>
        <v>1.9143796276380577E-9</v>
      </c>
      <c r="I276" s="22">
        <f t="shared" si="31"/>
        <v>5.5673690874393042E-12</v>
      </c>
      <c r="J276" s="22">
        <f t="shared" si="32"/>
        <v>-5.5673690874393042E-12</v>
      </c>
      <c r="K276" s="22">
        <f t="shared" si="33"/>
        <v>0</v>
      </c>
      <c r="L276" s="22">
        <f t="shared" si="34"/>
        <v>1.0835690921039012E-12</v>
      </c>
      <c r="M276" s="22"/>
      <c r="N276" s="22"/>
      <c r="O276" s="22"/>
      <c r="P276" s="22"/>
      <c r="Q276" s="22"/>
      <c r="R276" s="22"/>
      <c r="S276" s="23">
        <f t="shared" si="35"/>
        <v>1.0835690921039012E-12</v>
      </c>
      <c r="T276" s="24">
        <f t="shared" si="36"/>
        <v>-1.133410301077167E-12</v>
      </c>
    </row>
    <row r="277" spans="7:20">
      <c r="G277" s="5">
        <v>274</v>
      </c>
      <c r="H277" s="22">
        <f t="shared" si="30"/>
        <v>1.9199632348853355E-9</v>
      </c>
      <c r="I277" s="22">
        <f t="shared" si="31"/>
        <v>5.5836072472776685E-12</v>
      </c>
      <c r="J277" s="22">
        <f t="shared" si="32"/>
        <v>-5.5836072472776685E-12</v>
      </c>
      <c r="K277" s="22">
        <f t="shared" si="33"/>
        <v>0</v>
      </c>
      <c r="L277" s="22">
        <f t="shared" si="34"/>
        <v>1.0867295019558708E-12</v>
      </c>
      <c r="M277" s="22"/>
      <c r="N277" s="22"/>
      <c r="O277" s="22"/>
      <c r="P277" s="22"/>
      <c r="Q277" s="22"/>
      <c r="R277" s="22"/>
      <c r="S277" s="23">
        <f t="shared" si="35"/>
        <v>1.0867295019558708E-12</v>
      </c>
      <c r="T277" s="24">
        <f t="shared" si="36"/>
        <v>-1.1367160811219756E-12</v>
      </c>
    </row>
    <row r="278" spans="7:20">
      <c r="G278" s="5">
        <v>275</v>
      </c>
      <c r="H278" s="22">
        <f t="shared" si="30"/>
        <v>1.9255631276537512E-9</v>
      </c>
      <c r="I278" s="22">
        <f t="shared" si="31"/>
        <v>5.5998927684155622E-12</v>
      </c>
      <c r="J278" s="22">
        <f t="shared" si="32"/>
        <v>-5.5998927684155622E-12</v>
      </c>
      <c r="K278" s="22">
        <f t="shared" si="33"/>
        <v>0</v>
      </c>
      <c r="L278" s="22">
        <f t="shared" si="34"/>
        <v>1.0898991296699089E-12</v>
      </c>
      <c r="M278" s="22"/>
      <c r="N278" s="22"/>
      <c r="O278" s="22"/>
      <c r="P278" s="22"/>
      <c r="Q278" s="22"/>
      <c r="R278" s="22"/>
      <c r="S278" s="23">
        <f t="shared" si="35"/>
        <v>1.0898991296699089E-12</v>
      </c>
      <c r="T278" s="24">
        <f t="shared" si="36"/>
        <v>-1.1400315030252481E-12</v>
      </c>
    </row>
    <row r="279" spans="7:20">
      <c r="G279" s="5">
        <v>276</v>
      </c>
      <c r="H279" s="22">
        <f t="shared" si="30"/>
        <v>1.9311793534427412E-9</v>
      </c>
      <c r="I279" s="22">
        <f t="shared" si="31"/>
        <v>5.6162257889901079E-12</v>
      </c>
      <c r="J279" s="22">
        <f t="shared" si="32"/>
        <v>-5.6162257889901079E-12</v>
      </c>
      <c r="K279" s="22">
        <f t="shared" si="33"/>
        <v>0</v>
      </c>
      <c r="L279" s="22">
        <f t="shared" si="34"/>
        <v>1.0930780021314462E-12</v>
      </c>
      <c r="M279" s="22"/>
      <c r="N279" s="22"/>
      <c r="O279" s="22"/>
      <c r="P279" s="22"/>
      <c r="Q279" s="22"/>
      <c r="R279" s="22"/>
      <c r="S279" s="23">
        <f t="shared" si="35"/>
        <v>1.0930780021314462E-12</v>
      </c>
      <c r="T279" s="24">
        <f t="shared" si="36"/>
        <v>-1.1433565949090718E-12</v>
      </c>
    </row>
    <row r="280" spans="7:20">
      <c r="G280" s="5">
        <v>277</v>
      </c>
      <c r="H280" s="22">
        <f t="shared" si="30"/>
        <v>1.9368119598902825E-9</v>
      </c>
      <c r="I280" s="22">
        <f t="shared" si="31"/>
        <v>5.632606447541329E-12</v>
      </c>
      <c r="J280" s="22">
        <f t="shared" si="32"/>
        <v>-5.632606447541329E-12</v>
      </c>
      <c r="K280" s="22">
        <f t="shared" si="33"/>
        <v>0</v>
      </c>
      <c r="L280" s="22">
        <f t="shared" si="34"/>
        <v>1.0962661463043296E-12</v>
      </c>
      <c r="M280" s="22"/>
      <c r="N280" s="22"/>
      <c r="O280" s="22"/>
      <c r="P280" s="22"/>
      <c r="Q280" s="22"/>
      <c r="R280" s="22"/>
      <c r="S280" s="23">
        <f t="shared" si="35"/>
        <v>1.0962661463043296E-12</v>
      </c>
      <c r="T280" s="24">
        <f t="shared" si="36"/>
        <v>-1.1466913849775564E-12</v>
      </c>
    </row>
    <row r="281" spans="7:20">
      <c r="G281" s="5">
        <v>278</v>
      </c>
      <c r="H281" s="22">
        <f t="shared" si="30"/>
        <v>1.9424609947732958E-9</v>
      </c>
      <c r="I281" s="22">
        <f t="shared" si="31"/>
        <v>5.6490348830133241E-12</v>
      </c>
      <c r="J281" s="22">
        <f t="shared" si="32"/>
        <v>-5.6490348830133241E-12</v>
      </c>
      <c r="K281" s="22">
        <f t="shared" si="33"/>
        <v>0</v>
      </c>
      <c r="L281" s="22">
        <f t="shared" si="34"/>
        <v>1.0994635892310504E-12</v>
      </c>
      <c r="M281" s="22"/>
      <c r="N281" s="22"/>
      <c r="O281" s="22"/>
      <c r="P281" s="22"/>
      <c r="Q281" s="22"/>
      <c r="R281" s="22"/>
      <c r="S281" s="23">
        <f t="shared" si="35"/>
        <v>1.0994635892310504E-12</v>
      </c>
      <c r="T281" s="24">
        <f t="shared" si="36"/>
        <v>-1.1500359015170744E-12</v>
      </c>
    </row>
    <row r="282" spans="7:20">
      <c r="G282" s="5">
        <v>279</v>
      </c>
      <c r="H282" s="22">
        <f t="shared" si="30"/>
        <v>1.9481265060080511E-9</v>
      </c>
      <c r="I282" s="22">
        <f t="shared" si="31"/>
        <v>5.6655112347554459E-12</v>
      </c>
      <c r="J282" s="22">
        <f t="shared" si="32"/>
        <v>-5.6655112347554459E-12</v>
      </c>
      <c r="K282" s="22">
        <f t="shared" si="33"/>
        <v>0</v>
      </c>
      <c r="L282" s="22">
        <f t="shared" si="34"/>
        <v>1.1026703580329743E-12</v>
      </c>
      <c r="M282" s="22"/>
      <c r="N282" s="22"/>
      <c r="O282" s="22"/>
      <c r="P282" s="22"/>
      <c r="Q282" s="22"/>
      <c r="R282" s="22"/>
      <c r="S282" s="23">
        <f t="shared" si="35"/>
        <v>1.1026703580329743E-12</v>
      </c>
      <c r="T282" s="24">
        <f t="shared" si="36"/>
        <v>-1.153390172896499E-12</v>
      </c>
    </row>
    <row r="283" spans="7:20">
      <c r="G283" s="5">
        <v>280</v>
      </c>
      <c r="H283" s="22">
        <f t="shared" si="30"/>
        <v>1.9538085416505744E-9</v>
      </c>
      <c r="I283" s="22">
        <f t="shared" si="31"/>
        <v>5.6820356425234826E-12</v>
      </c>
      <c r="J283" s="22">
        <f t="shared" si="32"/>
        <v>-5.6820356425234826E-12</v>
      </c>
      <c r="K283" s="22">
        <f t="shared" si="33"/>
        <v>0</v>
      </c>
      <c r="L283" s="22">
        <f t="shared" si="34"/>
        <v>1.1058864799105705E-12</v>
      </c>
      <c r="M283" s="22"/>
      <c r="N283" s="22"/>
      <c r="O283" s="22"/>
      <c r="P283" s="22"/>
      <c r="Q283" s="22"/>
      <c r="R283" s="22"/>
      <c r="S283" s="23">
        <f t="shared" si="35"/>
        <v>1.1058864799105705E-12</v>
      </c>
      <c r="T283" s="24">
        <f t="shared" si="36"/>
        <v>-1.1567542275674474E-12</v>
      </c>
    </row>
    <row r="284" spans="7:20">
      <c r="G284" s="5">
        <v>281</v>
      </c>
      <c r="H284" s="22">
        <f t="shared" si="30"/>
        <v>1.9595071498970552E-9</v>
      </c>
      <c r="I284" s="22">
        <f t="shared" si="31"/>
        <v>5.6986082464808424E-12</v>
      </c>
      <c r="J284" s="22">
        <f t="shared" si="32"/>
        <v>-5.6986082464808424E-12</v>
      </c>
      <c r="K284" s="22">
        <f t="shared" si="33"/>
        <v>0</v>
      </c>
      <c r="L284" s="22">
        <f t="shared" si="34"/>
        <v>1.1091119821436429E-12</v>
      </c>
      <c r="M284" s="22"/>
      <c r="N284" s="22"/>
      <c r="O284" s="22"/>
      <c r="P284" s="22"/>
      <c r="Q284" s="22"/>
      <c r="R284" s="22"/>
      <c r="S284" s="23">
        <f t="shared" si="35"/>
        <v>1.1091119821436429E-12</v>
      </c>
      <c r="T284" s="24">
        <f t="shared" si="36"/>
        <v>-1.1601280940645188E-12</v>
      </c>
    </row>
    <row r="285" spans="7:20">
      <c r="G285" s="5">
        <v>282</v>
      </c>
      <c r="H285" s="22">
        <f t="shared" si="30"/>
        <v>1.965222379084255E-9</v>
      </c>
      <c r="I285" s="22">
        <f t="shared" si="31"/>
        <v>5.7152291871997448E-12</v>
      </c>
      <c r="J285" s="22">
        <f t="shared" si="32"/>
        <v>-5.7152291871997448E-12</v>
      </c>
      <c r="K285" s="22">
        <f t="shared" si="33"/>
        <v>0</v>
      </c>
      <c r="L285" s="22">
        <f t="shared" si="34"/>
        <v>1.1123468920915619E-12</v>
      </c>
      <c r="M285" s="22"/>
      <c r="N285" s="22"/>
      <c r="O285" s="22"/>
      <c r="P285" s="22"/>
      <c r="Q285" s="22"/>
      <c r="R285" s="22"/>
      <c r="S285" s="23">
        <f t="shared" si="35"/>
        <v>1.1123468920915619E-12</v>
      </c>
      <c r="T285" s="24">
        <f t="shared" si="36"/>
        <v>-1.1635118010055404E-12</v>
      </c>
    </row>
    <row r="286" spans="7:20">
      <c r="G286" s="5">
        <v>283</v>
      </c>
      <c r="H286" s="22">
        <f t="shared" si="30"/>
        <v>1.9709542776899175E-9</v>
      </c>
      <c r="I286" s="22">
        <f t="shared" si="31"/>
        <v>5.7318986056624106E-12</v>
      </c>
      <c r="J286" s="22">
        <f t="shared" si="32"/>
        <v>-5.7318986056624106E-12</v>
      </c>
      <c r="K286" s="22">
        <f t="shared" si="33"/>
        <v>0</v>
      </c>
      <c r="L286" s="22">
        <f t="shared" si="34"/>
        <v>1.1155912371934957E-12</v>
      </c>
      <c r="M286" s="22"/>
      <c r="N286" s="22"/>
      <c r="O286" s="22"/>
      <c r="P286" s="22"/>
      <c r="Q286" s="22"/>
      <c r="R286" s="22"/>
      <c r="S286" s="23">
        <f t="shared" si="35"/>
        <v>1.1155912371934957E-12</v>
      </c>
      <c r="T286" s="24">
        <f t="shared" si="36"/>
        <v>-1.1669053770918062E-12</v>
      </c>
    </row>
    <row r="287" spans="7:20">
      <c r="G287" s="5">
        <v>284</v>
      </c>
      <c r="H287" s="22">
        <f t="shared" si="30"/>
        <v>1.9767028943331797E-9</v>
      </c>
      <c r="I287" s="22">
        <f t="shared" si="31"/>
        <v>5.74861664326226E-12</v>
      </c>
      <c r="J287" s="22">
        <f t="shared" si="32"/>
        <v>-5.74861664326226E-12</v>
      </c>
      <c r="K287" s="22">
        <f t="shared" si="33"/>
        <v>0</v>
      </c>
      <c r="L287" s="22">
        <f t="shared" si="34"/>
        <v>1.1188450449686432E-12</v>
      </c>
      <c r="M287" s="22"/>
      <c r="N287" s="22"/>
      <c r="O287" s="22"/>
      <c r="P287" s="22"/>
      <c r="Q287" s="22"/>
      <c r="R287" s="22"/>
      <c r="S287" s="23">
        <f t="shared" si="35"/>
        <v>1.1188450449686432E-12</v>
      </c>
      <c r="T287" s="24">
        <f t="shared" si="36"/>
        <v>-1.1703088511083243E-12</v>
      </c>
    </row>
    <row r="288" spans="7:20">
      <c r="G288" s="5">
        <v>285</v>
      </c>
      <c r="H288" s="22">
        <f t="shared" si="30"/>
        <v>1.9824682777749849E-9</v>
      </c>
      <c r="I288" s="22">
        <f t="shared" si="31"/>
        <v>5.7653834418051077E-12</v>
      </c>
      <c r="J288" s="22">
        <f t="shared" si="32"/>
        <v>-5.7653834418051077E-12</v>
      </c>
      <c r="K288" s="22">
        <f t="shared" si="33"/>
        <v>0</v>
      </c>
      <c r="L288" s="22">
        <f t="shared" si="34"/>
        <v>1.1221083430164685E-12</v>
      </c>
      <c r="M288" s="22"/>
      <c r="N288" s="22"/>
      <c r="O288" s="22"/>
      <c r="P288" s="22"/>
      <c r="Q288" s="22"/>
      <c r="R288" s="22"/>
      <c r="S288" s="23">
        <f t="shared" si="35"/>
        <v>1.1221083430164685E-12</v>
      </c>
      <c r="T288" s="24">
        <f t="shared" si="36"/>
        <v>-1.1737222519240569E-12</v>
      </c>
    </row>
    <row r="289" spans="7:20">
      <c r="G289" s="5">
        <v>286</v>
      </c>
      <c r="H289" s="22">
        <f t="shared" si="30"/>
        <v>1.9882504769184955E-9</v>
      </c>
      <c r="I289" s="22">
        <f t="shared" si="31"/>
        <v>5.7821991435103727E-12</v>
      </c>
      <c r="J289" s="22">
        <f t="shared" si="32"/>
        <v>-5.7821991435103727E-12</v>
      </c>
      <c r="K289" s="22">
        <f t="shared" si="33"/>
        <v>0</v>
      </c>
      <c r="L289" s="22">
        <f t="shared" si="34"/>
        <v>1.1253811590169331E-12</v>
      </c>
      <c r="M289" s="22"/>
      <c r="N289" s="22"/>
      <c r="O289" s="22"/>
      <c r="P289" s="22"/>
      <c r="Q289" s="22"/>
      <c r="R289" s="22"/>
      <c r="S289" s="23">
        <f t="shared" si="35"/>
        <v>1.1253811590169331E-12</v>
      </c>
      <c r="T289" s="24">
        <f t="shared" si="36"/>
        <v>-1.1771456084921685E-12</v>
      </c>
    </row>
    <row r="290" spans="7:20">
      <c r="G290" s="5">
        <v>287</v>
      </c>
      <c r="H290" s="22">
        <f t="shared" si="30"/>
        <v>1.9940495408095077E-9</v>
      </c>
      <c r="I290" s="22">
        <f t="shared" si="31"/>
        <v>5.7990638910122791E-12</v>
      </c>
      <c r="J290" s="22">
        <f t="shared" si="32"/>
        <v>-5.7990638910122791E-12</v>
      </c>
      <c r="K290" s="22">
        <f t="shared" si="33"/>
        <v>0</v>
      </c>
      <c r="L290" s="22">
        <f t="shared" si="34"/>
        <v>1.1286635207307328E-12</v>
      </c>
      <c r="M290" s="22"/>
      <c r="N290" s="22"/>
      <c r="O290" s="22"/>
      <c r="P290" s="22"/>
      <c r="Q290" s="22"/>
      <c r="R290" s="22"/>
      <c r="S290" s="23">
        <f t="shared" si="35"/>
        <v>1.1286635207307328E-12</v>
      </c>
      <c r="T290" s="24">
        <f t="shared" si="36"/>
        <v>-1.180578949850271E-12</v>
      </c>
    </row>
    <row r="291" spans="7:20">
      <c r="G291" s="5">
        <v>288</v>
      </c>
      <c r="H291" s="22">
        <f t="shared" si="30"/>
        <v>1.9998655186368687E-9</v>
      </c>
      <c r="I291" s="22">
        <f t="shared" si="31"/>
        <v>5.8159778273610647E-12</v>
      </c>
      <c r="J291" s="22">
        <f t="shared" si="32"/>
        <v>-5.8159778273610647E-12</v>
      </c>
      <c r="K291" s="22">
        <f t="shared" si="33"/>
        <v>0</v>
      </c>
      <c r="L291" s="22">
        <f t="shared" si="34"/>
        <v>1.1319554559995306E-12</v>
      </c>
      <c r="M291" s="22"/>
      <c r="N291" s="22"/>
      <c r="O291" s="22"/>
      <c r="P291" s="22"/>
      <c r="Q291" s="22"/>
      <c r="R291" s="22"/>
      <c r="S291" s="23">
        <f t="shared" si="35"/>
        <v>1.1319554559995306E-12</v>
      </c>
      <c r="T291" s="24">
        <f t="shared" si="36"/>
        <v>-1.1840223051206674E-12</v>
      </c>
    </row>
    <row r="292" spans="7:20">
      <c r="G292" s="5">
        <v>289</v>
      </c>
      <c r="H292" s="22">
        <f t="shared" si="30"/>
        <v>2.005698459732893E-9</v>
      </c>
      <c r="I292" s="22">
        <f t="shared" si="31"/>
        <v>5.8329410960242006E-12</v>
      </c>
      <c r="J292" s="22">
        <f t="shared" si="32"/>
        <v>-5.8329410960242006E-12</v>
      </c>
      <c r="K292" s="22">
        <f t="shared" si="33"/>
        <v>0</v>
      </c>
      <c r="L292" s="22">
        <f t="shared" si="34"/>
        <v>1.135256992746196E-12</v>
      </c>
      <c r="M292" s="22"/>
      <c r="N292" s="22"/>
      <c r="O292" s="22"/>
      <c r="P292" s="22"/>
      <c r="Q292" s="22"/>
      <c r="R292" s="22"/>
      <c r="S292" s="23">
        <f t="shared" si="35"/>
        <v>1.135256992746196E-12</v>
      </c>
      <c r="T292" s="24">
        <f t="shared" si="36"/>
        <v>-1.1874757035106026E-12</v>
      </c>
    </row>
    <row r="293" spans="7:20">
      <c r="G293" s="5">
        <v>290</v>
      </c>
      <c r="H293" s="22">
        <f t="shared" si="30"/>
        <v>2.0115484135737808E-9</v>
      </c>
      <c r="I293" s="22">
        <f t="shared" si="31"/>
        <v>5.849953840887605E-12</v>
      </c>
      <c r="J293" s="22">
        <f t="shared" si="32"/>
        <v>-5.849953840887605E-12</v>
      </c>
      <c r="K293" s="22">
        <f t="shared" si="33"/>
        <v>0</v>
      </c>
      <c r="L293" s="22">
        <f t="shared" si="34"/>
        <v>1.1385681589750391E-12</v>
      </c>
      <c r="M293" s="22"/>
      <c r="N293" s="22"/>
      <c r="O293" s="22"/>
      <c r="P293" s="22"/>
      <c r="Q293" s="22"/>
      <c r="R293" s="22"/>
      <c r="S293" s="23">
        <f t="shared" si="35"/>
        <v>1.1385681589750391E-12</v>
      </c>
      <c r="T293" s="24">
        <f t="shared" si="36"/>
        <v>-1.1909391743125088E-12</v>
      </c>
    </row>
    <row r="294" spans="7:20">
      <c r="G294" s="5">
        <v>291</v>
      </c>
      <c r="H294" s="22">
        <f t="shared" si="30"/>
        <v>2.0174154297800377E-9</v>
      </c>
      <c r="I294" s="22">
        <f t="shared" si="31"/>
        <v>5.8670162062568608E-12</v>
      </c>
      <c r="J294" s="22">
        <f t="shared" si="32"/>
        <v>-5.8670162062568608E-12</v>
      </c>
      <c r="K294" s="22">
        <f t="shared" si="33"/>
        <v>0</v>
      </c>
      <c r="L294" s="22">
        <f t="shared" si="34"/>
        <v>1.1418889827720496E-12</v>
      </c>
      <c r="M294" s="22"/>
      <c r="N294" s="22"/>
      <c r="O294" s="22"/>
      <c r="P294" s="22"/>
      <c r="Q294" s="22"/>
      <c r="R294" s="22"/>
      <c r="S294" s="23">
        <f t="shared" si="35"/>
        <v>1.1418889827720496E-12</v>
      </c>
      <c r="T294" s="24">
        <f t="shared" si="36"/>
        <v>-1.1944127469042539E-12</v>
      </c>
    </row>
    <row r="295" spans="7:20">
      <c r="G295" s="5">
        <v>292</v>
      </c>
      <c r="H295" s="22">
        <f t="shared" si="30"/>
        <v>2.0232995581168964E-9</v>
      </c>
      <c r="I295" s="22">
        <f t="shared" si="31"/>
        <v>5.8841283368584436E-12</v>
      </c>
      <c r="J295" s="22">
        <f t="shared" si="32"/>
        <v>-5.8841283368584436E-12</v>
      </c>
      <c r="K295" s="22">
        <f t="shared" si="33"/>
        <v>0</v>
      </c>
      <c r="L295" s="22">
        <f t="shared" si="34"/>
        <v>1.1452194923051349E-12</v>
      </c>
      <c r="M295" s="22"/>
      <c r="N295" s="22"/>
      <c r="O295" s="22"/>
      <c r="P295" s="22"/>
      <c r="Q295" s="22"/>
      <c r="R295" s="22"/>
      <c r="S295" s="23">
        <f t="shared" si="35"/>
        <v>1.1452194923051349E-12</v>
      </c>
      <c r="T295" s="24">
        <f t="shared" si="36"/>
        <v>-1.1978964507493912E-12</v>
      </c>
    </row>
    <row r="296" spans="7:20">
      <c r="G296" s="5">
        <v>293</v>
      </c>
      <c r="H296" s="22">
        <f t="shared" si="30"/>
        <v>2.0292008484947375E-9</v>
      </c>
      <c r="I296" s="22">
        <f t="shared" si="31"/>
        <v>5.9012903778409482E-12</v>
      </c>
      <c r="J296" s="22">
        <f t="shared" si="32"/>
        <v>-5.9012903778409482E-12</v>
      </c>
      <c r="K296" s="22">
        <f t="shared" si="33"/>
        <v>0</v>
      </c>
      <c r="L296" s="22">
        <f t="shared" si="34"/>
        <v>1.1485597158243582E-12</v>
      </c>
      <c r="M296" s="22"/>
      <c r="N296" s="22"/>
      <c r="O296" s="22"/>
      <c r="P296" s="22"/>
      <c r="Q296" s="22"/>
      <c r="R296" s="22"/>
      <c r="S296" s="23">
        <f t="shared" si="35"/>
        <v>1.1485597158243582E-12</v>
      </c>
      <c r="T296" s="24">
        <f t="shared" si="36"/>
        <v>-1.2013903153974105E-12</v>
      </c>
    </row>
    <row r="297" spans="7:20">
      <c r="G297" s="5">
        <v>294</v>
      </c>
      <c r="H297" s="22">
        <f t="shared" si="30"/>
        <v>2.0351193509695137E-9</v>
      </c>
      <c r="I297" s="22">
        <f t="shared" si="31"/>
        <v>5.9185024747763176E-12</v>
      </c>
      <c r="J297" s="22">
        <f t="shared" si="32"/>
        <v>-5.9185024747763176E-12</v>
      </c>
      <c r="K297" s="22">
        <f t="shared" si="33"/>
        <v>0</v>
      </c>
      <c r="L297" s="22">
        <f t="shared" si="34"/>
        <v>1.1519096816621794E-12</v>
      </c>
      <c r="M297" s="22"/>
      <c r="N297" s="22"/>
      <c r="O297" s="22"/>
      <c r="P297" s="22"/>
      <c r="Q297" s="22"/>
      <c r="R297" s="22"/>
      <c r="S297" s="23">
        <f t="shared" si="35"/>
        <v>1.1519096816621794E-12</v>
      </c>
      <c r="T297" s="24">
        <f t="shared" si="36"/>
        <v>-1.2048943704839861E-12</v>
      </c>
    </row>
    <row r="298" spans="7:20">
      <c r="G298" s="5">
        <v>295</v>
      </c>
      <c r="H298" s="22">
        <f t="shared" si="30"/>
        <v>2.0410551157431749E-9</v>
      </c>
      <c r="I298" s="22">
        <f t="shared" si="31"/>
        <v>5.9357647736610818E-12</v>
      </c>
      <c r="J298" s="22">
        <f t="shared" si="32"/>
        <v>-5.9357647736610818E-12</v>
      </c>
      <c r="K298" s="22">
        <f t="shared" si="33"/>
        <v>0</v>
      </c>
      <c r="L298" s="22">
        <f t="shared" si="34"/>
        <v>1.1552694182336941E-12</v>
      </c>
      <c r="M298" s="22"/>
      <c r="N298" s="22"/>
      <c r="O298" s="22"/>
      <c r="P298" s="22"/>
      <c r="Q298" s="22"/>
      <c r="R298" s="22"/>
      <c r="S298" s="23">
        <f t="shared" si="35"/>
        <v>1.1552694182336941E-12</v>
      </c>
      <c r="T298" s="24">
        <f t="shared" si="36"/>
        <v>-1.208408645731231E-12</v>
      </c>
    </row>
    <row r="299" spans="7:20">
      <c r="G299" s="5">
        <v>296</v>
      </c>
      <c r="H299" s="22">
        <f t="shared" si="30"/>
        <v>2.0470081931640923E-9</v>
      </c>
      <c r="I299" s="22">
        <f t="shared" si="31"/>
        <v>5.9530774209175935E-12</v>
      </c>
      <c r="J299" s="22">
        <f t="shared" si="32"/>
        <v>-5.9530774209175935E-12</v>
      </c>
      <c r="K299" s="22">
        <f t="shared" si="33"/>
        <v>0</v>
      </c>
      <c r="L299" s="22">
        <f t="shared" si="34"/>
        <v>1.1586389540368756E-12</v>
      </c>
      <c r="M299" s="22"/>
      <c r="N299" s="22"/>
      <c r="O299" s="22"/>
      <c r="P299" s="22"/>
      <c r="Q299" s="22"/>
      <c r="R299" s="22"/>
      <c r="S299" s="23">
        <f t="shared" si="35"/>
        <v>1.1586389540368756E-12</v>
      </c>
      <c r="T299" s="24">
        <f t="shared" si="36"/>
        <v>-1.2119331709479472E-12</v>
      </c>
    </row>
    <row r="300" spans="7:20">
      <c r="G300" s="5">
        <v>297</v>
      </c>
      <c r="H300" s="22">
        <f t="shared" si="30"/>
        <v>2.0529786337274876E-9</v>
      </c>
      <c r="I300" s="22">
        <f t="shared" si="31"/>
        <v>5.9704405633952696E-12</v>
      </c>
      <c r="J300" s="22">
        <f t="shared" si="32"/>
        <v>-5.9704405633952696E-12</v>
      </c>
      <c r="K300" s="22">
        <f t="shared" si="33"/>
        <v>0</v>
      </c>
      <c r="L300" s="22">
        <f t="shared" si="34"/>
        <v>1.1620183176528166E-12</v>
      </c>
      <c r="M300" s="22"/>
      <c r="N300" s="22"/>
      <c r="O300" s="22"/>
      <c r="P300" s="22"/>
      <c r="Q300" s="22"/>
      <c r="R300" s="22"/>
      <c r="S300" s="23">
        <f t="shared" si="35"/>
        <v>1.1620183176528166E-12</v>
      </c>
      <c r="T300" s="24">
        <f t="shared" si="36"/>
        <v>-1.2154679760298787E-12</v>
      </c>
    </row>
    <row r="301" spans="7:20">
      <c r="G301" s="5">
        <v>298</v>
      </c>
      <c r="H301" s="22">
        <f t="shared" si="30"/>
        <v>2.0589664880758595E-9</v>
      </c>
      <c r="I301" s="22">
        <f t="shared" si="31"/>
        <v>5.9878543483718394E-12</v>
      </c>
      <c r="J301" s="22">
        <f t="shared" si="32"/>
        <v>-5.9878543483718394E-12</v>
      </c>
      <c r="K301" s="22">
        <f t="shared" si="33"/>
        <v>0</v>
      </c>
      <c r="L301" s="22">
        <f t="shared" si="34"/>
        <v>1.1654075377459705E-12</v>
      </c>
      <c r="M301" s="22"/>
      <c r="N301" s="22"/>
      <c r="O301" s="22"/>
      <c r="P301" s="22"/>
      <c r="Q301" s="22"/>
      <c r="R301" s="22"/>
      <c r="S301" s="23">
        <f t="shared" si="35"/>
        <v>1.1654075377459705E-12</v>
      </c>
      <c r="T301" s="24">
        <f t="shared" si="36"/>
        <v>-1.2190130909599659E-12</v>
      </c>
    </row>
    <row r="302" spans="7:20">
      <c r="G302" s="5">
        <v>299</v>
      </c>
      <c r="H302" s="22">
        <f t="shared" si="30"/>
        <v>2.0649718069994141E-9</v>
      </c>
      <c r="I302" s="22">
        <f t="shared" si="31"/>
        <v>6.0053189235545902E-12</v>
      </c>
      <c r="J302" s="22">
        <f t="shared" si="32"/>
        <v>-6.0053189235545902E-12</v>
      </c>
      <c r="K302" s="22">
        <f t="shared" si="33"/>
        <v>0</v>
      </c>
      <c r="L302" s="22">
        <f t="shared" si="34"/>
        <v>1.1688066430643963E-12</v>
      </c>
      <c r="M302" s="22"/>
      <c r="N302" s="22"/>
      <c r="O302" s="22"/>
      <c r="P302" s="22"/>
      <c r="Q302" s="22"/>
      <c r="R302" s="22"/>
      <c r="S302" s="23">
        <f t="shared" si="35"/>
        <v>1.1688066430643963E-12</v>
      </c>
      <c r="T302" s="24">
        <f t="shared" si="36"/>
        <v>-1.222568545808599E-12</v>
      </c>
    </row>
    <row r="303" spans="7:20">
      <c r="G303" s="5">
        <v>300</v>
      </c>
      <c r="H303" s="22">
        <f t="shared" si="30"/>
        <v>2.0709946414364956E-9</v>
      </c>
      <c r="I303" s="22">
        <f t="shared" si="31"/>
        <v>6.022834437081625E-12</v>
      </c>
      <c r="J303" s="22">
        <f t="shared" si="32"/>
        <v>-6.022834437081625E-12</v>
      </c>
      <c r="K303" s="22">
        <f t="shared" si="33"/>
        <v>0</v>
      </c>
      <c r="L303" s="22">
        <f t="shared" si="34"/>
        <v>1.1722156624400009E-12</v>
      </c>
      <c r="M303" s="22"/>
      <c r="N303" s="22"/>
      <c r="O303" s="22"/>
      <c r="P303" s="22"/>
      <c r="Q303" s="22"/>
      <c r="R303" s="22"/>
      <c r="S303" s="23">
        <f t="shared" si="35"/>
        <v>1.1722156624400009E-12</v>
      </c>
      <c r="T303" s="24">
        <f t="shared" si="36"/>
        <v>-1.2261343707338742E-12</v>
      </c>
    </row>
    <row r="304" spans="7:20">
      <c r="G304" s="5">
        <v>301</v>
      </c>
      <c r="H304" s="22">
        <f t="shared" si="30"/>
        <v>2.0770350424740186E-9</v>
      </c>
      <c r="I304" s="22">
        <f t="shared" si="31"/>
        <v>6.0404010375231128E-12</v>
      </c>
      <c r="J304" s="22">
        <f t="shared" si="32"/>
        <v>-6.0404010375231128E-12</v>
      </c>
      <c r="K304" s="22">
        <f t="shared" si="33"/>
        <v>0</v>
      </c>
      <c r="L304" s="22">
        <f t="shared" si="34"/>
        <v>1.1756346247887842E-12</v>
      </c>
      <c r="M304" s="22"/>
      <c r="N304" s="22"/>
      <c r="O304" s="22"/>
      <c r="P304" s="22"/>
      <c r="Q304" s="22"/>
      <c r="R304" s="22"/>
      <c r="S304" s="23">
        <f t="shared" si="35"/>
        <v>1.1756346247887842E-12</v>
      </c>
      <c r="T304" s="24">
        <f t="shared" si="36"/>
        <v>-1.229710595981848E-12</v>
      </c>
    </row>
    <row r="305" spans="7:20">
      <c r="G305" s="5">
        <v>302</v>
      </c>
      <c r="H305" s="22">
        <f t="shared" si="30"/>
        <v>2.0830930613479012E-9</v>
      </c>
      <c r="I305" s="22">
        <f t="shared" si="31"/>
        <v>6.0580188738825547E-12</v>
      </c>
      <c r="J305" s="22">
        <f t="shared" si="32"/>
        <v>-6.0580188738825547E-12</v>
      </c>
      <c r="K305" s="22">
        <f t="shared" si="33"/>
        <v>0</v>
      </c>
      <c r="L305" s="22">
        <f t="shared" si="34"/>
        <v>1.1790635591110847E-12</v>
      </c>
      <c r="M305" s="22"/>
      <c r="N305" s="22"/>
      <c r="O305" s="22"/>
      <c r="P305" s="22"/>
      <c r="Q305" s="22"/>
      <c r="R305" s="22"/>
      <c r="S305" s="23">
        <f t="shared" si="35"/>
        <v>1.1790635591110847E-12</v>
      </c>
      <c r="T305" s="24">
        <f t="shared" si="36"/>
        <v>-1.233297251886795E-12</v>
      </c>
    </row>
    <row r="306" spans="7:20">
      <c r="G306" s="5">
        <v>303</v>
      </c>
      <c r="H306" s="22">
        <f t="shared" si="30"/>
        <v>2.0891687494434991E-9</v>
      </c>
      <c r="I306" s="22">
        <f t="shared" si="31"/>
        <v>6.0756880955980457E-12</v>
      </c>
      <c r="J306" s="22">
        <f t="shared" si="32"/>
        <v>-6.0756880955980457E-12</v>
      </c>
      <c r="K306" s="22">
        <f t="shared" si="33"/>
        <v>0</v>
      </c>
      <c r="L306" s="22">
        <f t="shared" si="34"/>
        <v>1.1825024944918254E-12</v>
      </c>
      <c r="M306" s="22"/>
      <c r="N306" s="22"/>
      <c r="O306" s="22"/>
      <c r="P306" s="22"/>
      <c r="Q306" s="22"/>
      <c r="R306" s="22"/>
      <c r="S306" s="23">
        <f t="shared" si="35"/>
        <v>1.1825024944918254E-12</v>
      </c>
      <c r="T306" s="24">
        <f t="shared" si="36"/>
        <v>-1.2368943688714646E-12</v>
      </c>
    </row>
    <row r="307" spans="7:20">
      <c r="G307" s="5">
        <v>304</v>
      </c>
      <c r="H307" s="22">
        <f t="shared" si="30"/>
        <v>2.0952621582960424E-9</v>
      </c>
      <c r="I307" s="22">
        <f t="shared" si="31"/>
        <v>6.0934088525435393E-12</v>
      </c>
      <c r="J307" s="22">
        <f t="shared" si="32"/>
        <v>-6.0934088525435393E-12</v>
      </c>
      <c r="K307" s="22">
        <f t="shared" si="33"/>
        <v>0</v>
      </c>
      <c r="L307" s="22">
        <f t="shared" si="34"/>
        <v>1.1859514601007599E-12</v>
      </c>
      <c r="M307" s="22"/>
      <c r="N307" s="22"/>
      <c r="O307" s="22"/>
      <c r="P307" s="22"/>
      <c r="Q307" s="22"/>
      <c r="R307" s="22"/>
      <c r="S307" s="23">
        <f t="shared" si="35"/>
        <v>1.1859514601007599E-12</v>
      </c>
      <c r="T307" s="24">
        <f t="shared" si="36"/>
        <v>-1.2405019774473398E-12</v>
      </c>
    </row>
    <row r="308" spans="7:20">
      <c r="G308" s="5">
        <v>305</v>
      </c>
      <c r="H308" s="22">
        <f t="shared" si="30"/>
        <v>2.1013733395910727E-9</v>
      </c>
      <c r="I308" s="22">
        <f t="shared" si="31"/>
        <v>6.1111812950301242E-12</v>
      </c>
      <c r="J308" s="22">
        <f t="shared" si="32"/>
        <v>-6.1111812950301242E-12</v>
      </c>
      <c r="K308" s="22">
        <f t="shared" si="33"/>
        <v>0</v>
      </c>
      <c r="L308" s="22">
        <f t="shared" si="34"/>
        <v>1.1894104851927202E-12</v>
      </c>
      <c r="M308" s="22"/>
      <c r="N308" s="22"/>
      <c r="O308" s="22"/>
      <c r="P308" s="22"/>
      <c r="Q308" s="22"/>
      <c r="R308" s="22"/>
      <c r="S308" s="23">
        <f t="shared" si="35"/>
        <v>1.1894104851927202E-12</v>
      </c>
      <c r="T308" s="24">
        <f t="shared" si="36"/>
        <v>-1.2441201082148943E-12</v>
      </c>
    </row>
    <row r="309" spans="7:20">
      <c r="G309" s="5">
        <v>306</v>
      </c>
      <c r="H309" s="22">
        <f t="shared" si="30"/>
        <v>2.1075023451648799E-9</v>
      </c>
      <c r="I309" s="22">
        <f t="shared" si="31"/>
        <v>6.1290055738072954E-12</v>
      </c>
      <c r="J309" s="22">
        <f t="shared" si="32"/>
        <v>-6.1290055738072954E-12</v>
      </c>
      <c r="K309" s="22">
        <f t="shared" si="33"/>
        <v>0</v>
      </c>
      <c r="L309" s="22">
        <f t="shared" si="34"/>
        <v>1.1928795991078658E-12</v>
      </c>
      <c r="M309" s="22"/>
      <c r="N309" s="22"/>
      <c r="O309" s="22"/>
      <c r="P309" s="22"/>
      <c r="Q309" s="22"/>
      <c r="R309" s="22"/>
      <c r="S309" s="23">
        <f t="shared" si="35"/>
        <v>1.1928795991078658E-12</v>
      </c>
      <c r="T309" s="24">
        <f t="shared" si="36"/>
        <v>-1.2477487918638546E-12</v>
      </c>
    </row>
    <row r="310" spans="7:20">
      <c r="G310" s="5">
        <v>307</v>
      </c>
      <c r="H310" s="22">
        <f t="shared" si="30"/>
        <v>2.1136492270049441E-9</v>
      </c>
      <c r="I310" s="22">
        <f t="shared" si="31"/>
        <v>6.1468818400642328E-12</v>
      </c>
      <c r="J310" s="22">
        <f t="shared" si="32"/>
        <v>-6.1468818400642328E-12</v>
      </c>
      <c r="K310" s="22">
        <f t="shared" si="33"/>
        <v>0</v>
      </c>
      <c r="L310" s="22">
        <f t="shared" si="34"/>
        <v>1.1963588312719303E-12</v>
      </c>
      <c r="M310" s="22"/>
      <c r="N310" s="22"/>
      <c r="O310" s="22"/>
      <c r="P310" s="22"/>
      <c r="Q310" s="22"/>
      <c r="R310" s="22"/>
      <c r="S310" s="23">
        <f t="shared" si="35"/>
        <v>1.1963588312719303E-12</v>
      </c>
      <c r="T310" s="24">
        <f t="shared" si="36"/>
        <v>-1.2513880591734573E-12</v>
      </c>
    </row>
    <row r="311" spans="7:20">
      <c r="G311" s="5">
        <v>308</v>
      </c>
      <c r="H311" s="22">
        <f t="shared" si="30"/>
        <v>2.1198140372503753E-9</v>
      </c>
      <c r="I311" s="22">
        <f t="shared" si="31"/>
        <v>6.1648102454310873E-12</v>
      </c>
      <c r="J311" s="22">
        <f t="shared" si="32"/>
        <v>-6.1648102454310873E-12</v>
      </c>
      <c r="K311" s="22">
        <f t="shared" si="33"/>
        <v>0</v>
      </c>
      <c r="L311" s="22">
        <f t="shared" si="34"/>
        <v>1.1998482111964734E-12</v>
      </c>
      <c r="M311" s="22"/>
      <c r="N311" s="22"/>
      <c r="O311" s="22"/>
      <c r="P311" s="22"/>
      <c r="Q311" s="22"/>
      <c r="R311" s="22"/>
      <c r="S311" s="23">
        <f t="shared" si="35"/>
        <v>1.1998482111964734E-12</v>
      </c>
      <c r="T311" s="24">
        <f t="shared" si="36"/>
        <v>-1.2550379410127132E-12</v>
      </c>
    </row>
    <row r="312" spans="7:20">
      <c r="G312" s="5">
        <v>309</v>
      </c>
      <c r="H312" s="22">
        <f t="shared" si="30"/>
        <v>2.1259968281923556E-9</v>
      </c>
      <c r="I312" s="22">
        <f t="shared" si="31"/>
        <v>6.1827909419802613E-12</v>
      </c>
      <c r="J312" s="22">
        <f t="shared" si="32"/>
        <v>-6.1827909419802613E-12</v>
      </c>
      <c r="K312" s="22">
        <f t="shared" si="33"/>
        <v>0</v>
      </c>
      <c r="L312" s="22">
        <f t="shared" si="34"/>
        <v>1.2033477684791299E-12</v>
      </c>
      <c r="M312" s="22"/>
      <c r="N312" s="22"/>
      <c r="O312" s="22"/>
      <c r="P312" s="22"/>
      <c r="Q312" s="22"/>
      <c r="R312" s="22"/>
      <c r="S312" s="23">
        <f t="shared" si="35"/>
        <v>1.2033477684791299E-12</v>
      </c>
      <c r="T312" s="24">
        <f t="shared" si="36"/>
        <v>-1.258698468340667E-12</v>
      </c>
    </row>
    <row r="313" spans="7:20">
      <c r="G313" s="5">
        <v>310</v>
      </c>
      <c r="H313" s="22">
        <f t="shared" si="30"/>
        <v>2.1321976522745835E-9</v>
      </c>
      <c r="I313" s="22">
        <f t="shared" si="31"/>
        <v>6.200824082227704E-12</v>
      </c>
      <c r="J313" s="22">
        <f t="shared" si="32"/>
        <v>-6.200824082227704E-12</v>
      </c>
      <c r="K313" s="22">
        <f t="shared" si="33"/>
        <v>0</v>
      </c>
      <c r="L313" s="22">
        <f t="shared" si="34"/>
        <v>1.2068575328038608E-12</v>
      </c>
      <c r="M313" s="22"/>
      <c r="N313" s="22"/>
      <c r="O313" s="22"/>
      <c r="P313" s="22"/>
      <c r="Q313" s="22"/>
      <c r="R313" s="22"/>
      <c r="S313" s="23">
        <f t="shared" si="35"/>
        <v>1.2068575328038608E-12</v>
      </c>
      <c r="T313" s="24">
        <f t="shared" si="36"/>
        <v>-1.2623696722066606E-12</v>
      </c>
    </row>
    <row r="314" spans="7:20">
      <c r="G314" s="5">
        <v>311</v>
      </c>
      <c r="H314" s="22">
        <f t="shared" si="30"/>
        <v>2.1384165620937179E-9</v>
      </c>
      <c r="I314" s="22">
        <f t="shared" si="31"/>
        <v>6.2189098191342019E-12</v>
      </c>
      <c r="J314" s="22">
        <f t="shared" si="32"/>
        <v>-6.2189098191342019E-12</v>
      </c>
      <c r="K314" s="22">
        <f t="shared" si="33"/>
        <v>0</v>
      </c>
      <c r="L314" s="22">
        <f t="shared" si="34"/>
        <v>1.2103775339412054E-12</v>
      </c>
      <c r="M314" s="22"/>
      <c r="N314" s="22"/>
      <c r="O314" s="22"/>
      <c r="P314" s="22"/>
      <c r="Q314" s="22"/>
      <c r="R314" s="22"/>
      <c r="S314" s="23">
        <f t="shared" si="35"/>
        <v>1.2103775339412054E-12</v>
      </c>
      <c r="T314" s="24">
        <f t="shared" si="36"/>
        <v>-1.2660515837505966E-12</v>
      </c>
    </row>
    <row r="315" spans="7:20">
      <c r="G315" s="5">
        <v>312</v>
      </c>
      <c r="H315" s="22">
        <f t="shared" si="30"/>
        <v>2.1446536103998246E-9</v>
      </c>
      <c r="I315" s="22">
        <f t="shared" si="31"/>
        <v>6.2370483061066776E-12</v>
      </c>
      <c r="J315" s="22">
        <f t="shared" si="32"/>
        <v>-6.2370483061066776E-12</v>
      </c>
      <c r="K315" s="22">
        <f t="shared" si="33"/>
        <v>0</v>
      </c>
      <c r="L315" s="22">
        <f t="shared" si="34"/>
        <v>1.213907801748534E-12</v>
      </c>
      <c r="M315" s="22"/>
      <c r="N315" s="22"/>
      <c r="O315" s="22"/>
      <c r="P315" s="22"/>
      <c r="Q315" s="22"/>
      <c r="R315" s="22"/>
      <c r="S315" s="23">
        <f t="shared" si="35"/>
        <v>1.213907801748534E-12</v>
      </c>
      <c r="T315" s="24">
        <f t="shared" si="36"/>
        <v>-1.269744234203203E-12</v>
      </c>
    </row>
    <row r="316" spans="7:20">
      <c r="G316" s="5">
        <v>313</v>
      </c>
      <c r="H316" s="22">
        <f t="shared" si="30"/>
        <v>2.150908850096824E-9</v>
      </c>
      <c r="I316" s="22">
        <f t="shared" si="31"/>
        <v>6.2552396969994885E-12</v>
      </c>
      <c r="J316" s="22">
        <f t="shared" si="32"/>
        <v>-6.2552396969994885E-12</v>
      </c>
      <c r="K316" s="22">
        <f t="shared" si="33"/>
        <v>0</v>
      </c>
      <c r="L316" s="22">
        <f t="shared" si="34"/>
        <v>1.2174483661703006E-12</v>
      </c>
      <c r="M316" s="22"/>
      <c r="N316" s="22"/>
      <c r="O316" s="22"/>
      <c r="P316" s="22"/>
      <c r="Q316" s="22"/>
      <c r="R316" s="22"/>
      <c r="S316" s="23">
        <f t="shared" si="35"/>
        <v>1.2174483661703006E-12</v>
      </c>
      <c r="T316" s="24">
        <f t="shared" si="36"/>
        <v>-1.2734476548862955E-12</v>
      </c>
    </row>
    <row r="317" spans="7:20">
      <c r="G317" s="5">
        <v>314</v>
      </c>
      <c r="H317" s="22">
        <f t="shared" si="30"/>
        <v>2.1571823342429398E-9</v>
      </c>
      <c r="I317" s="22">
        <f t="shared" si="31"/>
        <v>6.2734841461157372E-12</v>
      </c>
      <c r="J317" s="22">
        <f t="shared" si="32"/>
        <v>-6.2734841461157372E-12</v>
      </c>
      <c r="K317" s="22">
        <f t="shared" si="33"/>
        <v>0</v>
      </c>
      <c r="L317" s="22">
        <f t="shared" si="34"/>
        <v>1.2209992572382972E-12</v>
      </c>
      <c r="M317" s="22"/>
      <c r="N317" s="22"/>
      <c r="O317" s="22"/>
      <c r="P317" s="22"/>
      <c r="Q317" s="22"/>
      <c r="R317" s="22"/>
      <c r="S317" s="23">
        <f t="shared" si="35"/>
        <v>1.2209992572382972E-12</v>
      </c>
      <c r="T317" s="24">
        <f t="shared" si="36"/>
        <v>-1.2771618772130477E-12</v>
      </c>
    </row>
    <row r="318" spans="7:20">
      <c r="G318" s="5">
        <v>315</v>
      </c>
      <c r="H318" s="22">
        <f t="shared" si="30"/>
        <v>2.1634741160511485E-9</v>
      </c>
      <c r="I318" s="22">
        <f t="shared" si="31"/>
        <v>6.2917818082085748E-12</v>
      </c>
      <c r="J318" s="22">
        <f t="shared" si="32"/>
        <v>-6.2917818082085748E-12</v>
      </c>
      <c r="K318" s="22">
        <f t="shared" si="33"/>
        <v>0</v>
      </c>
      <c r="L318" s="22">
        <f t="shared" si="34"/>
        <v>1.2245605050719091E-12</v>
      </c>
      <c r="M318" s="22"/>
      <c r="N318" s="22"/>
      <c r="O318" s="22"/>
      <c r="P318" s="22"/>
      <c r="Q318" s="22"/>
      <c r="R318" s="22"/>
      <c r="S318" s="23">
        <f t="shared" si="35"/>
        <v>1.2245605050719091E-12</v>
      </c>
      <c r="T318" s="24">
        <f t="shared" si="36"/>
        <v>-1.2808869326882519E-12</v>
      </c>
    </row>
    <row r="319" spans="7:20">
      <c r="G319" s="5">
        <v>316</v>
      </c>
      <c r="H319" s="22">
        <f t="shared" si="30"/>
        <v>2.1697842488896308E-9</v>
      </c>
      <c r="I319" s="22">
        <f t="shared" si="31"/>
        <v>6.3101328384825168E-12</v>
      </c>
      <c r="J319" s="22">
        <f t="shared" si="32"/>
        <v>-6.3101328384825168E-12</v>
      </c>
      <c r="K319" s="22">
        <f t="shared" si="33"/>
        <v>0</v>
      </c>
      <c r="L319" s="22">
        <f t="shared" si="34"/>
        <v>1.2281321398783688E-12</v>
      </c>
      <c r="M319" s="22"/>
      <c r="N319" s="22"/>
      <c r="O319" s="22"/>
      <c r="P319" s="22"/>
      <c r="Q319" s="22"/>
      <c r="R319" s="22"/>
      <c r="S319" s="23">
        <f t="shared" si="35"/>
        <v>1.2281321398783688E-12</v>
      </c>
      <c r="T319" s="24">
        <f t="shared" si="36"/>
        <v>-1.2846228529085927E-12</v>
      </c>
    </row>
    <row r="320" spans="7:20">
      <c r="G320" s="5">
        <v>317</v>
      </c>
      <c r="H320" s="22">
        <f t="shared" si="30"/>
        <v>2.1761127862822256E-9</v>
      </c>
      <c r="I320" s="22">
        <f t="shared" si="31"/>
        <v>6.3285373925947566E-12</v>
      </c>
      <c r="J320" s="22">
        <f t="shared" si="32"/>
        <v>-6.3285373925947566E-12</v>
      </c>
      <c r="K320" s="22">
        <f t="shared" si="33"/>
        <v>0</v>
      </c>
      <c r="L320" s="22">
        <f t="shared" si="34"/>
        <v>1.2317141919530139E-12</v>
      </c>
      <c r="M320" s="22"/>
      <c r="N320" s="22"/>
      <c r="O320" s="22"/>
      <c r="P320" s="22"/>
      <c r="Q320" s="22"/>
      <c r="R320" s="22"/>
      <c r="S320" s="23">
        <f t="shared" si="35"/>
        <v>1.2317141919530139E-12</v>
      </c>
      <c r="T320" s="24">
        <f t="shared" si="36"/>
        <v>-1.2883696695629094E-12</v>
      </c>
    </row>
    <row r="321" spans="7:20">
      <c r="G321" s="5">
        <v>318</v>
      </c>
      <c r="H321" s="22">
        <f t="shared" si="30"/>
        <v>2.182459781908882E-9</v>
      </c>
      <c r="I321" s="22">
        <f t="shared" si="31"/>
        <v>6.3469956266564916E-12</v>
      </c>
      <c r="J321" s="22">
        <f t="shared" si="32"/>
        <v>-6.3469956266564916E-12</v>
      </c>
      <c r="K321" s="22">
        <f t="shared" si="33"/>
        <v>0</v>
      </c>
      <c r="L321" s="22">
        <f t="shared" si="34"/>
        <v>1.2353066916795435E-12</v>
      </c>
      <c r="M321" s="22"/>
      <c r="N321" s="22"/>
      <c r="O321" s="22"/>
      <c r="P321" s="22"/>
      <c r="Q321" s="22"/>
      <c r="R321" s="22"/>
      <c r="S321" s="23">
        <f t="shared" si="35"/>
        <v>1.2353066916795435E-12</v>
      </c>
      <c r="T321" s="24">
        <f t="shared" si="36"/>
        <v>-1.2921274144324684E-12</v>
      </c>
    </row>
    <row r="322" spans="7:20">
      <c r="G322" s="5">
        <v>319</v>
      </c>
      <c r="H322" s="22">
        <f t="shared" si="30"/>
        <v>2.1888252896061161E-9</v>
      </c>
      <c r="I322" s="22">
        <f t="shared" si="31"/>
        <v>6.3655076972342395E-12</v>
      </c>
      <c r="J322" s="22">
        <f t="shared" si="32"/>
        <v>-6.3655076972342395E-12</v>
      </c>
      <c r="K322" s="22">
        <f t="shared" si="33"/>
        <v>0</v>
      </c>
      <c r="L322" s="22">
        <f t="shared" si="34"/>
        <v>1.2389096695302755E-12</v>
      </c>
      <c r="M322" s="22"/>
      <c r="N322" s="22"/>
      <c r="O322" s="22"/>
      <c r="P322" s="22"/>
      <c r="Q322" s="22"/>
      <c r="R322" s="22"/>
      <c r="S322" s="23">
        <f t="shared" si="35"/>
        <v>1.2389096695302755E-12</v>
      </c>
      <c r="T322" s="24">
        <f t="shared" si="36"/>
        <v>-1.2958961193912293E-12</v>
      </c>
    </row>
    <row r="323" spans="7:20">
      <c r="G323" s="5">
        <v>320</v>
      </c>
      <c r="H323" s="22">
        <f t="shared" si="30"/>
        <v>2.1952093633674671E-9</v>
      </c>
      <c r="I323" s="22">
        <f t="shared" si="31"/>
        <v>6.3840737613511726E-12</v>
      </c>
      <c r="J323" s="22">
        <f t="shared" si="32"/>
        <v>-6.3840737613511726E-12</v>
      </c>
      <c r="K323" s="22">
        <f t="shared" si="33"/>
        <v>0</v>
      </c>
      <c r="L323" s="22">
        <f t="shared" si="34"/>
        <v>1.2425231560664053E-12</v>
      </c>
      <c r="M323" s="22"/>
      <c r="N323" s="22"/>
      <c r="O323" s="22"/>
      <c r="P323" s="22"/>
      <c r="Q323" s="22"/>
      <c r="R323" s="22"/>
      <c r="S323" s="23">
        <f t="shared" si="35"/>
        <v>1.2425231560664053E-12</v>
      </c>
      <c r="T323" s="24">
        <f t="shared" si="36"/>
        <v>-1.2996758164061205E-12</v>
      </c>
    </row>
    <row r="324" spans="7:20">
      <c r="G324" s="5">
        <v>321</v>
      </c>
      <c r="H324" s="22">
        <f t="shared" ref="H324:H363" si="37">H323-J324</f>
        <v>2.2016120573439556E-9</v>
      </c>
      <c r="I324" s="22">
        <f t="shared" ref="I324:I371" si="38">$E$9/$E$13*H323</f>
        <v>6.4026939764884464E-12</v>
      </c>
      <c r="J324" s="22">
        <f t="shared" ref="J324:J371" si="39">K324-I324</f>
        <v>-6.4026939764884464E-12</v>
      </c>
      <c r="K324" s="22">
        <f t="shared" ref="K324:K371" si="40">IF(G324&gt;$E$14,0,$E$16)</f>
        <v>0</v>
      </c>
      <c r="L324" s="22">
        <f t="shared" ref="L324:L371" si="41">$E$10/$E$13*H323</f>
        <v>1.2461471819382657E-12</v>
      </c>
      <c r="M324" s="22"/>
      <c r="N324" s="22"/>
      <c r="O324" s="22"/>
      <c r="P324" s="22"/>
      <c r="Q324" s="22"/>
      <c r="R324" s="22"/>
      <c r="S324" s="23">
        <f t="shared" ref="S324:S371" si="42">K324+L324</f>
        <v>1.2461471819382657E-12</v>
      </c>
      <c r="T324" s="24">
        <f t="shared" ref="T324:T371" si="43">S324-1/3*(I324+L324)</f>
        <v>-1.303466537537305E-12</v>
      </c>
    </row>
    <row r="325" spans="7:20">
      <c r="G325" s="5">
        <v>322</v>
      </c>
      <c r="H325" s="22">
        <f t="shared" si="37"/>
        <v>2.208033425844542E-9</v>
      </c>
      <c r="I325" s="22">
        <f t="shared" si="38"/>
        <v>6.4213685005865378E-12</v>
      </c>
      <c r="J325" s="22">
        <f t="shared" si="39"/>
        <v>-6.4213685005865378E-12</v>
      </c>
      <c r="K325" s="22">
        <f t="shared" si="40"/>
        <v>0</v>
      </c>
      <c r="L325" s="22">
        <f t="shared" si="41"/>
        <v>1.2497817778855856E-12</v>
      </c>
      <c r="M325" s="22"/>
      <c r="N325" s="22"/>
      <c r="O325" s="22"/>
      <c r="P325" s="22"/>
      <c r="Q325" s="22"/>
      <c r="R325" s="22"/>
      <c r="S325" s="23">
        <f t="shared" si="42"/>
        <v>1.2497817778855856E-12</v>
      </c>
      <c r="T325" s="24">
        <f t="shared" si="43"/>
        <v>-1.3072683149384553E-12</v>
      </c>
    </row>
    <row r="326" spans="7:20">
      <c r="G326" s="5">
        <v>323</v>
      </c>
      <c r="H326" s="22">
        <f t="shared" si="37"/>
        <v>2.2144735233365886E-9</v>
      </c>
      <c r="I326" s="22">
        <f t="shared" si="38"/>
        <v>6.4400974920465814E-12</v>
      </c>
      <c r="J326" s="22">
        <f t="shared" si="39"/>
        <v>-6.4400974920465814E-12</v>
      </c>
      <c r="K326" s="22">
        <f t="shared" si="40"/>
        <v>0</v>
      </c>
      <c r="L326" s="22">
        <f t="shared" si="41"/>
        <v>1.2534269747377517E-12</v>
      </c>
      <c r="M326" s="22"/>
      <c r="N326" s="22"/>
      <c r="O326" s="22"/>
      <c r="P326" s="22"/>
      <c r="Q326" s="22"/>
      <c r="R326" s="22"/>
      <c r="S326" s="23">
        <f t="shared" si="42"/>
        <v>1.2534269747377517E-12</v>
      </c>
      <c r="T326" s="24">
        <f t="shared" si="43"/>
        <v>-1.3110811808570258E-12</v>
      </c>
    </row>
    <row r="327" spans="7:20">
      <c r="G327" s="5">
        <v>324</v>
      </c>
      <c r="H327" s="22">
        <f t="shared" si="37"/>
        <v>2.2209324044463204E-9</v>
      </c>
      <c r="I327" s="22">
        <f t="shared" si="38"/>
        <v>6.4588811097317168E-12</v>
      </c>
      <c r="J327" s="22">
        <f t="shared" si="39"/>
        <v>-6.4588811097317168E-12</v>
      </c>
      <c r="K327" s="22">
        <f t="shared" si="40"/>
        <v>0</v>
      </c>
      <c r="L327" s="22">
        <f t="shared" si="41"/>
        <v>1.2570828034140702E-12</v>
      </c>
      <c r="M327" s="22"/>
      <c r="N327" s="22"/>
      <c r="O327" s="22"/>
      <c r="P327" s="22"/>
      <c r="Q327" s="22"/>
      <c r="R327" s="22"/>
      <c r="S327" s="23">
        <f t="shared" si="42"/>
        <v>1.2570828034140702E-12</v>
      </c>
      <c r="T327" s="24">
        <f t="shared" si="43"/>
        <v>-1.3149051676345255E-12</v>
      </c>
    </row>
    <row r="328" spans="7:20">
      <c r="G328" s="5">
        <v>325</v>
      </c>
      <c r="H328" s="22">
        <f t="shared" si="37"/>
        <v>2.2274101239592888E-9</v>
      </c>
      <c r="I328" s="22">
        <f t="shared" si="38"/>
        <v>6.4777195129684352E-12</v>
      </c>
      <c r="J328" s="22">
        <f t="shared" si="39"/>
        <v>-6.4777195129684352E-12</v>
      </c>
      <c r="K328" s="22">
        <f t="shared" si="40"/>
        <v>0</v>
      </c>
      <c r="L328" s="22">
        <f t="shared" si="41"/>
        <v>1.260749294924028E-12</v>
      </c>
      <c r="M328" s="22"/>
      <c r="N328" s="22"/>
      <c r="O328" s="22"/>
      <c r="P328" s="22"/>
      <c r="Q328" s="22"/>
      <c r="R328" s="22"/>
      <c r="S328" s="23">
        <f t="shared" si="42"/>
        <v>1.260749294924028E-12</v>
      </c>
      <c r="T328" s="24">
        <f t="shared" si="43"/>
        <v>-1.318740307706793E-12</v>
      </c>
    </row>
    <row r="329" spans="7:20">
      <c r="G329" s="5">
        <v>326</v>
      </c>
      <c r="H329" s="22">
        <f t="shared" si="37"/>
        <v>2.2339067368208369E-9</v>
      </c>
      <c r="I329" s="22">
        <f t="shared" si="38"/>
        <v>6.4966128615479258E-12</v>
      </c>
      <c r="J329" s="22">
        <f t="shared" si="39"/>
        <v>-6.4966128615479258E-12</v>
      </c>
      <c r="K329" s="22">
        <f t="shared" si="40"/>
        <v>0</v>
      </c>
      <c r="L329" s="22">
        <f t="shared" si="41"/>
        <v>1.2644264803675565E-12</v>
      </c>
      <c r="M329" s="22"/>
      <c r="N329" s="22"/>
      <c r="O329" s="22"/>
      <c r="P329" s="22"/>
      <c r="Q329" s="22"/>
      <c r="R329" s="22"/>
      <c r="S329" s="23">
        <f t="shared" si="42"/>
        <v>1.2644264803675565E-12</v>
      </c>
      <c r="T329" s="24">
        <f t="shared" si="43"/>
        <v>-1.3225866336042709E-12</v>
      </c>
    </row>
    <row r="330" spans="7:20">
      <c r="G330" s="5">
        <v>327</v>
      </c>
      <c r="H330" s="22">
        <f t="shared" si="37"/>
        <v>2.2404222981365642E-9</v>
      </c>
      <c r="I330" s="22">
        <f t="shared" si="38"/>
        <v>6.5155613157274416E-12</v>
      </c>
      <c r="J330" s="22">
        <f t="shared" si="39"/>
        <v>-6.5155613157274416E-12</v>
      </c>
      <c r="K330" s="22">
        <f t="shared" si="40"/>
        <v>0</v>
      </c>
      <c r="L330" s="22">
        <f t="shared" si="41"/>
        <v>1.2681143909352953E-12</v>
      </c>
      <c r="M330" s="22"/>
      <c r="N330" s="22"/>
      <c r="O330" s="22"/>
      <c r="P330" s="22"/>
      <c r="Q330" s="22"/>
      <c r="R330" s="22"/>
      <c r="S330" s="23">
        <f t="shared" si="42"/>
        <v>1.2681143909352953E-12</v>
      </c>
      <c r="T330" s="24">
        <f t="shared" si="43"/>
        <v>-1.3264441779522833E-12</v>
      </c>
    </row>
    <row r="331" spans="7:20">
      <c r="G331" s="5">
        <v>328</v>
      </c>
      <c r="H331" s="22">
        <f t="shared" si="37"/>
        <v>2.2469568631727959E-9</v>
      </c>
      <c r="I331" s="22">
        <f t="shared" si="38"/>
        <v>6.5345650362316458E-12</v>
      </c>
      <c r="J331" s="22">
        <f t="shared" si="39"/>
        <v>-6.5345650362316458E-12</v>
      </c>
      <c r="K331" s="22">
        <f t="shared" si="40"/>
        <v>0</v>
      </c>
      <c r="L331" s="22">
        <f t="shared" si="41"/>
        <v>1.2718130579088564E-12</v>
      </c>
      <c r="M331" s="22"/>
      <c r="N331" s="22"/>
      <c r="O331" s="22"/>
      <c r="P331" s="22"/>
      <c r="Q331" s="22"/>
      <c r="R331" s="22"/>
      <c r="S331" s="23">
        <f t="shared" si="42"/>
        <v>1.2718130579088564E-12</v>
      </c>
      <c r="T331" s="24">
        <f t="shared" si="43"/>
        <v>-1.330312973471311E-12</v>
      </c>
    </row>
    <row r="332" spans="7:20">
      <c r="G332" s="5">
        <v>329</v>
      </c>
      <c r="H332" s="22">
        <f t="shared" si="37"/>
        <v>2.2535104873570499E-9</v>
      </c>
      <c r="I332" s="22">
        <f t="shared" si="38"/>
        <v>6.5536241842539887E-12</v>
      </c>
      <c r="J332" s="22">
        <f t="shared" si="39"/>
        <v>-6.5536241842539887E-12</v>
      </c>
      <c r="K332" s="22">
        <f t="shared" si="40"/>
        <v>0</v>
      </c>
      <c r="L332" s="22">
        <f t="shared" si="41"/>
        <v>1.2755225126610906E-12</v>
      </c>
      <c r="M332" s="22"/>
      <c r="N332" s="22"/>
      <c r="O332" s="22"/>
      <c r="P332" s="22"/>
      <c r="Q332" s="22"/>
      <c r="R332" s="22"/>
      <c r="S332" s="23">
        <f t="shared" si="42"/>
        <v>1.2755225126610906E-12</v>
      </c>
      <c r="T332" s="24">
        <f t="shared" si="43"/>
        <v>-1.3341930529772687E-12</v>
      </c>
    </row>
    <row r="333" spans="7:20">
      <c r="G333" s="5">
        <v>330</v>
      </c>
      <c r="H333" s="22">
        <f t="shared" si="37"/>
        <v>2.2600832262785078E-9</v>
      </c>
      <c r="I333" s="22">
        <f t="shared" si="38"/>
        <v>6.5727389214580626E-12</v>
      </c>
      <c r="J333" s="22">
        <f t="shared" si="39"/>
        <v>-6.5727389214580626E-12</v>
      </c>
      <c r="K333" s="22">
        <f t="shared" si="40"/>
        <v>0</v>
      </c>
      <c r="L333" s="22">
        <f t="shared" si="41"/>
        <v>1.2792427866563522E-12</v>
      </c>
      <c r="M333" s="22"/>
      <c r="N333" s="22"/>
      <c r="O333" s="22"/>
      <c r="P333" s="22"/>
      <c r="Q333" s="22"/>
      <c r="R333" s="22"/>
      <c r="S333" s="23">
        <f t="shared" si="42"/>
        <v>1.2792427866563522E-12</v>
      </c>
      <c r="T333" s="24">
        <f t="shared" si="43"/>
        <v>-1.3380844493817859E-12</v>
      </c>
    </row>
    <row r="334" spans="7:20">
      <c r="G334" s="5">
        <v>331</v>
      </c>
      <c r="H334" s="22">
        <f t="shared" si="37"/>
        <v>2.2666751356884866E-9</v>
      </c>
      <c r="I334" s="22">
        <f t="shared" si="38"/>
        <v>6.5919094099789813E-12</v>
      </c>
      <c r="J334" s="22">
        <f t="shared" si="39"/>
        <v>-6.5919094099789813E-12</v>
      </c>
      <c r="K334" s="22">
        <f t="shared" si="40"/>
        <v>0</v>
      </c>
      <c r="L334" s="22">
        <f t="shared" si="41"/>
        <v>1.2829739114507664E-12</v>
      </c>
      <c r="M334" s="22"/>
      <c r="N334" s="22"/>
      <c r="O334" s="22"/>
      <c r="P334" s="22"/>
      <c r="Q334" s="22"/>
      <c r="R334" s="22"/>
      <c r="S334" s="23">
        <f t="shared" si="42"/>
        <v>1.2829739114507664E-12</v>
      </c>
      <c r="T334" s="24">
        <f t="shared" si="43"/>
        <v>-1.3419871956924826E-12</v>
      </c>
    </row>
    <row r="335" spans="7:20">
      <c r="G335" s="5">
        <v>332</v>
      </c>
      <c r="H335" s="22">
        <f t="shared" si="37"/>
        <v>2.2732862715009112E-9</v>
      </c>
      <c r="I335" s="22">
        <f t="shared" si="38"/>
        <v>6.6111358124247529E-12</v>
      </c>
      <c r="J335" s="22">
        <f t="shared" si="39"/>
        <v>-6.6111358124247529E-12</v>
      </c>
      <c r="K335" s="22">
        <f t="shared" si="40"/>
        <v>0</v>
      </c>
      <c r="L335" s="22">
        <f t="shared" si="41"/>
        <v>1.2867159186924977E-12</v>
      </c>
      <c r="M335" s="22"/>
      <c r="N335" s="22"/>
      <c r="O335" s="22"/>
      <c r="P335" s="22"/>
      <c r="Q335" s="22"/>
      <c r="R335" s="22"/>
      <c r="S335" s="23">
        <f t="shared" si="42"/>
        <v>1.2867159186924977E-12</v>
      </c>
      <c r="T335" s="24">
        <f t="shared" si="43"/>
        <v>-1.3459013250132526E-12</v>
      </c>
    </row>
    <row r="336" spans="7:20">
      <c r="G336" s="5">
        <v>333</v>
      </c>
      <c r="H336" s="22">
        <f t="shared" si="37"/>
        <v>2.2799166897927888E-9</v>
      </c>
      <c r="I336" s="22">
        <f t="shared" si="38"/>
        <v>6.6304182918776581E-12</v>
      </c>
      <c r="J336" s="22">
        <f t="shared" si="39"/>
        <v>-6.6304182918776581E-12</v>
      </c>
      <c r="K336" s="22">
        <f t="shared" si="40"/>
        <v>0</v>
      </c>
      <c r="L336" s="22">
        <f t="shared" si="41"/>
        <v>1.2904688401220173E-12</v>
      </c>
      <c r="M336" s="22"/>
      <c r="N336" s="22"/>
      <c r="O336" s="22"/>
      <c r="P336" s="22"/>
      <c r="Q336" s="22"/>
      <c r="R336" s="22"/>
      <c r="S336" s="23">
        <f t="shared" si="42"/>
        <v>1.2904688401220173E-12</v>
      </c>
      <c r="T336" s="24">
        <f t="shared" si="43"/>
        <v>-1.3498268705445412E-12</v>
      </c>
    </row>
    <row r="337" spans="7:20">
      <c r="G337" s="5">
        <v>334</v>
      </c>
      <c r="H337" s="22">
        <f t="shared" si="37"/>
        <v>2.2865664468046844E-9</v>
      </c>
      <c r="I337" s="22">
        <f t="shared" si="38"/>
        <v>6.6497570118956347E-12</v>
      </c>
      <c r="J337" s="22">
        <f t="shared" si="39"/>
        <v>-6.6497570118956347E-12</v>
      </c>
      <c r="K337" s="22">
        <f t="shared" si="40"/>
        <v>0</v>
      </c>
      <c r="L337" s="22">
        <f t="shared" si="41"/>
        <v>1.2942327075723732E-12</v>
      </c>
      <c r="M337" s="22"/>
      <c r="N337" s="22"/>
      <c r="O337" s="22"/>
      <c r="P337" s="22"/>
      <c r="Q337" s="22"/>
      <c r="R337" s="22"/>
      <c r="S337" s="23">
        <f t="shared" si="42"/>
        <v>1.2942327075723732E-12</v>
      </c>
      <c r="T337" s="24">
        <f t="shared" si="43"/>
        <v>-1.3537638655836292E-12</v>
      </c>
    </row>
    <row r="338" spans="7:20">
      <c r="G338" s="5">
        <v>335</v>
      </c>
      <c r="H338" s="22">
        <f t="shared" si="37"/>
        <v>2.2932355989411981E-9</v>
      </c>
      <c r="I338" s="22">
        <f t="shared" si="38"/>
        <v>6.6691521365136632E-12</v>
      </c>
      <c r="J338" s="22">
        <f t="shared" si="39"/>
        <v>-6.6691521365136632E-12</v>
      </c>
      <c r="K338" s="22">
        <f t="shared" si="40"/>
        <v>0</v>
      </c>
      <c r="L338" s="22">
        <f t="shared" si="41"/>
        <v>1.2980075529694593E-12</v>
      </c>
      <c r="M338" s="22"/>
      <c r="N338" s="22"/>
      <c r="O338" s="22"/>
      <c r="P338" s="22"/>
      <c r="Q338" s="22"/>
      <c r="R338" s="22"/>
      <c r="S338" s="23">
        <f t="shared" si="42"/>
        <v>1.2980075529694593E-12</v>
      </c>
      <c r="T338" s="24">
        <f t="shared" si="43"/>
        <v>-1.3577123435249144E-12</v>
      </c>
    </row>
    <row r="339" spans="7:20">
      <c r="G339" s="5">
        <v>336</v>
      </c>
      <c r="H339" s="22">
        <f t="shared" si="37"/>
        <v>2.2999242027714432E-9</v>
      </c>
      <c r="I339" s="22">
        <f t="shared" si="38"/>
        <v>6.6886038302451613E-12</v>
      </c>
      <c r="J339" s="22">
        <f t="shared" si="39"/>
        <v>-6.6886038302451613E-12</v>
      </c>
      <c r="K339" s="22">
        <f t="shared" si="40"/>
        <v>0</v>
      </c>
      <c r="L339" s="22">
        <f t="shared" si="41"/>
        <v>1.301793408332287E-12</v>
      </c>
      <c r="M339" s="22"/>
      <c r="N339" s="22"/>
      <c r="O339" s="22"/>
      <c r="P339" s="22"/>
      <c r="Q339" s="22"/>
      <c r="R339" s="22"/>
      <c r="S339" s="23">
        <f t="shared" si="42"/>
        <v>1.301793408332287E-12</v>
      </c>
      <c r="T339" s="24">
        <f t="shared" si="43"/>
        <v>-1.3616723378601955E-12</v>
      </c>
    </row>
    <row r="340" spans="7:20">
      <c r="G340" s="5">
        <v>337</v>
      </c>
      <c r="H340" s="22">
        <f t="shared" si="37"/>
        <v>2.3066323150295266E-9</v>
      </c>
      <c r="I340" s="22">
        <f t="shared" si="38"/>
        <v>6.7081122580833764E-12</v>
      </c>
      <c r="J340" s="22">
        <f t="shared" si="39"/>
        <v>-6.7081122580833764E-12</v>
      </c>
      <c r="K340" s="22">
        <f t="shared" si="40"/>
        <v>0</v>
      </c>
      <c r="L340" s="22">
        <f t="shared" si="41"/>
        <v>1.3055903057732561E-12</v>
      </c>
      <c r="M340" s="22"/>
      <c r="N340" s="22"/>
      <c r="O340" s="22"/>
      <c r="P340" s="22"/>
      <c r="Q340" s="22"/>
      <c r="R340" s="22"/>
      <c r="S340" s="23">
        <f t="shared" si="42"/>
        <v>1.3055903057732561E-12</v>
      </c>
      <c r="T340" s="24">
        <f t="shared" si="43"/>
        <v>-1.3656438821789546E-12</v>
      </c>
    </row>
    <row r="341" spans="7:20">
      <c r="G341" s="5">
        <v>338</v>
      </c>
      <c r="H341" s="22">
        <f t="shared" si="37"/>
        <v>2.3133599926150295E-9</v>
      </c>
      <c r="I341" s="22">
        <f t="shared" si="38"/>
        <v>6.7276775855027866E-12</v>
      </c>
      <c r="J341" s="22">
        <f t="shared" si="39"/>
        <v>-6.7276775855027866E-12</v>
      </c>
      <c r="K341" s="22">
        <f t="shared" si="40"/>
        <v>0</v>
      </c>
      <c r="L341" s="22">
        <f t="shared" si="41"/>
        <v>1.309398277498428E-12</v>
      </c>
      <c r="M341" s="22"/>
      <c r="N341" s="22"/>
      <c r="O341" s="22"/>
      <c r="P341" s="22"/>
      <c r="Q341" s="22"/>
      <c r="R341" s="22"/>
      <c r="S341" s="23">
        <f t="shared" si="42"/>
        <v>1.309398277498428E-12</v>
      </c>
      <c r="T341" s="24">
        <f t="shared" si="43"/>
        <v>-1.3696270101686437E-12</v>
      </c>
    </row>
    <row r="342" spans="7:20">
      <c r="G342" s="5">
        <v>339</v>
      </c>
      <c r="H342" s="22">
        <f t="shared" si="37"/>
        <v>2.3201072925934899E-9</v>
      </c>
      <c r="I342" s="22">
        <f t="shared" si="38"/>
        <v>6.7472999784605025E-12</v>
      </c>
      <c r="J342" s="22">
        <f t="shared" si="39"/>
        <v>-6.7472999784605025E-12</v>
      </c>
      <c r="K342" s="22">
        <f t="shared" si="40"/>
        <v>0</v>
      </c>
      <c r="L342" s="22">
        <f t="shared" si="41"/>
        <v>1.3132173558077985E-12</v>
      </c>
      <c r="M342" s="22"/>
      <c r="N342" s="22"/>
      <c r="O342" s="22"/>
      <c r="P342" s="22"/>
      <c r="Q342" s="22"/>
      <c r="R342" s="22"/>
      <c r="S342" s="23">
        <f t="shared" si="42"/>
        <v>1.3132173558077985E-12</v>
      </c>
      <c r="T342" s="24">
        <f t="shared" si="43"/>
        <v>-1.3736217556149686E-12</v>
      </c>
    </row>
    <row r="343" spans="7:20">
      <c r="G343" s="5">
        <v>340</v>
      </c>
      <c r="H343" s="22">
        <f t="shared" si="37"/>
        <v>2.3268742721968875E-9</v>
      </c>
      <c r="I343" s="22">
        <f t="shared" si="38"/>
        <v>6.7669796033976792E-12</v>
      </c>
      <c r="J343" s="22">
        <f t="shared" si="39"/>
        <v>-6.7669796033976792E-12</v>
      </c>
      <c r="K343" s="22">
        <f t="shared" si="40"/>
        <v>0</v>
      </c>
      <c r="L343" s="22">
        <f t="shared" si="41"/>
        <v>1.3170475730955713E-12</v>
      </c>
      <c r="M343" s="22"/>
      <c r="N343" s="22"/>
      <c r="O343" s="22"/>
      <c r="P343" s="22"/>
      <c r="Q343" s="22"/>
      <c r="R343" s="22"/>
      <c r="S343" s="23">
        <f t="shared" si="42"/>
        <v>1.3170475730955713E-12</v>
      </c>
      <c r="T343" s="24">
        <f t="shared" si="43"/>
        <v>-1.3776281524021785E-12</v>
      </c>
    </row>
    <row r="344" spans="7:20">
      <c r="G344" s="5">
        <v>341</v>
      </c>
      <c r="H344" s="22">
        <f t="shared" si="37"/>
        <v>2.3336609888241285E-9</v>
      </c>
      <c r="I344" s="22">
        <f t="shared" si="38"/>
        <v>6.7867166272409224E-12</v>
      </c>
      <c r="J344" s="22">
        <f t="shared" si="39"/>
        <v>-6.7867166272409224E-12</v>
      </c>
      <c r="K344" s="22">
        <f t="shared" si="40"/>
        <v>0</v>
      </c>
      <c r="L344" s="22">
        <f t="shared" si="41"/>
        <v>1.3208889618504332E-12</v>
      </c>
      <c r="M344" s="22"/>
      <c r="N344" s="22"/>
      <c r="O344" s="22"/>
      <c r="P344" s="22"/>
      <c r="Q344" s="22"/>
      <c r="R344" s="22"/>
      <c r="S344" s="23">
        <f t="shared" si="42"/>
        <v>1.3208889618504332E-12</v>
      </c>
      <c r="T344" s="24">
        <f t="shared" si="43"/>
        <v>-1.3816462345133518E-12</v>
      </c>
    </row>
    <row r="345" spans="7:20">
      <c r="G345" s="5">
        <v>342</v>
      </c>
      <c r="H345" s="22">
        <f t="shared" si="37"/>
        <v>2.3404675000415322E-9</v>
      </c>
      <c r="I345" s="22">
        <f t="shared" si="38"/>
        <v>6.8065112174037082E-12</v>
      </c>
      <c r="J345" s="22">
        <f t="shared" si="39"/>
        <v>-6.8065112174037082E-12</v>
      </c>
      <c r="K345" s="22">
        <f t="shared" si="40"/>
        <v>0</v>
      </c>
      <c r="L345" s="22">
        <f t="shared" si="41"/>
        <v>1.3247415546558305E-12</v>
      </c>
      <c r="M345" s="22"/>
      <c r="N345" s="22"/>
      <c r="O345" s="22"/>
      <c r="P345" s="22"/>
      <c r="Q345" s="22"/>
      <c r="R345" s="22"/>
      <c r="S345" s="23">
        <f t="shared" si="42"/>
        <v>1.3247415546558305E-12</v>
      </c>
      <c r="T345" s="24">
        <f t="shared" si="43"/>
        <v>-1.385676036030682E-12</v>
      </c>
    </row>
    <row r="346" spans="7:20">
      <c r="G346" s="5">
        <v>343</v>
      </c>
      <c r="H346" s="22">
        <f t="shared" si="37"/>
        <v>2.3472938635833198E-9</v>
      </c>
      <c r="I346" s="22">
        <f t="shared" si="38"/>
        <v>6.8263635417878026E-12</v>
      </c>
      <c r="J346" s="22">
        <f t="shared" si="39"/>
        <v>-6.8263635417878026E-12</v>
      </c>
      <c r="K346" s="22">
        <f t="shared" si="40"/>
        <v>0</v>
      </c>
      <c r="L346" s="22">
        <f t="shared" si="41"/>
        <v>1.3286053841902433E-12</v>
      </c>
      <c r="M346" s="22"/>
      <c r="N346" s="22"/>
      <c r="O346" s="22"/>
      <c r="P346" s="22"/>
      <c r="Q346" s="22"/>
      <c r="R346" s="22"/>
      <c r="S346" s="23">
        <f t="shared" si="42"/>
        <v>1.3286053841902433E-12</v>
      </c>
      <c r="T346" s="24">
        <f t="shared" si="43"/>
        <v>-1.3897175911357719E-12</v>
      </c>
    </row>
    <row r="347" spans="7:20">
      <c r="G347" s="5">
        <v>344</v>
      </c>
      <c r="H347" s="22">
        <f t="shared" si="37"/>
        <v>2.3541401373521044E-9</v>
      </c>
      <c r="I347" s="22">
        <f t="shared" si="38"/>
        <v>6.846273768784683E-12</v>
      </c>
      <c r="J347" s="22">
        <f t="shared" si="39"/>
        <v>-6.846273768784683E-12</v>
      </c>
      <c r="K347" s="22">
        <f t="shared" si="40"/>
        <v>0</v>
      </c>
      <c r="L347" s="22">
        <f t="shared" si="41"/>
        <v>1.3324804832274648E-12</v>
      </c>
      <c r="M347" s="22"/>
      <c r="N347" s="22"/>
      <c r="O347" s="22"/>
      <c r="P347" s="22"/>
      <c r="Q347" s="22"/>
      <c r="R347" s="22"/>
      <c r="S347" s="23">
        <f t="shared" si="42"/>
        <v>1.3324804832274648E-12</v>
      </c>
      <c r="T347" s="24">
        <f t="shared" si="43"/>
        <v>-1.3937709341099178E-12</v>
      </c>
    </row>
    <row r="348" spans="7:20">
      <c r="G348" s="5">
        <v>345</v>
      </c>
      <c r="H348" s="22">
        <f t="shared" si="37"/>
        <v>2.3610063794193816E-9</v>
      </c>
      <c r="I348" s="22">
        <f t="shared" si="38"/>
        <v>6.8662420672769717E-12</v>
      </c>
      <c r="J348" s="22">
        <f t="shared" si="39"/>
        <v>-6.8662420672769717E-12</v>
      </c>
      <c r="K348" s="22">
        <f t="shared" si="40"/>
        <v>0</v>
      </c>
      <c r="L348" s="22">
        <f t="shared" si="41"/>
        <v>1.336366884636878E-12</v>
      </c>
      <c r="M348" s="22"/>
      <c r="N348" s="22"/>
      <c r="O348" s="22"/>
      <c r="P348" s="22"/>
      <c r="Q348" s="22"/>
      <c r="R348" s="22"/>
      <c r="S348" s="23">
        <f t="shared" si="42"/>
        <v>1.336366884636878E-12</v>
      </c>
      <c r="T348" s="24">
        <f t="shared" si="43"/>
        <v>-1.3978360993344054E-12</v>
      </c>
    </row>
    <row r="349" spans="7:20">
      <c r="G349" s="5">
        <v>346</v>
      </c>
      <c r="H349" s="22">
        <f t="shared" si="37"/>
        <v>2.3678926480260214E-9</v>
      </c>
      <c r="I349" s="22">
        <f t="shared" si="38"/>
        <v>6.8862686066398631E-12</v>
      </c>
      <c r="J349" s="22">
        <f t="shared" si="39"/>
        <v>-6.8862686066398631E-12</v>
      </c>
      <c r="K349" s="22">
        <f t="shared" si="40"/>
        <v>0</v>
      </c>
      <c r="L349" s="22">
        <f t="shared" si="41"/>
        <v>1.3402646213837358E-12</v>
      </c>
      <c r="M349" s="22"/>
      <c r="N349" s="22"/>
      <c r="O349" s="22"/>
      <c r="P349" s="22"/>
      <c r="Q349" s="22"/>
      <c r="R349" s="22"/>
      <c r="S349" s="23">
        <f t="shared" si="42"/>
        <v>1.3402646213837358E-12</v>
      </c>
      <c r="T349" s="24">
        <f t="shared" si="43"/>
        <v>-1.4019131212907969E-12</v>
      </c>
    </row>
    <row r="350" spans="7:20">
      <c r="G350" s="5">
        <v>347</v>
      </c>
      <c r="H350" s="22">
        <f t="shared" si="37"/>
        <v>2.374799001582764E-9</v>
      </c>
      <c r="I350" s="22">
        <f t="shared" si="38"/>
        <v>6.9063535567425628E-12</v>
      </c>
      <c r="J350" s="22">
        <f t="shared" si="39"/>
        <v>-6.9063535567425628E-12</v>
      </c>
      <c r="K350" s="22">
        <f t="shared" si="40"/>
        <v>0</v>
      </c>
      <c r="L350" s="22">
        <f t="shared" si="41"/>
        <v>1.3441737265294382E-12</v>
      </c>
      <c r="M350" s="22"/>
      <c r="N350" s="22"/>
      <c r="O350" s="22"/>
      <c r="P350" s="22"/>
      <c r="Q350" s="22"/>
      <c r="R350" s="22"/>
      <c r="S350" s="23">
        <f t="shared" si="42"/>
        <v>1.3441737265294382E-12</v>
      </c>
      <c r="T350" s="24">
        <f t="shared" si="43"/>
        <v>-1.4060020345612285E-12</v>
      </c>
    </row>
    <row r="351" spans="7:20">
      <c r="G351" s="5">
        <v>348</v>
      </c>
      <c r="H351" s="22">
        <f t="shared" si="37"/>
        <v>2.3817254986707137E-9</v>
      </c>
      <c r="I351" s="22">
        <f t="shared" si="38"/>
        <v>6.9264970879497285E-12</v>
      </c>
      <c r="J351" s="22">
        <f t="shared" si="39"/>
        <v>-6.9264970879497285E-12</v>
      </c>
      <c r="K351" s="22">
        <f t="shared" si="40"/>
        <v>0</v>
      </c>
      <c r="L351" s="22">
        <f t="shared" si="41"/>
        <v>1.3480942332318159E-12</v>
      </c>
      <c r="M351" s="22"/>
      <c r="N351" s="22"/>
      <c r="O351" s="22"/>
      <c r="P351" s="22"/>
      <c r="Q351" s="22"/>
      <c r="R351" s="22"/>
      <c r="S351" s="23">
        <f t="shared" si="42"/>
        <v>1.3480942332318159E-12</v>
      </c>
      <c r="T351" s="24">
        <f t="shared" si="43"/>
        <v>-1.410102873828699E-12</v>
      </c>
    </row>
    <row r="352" spans="7:20">
      <c r="G352" s="5">
        <v>349</v>
      </c>
      <c r="H352" s="22">
        <f t="shared" si="37"/>
        <v>2.3886721980418365E-9</v>
      </c>
      <c r="I352" s="22">
        <f t="shared" si="38"/>
        <v>6.9466993711229151E-12</v>
      </c>
      <c r="J352" s="22">
        <f t="shared" si="39"/>
        <v>-6.9466993711229151E-12</v>
      </c>
      <c r="K352" s="22">
        <f t="shared" si="40"/>
        <v>0</v>
      </c>
      <c r="L352" s="22">
        <f t="shared" si="41"/>
        <v>1.3520261747454086E-12</v>
      </c>
      <c r="M352" s="22"/>
      <c r="N352" s="22"/>
      <c r="O352" s="22"/>
      <c r="P352" s="22"/>
      <c r="Q352" s="22"/>
      <c r="R352" s="22"/>
      <c r="S352" s="23">
        <f t="shared" si="42"/>
        <v>1.3520261747454086E-12</v>
      </c>
      <c r="T352" s="24">
        <f t="shared" si="43"/>
        <v>-1.414215673877366E-12</v>
      </c>
    </row>
    <row r="353" spans="7:20">
      <c r="G353" s="5">
        <v>350</v>
      </c>
      <c r="H353" s="22">
        <f t="shared" si="37"/>
        <v>2.3956391586194585E-9</v>
      </c>
      <c r="I353" s="22">
        <f t="shared" si="38"/>
        <v>6.9669605776220232E-12</v>
      </c>
      <c r="J353" s="22">
        <f t="shared" si="39"/>
        <v>-6.9669605776220232E-12</v>
      </c>
      <c r="K353" s="22">
        <f t="shared" si="40"/>
        <v>0</v>
      </c>
      <c r="L353" s="22">
        <f t="shared" si="41"/>
        <v>1.3559695844217494E-12</v>
      </c>
      <c r="M353" s="22"/>
      <c r="N353" s="22"/>
      <c r="O353" s="22"/>
      <c r="P353" s="22"/>
      <c r="Q353" s="22"/>
      <c r="R353" s="22"/>
      <c r="S353" s="23">
        <f t="shared" si="42"/>
        <v>1.3559695844217494E-12</v>
      </c>
      <c r="T353" s="24">
        <f t="shared" si="43"/>
        <v>-1.4183404695928414E-12</v>
      </c>
    </row>
    <row r="354" spans="7:20">
      <c r="G354" s="5">
        <v>351</v>
      </c>
      <c r="H354" s="22">
        <f t="shared" si="37"/>
        <v>2.4026264394987652E-9</v>
      </c>
      <c r="I354" s="22">
        <f t="shared" si="38"/>
        <v>6.9872808793067544E-12</v>
      </c>
      <c r="J354" s="22">
        <f t="shared" si="39"/>
        <v>-6.9872808793067544E-12</v>
      </c>
      <c r="K354" s="22">
        <f t="shared" si="40"/>
        <v>0</v>
      </c>
      <c r="L354" s="22">
        <f t="shared" si="41"/>
        <v>1.3599244957096461E-12</v>
      </c>
      <c r="M354" s="22"/>
      <c r="N354" s="22"/>
      <c r="O354" s="22"/>
      <c r="P354" s="22"/>
      <c r="Q354" s="22"/>
      <c r="R354" s="22"/>
      <c r="S354" s="23">
        <f t="shared" si="42"/>
        <v>1.3599244957096461E-12</v>
      </c>
      <c r="T354" s="24">
        <f t="shared" si="43"/>
        <v>-1.4224772959624871E-12</v>
      </c>
    </row>
    <row r="355" spans="7:20">
      <c r="G355" s="5">
        <v>352</v>
      </c>
      <c r="H355" s="22">
        <f t="shared" si="37"/>
        <v>2.4096340999473034E-9</v>
      </c>
      <c r="I355" s="22">
        <f t="shared" si="38"/>
        <v>7.0076604485380652E-12</v>
      </c>
      <c r="J355" s="22">
        <f t="shared" si="39"/>
        <v>-7.0076604485380652E-12</v>
      </c>
      <c r="K355" s="22">
        <f t="shared" si="40"/>
        <v>0</v>
      </c>
      <c r="L355" s="22">
        <f t="shared" si="41"/>
        <v>1.3638909421554659E-12</v>
      </c>
      <c r="M355" s="22"/>
      <c r="N355" s="22"/>
      <c r="O355" s="22"/>
      <c r="P355" s="22"/>
      <c r="Q355" s="22"/>
      <c r="R355" s="22"/>
      <c r="S355" s="23">
        <f t="shared" si="42"/>
        <v>1.3638909421554659E-12</v>
      </c>
      <c r="T355" s="24">
        <f t="shared" si="43"/>
        <v>-1.4266261880757112E-12</v>
      </c>
    </row>
    <row r="356" spans="7:20">
      <c r="G356" s="5">
        <v>353</v>
      </c>
      <c r="H356" s="22">
        <f t="shared" si="37"/>
        <v>2.416662199405483E-9</v>
      </c>
      <c r="I356" s="22">
        <f t="shared" si="38"/>
        <v>7.0280994581796349E-12</v>
      </c>
      <c r="J356" s="22">
        <f t="shared" si="39"/>
        <v>-7.0280994581796349E-12</v>
      </c>
      <c r="K356" s="22">
        <f t="shared" si="40"/>
        <v>0</v>
      </c>
      <c r="L356" s="22">
        <f t="shared" si="41"/>
        <v>1.3678689574034195E-12</v>
      </c>
      <c r="M356" s="22"/>
      <c r="N356" s="22"/>
      <c r="O356" s="22"/>
      <c r="P356" s="22"/>
      <c r="Q356" s="22"/>
      <c r="R356" s="22"/>
      <c r="S356" s="23">
        <f t="shared" si="42"/>
        <v>1.3678689574034195E-12</v>
      </c>
      <c r="T356" s="24">
        <f t="shared" si="43"/>
        <v>-1.4307871811242651E-12</v>
      </c>
    </row>
    <row r="357" spans="7:20">
      <c r="G357" s="5">
        <v>354</v>
      </c>
      <c r="H357" s="22">
        <f t="shared" si="37"/>
        <v>2.4237107974870823E-9</v>
      </c>
      <c r="I357" s="22">
        <f t="shared" si="38"/>
        <v>7.0485980815993263E-12</v>
      </c>
      <c r="J357" s="22">
        <f t="shared" si="39"/>
        <v>-7.0485980815993263E-12</v>
      </c>
      <c r="K357" s="22">
        <f t="shared" si="40"/>
        <v>0</v>
      </c>
      <c r="L357" s="22">
        <f t="shared" si="41"/>
        <v>1.3718585751958461E-12</v>
      </c>
      <c r="M357" s="22"/>
      <c r="N357" s="22"/>
      <c r="O357" s="22"/>
      <c r="P357" s="22"/>
      <c r="Q357" s="22"/>
      <c r="R357" s="22"/>
      <c r="S357" s="23">
        <f t="shared" si="42"/>
        <v>1.3718585751958461E-12</v>
      </c>
      <c r="T357" s="24">
        <f t="shared" si="43"/>
        <v>-1.4349603104025446E-12</v>
      </c>
    </row>
    <row r="358" spans="7:20">
      <c r="G358" s="5">
        <v>355</v>
      </c>
      <c r="H358" s="22">
        <f t="shared" si="37"/>
        <v>2.430779953979753E-9</v>
      </c>
      <c r="I358" s="22">
        <f t="shared" si="38"/>
        <v>7.0691564926706569E-12</v>
      </c>
      <c r="J358" s="22">
        <f t="shared" si="39"/>
        <v>-7.0691564926706569E-12</v>
      </c>
      <c r="K358" s="22">
        <f t="shared" si="40"/>
        <v>0</v>
      </c>
      <c r="L358" s="22">
        <f t="shared" si="41"/>
        <v>1.3758598293735007E-12</v>
      </c>
      <c r="M358" s="22"/>
      <c r="N358" s="22"/>
      <c r="O358" s="22"/>
      <c r="P358" s="22"/>
      <c r="Q358" s="22"/>
      <c r="R358" s="22"/>
      <c r="S358" s="23">
        <f t="shared" si="42"/>
        <v>1.3758598293735007E-12</v>
      </c>
      <c r="T358" s="24">
        <f t="shared" si="43"/>
        <v>-1.4391456113078852E-12</v>
      </c>
    </row>
    <row r="359" spans="7:20">
      <c r="G359" s="5">
        <v>356</v>
      </c>
      <c r="H359" s="22">
        <f t="shared" si="37"/>
        <v>2.4378697288455274E-9</v>
      </c>
      <c r="I359" s="22">
        <f t="shared" si="38"/>
        <v>7.0897748657742801E-12</v>
      </c>
      <c r="J359" s="22">
        <f t="shared" si="39"/>
        <v>-7.0897748657742801E-12</v>
      </c>
      <c r="K359" s="22">
        <f t="shared" si="40"/>
        <v>0</v>
      </c>
      <c r="L359" s="22">
        <f t="shared" si="41"/>
        <v>1.37987275387584E-12</v>
      </c>
      <c r="M359" s="22"/>
      <c r="N359" s="22"/>
      <c r="O359" s="22"/>
      <c r="P359" s="22"/>
      <c r="Q359" s="22"/>
      <c r="R359" s="22"/>
      <c r="S359" s="23">
        <f t="shared" si="42"/>
        <v>1.37987275387584E-12</v>
      </c>
      <c r="T359" s="24">
        <f t="shared" si="43"/>
        <v>-1.4433431193408666E-12</v>
      </c>
    </row>
    <row r="360" spans="7:20">
      <c r="G360" s="5">
        <v>357</v>
      </c>
      <c r="H360" s="22">
        <f t="shared" si="37"/>
        <v>2.4449801822213269E-9</v>
      </c>
      <c r="I360" s="22">
        <f t="shared" si="38"/>
        <v>7.1104533757994549E-12</v>
      </c>
      <c r="J360" s="22">
        <f t="shared" si="39"/>
        <v>-7.1104533757994549E-12</v>
      </c>
      <c r="K360" s="22">
        <f t="shared" si="40"/>
        <v>0</v>
      </c>
      <c r="L360" s="22">
        <f t="shared" si="41"/>
        <v>1.3838973827413112E-12</v>
      </c>
      <c r="M360" s="22"/>
      <c r="N360" s="22"/>
      <c r="O360" s="22"/>
      <c r="P360" s="22"/>
      <c r="Q360" s="22"/>
      <c r="R360" s="22"/>
      <c r="S360" s="23">
        <f t="shared" si="42"/>
        <v>1.3838973827413112E-12</v>
      </c>
      <c r="T360" s="24">
        <f t="shared" si="43"/>
        <v>-1.4475528701056108E-12</v>
      </c>
    </row>
    <row r="361" spans="7:20">
      <c r="G361" s="5">
        <v>358</v>
      </c>
      <c r="H361" s="22">
        <f t="shared" si="37"/>
        <v>2.4521113744194724E-9</v>
      </c>
      <c r="I361" s="22">
        <f t="shared" si="38"/>
        <v>7.1311921981455367E-12</v>
      </c>
      <c r="J361" s="22">
        <f t="shared" si="39"/>
        <v>-7.1311921981455367E-12</v>
      </c>
      <c r="K361" s="22">
        <f t="shared" si="40"/>
        <v>0</v>
      </c>
      <c r="L361" s="22">
        <f t="shared" si="41"/>
        <v>1.38793375010764E-12</v>
      </c>
      <c r="M361" s="22"/>
      <c r="N361" s="22"/>
      <c r="O361" s="22"/>
      <c r="P361" s="22"/>
      <c r="Q361" s="22"/>
      <c r="R361" s="22"/>
      <c r="S361" s="23">
        <f t="shared" si="42"/>
        <v>1.38793375010764E-12</v>
      </c>
      <c r="T361" s="24">
        <f t="shared" si="43"/>
        <v>-1.4517748993100853E-12</v>
      </c>
    </row>
    <row r="362" spans="7:20">
      <c r="G362" s="5">
        <v>359</v>
      </c>
      <c r="H362" s="22">
        <f t="shared" si="37"/>
        <v>2.459263365928196E-9</v>
      </c>
      <c r="I362" s="22">
        <f t="shared" si="38"/>
        <v>7.1519915087234614E-12</v>
      </c>
      <c r="J362" s="22">
        <f t="shared" si="39"/>
        <v>-7.1519915087234614E-12</v>
      </c>
      <c r="K362" s="22">
        <f t="shared" si="40"/>
        <v>0</v>
      </c>
      <c r="L362" s="22">
        <f t="shared" si="41"/>
        <v>1.3919818902121206E-12</v>
      </c>
      <c r="M362" s="22"/>
      <c r="N362" s="22"/>
      <c r="O362" s="22"/>
      <c r="P362" s="22"/>
      <c r="Q362" s="22"/>
      <c r="R362" s="22"/>
      <c r="S362" s="23">
        <f t="shared" si="42"/>
        <v>1.3919818902121206E-12</v>
      </c>
      <c r="T362" s="24">
        <f t="shared" si="43"/>
        <v>-1.4560092427664065E-12</v>
      </c>
    </row>
    <row r="363" spans="7:20">
      <c r="G363" s="5">
        <v>360</v>
      </c>
      <c r="H363" s="22">
        <f t="shared" si="37"/>
        <v>2.4664362174121532E-9</v>
      </c>
      <c r="I363" s="22">
        <f t="shared" si="38"/>
        <v>7.1728514839572385E-12</v>
      </c>
      <c r="J363" s="22">
        <f t="shared" si="39"/>
        <v>-7.1728514839572385E-12</v>
      </c>
      <c r="K363" s="22">
        <f t="shared" si="40"/>
        <v>0</v>
      </c>
      <c r="L363" s="22">
        <f t="shared" si="41"/>
        <v>1.3960418373919061E-12</v>
      </c>
      <c r="M363" s="22"/>
      <c r="N363" s="22"/>
      <c r="O363" s="22"/>
      <c r="P363" s="22"/>
      <c r="Q363" s="22"/>
      <c r="R363" s="22"/>
      <c r="S363" s="23">
        <f t="shared" si="42"/>
        <v>1.3960418373919061E-12</v>
      </c>
      <c r="T363" s="24">
        <f t="shared" si="43"/>
        <v>-1.4602559363911417E-12</v>
      </c>
    </row>
    <row r="364" spans="7:20"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3"/>
      <c r="T364" s="24"/>
    </row>
    <row r="365" spans="7:20"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3"/>
      <c r="T365" s="24"/>
    </row>
    <row r="366" spans="7:20"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3"/>
      <c r="T366" s="24"/>
    </row>
    <row r="367" spans="7:20"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3"/>
      <c r="T367" s="24"/>
    </row>
    <row r="368" spans="7:20"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3"/>
      <c r="T368" s="24"/>
    </row>
    <row r="369" spans="8:20"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3"/>
      <c r="T369" s="24"/>
    </row>
    <row r="370" spans="8:20"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3"/>
      <c r="T370" s="24"/>
    </row>
  </sheetData>
  <mergeCells count="16">
    <mergeCell ref="A23:B27"/>
    <mergeCell ref="A28:B28"/>
    <mergeCell ref="A29:B30"/>
    <mergeCell ref="A31:B37"/>
    <mergeCell ref="K1:K2"/>
    <mergeCell ref="L1:L2"/>
    <mergeCell ref="S1:S2"/>
    <mergeCell ref="T1:T2"/>
    <mergeCell ref="A12:B19"/>
    <mergeCell ref="A21:B22"/>
    <mergeCell ref="D1:D2"/>
    <mergeCell ref="E1:E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E20E-FBE0-6C46-B055-6F5876F8045B}">
  <dimension ref="A1:V370"/>
  <sheetViews>
    <sheetView workbookViewId="0">
      <selection activeCell="D36" sqref="D36:D37"/>
    </sheetView>
  </sheetViews>
  <sheetFormatPr baseColWidth="10" defaultColWidth="7.42578125" defaultRowHeight="15"/>
  <cols>
    <col min="1" max="1" width="32.28515625" style="1" customWidth="1"/>
    <col min="2" max="2" width="13" style="1" customWidth="1"/>
    <col min="3" max="3" width="2.5703125" style="1" customWidth="1"/>
    <col min="4" max="4" width="34.42578125" style="1" customWidth="1"/>
    <col min="5" max="5" width="12.42578125" style="1" bestFit="1" customWidth="1"/>
    <col min="6" max="6" width="2.7109375" style="1" customWidth="1"/>
    <col min="7" max="12" width="10" style="5" customWidth="1"/>
    <col min="13" max="15" width="2.28515625" style="5" hidden="1" customWidth="1"/>
    <col min="16" max="18" width="1.42578125" style="5" hidden="1" customWidth="1"/>
    <col min="19" max="19" width="10" style="85" customWidth="1"/>
    <col min="20" max="20" width="10" style="86" customWidth="1"/>
    <col min="21" max="21" width="8.140625" style="8" customWidth="1"/>
    <col min="22" max="22" width="11.7109375" style="8" customWidth="1"/>
    <col min="23" max="16384" width="7.42578125" style="1"/>
  </cols>
  <sheetData>
    <row r="1" spans="1:22" ht="30" customHeight="1">
      <c r="A1" s="1">
        <v>3</v>
      </c>
      <c r="D1" s="2" t="s">
        <v>0</v>
      </c>
      <c r="E1" s="2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S1" s="6" t="s">
        <v>8</v>
      </c>
      <c r="T1" s="7" t="s">
        <v>9</v>
      </c>
    </row>
    <row r="2" spans="1:22" ht="16" thickBot="1">
      <c r="A2" s="9" t="s">
        <v>10</v>
      </c>
      <c r="B2" s="10">
        <v>2000000</v>
      </c>
      <c r="D2" s="11"/>
      <c r="E2" s="11"/>
      <c r="G2" s="3"/>
      <c r="H2" s="4"/>
      <c r="I2" s="4"/>
      <c r="J2" s="4"/>
      <c r="K2" s="4"/>
      <c r="L2" s="4"/>
      <c r="M2" s="12" t="s">
        <v>11</v>
      </c>
      <c r="N2" s="12" t="s">
        <v>12</v>
      </c>
      <c r="O2" s="12" t="s">
        <v>13</v>
      </c>
      <c r="P2" s="13"/>
      <c r="Q2" s="13"/>
      <c r="R2" s="13"/>
      <c r="S2" s="14"/>
      <c r="T2" s="15"/>
      <c r="V2" s="16" t="s">
        <v>14</v>
      </c>
    </row>
    <row r="3" spans="1:22" ht="16">
      <c r="A3" s="9" t="s">
        <v>15</v>
      </c>
      <c r="B3" s="17">
        <f>0.8*B2</f>
        <v>1600000</v>
      </c>
      <c r="D3" s="18" t="s">
        <v>16</v>
      </c>
      <c r="E3" s="19">
        <f>E5*100/E4</f>
        <v>1648125.2575195716</v>
      </c>
      <c r="F3" s="20"/>
      <c r="G3" s="5">
        <v>0</v>
      </c>
      <c r="H3" s="21">
        <f>E3</f>
        <v>1648125.2575195716</v>
      </c>
      <c r="I3" s="21"/>
      <c r="J3" s="21"/>
      <c r="K3" s="21">
        <f>-E5</f>
        <v>-1600000</v>
      </c>
      <c r="L3" s="21"/>
      <c r="M3" s="21"/>
      <c r="N3" s="21"/>
      <c r="O3" s="21"/>
      <c r="P3" s="22"/>
      <c r="Q3" s="22"/>
      <c r="R3" s="22"/>
      <c r="S3" s="23">
        <f>-E7</f>
        <v>-1561077.1837659662</v>
      </c>
      <c r="T3" s="24"/>
      <c r="V3" s="25">
        <f>-E7</f>
        <v>-1561077.1837659662</v>
      </c>
    </row>
    <row r="4" spans="1:22" ht="16">
      <c r="D4" s="26" t="s">
        <v>17</v>
      </c>
      <c r="E4" s="27">
        <v>97.08</v>
      </c>
      <c r="G4" s="5">
        <v>1</v>
      </c>
      <c r="H4" s="22">
        <f t="shared" ref="H4:H67" si="0">H3-J4</f>
        <v>1645531.4706033431</v>
      </c>
      <c r="I4" s="22">
        <f t="shared" ref="I4:I67" si="1">$E$9/$E$13*H3</f>
        <v>4807.0320010987507</v>
      </c>
      <c r="J4" s="22">
        <f t="shared" ref="J4:J67" si="2">K4-I4</f>
        <v>2593.7869162283941</v>
      </c>
      <c r="K4" s="22">
        <f t="shared" ref="K4:K67" si="3">IF(G4&gt;$E$14,0,$E$16)</f>
        <v>7400.8189173271448</v>
      </c>
      <c r="L4" s="22">
        <f t="shared" ref="L4:L67" si="4">$E$10/$E$13*H3</f>
        <v>935.58577118527694</v>
      </c>
      <c r="M4" s="22"/>
      <c r="N4" s="22"/>
      <c r="O4" s="22"/>
      <c r="P4" s="22"/>
      <c r="Q4" s="22"/>
      <c r="R4" s="22"/>
      <c r="S4" s="23">
        <f t="shared" ref="S4:S67" si="5">K4+L4</f>
        <v>8336.4046885124226</v>
      </c>
      <c r="T4" s="24">
        <f t="shared" ref="T4:T67" si="6">S4-1/3*(I4+L4)</f>
        <v>6422.198764417747</v>
      </c>
      <c r="V4" s="25">
        <f t="shared" ref="V4:V67" si="7">S4</f>
        <v>8336.4046885124226</v>
      </c>
    </row>
    <row r="5" spans="1:22" ht="16">
      <c r="A5" s="9" t="s">
        <v>18</v>
      </c>
      <c r="D5" s="28" t="s">
        <v>19</v>
      </c>
      <c r="E5" s="29">
        <f>B3</f>
        <v>1600000</v>
      </c>
      <c r="F5" s="30"/>
      <c r="G5" s="5">
        <v>2</v>
      </c>
      <c r="H5" s="22">
        <f t="shared" si="0"/>
        <v>1642930.1184752758</v>
      </c>
      <c r="I5" s="22">
        <f t="shared" si="1"/>
        <v>4799.4667892597508</v>
      </c>
      <c r="J5" s="22">
        <f t="shared" si="2"/>
        <v>2601.352128067394</v>
      </c>
      <c r="K5" s="22">
        <f t="shared" si="3"/>
        <v>7400.8189173271448</v>
      </c>
      <c r="L5" s="22">
        <f t="shared" si="4"/>
        <v>934.11336481249782</v>
      </c>
      <c r="M5" s="22"/>
      <c r="N5" s="22"/>
      <c r="O5" s="22"/>
      <c r="P5" s="22"/>
      <c r="Q5" s="22"/>
      <c r="R5" s="22"/>
      <c r="S5" s="23">
        <f t="shared" si="5"/>
        <v>8334.9322821396418</v>
      </c>
      <c r="T5" s="24">
        <f t="shared" si="6"/>
        <v>6423.7388974488922</v>
      </c>
      <c r="U5" s="31" t="s">
        <v>20</v>
      </c>
      <c r="V5" s="25">
        <f t="shared" si="7"/>
        <v>8334.9322821396418</v>
      </c>
    </row>
    <row r="6" spans="1:22" ht="16">
      <c r="A6" s="1" t="s">
        <v>21</v>
      </c>
      <c r="B6" s="32">
        <f>1.45%*E3+1825</f>
        <v>25722.816234033788</v>
      </c>
      <c r="D6" s="33" t="s">
        <v>22</v>
      </c>
      <c r="E6" s="34">
        <f>B9</f>
        <v>38922.816234033788</v>
      </c>
      <c r="F6" s="17"/>
      <c r="G6" s="5">
        <v>3</v>
      </c>
      <c r="H6" s="22">
        <f t="shared" si="0"/>
        <v>1640321.1790701682</v>
      </c>
      <c r="I6" s="22">
        <f t="shared" si="1"/>
        <v>4791.8795122195543</v>
      </c>
      <c r="J6" s="22">
        <f t="shared" si="2"/>
        <v>2608.9394051075906</v>
      </c>
      <c r="K6" s="22">
        <f t="shared" si="3"/>
        <v>7400.8189173271448</v>
      </c>
      <c r="L6" s="22">
        <f t="shared" si="4"/>
        <v>932.63666392113169</v>
      </c>
      <c r="M6" s="22"/>
      <c r="N6" s="22"/>
      <c r="O6" s="22"/>
      <c r="P6" s="22"/>
      <c r="Q6" s="22"/>
      <c r="R6" s="22"/>
      <c r="S6" s="23">
        <f t="shared" si="5"/>
        <v>8333.4555812482758</v>
      </c>
      <c r="T6" s="24">
        <f t="shared" si="6"/>
        <v>6425.2835225347135</v>
      </c>
      <c r="V6" s="25">
        <f t="shared" si="7"/>
        <v>8333.4555812482758</v>
      </c>
    </row>
    <row r="7" spans="1:22" ht="16">
      <c r="A7" s="1" t="s">
        <v>23</v>
      </c>
      <c r="B7" s="35">
        <v>10000</v>
      </c>
      <c r="D7" s="28" t="s">
        <v>24</v>
      </c>
      <c r="E7" s="34">
        <f>E5-E6</f>
        <v>1561077.1837659662</v>
      </c>
      <c r="F7" s="36"/>
      <c r="G7" s="5">
        <v>4</v>
      </c>
      <c r="H7" s="22">
        <f t="shared" si="0"/>
        <v>1637704.6302584624</v>
      </c>
      <c r="I7" s="22">
        <f t="shared" si="1"/>
        <v>4784.2701056213236</v>
      </c>
      <c r="J7" s="22">
        <f t="shared" si="2"/>
        <v>2616.5488117058212</v>
      </c>
      <c r="K7" s="22">
        <f t="shared" si="3"/>
        <v>7400.8189173271448</v>
      </c>
      <c r="L7" s="22">
        <f t="shared" si="4"/>
        <v>931.15565598549892</v>
      </c>
      <c r="M7" s="22"/>
      <c r="N7" s="22"/>
      <c r="O7" s="22"/>
      <c r="P7" s="22"/>
      <c r="Q7" s="22"/>
      <c r="R7" s="22"/>
      <c r="S7" s="23">
        <f t="shared" si="5"/>
        <v>8331.9745733126438</v>
      </c>
      <c r="T7" s="24">
        <f t="shared" si="6"/>
        <v>6426.8326527770369</v>
      </c>
      <c r="V7" s="25"/>
    </row>
    <row r="8" spans="1:22" ht="16">
      <c r="A8" s="1" t="s">
        <v>25</v>
      </c>
      <c r="B8" s="37">
        <f>0.2%*B3</f>
        <v>3200</v>
      </c>
      <c r="D8" s="38"/>
      <c r="E8" s="38"/>
      <c r="G8" s="5">
        <v>5</v>
      </c>
      <c r="H8" s="22">
        <f t="shared" si="0"/>
        <v>1635080.4498460558</v>
      </c>
      <c r="I8" s="22">
        <f t="shared" si="1"/>
        <v>4776.6385049205155</v>
      </c>
      <c r="J8" s="22">
        <f t="shared" si="2"/>
        <v>2624.1804124066293</v>
      </c>
      <c r="K8" s="22">
        <f t="shared" si="3"/>
        <v>7400.8189173271448</v>
      </c>
      <c r="L8" s="22">
        <f t="shared" si="4"/>
        <v>929.67032844338723</v>
      </c>
      <c r="M8" s="22"/>
      <c r="N8" s="22"/>
      <c r="O8" s="22"/>
      <c r="P8" s="22"/>
      <c r="Q8" s="22"/>
      <c r="R8" s="22"/>
      <c r="S8" s="23">
        <f t="shared" si="5"/>
        <v>8330.4892457705319</v>
      </c>
      <c r="T8" s="24">
        <f t="shared" si="6"/>
        <v>6428.386301315898</v>
      </c>
      <c r="V8" s="25">
        <f t="shared" si="7"/>
        <v>8330.4892457705319</v>
      </c>
    </row>
    <row r="9" spans="1:22" ht="16">
      <c r="A9" s="1" t="s">
        <v>26</v>
      </c>
      <c r="B9" s="39">
        <f>SUM(B6:B8)</f>
        <v>38922.816234033788</v>
      </c>
      <c r="D9" s="38" t="s">
        <v>27</v>
      </c>
      <c r="E9" s="40">
        <v>3.5000000000000003E-2</v>
      </c>
      <c r="F9" s="41"/>
      <c r="G9" s="5">
        <v>6</v>
      </c>
      <c r="H9" s="22">
        <f t="shared" si="0"/>
        <v>1632448.6155741131</v>
      </c>
      <c r="I9" s="22">
        <f t="shared" si="1"/>
        <v>4768.9846453843293</v>
      </c>
      <c r="J9" s="22">
        <f t="shared" si="2"/>
        <v>2631.8342719428156</v>
      </c>
      <c r="K9" s="22">
        <f t="shared" si="3"/>
        <v>7400.8189173271448</v>
      </c>
      <c r="L9" s="22">
        <f t="shared" si="4"/>
        <v>928.18066869594452</v>
      </c>
      <c r="M9" s="22"/>
      <c r="N9" s="22"/>
      <c r="O9" s="22"/>
      <c r="P9" s="22"/>
      <c r="Q9" s="22"/>
      <c r="R9" s="22"/>
      <c r="S9" s="23">
        <f t="shared" si="5"/>
        <v>8328.9995860230902</v>
      </c>
      <c r="T9" s="24">
        <f t="shared" si="6"/>
        <v>6429.9444813296659</v>
      </c>
      <c r="V9" s="25">
        <f t="shared" si="7"/>
        <v>8328.9995860230902</v>
      </c>
    </row>
    <row r="10" spans="1:22" ht="16">
      <c r="D10" s="38" t="s">
        <v>28</v>
      </c>
      <c r="E10" s="42">
        <v>6.8120000000000003E-3</v>
      </c>
      <c r="F10" s="41"/>
      <c r="G10" s="5">
        <v>7</v>
      </c>
      <c r="H10" s="22">
        <f t="shared" si="0"/>
        <v>1629809.105118877</v>
      </c>
      <c r="I10" s="22">
        <f t="shared" si="1"/>
        <v>4761.3084620911632</v>
      </c>
      <c r="J10" s="22">
        <f t="shared" si="2"/>
        <v>2639.5104552359817</v>
      </c>
      <c r="K10" s="22">
        <f t="shared" si="3"/>
        <v>7400.8189173271448</v>
      </c>
      <c r="L10" s="22">
        <f t="shared" si="4"/>
        <v>926.68666410757169</v>
      </c>
      <c r="M10" s="22"/>
      <c r="N10" s="22"/>
      <c r="O10" s="22"/>
      <c r="P10" s="22"/>
      <c r="Q10" s="22"/>
      <c r="R10" s="22"/>
      <c r="S10" s="23">
        <f t="shared" si="5"/>
        <v>8327.5055814347161</v>
      </c>
      <c r="T10" s="24">
        <f t="shared" si="6"/>
        <v>6431.5072060351376</v>
      </c>
      <c r="V10" s="25">
        <f t="shared" si="7"/>
        <v>8327.5055814347161</v>
      </c>
    </row>
    <row r="11" spans="1:22" ht="18" thickBot="1">
      <c r="A11" s="43" t="s">
        <v>29</v>
      </c>
      <c r="B11" s="44"/>
      <c r="C11" s="44"/>
      <c r="D11" s="38" t="s">
        <v>30</v>
      </c>
      <c r="E11" s="45">
        <f>SUM(E9:E10)</f>
        <v>4.1812000000000002E-2</v>
      </c>
      <c r="F11" s="41"/>
      <c r="G11" s="5">
        <v>8</v>
      </c>
      <c r="H11" s="22">
        <f t="shared" si="0"/>
        <v>1627161.89609148</v>
      </c>
      <c r="I11" s="22">
        <f t="shared" si="1"/>
        <v>4753.6098899300578</v>
      </c>
      <c r="J11" s="22">
        <f t="shared" si="2"/>
        <v>2647.2090273970871</v>
      </c>
      <c r="K11" s="22">
        <f t="shared" si="3"/>
        <v>7400.8189173271448</v>
      </c>
      <c r="L11" s="22">
        <f t="shared" si="4"/>
        <v>925.18830200581601</v>
      </c>
      <c r="M11" s="22"/>
      <c r="N11" s="22"/>
      <c r="O11" s="22"/>
      <c r="P11" s="22"/>
      <c r="Q11" s="22"/>
      <c r="R11" s="22"/>
      <c r="S11" s="23">
        <f t="shared" si="5"/>
        <v>8326.0072193329615</v>
      </c>
      <c r="T11" s="24">
        <f t="shared" si="6"/>
        <v>6433.074488687671</v>
      </c>
      <c r="V11" s="25">
        <f t="shared" si="7"/>
        <v>8326.0072193329615</v>
      </c>
    </row>
    <row r="12" spans="1:22" ht="16">
      <c r="A12" s="46" t="s">
        <v>31</v>
      </c>
      <c r="B12" s="47"/>
      <c r="C12" s="44"/>
      <c r="D12" s="38" t="s">
        <v>32</v>
      </c>
      <c r="E12" s="48">
        <v>30</v>
      </c>
      <c r="G12" s="5">
        <v>9</v>
      </c>
      <c r="H12" s="22">
        <f t="shared" si="0"/>
        <v>1624506.966037753</v>
      </c>
      <c r="I12" s="22">
        <f t="shared" si="1"/>
        <v>4745.8888636001502</v>
      </c>
      <c r="J12" s="22">
        <f t="shared" si="2"/>
        <v>2654.9300537269946</v>
      </c>
      <c r="K12" s="22">
        <f t="shared" si="3"/>
        <v>7400.8189173271448</v>
      </c>
      <c r="L12" s="22">
        <f t="shared" si="4"/>
        <v>923.68556968126359</v>
      </c>
      <c r="M12" s="22"/>
      <c r="N12" s="22"/>
      <c r="O12" s="22"/>
      <c r="P12" s="22"/>
      <c r="Q12" s="22"/>
      <c r="R12" s="22"/>
      <c r="S12" s="23">
        <f t="shared" si="5"/>
        <v>8324.5044870084093</v>
      </c>
      <c r="T12" s="24">
        <f t="shared" si="6"/>
        <v>6434.6463425812717</v>
      </c>
      <c r="V12" s="25">
        <f t="shared" si="7"/>
        <v>8324.5044870084093</v>
      </c>
    </row>
    <row r="13" spans="1:22" ht="16">
      <c r="A13" s="49"/>
      <c r="B13" s="50"/>
      <c r="C13" s="44"/>
      <c r="D13" s="38" t="s">
        <v>33</v>
      </c>
      <c r="E13" s="48">
        <v>12</v>
      </c>
      <c r="G13" s="5">
        <v>10</v>
      </c>
      <c r="H13" s="22">
        <f t="shared" si="0"/>
        <v>1621844.2924380361</v>
      </c>
      <c r="I13" s="22">
        <f t="shared" si="1"/>
        <v>4738.1453176101131</v>
      </c>
      <c r="J13" s="22">
        <f t="shared" si="2"/>
        <v>2662.6735997170317</v>
      </c>
      <c r="K13" s="22">
        <f t="shared" si="3"/>
        <v>7400.8189173271448</v>
      </c>
      <c r="L13" s="22">
        <f t="shared" si="4"/>
        <v>922.1784543874312</v>
      </c>
      <c r="M13" s="22"/>
      <c r="N13" s="22"/>
      <c r="O13" s="22"/>
      <c r="P13" s="22"/>
      <c r="Q13" s="22"/>
      <c r="R13" s="22"/>
      <c r="S13" s="23">
        <f t="shared" si="5"/>
        <v>8322.9973717145767</v>
      </c>
      <c r="T13" s="24">
        <f t="shared" si="6"/>
        <v>6436.2227810487293</v>
      </c>
      <c r="V13" s="25">
        <f t="shared" si="7"/>
        <v>8322.9973717145767</v>
      </c>
    </row>
    <row r="14" spans="1:22" ht="16">
      <c r="A14" s="49"/>
      <c r="B14" s="50"/>
      <c r="C14" s="44"/>
      <c r="D14" s="38" t="s">
        <v>34</v>
      </c>
      <c r="E14" s="38">
        <f>E12*E13</f>
        <v>360</v>
      </c>
      <c r="G14" s="5">
        <v>11</v>
      </c>
      <c r="H14" s="22">
        <f t="shared" si="0"/>
        <v>1619173.8527069865</v>
      </c>
      <c r="I14" s="22">
        <f t="shared" si="1"/>
        <v>4730.3791862776052</v>
      </c>
      <c r="J14" s="22">
        <f t="shared" si="2"/>
        <v>2670.4397310495397</v>
      </c>
      <c r="K14" s="22">
        <f t="shared" si="3"/>
        <v>7400.8189173271448</v>
      </c>
      <c r="L14" s="22">
        <f t="shared" si="4"/>
        <v>920.66694334065858</v>
      </c>
      <c r="M14" s="22"/>
      <c r="N14" s="22"/>
      <c r="O14" s="22"/>
      <c r="P14" s="22"/>
      <c r="Q14" s="22"/>
      <c r="R14" s="22"/>
      <c r="S14" s="23">
        <f t="shared" si="5"/>
        <v>8321.4858606678026</v>
      </c>
      <c r="T14" s="24">
        <f t="shared" si="6"/>
        <v>6437.803817461715</v>
      </c>
      <c r="V14" s="25">
        <f t="shared" si="7"/>
        <v>8321.4858606678026</v>
      </c>
    </row>
    <row r="15" spans="1:22" ht="17" thickBot="1">
      <c r="A15" s="49"/>
      <c r="B15" s="50"/>
      <c r="C15" s="44"/>
      <c r="D15" s="38"/>
      <c r="E15" s="38"/>
      <c r="F15" s="41"/>
      <c r="G15" s="5">
        <v>12</v>
      </c>
      <c r="H15" s="22">
        <f t="shared" si="0"/>
        <v>1616495.624193388</v>
      </c>
      <c r="I15" s="22">
        <f t="shared" si="1"/>
        <v>4722.590403728711</v>
      </c>
      <c r="J15" s="22">
        <f t="shared" si="2"/>
        <v>2678.2285135984339</v>
      </c>
      <c r="K15" s="22">
        <f t="shared" si="3"/>
        <v>7400.8189173271448</v>
      </c>
      <c r="L15" s="22">
        <f t="shared" si="4"/>
        <v>919.15102371999944</v>
      </c>
      <c r="M15" s="22"/>
      <c r="N15" s="22"/>
      <c r="O15" s="22"/>
      <c r="P15" s="22"/>
      <c r="Q15" s="22"/>
      <c r="R15" s="22"/>
      <c r="S15" s="23">
        <f t="shared" si="5"/>
        <v>8319.9699410471439</v>
      </c>
      <c r="T15" s="24">
        <f t="shared" si="6"/>
        <v>6439.3894652309073</v>
      </c>
      <c r="V15" s="25">
        <f t="shared" si="7"/>
        <v>8319.9699410471439</v>
      </c>
    </row>
    <row r="16" spans="1:22" ht="16">
      <c r="A16" s="49"/>
      <c r="B16" s="50"/>
      <c r="C16" s="44"/>
      <c r="D16" s="51" t="s">
        <v>35</v>
      </c>
      <c r="E16" s="52">
        <f>-PMT(E9/E13,E14,E3)</f>
        <v>7400.8189173271448</v>
      </c>
      <c r="F16" s="20"/>
      <c r="G16" s="5">
        <v>13</v>
      </c>
      <c r="H16" s="22">
        <f t="shared" si="0"/>
        <v>1613809.5841799583</v>
      </c>
      <c r="I16" s="22">
        <f t="shared" si="1"/>
        <v>4714.7789038973824</v>
      </c>
      <c r="J16" s="22">
        <f t="shared" si="2"/>
        <v>2686.0400134297624</v>
      </c>
      <c r="K16" s="22">
        <f t="shared" si="3"/>
        <v>7400.8189173271448</v>
      </c>
      <c r="L16" s="22">
        <f t="shared" si="4"/>
        <v>917.63068266711343</v>
      </c>
      <c r="M16" s="22"/>
      <c r="N16" s="22"/>
      <c r="O16" s="22"/>
      <c r="P16" s="22"/>
      <c r="Q16" s="22"/>
      <c r="R16" s="22"/>
      <c r="S16" s="23">
        <f t="shared" si="5"/>
        <v>8318.4495999942592</v>
      </c>
      <c r="T16" s="24">
        <f t="shared" si="6"/>
        <v>6440.9797378060939</v>
      </c>
      <c r="V16" s="25">
        <f t="shared" si="7"/>
        <v>8318.4495999942592</v>
      </c>
    </row>
    <row r="17" spans="1:22" ht="16">
      <c r="A17" s="49"/>
      <c r="B17" s="50"/>
      <c r="C17" s="44"/>
      <c r="D17" s="38" t="s">
        <v>36</v>
      </c>
      <c r="E17" s="19">
        <f>E16*E13</f>
        <v>88809.827007925735</v>
      </c>
      <c r="F17" s="20"/>
      <c r="G17" s="5">
        <v>14</v>
      </c>
      <c r="H17" s="22">
        <f t="shared" si="0"/>
        <v>1611115.709883156</v>
      </c>
      <c r="I17" s="22">
        <f t="shared" si="1"/>
        <v>4706.9446205248787</v>
      </c>
      <c r="J17" s="22">
        <f t="shared" si="2"/>
        <v>2693.8742968022661</v>
      </c>
      <c r="K17" s="22">
        <f t="shared" si="3"/>
        <v>7400.8189173271448</v>
      </c>
      <c r="L17" s="22">
        <f t="shared" si="4"/>
        <v>916.10590728615648</v>
      </c>
      <c r="M17" s="22"/>
      <c r="N17" s="22"/>
      <c r="O17" s="22"/>
      <c r="P17" s="22"/>
      <c r="Q17" s="22"/>
      <c r="R17" s="22"/>
      <c r="S17" s="23">
        <f t="shared" si="5"/>
        <v>8316.9248246133011</v>
      </c>
      <c r="T17" s="24">
        <f t="shared" si="6"/>
        <v>6442.5746486762891</v>
      </c>
      <c r="V17" s="25">
        <f t="shared" si="7"/>
        <v>8316.9248246133011</v>
      </c>
    </row>
    <row r="18" spans="1:22" ht="16">
      <c r="A18" s="49"/>
      <c r="B18" s="50"/>
      <c r="C18" s="44"/>
      <c r="D18" s="38" t="s">
        <v>37</v>
      </c>
      <c r="E18" s="19">
        <f ca="1">SUM(INDIRECT("L4"):INDIRECT("L"&amp;3+E13))</f>
        <v>11128.899410286478</v>
      </c>
      <c r="G18" s="5">
        <v>15</v>
      </c>
      <c r="H18" s="22">
        <f t="shared" si="0"/>
        <v>1608413.978452988</v>
      </c>
      <c r="I18" s="22">
        <f t="shared" si="1"/>
        <v>4699.087487159205</v>
      </c>
      <c r="J18" s="22">
        <f t="shared" si="2"/>
        <v>2701.7314301679398</v>
      </c>
      <c r="K18" s="22">
        <f t="shared" si="3"/>
        <v>7400.8189173271448</v>
      </c>
      <c r="L18" s="22">
        <f t="shared" si="4"/>
        <v>914.57668464367168</v>
      </c>
      <c r="M18" s="22"/>
      <c r="N18" s="22"/>
      <c r="O18" s="22"/>
      <c r="P18" s="22"/>
      <c r="Q18" s="22"/>
      <c r="R18" s="22"/>
      <c r="S18" s="23">
        <f t="shared" si="5"/>
        <v>8315.3956019708166</v>
      </c>
      <c r="T18" s="24">
        <f t="shared" si="6"/>
        <v>6444.1742113698583</v>
      </c>
      <c r="V18" s="25">
        <f t="shared" si="7"/>
        <v>8315.3956019708166</v>
      </c>
    </row>
    <row r="19" spans="1:22" ht="17" thickBot="1">
      <c r="A19" s="53"/>
      <c r="B19" s="54"/>
      <c r="C19" s="44"/>
      <c r="D19" s="38" t="s">
        <v>38</v>
      </c>
      <c r="E19" s="19">
        <f ca="1">SUM(E17:E18)</f>
        <v>99938.726418212216</v>
      </c>
      <c r="F19" s="20"/>
      <c r="G19" s="5">
        <v>16</v>
      </c>
      <c r="H19" s="22">
        <f t="shared" si="0"/>
        <v>1605704.3669728155</v>
      </c>
      <c r="I19" s="22">
        <f t="shared" si="1"/>
        <v>4691.2074371545486</v>
      </c>
      <c r="J19" s="22">
        <f t="shared" si="2"/>
        <v>2709.6114801725962</v>
      </c>
      <c r="K19" s="22">
        <f t="shared" si="3"/>
        <v>7400.8189173271448</v>
      </c>
      <c r="L19" s="22">
        <f t="shared" si="4"/>
        <v>913.0430017684796</v>
      </c>
      <c r="M19" s="22"/>
      <c r="N19" s="22"/>
      <c r="O19" s="22"/>
      <c r="P19" s="22"/>
      <c r="Q19" s="22"/>
      <c r="R19" s="22"/>
      <c r="S19" s="23">
        <f t="shared" si="5"/>
        <v>8313.8619190956251</v>
      </c>
      <c r="T19" s="24">
        <f t="shared" si="6"/>
        <v>6445.7784394546161</v>
      </c>
      <c r="V19" s="25">
        <f t="shared" si="7"/>
        <v>8313.8619190956251</v>
      </c>
    </row>
    <row r="20" spans="1:22" ht="16">
      <c r="A20" s="44"/>
      <c r="B20" s="44"/>
      <c r="C20" s="44"/>
      <c r="D20" s="38"/>
      <c r="E20" s="19"/>
      <c r="G20" s="5">
        <v>17</v>
      </c>
      <c r="H20" s="22">
        <f t="shared" si="0"/>
        <v>1602986.852459159</v>
      </c>
      <c r="I20" s="22">
        <f t="shared" si="1"/>
        <v>4683.3044036707124</v>
      </c>
      <c r="J20" s="22">
        <f t="shared" si="2"/>
        <v>2717.5145136564324</v>
      </c>
      <c r="K20" s="22">
        <f t="shared" si="3"/>
        <v>7400.8189173271448</v>
      </c>
      <c r="L20" s="22">
        <f t="shared" si="4"/>
        <v>911.5048456515683</v>
      </c>
      <c r="M20" s="22"/>
      <c r="N20" s="22"/>
      <c r="O20" s="22"/>
      <c r="P20" s="22"/>
      <c r="Q20" s="22"/>
      <c r="R20" s="22"/>
      <c r="S20" s="23">
        <f t="shared" si="5"/>
        <v>8312.3237629787127</v>
      </c>
      <c r="T20" s="24">
        <f t="shared" si="6"/>
        <v>6447.3873465379529</v>
      </c>
      <c r="V20" s="25">
        <f t="shared" si="7"/>
        <v>8312.3237629787127</v>
      </c>
    </row>
    <row r="21" spans="1:22" ht="16.25" customHeight="1">
      <c r="A21" s="55" t="s">
        <v>39</v>
      </c>
      <c r="B21" s="56"/>
      <c r="C21" s="44"/>
      <c r="D21" s="38" t="s">
        <v>40</v>
      </c>
      <c r="E21" s="19">
        <f>-CUMIPMT(E9/E13,E14,E3,1,E13,0)</f>
        <v>57180.193681742014</v>
      </c>
      <c r="G21" s="5">
        <v>18</v>
      </c>
      <c r="H21" s="22">
        <f t="shared" si="0"/>
        <v>1600261.4118615044</v>
      </c>
      <c r="I21" s="22">
        <f t="shared" si="1"/>
        <v>4675.3783196725471</v>
      </c>
      <c r="J21" s="22">
        <f t="shared" si="2"/>
        <v>2725.4405976545977</v>
      </c>
      <c r="K21" s="22">
        <f t="shared" si="3"/>
        <v>7400.8189173271448</v>
      </c>
      <c r="L21" s="22">
        <f t="shared" si="4"/>
        <v>909.96220324598266</v>
      </c>
      <c r="M21" s="22"/>
      <c r="N21" s="22"/>
      <c r="O21" s="22"/>
      <c r="P21" s="22"/>
      <c r="Q21" s="22"/>
      <c r="R21" s="22"/>
      <c r="S21" s="23">
        <f t="shared" si="5"/>
        <v>8310.7811205731268</v>
      </c>
      <c r="T21" s="24">
        <f t="shared" si="6"/>
        <v>6449.0009462669505</v>
      </c>
      <c r="V21" s="25">
        <f t="shared" si="7"/>
        <v>8310.7811205731268</v>
      </c>
    </row>
    <row r="22" spans="1:22" ht="17" thickBot="1">
      <c r="A22" s="57"/>
      <c r="B22" s="57"/>
      <c r="C22" s="58"/>
      <c r="D22" s="38" t="s">
        <v>41</v>
      </c>
      <c r="E22" s="19">
        <f>-CUMPRINC(E9/E13,E14,E3,1,E13,0)</f>
        <v>31629.633326183721</v>
      </c>
      <c r="F22" s="20"/>
      <c r="G22" s="5">
        <v>19</v>
      </c>
      <c r="H22" s="22">
        <f t="shared" si="0"/>
        <v>1597528.0220621068</v>
      </c>
      <c r="I22" s="22">
        <f t="shared" si="1"/>
        <v>4667.4291179293878</v>
      </c>
      <c r="J22" s="22">
        <f t="shared" si="2"/>
        <v>2733.3897993977571</v>
      </c>
      <c r="K22" s="22">
        <f t="shared" si="3"/>
        <v>7400.8189173271448</v>
      </c>
      <c r="L22" s="22">
        <f t="shared" si="4"/>
        <v>908.41506146671406</v>
      </c>
      <c r="M22" s="22"/>
      <c r="N22" s="22"/>
      <c r="O22" s="22"/>
      <c r="P22" s="22"/>
      <c r="Q22" s="22"/>
      <c r="R22" s="22"/>
      <c r="S22" s="23">
        <f t="shared" si="5"/>
        <v>8309.2339787938581</v>
      </c>
      <c r="T22" s="24">
        <f t="shared" si="6"/>
        <v>6450.6192523284908</v>
      </c>
      <c r="V22" s="25">
        <f t="shared" si="7"/>
        <v>8309.2339787938581</v>
      </c>
    </row>
    <row r="23" spans="1:22" ht="16">
      <c r="A23" s="46" t="s">
        <v>42</v>
      </c>
      <c r="B23" s="59"/>
      <c r="C23" s="44"/>
      <c r="D23" s="38"/>
      <c r="E23" s="19"/>
      <c r="G23" s="5">
        <v>20</v>
      </c>
      <c r="H23" s="22">
        <f t="shared" si="0"/>
        <v>1594786.6598757941</v>
      </c>
      <c r="I23" s="22">
        <f t="shared" si="1"/>
        <v>4659.4567310144785</v>
      </c>
      <c r="J23" s="22">
        <f t="shared" si="2"/>
        <v>2741.3621863126664</v>
      </c>
      <c r="K23" s="22">
        <f t="shared" si="3"/>
        <v>7400.8189173271448</v>
      </c>
      <c r="L23" s="22">
        <f t="shared" si="4"/>
        <v>906.86340719058933</v>
      </c>
      <c r="M23" s="22"/>
      <c r="N23" s="22"/>
      <c r="O23" s="22"/>
      <c r="P23" s="22"/>
      <c r="Q23" s="22"/>
      <c r="R23" s="22"/>
      <c r="S23" s="23">
        <f t="shared" si="5"/>
        <v>8307.6823245177347</v>
      </c>
      <c r="T23" s="24">
        <f t="shared" si="6"/>
        <v>6452.2422784493792</v>
      </c>
      <c r="V23" s="25">
        <f t="shared" si="7"/>
        <v>8307.6823245177347</v>
      </c>
    </row>
    <row r="24" spans="1:22" ht="16">
      <c r="A24" s="49"/>
      <c r="B24" s="60"/>
      <c r="C24" s="44"/>
      <c r="D24" s="38" t="s">
        <v>43</v>
      </c>
      <c r="E24" s="19">
        <f ca="1">SUM(INDIRECT("T4"):INDIRECT("T"&amp;3+E13))</f>
        <v>77169.028720869392</v>
      </c>
      <c r="F24" s="20"/>
      <c r="G24" s="5">
        <v>21</v>
      </c>
      <c r="H24" s="22">
        <f t="shared" si="0"/>
        <v>1592037.3020497714</v>
      </c>
      <c r="I24" s="22">
        <f t="shared" si="1"/>
        <v>4651.4610913043998</v>
      </c>
      <c r="J24" s="22">
        <f t="shared" si="2"/>
        <v>2749.357826022745</v>
      </c>
      <c r="K24" s="22">
        <f t="shared" si="3"/>
        <v>7400.8189173271448</v>
      </c>
      <c r="L24" s="22">
        <f t="shared" si="4"/>
        <v>905.30722725615919</v>
      </c>
      <c r="M24" s="22"/>
      <c r="N24" s="22"/>
      <c r="O24" s="22"/>
      <c r="P24" s="22"/>
      <c r="Q24" s="22"/>
      <c r="R24" s="22"/>
      <c r="S24" s="23">
        <f t="shared" si="5"/>
        <v>8306.1261445833043</v>
      </c>
      <c r="T24" s="24">
        <f t="shared" si="6"/>
        <v>6453.8700383964515</v>
      </c>
      <c r="V24" s="25">
        <f t="shared" si="7"/>
        <v>8306.1261445833043</v>
      </c>
    </row>
    <row r="25" spans="1:22" ht="16">
      <c r="A25" s="49"/>
      <c r="B25" s="60"/>
      <c r="C25" s="44"/>
      <c r="D25" s="61" t="s">
        <v>44</v>
      </c>
      <c r="E25" s="62">
        <f ca="1">E24/E13</f>
        <v>6430.7523934057826</v>
      </c>
      <c r="F25" s="63"/>
      <c r="G25" s="5">
        <v>22</v>
      </c>
      <c r="H25" s="22">
        <f t="shared" si="0"/>
        <v>1589279.9252634228</v>
      </c>
      <c r="I25" s="22">
        <f t="shared" si="1"/>
        <v>4643.4421309785002</v>
      </c>
      <c r="J25" s="22">
        <f t="shared" si="2"/>
        <v>2757.3767863486446</v>
      </c>
      <c r="K25" s="22">
        <f t="shared" si="3"/>
        <v>7400.8189173271448</v>
      </c>
      <c r="L25" s="22">
        <f t="shared" si="4"/>
        <v>903.74650846358702</v>
      </c>
      <c r="M25" s="22"/>
      <c r="N25" s="22"/>
      <c r="O25" s="22"/>
      <c r="P25" s="22"/>
      <c r="Q25" s="22"/>
      <c r="R25" s="22"/>
      <c r="S25" s="23">
        <f t="shared" si="5"/>
        <v>8304.5654257907318</v>
      </c>
      <c r="T25" s="24">
        <f t="shared" si="6"/>
        <v>6455.502545976703</v>
      </c>
      <c r="V25" s="25">
        <f t="shared" si="7"/>
        <v>8304.5654257907318</v>
      </c>
    </row>
    <row r="26" spans="1:22" ht="16">
      <c r="A26" s="49"/>
      <c r="B26" s="60"/>
      <c r="C26" s="44"/>
      <c r="D26" s="38"/>
      <c r="E26" s="19"/>
      <c r="G26" s="5">
        <v>23</v>
      </c>
      <c r="H26" s="22">
        <f t="shared" si="0"/>
        <v>1586514.5061281139</v>
      </c>
      <c r="I26" s="22">
        <f t="shared" si="1"/>
        <v>4635.3997820183167</v>
      </c>
      <c r="J26" s="22">
        <f t="shared" si="2"/>
        <v>2765.4191353088281</v>
      </c>
      <c r="K26" s="22">
        <f t="shared" si="3"/>
        <v>7400.8189173271448</v>
      </c>
      <c r="L26" s="22">
        <f t="shared" si="4"/>
        <v>902.18123757453645</v>
      </c>
      <c r="M26" s="22"/>
      <c r="N26" s="22"/>
      <c r="O26" s="22"/>
      <c r="P26" s="22"/>
      <c r="Q26" s="22"/>
      <c r="R26" s="22"/>
      <c r="S26" s="23">
        <f t="shared" si="5"/>
        <v>8303.0001549016815</v>
      </c>
      <c r="T26" s="24">
        <f t="shared" si="6"/>
        <v>6457.1398150373971</v>
      </c>
      <c r="V26" s="25">
        <f t="shared" si="7"/>
        <v>8303.0001549016815</v>
      </c>
    </row>
    <row r="27" spans="1:22" ht="21" customHeight="1" thickBot="1">
      <c r="A27" s="64"/>
      <c r="B27" s="65"/>
      <c r="C27" s="44"/>
      <c r="D27" s="61" t="s">
        <v>45</v>
      </c>
      <c r="E27" s="62">
        <f ca="1">E19/12</f>
        <v>8328.2272015176841</v>
      </c>
      <c r="F27" s="66"/>
      <c r="G27" s="5">
        <v>24</v>
      </c>
      <c r="H27" s="22">
        <f t="shared" si="0"/>
        <v>1583741.0211869937</v>
      </c>
      <c r="I27" s="22">
        <f t="shared" si="1"/>
        <v>4627.3339762069991</v>
      </c>
      <c r="J27" s="22">
        <f t="shared" si="2"/>
        <v>2773.4849411201458</v>
      </c>
      <c r="K27" s="22">
        <f t="shared" si="3"/>
        <v>7400.8189173271448</v>
      </c>
      <c r="L27" s="22">
        <f t="shared" si="4"/>
        <v>900.61140131205946</v>
      </c>
      <c r="M27" s="22"/>
      <c r="N27" s="22"/>
      <c r="O27" s="22"/>
      <c r="P27" s="22"/>
      <c r="Q27" s="22"/>
      <c r="R27" s="22"/>
      <c r="S27" s="23">
        <f t="shared" si="5"/>
        <v>8301.4303186392044</v>
      </c>
      <c r="T27" s="24">
        <f t="shared" si="6"/>
        <v>6458.7818594661849</v>
      </c>
      <c r="V27" s="25">
        <f t="shared" si="7"/>
        <v>8301.4303186392044</v>
      </c>
    </row>
    <row r="28" spans="1:22" ht="17" thickBot="1">
      <c r="A28" s="67"/>
      <c r="B28" s="68"/>
      <c r="C28" s="58"/>
      <c r="D28" s="69" t="s">
        <v>46</v>
      </c>
      <c r="E28" s="70">
        <f ca="1">E24/12</f>
        <v>6430.7523934057826</v>
      </c>
      <c r="F28" s="66"/>
      <c r="G28" s="5">
        <v>25</v>
      </c>
      <c r="H28" s="22">
        <f t="shared" si="0"/>
        <v>1580959.4469147953</v>
      </c>
      <c r="I28" s="22">
        <f t="shared" si="1"/>
        <v>4619.2446451287315</v>
      </c>
      <c r="J28" s="22">
        <f t="shared" si="2"/>
        <v>2781.5742721984134</v>
      </c>
      <c r="K28" s="22">
        <f t="shared" si="3"/>
        <v>7400.8189173271448</v>
      </c>
      <c r="L28" s="22">
        <f t="shared" si="4"/>
        <v>899.03698636048352</v>
      </c>
      <c r="M28" s="22"/>
      <c r="N28" s="22"/>
      <c r="O28" s="22"/>
      <c r="P28" s="22"/>
      <c r="Q28" s="22"/>
      <c r="R28" s="22"/>
      <c r="S28" s="23">
        <f t="shared" si="5"/>
        <v>8299.8559036876286</v>
      </c>
      <c r="T28" s="24">
        <f t="shared" si="6"/>
        <v>6460.4286931912238</v>
      </c>
      <c r="V28" s="25">
        <f t="shared" si="7"/>
        <v>8299.8559036876286</v>
      </c>
    </row>
    <row r="29" spans="1:22">
      <c r="A29" s="71" t="s">
        <v>47</v>
      </c>
      <c r="B29" s="72"/>
      <c r="C29" s="44"/>
      <c r="D29" s="5"/>
      <c r="E29" s="5"/>
      <c r="G29" s="5">
        <v>26</v>
      </c>
      <c r="H29" s="22">
        <f t="shared" si="0"/>
        <v>1578169.7597176363</v>
      </c>
      <c r="I29" s="22">
        <f t="shared" si="1"/>
        <v>4611.1317201681532</v>
      </c>
      <c r="J29" s="22">
        <f t="shared" si="2"/>
        <v>2789.6871971589917</v>
      </c>
      <c r="K29" s="22">
        <f t="shared" si="3"/>
        <v>7400.8189173271448</v>
      </c>
      <c r="L29" s="22">
        <f t="shared" si="4"/>
        <v>897.45797936529891</v>
      </c>
      <c r="M29" s="22"/>
      <c r="N29" s="22"/>
      <c r="O29" s="22"/>
      <c r="P29" s="22"/>
      <c r="Q29" s="22"/>
      <c r="R29" s="22"/>
      <c r="S29" s="23">
        <f t="shared" si="5"/>
        <v>8298.2768966924432</v>
      </c>
      <c r="T29" s="24">
        <f t="shared" si="6"/>
        <v>6462.0803301812921</v>
      </c>
      <c r="V29" s="25">
        <f t="shared" si="7"/>
        <v>8298.2768966924432</v>
      </c>
    </row>
    <row r="30" spans="1:22" ht="15" customHeight="1" thickBot="1">
      <c r="A30" s="73"/>
      <c r="B30" s="73"/>
      <c r="C30" s="44"/>
      <c r="D30" s="8"/>
      <c r="E30" s="74"/>
      <c r="F30" s="75"/>
      <c r="G30" s="5">
        <v>27</v>
      </c>
      <c r="H30" s="22">
        <f t="shared" si="0"/>
        <v>1575371.9359328188</v>
      </c>
      <c r="I30" s="22">
        <f t="shared" si="1"/>
        <v>4602.9951325097727</v>
      </c>
      <c r="J30" s="22">
        <f t="shared" si="2"/>
        <v>2797.8237848173721</v>
      </c>
      <c r="K30" s="22">
        <f t="shared" si="3"/>
        <v>7400.8189173271448</v>
      </c>
      <c r="L30" s="22">
        <f t="shared" si="4"/>
        <v>895.87436693304494</v>
      </c>
      <c r="M30" s="22"/>
      <c r="N30" s="22"/>
      <c r="O30" s="22"/>
      <c r="P30" s="22"/>
      <c r="Q30" s="22"/>
      <c r="R30" s="22"/>
      <c r="S30" s="23">
        <f t="shared" si="5"/>
        <v>8296.6932842601891</v>
      </c>
      <c r="T30" s="24">
        <f t="shared" si="6"/>
        <v>6463.7367844459168</v>
      </c>
      <c r="V30" s="25">
        <f t="shared" si="7"/>
        <v>8296.6932842601891</v>
      </c>
    </row>
    <row r="31" spans="1:22" ht="16">
      <c r="A31" s="46" t="s">
        <v>48</v>
      </c>
      <c r="B31" s="76"/>
      <c r="C31" s="44"/>
      <c r="D31" s="51" t="s">
        <v>49</v>
      </c>
      <c r="E31" s="77">
        <f>RATE(E14,-E16,E5)</f>
        <v>3.1167084796266376E-3</v>
      </c>
      <c r="F31" s="78"/>
      <c r="G31" s="5">
        <v>28</v>
      </c>
      <c r="H31" s="22">
        <f t="shared" si="0"/>
        <v>1572565.951828629</v>
      </c>
      <c r="I31" s="22">
        <f t="shared" si="1"/>
        <v>4594.8348131373887</v>
      </c>
      <c r="J31" s="22">
        <f t="shared" si="2"/>
        <v>2805.9841041897562</v>
      </c>
      <c r="K31" s="22">
        <f t="shared" si="3"/>
        <v>7400.8189173271448</v>
      </c>
      <c r="L31" s="22">
        <f t="shared" si="4"/>
        <v>894.28613563119688</v>
      </c>
      <c r="M31" s="22"/>
      <c r="N31" s="22"/>
      <c r="O31" s="22"/>
      <c r="P31" s="22"/>
      <c r="Q31" s="22"/>
      <c r="R31" s="22"/>
      <c r="S31" s="23">
        <f t="shared" si="5"/>
        <v>8295.1050529583408</v>
      </c>
      <c r="T31" s="24">
        <f t="shared" si="6"/>
        <v>6465.3980700354787</v>
      </c>
      <c r="V31" s="25">
        <f t="shared" si="7"/>
        <v>8295.1050529583408</v>
      </c>
    </row>
    <row r="32" spans="1:22" ht="16">
      <c r="A32" s="79"/>
      <c r="B32" s="80"/>
      <c r="C32" s="44"/>
      <c r="D32" s="61" t="s">
        <v>50</v>
      </c>
      <c r="E32" s="81">
        <f>(1+E31)^E13-1</f>
        <v>3.8048324799862421E-2</v>
      </c>
      <c r="G32" s="5">
        <v>29</v>
      </c>
      <c r="H32" s="22">
        <f t="shared" si="0"/>
        <v>1569751.7836041353</v>
      </c>
      <c r="I32" s="22">
        <f t="shared" si="1"/>
        <v>4586.6506928335011</v>
      </c>
      <c r="J32" s="22">
        <f t="shared" si="2"/>
        <v>2814.1682244936437</v>
      </c>
      <c r="K32" s="22">
        <f t="shared" si="3"/>
        <v>7400.8189173271448</v>
      </c>
      <c r="L32" s="22">
        <f t="shared" si="4"/>
        <v>892.69327198805183</v>
      </c>
      <c r="M32" s="22"/>
      <c r="N32" s="22"/>
      <c r="O32" s="22"/>
      <c r="P32" s="22"/>
      <c r="Q32" s="22"/>
      <c r="R32" s="22"/>
      <c r="S32" s="23">
        <f t="shared" si="5"/>
        <v>8293.5121893151972</v>
      </c>
      <c r="T32" s="24">
        <f t="shared" si="6"/>
        <v>6467.0642010413467</v>
      </c>
      <c r="V32" s="25">
        <f t="shared" si="7"/>
        <v>8293.5121893151972</v>
      </c>
    </row>
    <row r="33" spans="1:22" ht="16">
      <c r="A33" s="79"/>
      <c r="B33" s="80"/>
      <c r="C33" s="44"/>
      <c r="D33" s="38"/>
      <c r="E33" s="82"/>
      <c r="G33" s="5">
        <v>30</v>
      </c>
      <c r="H33" s="22">
        <f t="shared" si="0"/>
        <v>1566929.4073889868</v>
      </c>
      <c r="I33" s="22">
        <f t="shared" si="1"/>
        <v>4578.4427021787278</v>
      </c>
      <c r="J33" s="22">
        <f t="shared" si="2"/>
        <v>2822.376215148417</v>
      </c>
      <c r="K33" s="22">
        <f t="shared" si="3"/>
        <v>7400.8189173271448</v>
      </c>
      <c r="L33" s="22">
        <f t="shared" si="4"/>
        <v>891.0957624926142</v>
      </c>
      <c r="M33" s="22"/>
      <c r="N33" s="22"/>
      <c r="O33" s="22"/>
      <c r="P33" s="22"/>
      <c r="Q33" s="22"/>
      <c r="R33" s="22"/>
      <c r="S33" s="23">
        <f t="shared" si="5"/>
        <v>8291.9146798197598</v>
      </c>
      <c r="T33" s="24">
        <f t="shared" si="6"/>
        <v>6468.7351915959789</v>
      </c>
      <c r="V33" s="25">
        <f t="shared" si="7"/>
        <v>8291.9146798197598</v>
      </c>
    </row>
    <row r="34" spans="1:22" ht="16">
      <c r="A34" s="79"/>
      <c r="B34" s="80"/>
      <c r="C34" s="44"/>
      <c r="D34" s="38" t="s">
        <v>51</v>
      </c>
      <c r="E34" s="82">
        <f>IRR(S3:S363)</f>
        <v>3.8763146585512054E-3</v>
      </c>
      <c r="G34" s="5">
        <v>31</v>
      </c>
      <c r="H34" s="22">
        <f t="shared" si="0"/>
        <v>1564098.7992432108</v>
      </c>
      <c r="I34" s="22">
        <f t="shared" si="1"/>
        <v>4570.210771551212</v>
      </c>
      <c r="J34" s="22">
        <f t="shared" si="2"/>
        <v>2830.6081457759328</v>
      </c>
      <c r="K34" s="22">
        <f t="shared" si="3"/>
        <v>7400.8189173271448</v>
      </c>
      <c r="L34" s="22">
        <f t="shared" si="4"/>
        <v>889.49359359448158</v>
      </c>
      <c r="M34" s="22"/>
      <c r="N34" s="22"/>
      <c r="O34" s="22"/>
      <c r="P34" s="22"/>
      <c r="Q34" s="22"/>
      <c r="R34" s="22"/>
      <c r="S34" s="23">
        <f t="shared" si="5"/>
        <v>8290.3125109216271</v>
      </c>
      <c r="T34" s="24">
        <f t="shared" si="6"/>
        <v>6470.4110558730627</v>
      </c>
      <c r="V34" s="25">
        <f t="shared" si="7"/>
        <v>8290.3125109216271</v>
      </c>
    </row>
    <row r="35" spans="1:22" ht="17" thickBot="1">
      <c r="A35" s="79"/>
      <c r="B35" s="80"/>
      <c r="D35" s="69" t="s">
        <v>52</v>
      </c>
      <c r="E35" s="83">
        <f>(1+E34)^E13-1</f>
        <v>4.7520406022915296E-2</v>
      </c>
      <c r="F35" s="41"/>
      <c r="G35" s="5">
        <v>32</v>
      </c>
      <c r="H35" s="22">
        <f t="shared" si="0"/>
        <v>1561259.9351570096</v>
      </c>
      <c r="I35" s="22">
        <f t="shared" si="1"/>
        <v>4561.9548311260314</v>
      </c>
      <c r="J35" s="22">
        <f t="shared" si="2"/>
        <v>2838.8640862011134</v>
      </c>
      <c r="K35" s="22">
        <f t="shared" si="3"/>
        <v>7400.8189173271448</v>
      </c>
      <c r="L35" s="22">
        <f t="shared" si="4"/>
        <v>887.88675170372949</v>
      </c>
      <c r="M35" s="22"/>
      <c r="N35" s="22"/>
      <c r="O35" s="22"/>
      <c r="P35" s="22"/>
      <c r="Q35" s="22"/>
      <c r="R35" s="22"/>
      <c r="S35" s="23">
        <f t="shared" si="5"/>
        <v>8288.7056690308746</v>
      </c>
      <c r="T35" s="24">
        <f t="shared" si="6"/>
        <v>6472.0918080876208</v>
      </c>
      <c r="V35" s="25">
        <f t="shared" si="7"/>
        <v>8288.7056690308746</v>
      </c>
    </row>
    <row r="36" spans="1:22">
      <c r="A36" s="79"/>
      <c r="B36" s="80"/>
      <c r="E36" s="78"/>
      <c r="F36" s="78"/>
      <c r="G36" s="5">
        <v>33</v>
      </c>
      <c r="H36" s="22">
        <f t="shared" si="0"/>
        <v>1558412.791050557</v>
      </c>
      <c r="I36" s="22">
        <f t="shared" si="1"/>
        <v>4553.6748108746115</v>
      </c>
      <c r="J36" s="22">
        <f t="shared" si="2"/>
        <v>2847.1441064525334</v>
      </c>
      <c r="K36" s="22">
        <f t="shared" si="3"/>
        <v>7400.8189173271448</v>
      </c>
      <c r="L36" s="22">
        <f t="shared" si="4"/>
        <v>886.27522319079594</v>
      </c>
      <c r="M36" s="22"/>
      <c r="N36" s="22"/>
      <c r="O36" s="22"/>
      <c r="P36" s="22"/>
      <c r="Q36" s="22"/>
      <c r="R36" s="22"/>
      <c r="S36" s="23">
        <f t="shared" si="5"/>
        <v>8287.0941405179401</v>
      </c>
      <c r="T36" s="24">
        <f t="shared" si="6"/>
        <v>6473.7774624961376</v>
      </c>
      <c r="V36" s="25">
        <f t="shared" si="7"/>
        <v>8287.0941405179401</v>
      </c>
    </row>
    <row r="37" spans="1:22" ht="16" thickBot="1">
      <c r="A37" s="64"/>
      <c r="B37" s="65"/>
      <c r="G37" s="5">
        <v>34</v>
      </c>
      <c r="H37" s="22">
        <f t="shared" si="0"/>
        <v>1555557.342773794</v>
      </c>
      <c r="I37" s="22">
        <f t="shared" si="1"/>
        <v>4545.3706405641251</v>
      </c>
      <c r="J37" s="22">
        <f t="shared" si="2"/>
        <v>2855.4482767630197</v>
      </c>
      <c r="K37" s="22">
        <f t="shared" si="3"/>
        <v>7400.8189173271448</v>
      </c>
      <c r="L37" s="22">
        <f t="shared" si="4"/>
        <v>884.65899438636632</v>
      </c>
      <c r="M37" s="22"/>
      <c r="N37" s="22"/>
      <c r="O37" s="22"/>
      <c r="P37" s="22"/>
      <c r="Q37" s="22"/>
      <c r="R37" s="22"/>
      <c r="S37" s="23">
        <f t="shared" si="5"/>
        <v>8285.4779117135113</v>
      </c>
      <c r="T37" s="24">
        <f t="shared" si="6"/>
        <v>6475.4680333966808</v>
      </c>
      <c r="V37" s="25">
        <f t="shared" si="7"/>
        <v>8285.4779117135113</v>
      </c>
    </row>
    <row r="38" spans="1:22">
      <c r="G38" s="5">
        <v>35</v>
      </c>
      <c r="H38" s="22">
        <f t="shared" si="0"/>
        <v>1552693.5661062237</v>
      </c>
      <c r="I38" s="22">
        <f t="shared" si="1"/>
        <v>4537.0422497568989</v>
      </c>
      <c r="J38" s="22">
        <f t="shared" si="2"/>
        <v>2863.776667570246</v>
      </c>
      <c r="K38" s="22">
        <f t="shared" si="3"/>
        <v>7400.8189173271448</v>
      </c>
      <c r="L38" s="22">
        <f t="shared" si="4"/>
        <v>883.03805158125715</v>
      </c>
      <c r="M38" s="22"/>
      <c r="N38" s="22"/>
      <c r="O38" s="22"/>
      <c r="P38" s="22"/>
      <c r="Q38" s="22"/>
      <c r="R38" s="22"/>
      <c r="S38" s="23">
        <f t="shared" si="5"/>
        <v>8283.8569689084015</v>
      </c>
      <c r="T38" s="24">
        <f t="shared" si="6"/>
        <v>6477.163535129017</v>
      </c>
      <c r="V38" s="25">
        <f t="shared" si="7"/>
        <v>8283.8569689084015</v>
      </c>
    </row>
    <row r="39" spans="1:22">
      <c r="A39" s="84" t="s">
        <v>53</v>
      </c>
      <c r="G39" s="5">
        <v>36</v>
      </c>
      <c r="H39" s="22">
        <f t="shared" si="0"/>
        <v>1549821.4367567063</v>
      </c>
      <c r="I39" s="22">
        <f t="shared" si="1"/>
        <v>4528.689567809819</v>
      </c>
      <c r="J39" s="22">
        <f t="shared" si="2"/>
        <v>2872.1293495173259</v>
      </c>
      <c r="K39" s="22">
        <f t="shared" si="3"/>
        <v>7400.8189173271448</v>
      </c>
      <c r="L39" s="22">
        <f t="shared" si="4"/>
        <v>881.41238102629973</v>
      </c>
      <c r="M39" s="22"/>
      <c r="N39" s="22"/>
      <c r="O39" s="22"/>
      <c r="P39" s="22"/>
      <c r="Q39" s="22"/>
      <c r="R39" s="22"/>
      <c r="S39" s="23">
        <f t="shared" si="5"/>
        <v>8282.2312983534448</v>
      </c>
      <c r="T39" s="24">
        <f t="shared" si="6"/>
        <v>6478.8639820747385</v>
      </c>
      <c r="V39" s="25">
        <f t="shared" si="7"/>
        <v>8282.2312983534448</v>
      </c>
    </row>
    <row r="40" spans="1:22">
      <c r="G40" s="5">
        <v>37</v>
      </c>
      <c r="H40" s="22">
        <f t="shared" si="0"/>
        <v>1546940.930363253</v>
      </c>
      <c r="I40" s="22">
        <f t="shared" si="1"/>
        <v>4520.3125238737266</v>
      </c>
      <c r="J40" s="22">
        <f t="shared" si="2"/>
        <v>2880.5063934534182</v>
      </c>
      <c r="K40" s="22">
        <f t="shared" si="3"/>
        <v>7400.8189173271448</v>
      </c>
      <c r="L40" s="22">
        <f t="shared" si="4"/>
        <v>879.78196893222378</v>
      </c>
      <c r="M40" s="22"/>
      <c r="N40" s="22"/>
      <c r="O40" s="22"/>
      <c r="P40" s="22"/>
      <c r="Q40" s="22"/>
      <c r="R40" s="22"/>
      <c r="S40" s="23">
        <f t="shared" si="5"/>
        <v>8280.6008862593681</v>
      </c>
      <c r="T40" s="24">
        <f t="shared" si="6"/>
        <v>6480.5693886573845</v>
      </c>
      <c r="V40" s="25">
        <f t="shared" si="7"/>
        <v>8280.6008862593681</v>
      </c>
    </row>
    <row r="41" spans="1:22">
      <c r="G41" s="5">
        <v>38</v>
      </c>
      <c r="H41" s="22">
        <f t="shared" si="0"/>
        <v>1544052.0224928188</v>
      </c>
      <c r="I41" s="22">
        <f t="shared" si="1"/>
        <v>4511.9110468928211</v>
      </c>
      <c r="J41" s="22">
        <f t="shared" si="2"/>
        <v>2888.9078704343237</v>
      </c>
      <c r="K41" s="22">
        <f t="shared" si="3"/>
        <v>7400.8189173271448</v>
      </c>
      <c r="L41" s="22">
        <f t="shared" si="4"/>
        <v>878.14680146954004</v>
      </c>
      <c r="M41" s="22"/>
      <c r="N41" s="22"/>
      <c r="O41" s="22"/>
      <c r="P41" s="22"/>
      <c r="Q41" s="22"/>
      <c r="R41" s="22"/>
      <c r="S41" s="23">
        <f t="shared" si="5"/>
        <v>8278.9657187966841</v>
      </c>
      <c r="T41" s="24">
        <f t="shared" si="6"/>
        <v>6482.2797693425637</v>
      </c>
      <c r="V41" s="25">
        <f t="shared" si="7"/>
        <v>8278.9657187966841</v>
      </c>
    </row>
    <row r="42" spans="1:22">
      <c r="G42" s="5">
        <v>39</v>
      </c>
      <c r="H42" s="22">
        <f t="shared" si="0"/>
        <v>1541154.6886410958</v>
      </c>
      <c r="I42" s="22">
        <f t="shared" si="1"/>
        <v>4503.4850656040553</v>
      </c>
      <c r="J42" s="22">
        <f t="shared" si="2"/>
        <v>2897.3338517230895</v>
      </c>
      <c r="K42" s="22">
        <f t="shared" si="3"/>
        <v>7400.8189173271448</v>
      </c>
      <c r="L42" s="22">
        <f t="shared" si="4"/>
        <v>876.5068647684235</v>
      </c>
      <c r="M42" s="22"/>
      <c r="N42" s="22"/>
      <c r="O42" s="22"/>
      <c r="P42" s="22"/>
      <c r="Q42" s="22"/>
      <c r="R42" s="22"/>
      <c r="S42" s="23">
        <f t="shared" si="5"/>
        <v>8277.3257820955678</v>
      </c>
      <c r="T42" s="24">
        <f t="shared" si="6"/>
        <v>6483.9951386380744</v>
      </c>
      <c r="V42" s="25">
        <f t="shared" si="7"/>
        <v>8277.3257820955678</v>
      </c>
    </row>
    <row r="43" spans="1:22">
      <c r="G43" s="5">
        <v>40</v>
      </c>
      <c r="H43" s="22">
        <f t="shared" si="0"/>
        <v>1538248.9042323052</v>
      </c>
      <c r="I43" s="22">
        <f t="shared" si="1"/>
        <v>4495.0345085365298</v>
      </c>
      <c r="J43" s="22">
        <f t="shared" si="2"/>
        <v>2905.7844087906151</v>
      </c>
      <c r="K43" s="22">
        <f t="shared" si="3"/>
        <v>7400.8189173271448</v>
      </c>
      <c r="L43" s="22">
        <f t="shared" si="4"/>
        <v>874.8621449185955</v>
      </c>
      <c r="M43" s="22"/>
      <c r="N43" s="22"/>
      <c r="O43" s="22"/>
      <c r="P43" s="22"/>
      <c r="Q43" s="22"/>
      <c r="R43" s="22"/>
      <c r="S43" s="23">
        <f t="shared" si="5"/>
        <v>8275.6810622457397</v>
      </c>
      <c r="T43" s="24">
        <f t="shared" si="6"/>
        <v>6485.7155110940312</v>
      </c>
      <c r="V43" s="25">
        <f t="shared" si="7"/>
        <v>8275.6810622457397</v>
      </c>
    </row>
    <row r="44" spans="1:22">
      <c r="G44" s="5">
        <v>41</v>
      </c>
      <c r="H44" s="22">
        <f t="shared" si="0"/>
        <v>1535334.644618989</v>
      </c>
      <c r="I44" s="22">
        <f t="shared" si="1"/>
        <v>4486.5593040108906</v>
      </c>
      <c r="J44" s="22">
        <f t="shared" si="2"/>
        <v>2914.2596133162542</v>
      </c>
      <c r="K44" s="22">
        <f t="shared" si="3"/>
        <v>7400.8189173271448</v>
      </c>
      <c r="L44" s="22">
        <f t="shared" si="4"/>
        <v>873.21262796920541</v>
      </c>
      <c r="M44" s="22"/>
      <c r="N44" s="22"/>
      <c r="O44" s="22"/>
      <c r="P44" s="22"/>
      <c r="Q44" s="22"/>
      <c r="R44" s="22"/>
      <c r="S44" s="23">
        <f t="shared" si="5"/>
        <v>8274.0315452963496</v>
      </c>
      <c r="T44" s="24">
        <f t="shared" si="6"/>
        <v>6487.4409013029845</v>
      </c>
      <c r="V44" s="25">
        <f t="shared" si="7"/>
        <v>8274.0315452963496</v>
      </c>
    </row>
    <row r="45" spans="1:22">
      <c r="G45" s="5">
        <v>42</v>
      </c>
      <c r="H45" s="22">
        <f t="shared" si="0"/>
        <v>1532411.8850818006</v>
      </c>
      <c r="I45" s="22">
        <f t="shared" si="1"/>
        <v>4478.0593801387176</v>
      </c>
      <c r="J45" s="22">
        <f t="shared" si="2"/>
        <v>2922.7595371884272</v>
      </c>
      <c r="K45" s="22">
        <f t="shared" si="3"/>
        <v>7400.8189173271448</v>
      </c>
      <c r="L45" s="22">
        <f t="shared" si="4"/>
        <v>871.55829992871281</v>
      </c>
      <c r="M45" s="22"/>
      <c r="N45" s="22"/>
      <c r="O45" s="22"/>
      <c r="P45" s="22"/>
      <c r="Q45" s="22"/>
      <c r="R45" s="22"/>
      <c r="S45" s="23">
        <f t="shared" si="5"/>
        <v>8272.3772172558583</v>
      </c>
      <c r="T45" s="24">
        <f t="shared" si="6"/>
        <v>6489.1713239000483</v>
      </c>
      <c r="V45" s="25">
        <f t="shared" si="7"/>
        <v>8272.3772172558583</v>
      </c>
    </row>
    <row r="46" spans="1:22">
      <c r="G46" s="5">
        <v>43</v>
      </c>
      <c r="H46" s="22">
        <f t="shared" si="0"/>
        <v>1529480.6008292953</v>
      </c>
      <c r="I46" s="22">
        <f t="shared" si="1"/>
        <v>4469.5346648219183</v>
      </c>
      <c r="J46" s="22">
        <f t="shared" si="2"/>
        <v>2931.2842525052265</v>
      </c>
      <c r="K46" s="22">
        <f t="shared" si="3"/>
        <v>7400.8189173271448</v>
      </c>
      <c r="L46" s="22">
        <f t="shared" si="4"/>
        <v>869.89914676476894</v>
      </c>
      <c r="M46" s="22"/>
      <c r="N46" s="22"/>
      <c r="O46" s="22"/>
      <c r="P46" s="22"/>
      <c r="Q46" s="22"/>
      <c r="R46" s="22"/>
      <c r="S46" s="23">
        <f t="shared" si="5"/>
        <v>8270.7180640919141</v>
      </c>
      <c r="T46" s="24">
        <f t="shared" si="6"/>
        <v>6490.9067935630183</v>
      </c>
      <c r="V46" s="25">
        <f t="shared" si="7"/>
        <v>8270.7180640919141</v>
      </c>
    </row>
    <row r="47" spans="1:22">
      <c r="G47" s="5">
        <v>44</v>
      </c>
      <c r="H47" s="22">
        <f t="shared" si="0"/>
        <v>1526540.7669977203</v>
      </c>
      <c r="I47" s="22">
        <f t="shared" si="1"/>
        <v>4460.9850857521114</v>
      </c>
      <c r="J47" s="22">
        <f t="shared" si="2"/>
        <v>2939.8338315750334</v>
      </c>
      <c r="K47" s="22">
        <f t="shared" si="3"/>
        <v>7400.8189173271448</v>
      </c>
      <c r="L47" s="22">
        <f t="shared" si="4"/>
        <v>868.23515440409676</v>
      </c>
      <c r="M47" s="22"/>
      <c r="N47" s="22"/>
      <c r="O47" s="22"/>
      <c r="P47" s="22"/>
      <c r="Q47" s="22"/>
      <c r="R47" s="22"/>
      <c r="S47" s="23">
        <f t="shared" si="5"/>
        <v>8269.0540717312415</v>
      </c>
      <c r="T47" s="24">
        <f t="shared" si="6"/>
        <v>6492.6473250125055</v>
      </c>
      <c r="V47" s="25">
        <f t="shared" si="7"/>
        <v>8269.0540717312415</v>
      </c>
    </row>
    <row r="48" spans="1:22">
      <c r="G48" s="5">
        <v>45</v>
      </c>
      <c r="H48" s="22">
        <f t="shared" si="0"/>
        <v>1523592.3586508033</v>
      </c>
      <c r="I48" s="22">
        <f t="shared" si="1"/>
        <v>4452.4105704100175</v>
      </c>
      <c r="J48" s="22">
        <f t="shared" si="2"/>
        <v>2948.4083469171273</v>
      </c>
      <c r="K48" s="22">
        <f t="shared" si="3"/>
        <v>7400.8189173271448</v>
      </c>
      <c r="L48" s="22">
        <f t="shared" si="4"/>
        <v>866.5663087323727</v>
      </c>
      <c r="M48" s="22"/>
      <c r="N48" s="22"/>
      <c r="O48" s="22"/>
      <c r="P48" s="22"/>
      <c r="Q48" s="22"/>
      <c r="R48" s="22"/>
      <c r="S48" s="23">
        <f t="shared" si="5"/>
        <v>8267.3852260595177</v>
      </c>
      <c r="T48" s="24">
        <f t="shared" si="6"/>
        <v>6494.3929330120545</v>
      </c>
      <c r="V48" s="25">
        <f t="shared" si="7"/>
        <v>8267.3852260595177</v>
      </c>
    </row>
    <row r="49" spans="2:22">
      <c r="B49" s="1" t="s">
        <v>20</v>
      </c>
      <c r="G49" s="5">
        <v>46</v>
      </c>
      <c r="H49" s="22">
        <f t="shared" si="0"/>
        <v>1520635.3507795411</v>
      </c>
      <c r="I49" s="22">
        <f t="shared" si="1"/>
        <v>4443.8110460648431</v>
      </c>
      <c r="J49" s="22">
        <f t="shared" si="2"/>
        <v>2957.0078712623017</v>
      </c>
      <c r="K49" s="22">
        <f t="shared" si="3"/>
        <v>7400.8189173271448</v>
      </c>
      <c r="L49" s="22">
        <f t="shared" si="4"/>
        <v>864.89259559410607</v>
      </c>
      <c r="M49" s="22"/>
      <c r="N49" s="22"/>
      <c r="O49" s="22"/>
      <c r="P49" s="22"/>
      <c r="Q49" s="22"/>
      <c r="R49" s="22"/>
      <c r="S49" s="23">
        <f t="shared" si="5"/>
        <v>8265.7115129212507</v>
      </c>
      <c r="T49" s="24">
        <f t="shared" si="6"/>
        <v>6496.1436323682683</v>
      </c>
      <c r="V49" s="25">
        <f t="shared" si="7"/>
        <v>8265.7115129212507</v>
      </c>
    </row>
    <row r="50" spans="2:22">
      <c r="G50" s="5">
        <v>47</v>
      </c>
      <c r="H50" s="22">
        <f t="shared" si="0"/>
        <v>1517669.7183019875</v>
      </c>
      <c r="I50" s="22">
        <f t="shared" si="1"/>
        <v>4435.1864397736617</v>
      </c>
      <c r="J50" s="22">
        <f t="shared" si="2"/>
        <v>2965.6324775534831</v>
      </c>
      <c r="K50" s="22">
        <f t="shared" si="3"/>
        <v>7400.8189173271448</v>
      </c>
      <c r="L50" s="22">
        <f t="shared" si="4"/>
        <v>863.21400079251953</v>
      </c>
      <c r="M50" s="22"/>
      <c r="N50" s="22"/>
      <c r="O50" s="22"/>
      <c r="P50" s="22"/>
      <c r="Q50" s="22"/>
      <c r="R50" s="22"/>
      <c r="S50" s="23">
        <f t="shared" si="5"/>
        <v>8264.0329181196648</v>
      </c>
      <c r="T50" s="24">
        <f t="shared" si="6"/>
        <v>6497.8994379309379</v>
      </c>
      <c r="V50" s="25">
        <f t="shared" si="7"/>
        <v>8264.0329181196648</v>
      </c>
    </row>
    <row r="51" spans="2:22">
      <c r="G51" s="5">
        <v>48</v>
      </c>
      <c r="H51" s="22">
        <f t="shared" si="0"/>
        <v>1514695.4360630412</v>
      </c>
      <c r="I51" s="22">
        <f t="shared" si="1"/>
        <v>4426.5366783807967</v>
      </c>
      <c r="J51" s="22">
        <f t="shared" si="2"/>
        <v>2974.2822389463481</v>
      </c>
      <c r="K51" s="22">
        <f t="shared" si="3"/>
        <v>7400.8189173271448</v>
      </c>
      <c r="L51" s="22">
        <f t="shared" si="4"/>
        <v>861.53051008942839</v>
      </c>
      <c r="M51" s="22"/>
      <c r="N51" s="22"/>
      <c r="O51" s="22"/>
      <c r="P51" s="22"/>
      <c r="Q51" s="22"/>
      <c r="R51" s="22"/>
      <c r="S51" s="23">
        <f t="shared" si="5"/>
        <v>8262.3494274165732</v>
      </c>
      <c r="T51" s="24">
        <f t="shared" si="6"/>
        <v>6499.6603645931646</v>
      </c>
      <c r="V51" s="25">
        <f t="shared" si="7"/>
        <v>8262.3494274165732</v>
      </c>
    </row>
    <row r="52" spans="2:22">
      <c r="C52" s="9"/>
      <c r="G52" s="5">
        <v>49</v>
      </c>
      <c r="H52" s="22">
        <f t="shared" si="0"/>
        <v>1511712.4788342314</v>
      </c>
      <c r="I52" s="22">
        <f t="shared" si="1"/>
        <v>4417.8616885172041</v>
      </c>
      <c r="J52" s="22">
        <f t="shared" si="2"/>
        <v>2982.9572288099407</v>
      </c>
      <c r="K52" s="22">
        <f t="shared" si="3"/>
        <v>7400.8189173271448</v>
      </c>
      <c r="L52" s="22">
        <f t="shared" si="4"/>
        <v>859.84210920511987</v>
      </c>
      <c r="M52" s="22"/>
      <c r="N52" s="22"/>
      <c r="O52" s="22"/>
      <c r="P52" s="22"/>
      <c r="Q52" s="22"/>
      <c r="R52" s="22"/>
      <c r="S52" s="23">
        <f t="shared" si="5"/>
        <v>8260.6610265322652</v>
      </c>
      <c r="T52" s="24">
        <f t="shared" si="6"/>
        <v>6501.4264272914907</v>
      </c>
      <c r="V52" s="25">
        <f t="shared" si="7"/>
        <v>8260.6610265322652</v>
      </c>
    </row>
    <row r="53" spans="2:22">
      <c r="G53" s="5">
        <v>50</v>
      </c>
      <c r="H53" s="22">
        <f t="shared" si="0"/>
        <v>1508720.8213135041</v>
      </c>
      <c r="I53" s="22">
        <f t="shared" si="1"/>
        <v>4409.1613965998422</v>
      </c>
      <c r="J53" s="22">
        <f t="shared" si="2"/>
        <v>2991.6575207273027</v>
      </c>
      <c r="K53" s="22">
        <f t="shared" si="3"/>
        <v>7400.8189173271448</v>
      </c>
      <c r="L53" s="22">
        <f t="shared" si="4"/>
        <v>858.14878381823212</v>
      </c>
      <c r="M53" s="22"/>
      <c r="N53" s="22"/>
      <c r="O53" s="22"/>
      <c r="P53" s="22"/>
      <c r="Q53" s="22"/>
      <c r="R53" s="22"/>
      <c r="S53" s="23">
        <f t="shared" si="5"/>
        <v>8258.9677011453769</v>
      </c>
      <c r="T53" s="24">
        <f t="shared" si="6"/>
        <v>6503.1976410060188</v>
      </c>
      <c r="V53" s="25">
        <f t="shared" si="7"/>
        <v>8258.9677011453769</v>
      </c>
    </row>
    <row r="54" spans="2:22">
      <c r="G54" s="5">
        <v>51</v>
      </c>
      <c r="H54" s="22">
        <f t="shared" si="0"/>
        <v>1505720.438125008</v>
      </c>
      <c r="I54" s="22">
        <f t="shared" si="1"/>
        <v>4400.4357288310539</v>
      </c>
      <c r="J54" s="22">
        <f t="shared" si="2"/>
        <v>3000.383188496091</v>
      </c>
      <c r="K54" s="22">
        <f t="shared" si="3"/>
        <v>7400.8189173271448</v>
      </c>
      <c r="L54" s="22">
        <f t="shared" si="4"/>
        <v>856.45051956563259</v>
      </c>
      <c r="M54" s="22"/>
      <c r="N54" s="22"/>
      <c r="O54" s="22"/>
      <c r="P54" s="22"/>
      <c r="Q54" s="22"/>
      <c r="R54" s="22"/>
      <c r="S54" s="23">
        <f t="shared" si="5"/>
        <v>8257.2694368927769</v>
      </c>
      <c r="T54" s="24">
        <f t="shared" si="6"/>
        <v>6504.9740207605482</v>
      </c>
      <c r="V54" s="25">
        <f t="shared" si="7"/>
        <v>8257.2694368927769</v>
      </c>
    </row>
    <row r="55" spans="2:22">
      <c r="G55" s="5">
        <v>52</v>
      </c>
      <c r="H55" s="22">
        <f t="shared" si="0"/>
        <v>1502711.3038188787</v>
      </c>
      <c r="I55" s="22">
        <f t="shared" si="1"/>
        <v>4391.6846111979403</v>
      </c>
      <c r="J55" s="22">
        <f t="shared" si="2"/>
        <v>3009.1343061292046</v>
      </c>
      <c r="K55" s="22">
        <f t="shared" si="3"/>
        <v>7400.8189173271448</v>
      </c>
      <c r="L55" s="22">
        <f t="shared" si="4"/>
        <v>854.74730204229627</v>
      </c>
      <c r="M55" s="22"/>
      <c r="N55" s="22"/>
      <c r="O55" s="22"/>
      <c r="P55" s="22"/>
      <c r="Q55" s="22"/>
      <c r="R55" s="22"/>
      <c r="S55" s="23">
        <f t="shared" si="5"/>
        <v>8255.5662193694407</v>
      </c>
      <c r="T55" s="24">
        <f t="shared" si="6"/>
        <v>6506.7555816226959</v>
      </c>
      <c r="V55" s="25">
        <f t="shared" si="7"/>
        <v>8255.5662193694407</v>
      </c>
    </row>
    <row r="56" spans="2:22">
      <c r="G56" s="5">
        <v>53</v>
      </c>
      <c r="H56" s="22">
        <f t="shared" si="0"/>
        <v>1499693.3928710234</v>
      </c>
      <c r="I56" s="22">
        <f t="shared" si="1"/>
        <v>4382.9079694717302</v>
      </c>
      <c r="J56" s="22">
        <f t="shared" si="2"/>
        <v>3017.9109478554146</v>
      </c>
      <c r="K56" s="22">
        <f t="shared" si="3"/>
        <v>7400.8189173271448</v>
      </c>
      <c r="L56" s="22">
        <f t="shared" si="4"/>
        <v>853.03911680118358</v>
      </c>
      <c r="M56" s="22"/>
      <c r="N56" s="22"/>
      <c r="O56" s="22"/>
      <c r="P56" s="22"/>
      <c r="Q56" s="22"/>
      <c r="R56" s="22"/>
      <c r="S56" s="23">
        <f t="shared" si="5"/>
        <v>8253.8580341283287</v>
      </c>
      <c r="T56" s="24">
        <f t="shared" si="6"/>
        <v>6508.5423387040246</v>
      </c>
      <c r="V56" s="25">
        <f t="shared" si="7"/>
        <v>8253.8580341283287</v>
      </c>
    </row>
    <row r="57" spans="2:22">
      <c r="G57" s="5">
        <v>54</v>
      </c>
      <c r="H57" s="22">
        <f t="shared" si="0"/>
        <v>1496666.6796829035</v>
      </c>
      <c r="I57" s="22">
        <f t="shared" si="1"/>
        <v>4374.1057292071519</v>
      </c>
      <c r="J57" s="22">
        <f t="shared" si="2"/>
        <v>3026.713188119993</v>
      </c>
      <c r="K57" s="22">
        <f t="shared" si="3"/>
        <v>7400.8189173271448</v>
      </c>
      <c r="L57" s="22">
        <f t="shared" si="4"/>
        <v>851.32594935311772</v>
      </c>
      <c r="M57" s="22"/>
      <c r="N57" s="22"/>
      <c r="O57" s="22"/>
      <c r="P57" s="22"/>
      <c r="Q57" s="22"/>
      <c r="R57" s="22"/>
      <c r="S57" s="23">
        <f t="shared" si="5"/>
        <v>8252.1448666802626</v>
      </c>
      <c r="T57" s="24">
        <f t="shared" si="6"/>
        <v>6510.334307160173</v>
      </c>
      <c r="V57" s="25">
        <f t="shared" si="7"/>
        <v>8252.1448666802626</v>
      </c>
    </row>
    <row r="58" spans="2:22">
      <c r="G58" s="5">
        <v>55</v>
      </c>
      <c r="H58" s="22">
        <f t="shared" si="0"/>
        <v>1493631.1385813181</v>
      </c>
      <c r="I58" s="22">
        <f t="shared" si="1"/>
        <v>4365.2778157418015</v>
      </c>
      <c r="J58" s="22">
        <f t="shared" si="2"/>
        <v>3035.5411015853433</v>
      </c>
      <c r="K58" s="22">
        <f t="shared" si="3"/>
        <v>7400.8189173271448</v>
      </c>
      <c r="L58" s="22">
        <f t="shared" si="4"/>
        <v>849.60778516666164</v>
      </c>
      <c r="M58" s="22"/>
      <c r="N58" s="22"/>
      <c r="O58" s="22"/>
      <c r="P58" s="22"/>
      <c r="Q58" s="22"/>
      <c r="R58" s="22"/>
      <c r="S58" s="23">
        <f t="shared" si="5"/>
        <v>8250.4267024938072</v>
      </c>
      <c r="T58" s="24">
        <f t="shared" si="6"/>
        <v>6512.1315021909868</v>
      </c>
      <c r="V58" s="25">
        <f t="shared" si="7"/>
        <v>8250.4267024938072</v>
      </c>
    </row>
    <row r="59" spans="2:22">
      <c r="G59" s="5">
        <v>56</v>
      </c>
      <c r="H59" s="22">
        <f t="shared" si="0"/>
        <v>1490586.7438181865</v>
      </c>
      <c r="I59" s="22">
        <f t="shared" si="1"/>
        <v>4356.4241541955116</v>
      </c>
      <c r="J59" s="22">
        <f t="shared" si="2"/>
        <v>3044.3947631316332</v>
      </c>
      <c r="K59" s="22">
        <f t="shared" si="3"/>
        <v>7400.8189173271448</v>
      </c>
      <c r="L59" s="22">
        <f t="shared" si="4"/>
        <v>847.88460966799505</v>
      </c>
      <c r="M59" s="22"/>
      <c r="N59" s="22"/>
      <c r="O59" s="22"/>
      <c r="P59" s="22"/>
      <c r="Q59" s="22"/>
      <c r="R59" s="22"/>
      <c r="S59" s="23">
        <f t="shared" si="5"/>
        <v>8248.7035269951393</v>
      </c>
      <c r="T59" s="24">
        <f t="shared" si="6"/>
        <v>6513.9339390406367</v>
      </c>
      <c r="V59" s="25">
        <f t="shared" si="7"/>
        <v>8248.7035269951393</v>
      </c>
    </row>
    <row r="60" spans="2:22">
      <c r="G60" s="5">
        <v>57</v>
      </c>
      <c r="H60" s="22">
        <f t="shared" si="0"/>
        <v>1487533.4695703289</v>
      </c>
      <c r="I60" s="22">
        <f t="shared" si="1"/>
        <v>4347.5446694697102</v>
      </c>
      <c r="J60" s="22">
        <f t="shared" si="2"/>
        <v>3053.2742478574346</v>
      </c>
      <c r="K60" s="22">
        <f t="shared" si="3"/>
        <v>7400.8189173271448</v>
      </c>
      <c r="L60" s="22">
        <f t="shared" si="4"/>
        <v>846.1564082407906</v>
      </c>
      <c r="M60" s="22"/>
      <c r="N60" s="22"/>
      <c r="O60" s="22"/>
      <c r="P60" s="22"/>
      <c r="Q60" s="22"/>
      <c r="R60" s="22"/>
      <c r="S60" s="23">
        <f t="shared" si="5"/>
        <v>8246.9753255679352</v>
      </c>
      <c r="T60" s="24">
        <f t="shared" si="6"/>
        <v>6515.7416329977686</v>
      </c>
      <c r="V60" s="25">
        <f t="shared" si="7"/>
        <v>8246.9753255679352</v>
      </c>
    </row>
    <row r="61" spans="2:22">
      <c r="G61" s="5">
        <v>58</v>
      </c>
      <c r="H61" s="22">
        <f t="shared" si="0"/>
        <v>1484471.2899392487</v>
      </c>
      <c r="I61" s="22">
        <f t="shared" si="1"/>
        <v>4338.6392862467928</v>
      </c>
      <c r="J61" s="22">
        <f t="shared" si="2"/>
        <v>3062.179631080352</v>
      </c>
      <c r="K61" s="22">
        <f t="shared" si="3"/>
        <v>7400.8189173271448</v>
      </c>
      <c r="L61" s="22">
        <f t="shared" si="4"/>
        <v>844.42316622609019</v>
      </c>
      <c r="M61" s="22"/>
      <c r="N61" s="22"/>
      <c r="O61" s="22"/>
      <c r="P61" s="22"/>
      <c r="Q61" s="22"/>
      <c r="R61" s="22"/>
      <c r="S61" s="23">
        <f t="shared" si="5"/>
        <v>8245.2420835532357</v>
      </c>
      <c r="T61" s="24">
        <f t="shared" si="6"/>
        <v>6517.5545993956084</v>
      </c>
      <c r="V61" s="25">
        <f t="shared" si="7"/>
        <v>8245.2420835532357</v>
      </c>
    </row>
    <row r="62" spans="2:22">
      <c r="G62" s="5">
        <v>59</v>
      </c>
      <c r="H62" s="22">
        <f t="shared" si="0"/>
        <v>1481400.1789509109</v>
      </c>
      <c r="I62" s="22">
        <f t="shared" si="1"/>
        <v>4329.7079289894755</v>
      </c>
      <c r="J62" s="22">
        <f t="shared" si="2"/>
        <v>3071.1109883376694</v>
      </c>
      <c r="K62" s="22">
        <f t="shared" si="3"/>
        <v>7400.8189173271448</v>
      </c>
      <c r="L62" s="22">
        <f t="shared" si="4"/>
        <v>842.68486892218027</v>
      </c>
      <c r="M62" s="22"/>
      <c r="N62" s="22"/>
      <c r="O62" s="22"/>
      <c r="P62" s="22"/>
      <c r="Q62" s="22"/>
      <c r="R62" s="22"/>
      <c r="S62" s="23">
        <f t="shared" si="5"/>
        <v>8243.5037862493245</v>
      </c>
      <c r="T62" s="24">
        <f t="shared" si="6"/>
        <v>6519.3728536121062</v>
      </c>
      <c r="V62" s="25">
        <f t="shared" si="7"/>
        <v>8243.5037862493245</v>
      </c>
    </row>
    <row r="63" spans="2:22">
      <c r="G63" s="5">
        <v>60</v>
      </c>
      <c r="H63" s="22">
        <f t="shared" si="0"/>
        <v>1478320.110555524</v>
      </c>
      <c r="I63" s="22">
        <f t="shared" si="1"/>
        <v>4320.7505219401573</v>
      </c>
      <c r="J63" s="22">
        <f t="shared" si="2"/>
        <v>3080.0683953869875</v>
      </c>
      <c r="K63" s="22">
        <f t="shared" si="3"/>
        <v>7400.8189173271448</v>
      </c>
      <c r="L63" s="22">
        <f t="shared" si="4"/>
        <v>840.94150158446723</v>
      </c>
      <c r="M63" s="22"/>
      <c r="N63" s="22"/>
      <c r="O63" s="22"/>
      <c r="P63" s="22"/>
      <c r="Q63" s="22"/>
      <c r="R63" s="22"/>
      <c r="S63" s="23">
        <f t="shared" si="5"/>
        <v>8241.7604189116119</v>
      </c>
      <c r="T63" s="24">
        <f t="shared" si="6"/>
        <v>6521.1964110700701</v>
      </c>
      <c r="V63" s="25">
        <f t="shared" si="7"/>
        <v>8241.7604189116119</v>
      </c>
    </row>
    <row r="64" spans="2:22">
      <c r="G64" s="5">
        <v>61</v>
      </c>
      <c r="H64" s="22">
        <f t="shared" si="0"/>
        <v>1475231.0586273172</v>
      </c>
      <c r="I64" s="22">
        <f t="shared" si="1"/>
        <v>4311.7669891202786</v>
      </c>
      <c r="J64" s="22">
        <f t="shared" si="2"/>
        <v>3089.0519282068663</v>
      </c>
      <c r="K64" s="22">
        <f t="shared" si="3"/>
        <v>7400.8189173271448</v>
      </c>
      <c r="L64" s="22">
        <f t="shared" si="4"/>
        <v>839.19304942535257</v>
      </c>
      <c r="M64" s="22"/>
      <c r="N64" s="22"/>
      <c r="O64" s="22"/>
      <c r="P64" s="22"/>
      <c r="Q64" s="22"/>
      <c r="R64" s="22"/>
      <c r="S64" s="23">
        <f t="shared" si="5"/>
        <v>8240.0119667524978</v>
      </c>
      <c r="T64" s="24">
        <f t="shared" si="6"/>
        <v>6523.0252872372876</v>
      </c>
      <c r="V64" s="25">
        <f t="shared" si="7"/>
        <v>8240.0119667524978</v>
      </c>
    </row>
    <row r="65" spans="7:22">
      <c r="G65" s="5">
        <v>62</v>
      </c>
      <c r="H65" s="22">
        <f t="shared" si="0"/>
        <v>1472132.9969643196</v>
      </c>
      <c r="I65" s="22">
        <f t="shared" si="1"/>
        <v>4302.7572543296756</v>
      </c>
      <c r="J65" s="22">
        <f t="shared" si="2"/>
        <v>3098.0616629974693</v>
      </c>
      <c r="K65" s="22">
        <f t="shared" si="3"/>
        <v>7400.8189173271448</v>
      </c>
      <c r="L65" s="22">
        <f t="shared" si="4"/>
        <v>837.43949761410715</v>
      </c>
      <c r="M65" s="22"/>
      <c r="N65" s="22"/>
      <c r="O65" s="22"/>
      <c r="P65" s="22"/>
      <c r="Q65" s="22"/>
      <c r="R65" s="22"/>
      <c r="S65" s="23">
        <f t="shared" si="5"/>
        <v>8238.2584149412523</v>
      </c>
      <c r="T65" s="24">
        <f t="shared" si="6"/>
        <v>6524.8594976266577</v>
      </c>
      <c r="V65" s="25">
        <f t="shared" si="7"/>
        <v>8238.2584149412523</v>
      </c>
    </row>
    <row r="66" spans="7:22">
      <c r="G66" s="5">
        <v>63</v>
      </c>
      <c r="H66" s="22">
        <f t="shared" si="0"/>
        <v>1469025.8992881384</v>
      </c>
      <c r="I66" s="22">
        <f t="shared" si="1"/>
        <v>4293.7212411459323</v>
      </c>
      <c r="J66" s="22">
        <f t="shared" si="2"/>
        <v>3107.0976761812126</v>
      </c>
      <c r="K66" s="22">
        <f t="shared" si="3"/>
        <v>7400.8189173271448</v>
      </c>
      <c r="L66" s="22">
        <f t="shared" si="4"/>
        <v>835.68083127674549</v>
      </c>
      <c r="M66" s="22"/>
      <c r="N66" s="22"/>
      <c r="O66" s="22"/>
      <c r="P66" s="22"/>
      <c r="Q66" s="22"/>
      <c r="R66" s="22"/>
      <c r="S66" s="23">
        <f t="shared" si="5"/>
        <v>8236.4997486038901</v>
      </c>
      <c r="T66" s="24">
        <f t="shared" si="6"/>
        <v>6526.6990577963315</v>
      </c>
      <c r="V66" s="25">
        <f t="shared" si="7"/>
        <v>8236.4997486038901</v>
      </c>
    </row>
    <row r="67" spans="7:22">
      <c r="G67" s="5">
        <v>64</v>
      </c>
      <c r="H67" s="22">
        <f t="shared" si="0"/>
        <v>1465909.7392437349</v>
      </c>
      <c r="I67" s="22">
        <f t="shared" si="1"/>
        <v>4284.6588729237374</v>
      </c>
      <c r="J67" s="22">
        <f t="shared" si="2"/>
        <v>3116.1600444034075</v>
      </c>
      <c r="K67" s="22">
        <f t="shared" si="3"/>
        <v>7400.8189173271448</v>
      </c>
      <c r="L67" s="22">
        <f t="shared" si="4"/>
        <v>833.9170354959</v>
      </c>
      <c r="M67" s="22"/>
      <c r="N67" s="22"/>
      <c r="O67" s="22"/>
      <c r="P67" s="22"/>
      <c r="Q67" s="22"/>
      <c r="R67" s="22"/>
      <c r="S67" s="23">
        <f t="shared" si="5"/>
        <v>8234.7359528230445</v>
      </c>
      <c r="T67" s="24">
        <f t="shared" si="6"/>
        <v>6528.5439833498322</v>
      </c>
      <c r="V67" s="25">
        <f t="shared" si="7"/>
        <v>8234.7359528230445</v>
      </c>
    </row>
    <row r="68" spans="7:22">
      <c r="G68" s="5">
        <v>65</v>
      </c>
      <c r="H68" s="22">
        <f t="shared" ref="H68:H131" si="8">H67-J68</f>
        <v>1462784.4903992019</v>
      </c>
      <c r="I68" s="22">
        <f t="shared" ref="I68:I131" si="9">$E$9/$E$13*H67</f>
        <v>4275.5700727942267</v>
      </c>
      <c r="J68" s="22">
        <f t="shared" ref="J68:J131" si="10">K68-I68</f>
        <v>3125.2488445329182</v>
      </c>
      <c r="K68" s="22">
        <f t="shared" ref="K68:K131" si="11">IF(G68&gt;$E$14,0,$E$16)</f>
        <v>7400.8189173271448</v>
      </c>
      <c r="L68" s="22">
        <f t="shared" ref="L68:L131" si="12">$E$10/$E$13*H67</f>
        <v>832.14809531069363</v>
      </c>
      <c r="M68" s="22"/>
      <c r="N68" s="22"/>
      <c r="O68" s="22"/>
      <c r="P68" s="22"/>
      <c r="Q68" s="22"/>
      <c r="R68" s="22"/>
      <c r="S68" s="23">
        <f t="shared" ref="S68:S131" si="13">K68+L68</f>
        <v>8232.9670126378387</v>
      </c>
      <c r="T68" s="24">
        <f t="shared" ref="T68:T131" si="14">S68-1/3*(I68+L68)</f>
        <v>6530.3942899361991</v>
      </c>
      <c r="V68" s="25">
        <f t="shared" ref="V68:V123" si="15">S68</f>
        <v>8232.9670126378387</v>
      </c>
    </row>
    <row r="69" spans="7:22">
      <c r="G69" s="5">
        <v>66</v>
      </c>
      <c r="H69" s="22">
        <f t="shared" si="8"/>
        <v>1459650.1262455392</v>
      </c>
      <c r="I69" s="22">
        <f t="shared" si="9"/>
        <v>4266.4547636643392</v>
      </c>
      <c r="J69" s="22">
        <f t="shared" si="10"/>
        <v>3134.3641536628056</v>
      </c>
      <c r="K69" s="22">
        <f t="shared" si="11"/>
        <v>7400.8189173271448</v>
      </c>
      <c r="L69" s="22">
        <f t="shared" si="12"/>
        <v>830.37399571661365</v>
      </c>
      <c r="M69" s="22"/>
      <c r="N69" s="22"/>
      <c r="O69" s="22"/>
      <c r="P69" s="22"/>
      <c r="Q69" s="22"/>
      <c r="R69" s="22"/>
      <c r="S69" s="23">
        <f t="shared" si="13"/>
        <v>8231.1929130437584</v>
      </c>
      <c r="T69" s="24">
        <f t="shared" si="14"/>
        <v>6532.2499932501078</v>
      </c>
      <c r="V69" s="25">
        <f t="shared" si="15"/>
        <v>8231.1929130437584</v>
      </c>
    </row>
    <row r="70" spans="7:22">
      <c r="G70" s="5">
        <v>67</v>
      </c>
      <c r="H70" s="22">
        <f t="shared" si="8"/>
        <v>1456506.6201964281</v>
      </c>
      <c r="I70" s="22">
        <f t="shared" si="9"/>
        <v>4257.3128682161559</v>
      </c>
      <c r="J70" s="22">
        <f t="shared" si="10"/>
        <v>3143.5060491109889</v>
      </c>
      <c r="K70" s="22">
        <f t="shared" si="11"/>
        <v>7400.8189173271448</v>
      </c>
      <c r="L70" s="22">
        <f t="shared" si="12"/>
        <v>828.59472166538444</v>
      </c>
      <c r="M70" s="22"/>
      <c r="N70" s="22"/>
      <c r="O70" s="22"/>
      <c r="P70" s="22"/>
      <c r="Q70" s="22"/>
      <c r="R70" s="22"/>
      <c r="S70" s="23">
        <f t="shared" si="13"/>
        <v>8229.4136389925297</v>
      </c>
      <c r="T70" s="24">
        <f t="shared" si="14"/>
        <v>6534.1111090320164</v>
      </c>
      <c r="V70" s="25">
        <f t="shared" si="15"/>
        <v>8229.4136389925297</v>
      </c>
    </row>
    <row r="71" spans="7:22">
      <c r="G71" s="5">
        <v>68</v>
      </c>
      <c r="H71" s="22">
        <f t="shared" si="8"/>
        <v>1453353.9455880073</v>
      </c>
      <c r="I71" s="22">
        <f t="shared" si="9"/>
        <v>4248.1443089062486</v>
      </c>
      <c r="J71" s="22">
        <f t="shared" si="10"/>
        <v>3152.6746084208962</v>
      </c>
      <c r="K71" s="22">
        <f t="shared" si="11"/>
        <v>7400.8189173271448</v>
      </c>
      <c r="L71" s="22">
        <f t="shared" si="12"/>
        <v>826.8102580648391</v>
      </c>
      <c r="M71" s="22"/>
      <c r="N71" s="22"/>
      <c r="O71" s="22"/>
      <c r="P71" s="22"/>
      <c r="Q71" s="22"/>
      <c r="R71" s="22"/>
      <c r="S71" s="23">
        <f t="shared" si="13"/>
        <v>8227.6291753919832</v>
      </c>
      <c r="T71" s="24">
        <f t="shared" si="14"/>
        <v>6535.9776530682875</v>
      </c>
      <c r="V71" s="25">
        <f t="shared" si="15"/>
        <v>8227.6291753919832</v>
      </c>
    </row>
    <row r="72" spans="7:22">
      <c r="G72" s="5">
        <v>69</v>
      </c>
      <c r="H72" s="22">
        <f t="shared" si="8"/>
        <v>1450192.0756786452</v>
      </c>
      <c r="I72" s="22">
        <f t="shared" si="9"/>
        <v>4238.9490079650213</v>
      </c>
      <c r="J72" s="22">
        <f t="shared" si="10"/>
        <v>3161.8699093621235</v>
      </c>
      <c r="K72" s="22">
        <f t="shared" si="11"/>
        <v>7400.8189173271448</v>
      </c>
      <c r="L72" s="22">
        <f t="shared" si="12"/>
        <v>825.02058977879221</v>
      </c>
      <c r="M72" s="22"/>
      <c r="N72" s="22"/>
      <c r="O72" s="22"/>
      <c r="P72" s="22"/>
      <c r="Q72" s="22"/>
      <c r="R72" s="22"/>
      <c r="S72" s="23">
        <f t="shared" si="13"/>
        <v>8225.8395071059367</v>
      </c>
      <c r="T72" s="24">
        <f t="shared" si="14"/>
        <v>6537.8496411913329</v>
      </c>
      <c r="V72" s="25">
        <f t="shared" si="15"/>
        <v>8225.8395071059367</v>
      </c>
    </row>
    <row r="73" spans="7:22">
      <c r="G73" s="5">
        <v>70</v>
      </c>
      <c r="H73" s="22">
        <f t="shared" si="8"/>
        <v>1447020.9836487141</v>
      </c>
      <c r="I73" s="22">
        <f t="shared" si="9"/>
        <v>4229.7268873960484</v>
      </c>
      <c r="J73" s="22">
        <f t="shared" si="10"/>
        <v>3171.0920299310965</v>
      </c>
      <c r="K73" s="22">
        <f t="shared" si="11"/>
        <v>7400.8189173271448</v>
      </c>
      <c r="L73" s="22">
        <f t="shared" si="12"/>
        <v>823.22570162691102</v>
      </c>
      <c r="M73" s="22"/>
      <c r="N73" s="22"/>
      <c r="O73" s="22"/>
      <c r="P73" s="22"/>
      <c r="Q73" s="22"/>
      <c r="R73" s="22"/>
      <c r="S73" s="23">
        <f t="shared" si="13"/>
        <v>8224.0446189540562</v>
      </c>
      <c r="T73" s="24">
        <f t="shared" si="14"/>
        <v>6539.7270892797369</v>
      </c>
      <c r="V73" s="25">
        <f t="shared" si="15"/>
        <v>8224.0446189540562</v>
      </c>
    </row>
    <row r="74" spans="7:22">
      <c r="G74" s="5">
        <v>71</v>
      </c>
      <c r="H74" s="22">
        <f t="shared" si="8"/>
        <v>1443840.6426003624</v>
      </c>
      <c r="I74" s="22">
        <f t="shared" si="9"/>
        <v>4220.4778689754166</v>
      </c>
      <c r="J74" s="22">
        <f t="shared" si="10"/>
        <v>3180.3410483517282</v>
      </c>
      <c r="K74" s="22">
        <f t="shared" si="11"/>
        <v>7400.8189173271448</v>
      </c>
      <c r="L74" s="22">
        <f t="shared" si="12"/>
        <v>821.42557838458686</v>
      </c>
      <c r="M74" s="22"/>
      <c r="N74" s="22"/>
      <c r="O74" s="22"/>
      <c r="P74" s="22"/>
      <c r="Q74" s="22"/>
      <c r="R74" s="22"/>
      <c r="S74" s="23">
        <f t="shared" si="13"/>
        <v>8222.2444957117314</v>
      </c>
      <c r="T74" s="24">
        <f t="shared" si="14"/>
        <v>6541.610013258397</v>
      </c>
      <c r="V74" s="25">
        <f t="shared" si="15"/>
        <v>8222.2444957117314</v>
      </c>
    </row>
    <row r="75" spans="7:22">
      <c r="G75" s="5">
        <v>72</v>
      </c>
      <c r="H75" s="22">
        <f t="shared" si="8"/>
        <v>1440651.0255572863</v>
      </c>
      <c r="I75" s="22">
        <f t="shared" si="9"/>
        <v>4211.2018742510572</v>
      </c>
      <c r="J75" s="22">
        <f t="shared" si="10"/>
        <v>3189.6170430760876</v>
      </c>
      <c r="K75" s="22">
        <f t="shared" si="11"/>
        <v>7400.8189173271448</v>
      </c>
      <c r="L75" s="22">
        <f t="shared" si="12"/>
        <v>819.62020478280579</v>
      </c>
      <c r="M75" s="22"/>
      <c r="N75" s="22"/>
      <c r="O75" s="22"/>
      <c r="P75" s="22"/>
      <c r="Q75" s="22"/>
      <c r="R75" s="22"/>
      <c r="S75" s="23">
        <f t="shared" si="13"/>
        <v>8220.4391221099504</v>
      </c>
      <c r="T75" s="24">
        <f t="shared" si="14"/>
        <v>6543.4984290986631</v>
      </c>
      <c r="V75" s="25">
        <f t="shared" si="15"/>
        <v>8220.4391221099504</v>
      </c>
    </row>
    <row r="76" spans="7:22">
      <c r="G76" s="5">
        <v>73</v>
      </c>
      <c r="H76" s="22">
        <f t="shared" si="8"/>
        <v>1437452.1054645013</v>
      </c>
      <c r="I76" s="22">
        <f t="shared" si="9"/>
        <v>4201.8988245420851</v>
      </c>
      <c r="J76" s="22">
        <f t="shared" si="10"/>
        <v>3198.9200927850598</v>
      </c>
      <c r="K76" s="22">
        <f t="shared" si="11"/>
        <v>7400.8189173271448</v>
      </c>
      <c r="L76" s="22">
        <f t="shared" si="12"/>
        <v>817.80956550801966</v>
      </c>
      <c r="M76" s="22"/>
      <c r="N76" s="22"/>
      <c r="O76" s="22"/>
      <c r="P76" s="22"/>
      <c r="Q76" s="22"/>
      <c r="R76" s="22"/>
      <c r="S76" s="23">
        <f t="shared" si="13"/>
        <v>8218.6284828351636</v>
      </c>
      <c r="T76" s="24">
        <f t="shared" si="14"/>
        <v>6545.3923528184623</v>
      </c>
      <c r="V76" s="25">
        <f t="shared" si="15"/>
        <v>8218.6284828351636</v>
      </c>
    </row>
    <row r="77" spans="7:22">
      <c r="G77" s="5">
        <v>74</v>
      </c>
      <c r="H77" s="22">
        <f t="shared" si="8"/>
        <v>1434243.8551881122</v>
      </c>
      <c r="I77" s="22">
        <f t="shared" si="9"/>
        <v>4192.5686409381287</v>
      </c>
      <c r="J77" s="22">
        <f t="shared" si="10"/>
        <v>3208.2502763890161</v>
      </c>
      <c r="K77" s="22">
        <f t="shared" si="11"/>
        <v>7400.8189173271448</v>
      </c>
      <c r="L77" s="22">
        <f t="shared" si="12"/>
        <v>815.99364520201539</v>
      </c>
      <c r="M77" s="22"/>
      <c r="N77" s="22"/>
      <c r="O77" s="22"/>
      <c r="P77" s="22"/>
      <c r="Q77" s="22"/>
      <c r="R77" s="22"/>
      <c r="S77" s="23">
        <f t="shared" si="13"/>
        <v>8216.8125625291595</v>
      </c>
      <c r="T77" s="24">
        <f t="shared" si="14"/>
        <v>6547.2918004824451</v>
      </c>
      <c r="V77" s="25">
        <f t="shared" si="15"/>
        <v>8216.8125625291595</v>
      </c>
    </row>
    <row r="78" spans="7:22">
      <c r="G78" s="5">
        <v>75</v>
      </c>
      <c r="H78" s="22">
        <f t="shared" si="8"/>
        <v>1431026.2475150838</v>
      </c>
      <c r="I78" s="22">
        <f t="shared" si="9"/>
        <v>4183.2112442986609</v>
      </c>
      <c r="J78" s="22">
        <f t="shared" si="10"/>
        <v>3217.607673028484</v>
      </c>
      <c r="K78" s="22">
        <f t="shared" si="11"/>
        <v>7400.8189173271448</v>
      </c>
      <c r="L78" s="22">
        <f t="shared" si="12"/>
        <v>814.1724284617851</v>
      </c>
      <c r="M78" s="22"/>
      <c r="N78" s="22"/>
      <c r="O78" s="22"/>
      <c r="P78" s="22"/>
      <c r="Q78" s="22"/>
      <c r="R78" s="22"/>
      <c r="S78" s="23">
        <f t="shared" si="13"/>
        <v>8214.9913457889306</v>
      </c>
      <c r="T78" s="24">
        <f t="shared" si="14"/>
        <v>6549.1967882021154</v>
      </c>
      <c r="V78" s="25">
        <f t="shared" si="15"/>
        <v>8214.9913457889306</v>
      </c>
    </row>
    <row r="79" spans="7:22">
      <c r="G79" s="5">
        <v>76</v>
      </c>
      <c r="H79" s="22">
        <f t="shared" si="8"/>
        <v>1427799.255153009</v>
      </c>
      <c r="I79" s="22">
        <f t="shared" si="9"/>
        <v>4173.826555252328</v>
      </c>
      <c r="J79" s="22">
        <f t="shared" si="10"/>
        <v>3226.9923620748168</v>
      </c>
      <c r="K79" s="22">
        <f t="shared" si="11"/>
        <v>7400.8189173271448</v>
      </c>
      <c r="L79" s="22">
        <f t="shared" si="12"/>
        <v>812.345899839396</v>
      </c>
      <c r="M79" s="22"/>
      <c r="N79" s="22"/>
      <c r="O79" s="22"/>
      <c r="P79" s="22"/>
      <c r="Q79" s="22"/>
      <c r="R79" s="22"/>
      <c r="S79" s="23">
        <f t="shared" si="13"/>
        <v>8213.1648171665402</v>
      </c>
      <c r="T79" s="24">
        <f t="shared" si="14"/>
        <v>6551.1073321359654</v>
      </c>
      <c r="V79" s="25">
        <f t="shared" si="15"/>
        <v>8213.1648171665402</v>
      </c>
    </row>
    <row r="80" spans="7:22">
      <c r="G80" s="5">
        <v>77</v>
      </c>
      <c r="H80" s="22">
        <f t="shared" si="8"/>
        <v>1424562.8507298781</v>
      </c>
      <c r="I80" s="22">
        <f t="shared" si="9"/>
        <v>4164.4144941962768</v>
      </c>
      <c r="J80" s="22">
        <f t="shared" si="10"/>
        <v>3236.4044231308681</v>
      </c>
      <c r="K80" s="22">
        <f t="shared" si="11"/>
        <v>7400.8189173271448</v>
      </c>
      <c r="L80" s="22">
        <f t="shared" si="12"/>
        <v>810.51404384185821</v>
      </c>
      <c r="M80" s="22"/>
      <c r="N80" s="22"/>
      <c r="O80" s="22"/>
      <c r="P80" s="22"/>
      <c r="Q80" s="22"/>
      <c r="R80" s="22"/>
      <c r="S80" s="23">
        <f t="shared" si="13"/>
        <v>8211.3329611690024</v>
      </c>
      <c r="T80" s="24">
        <f t="shared" si="14"/>
        <v>6553.0234484896246</v>
      </c>
      <c r="V80" s="25">
        <f t="shared" si="15"/>
        <v>8211.3329611690024</v>
      </c>
    </row>
    <row r="81" spans="7:22">
      <c r="G81" s="5">
        <v>78</v>
      </c>
      <c r="H81" s="22">
        <f t="shared" si="8"/>
        <v>1421317.0067938464</v>
      </c>
      <c r="I81" s="22">
        <f t="shared" si="9"/>
        <v>4154.9749812954778</v>
      </c>
      <c r="J81" s="22">
        <f t="shared" si="10"/>
        <v>3245.843936031667</v>
      </c>
      <c r="K81" s="22">
        <f t="shared" si="11"/>
        <v>7400.8189173271448</v>
      </c>
      <c r="L81" s="22">
        <f t="shared" si="12"/>
        <v>808.67684493099421</v>
      </c>
      <c r="M81" s="22"/>
      <c r="N81" s="22"/>
      <c r="O81" s="22"/>
      <c r="P81" s="22"/>
      <c r="Q81" s="22"/>
      <c r="R81" s="22"/>
      <c r="S81" s="23">
        <f t="shared" si="13"/>
        <v>8209.4957622581387</v>
      </c>
      <c r="T81" s="24">
        <f t="shared" si="14"/>
        <v>6554.9451535159815</v>
      </c>
      <c r="V81" s="25">
        <f t="shared" si="15"/>
        <v>8209.4957622581387</v>
      </c>
    </row>
    <row r="82" spans="7:22">
      <c r="G82" s="5">
        <v>79</v>
      </c>
      <c r="H82" s="22">
        <f t="shared" si="8"/>
        <v>1418061.6958130014</v>
      </c>
      <c r="I82" s="22">
        <f t="shared" si="9"/>
        <v>4145.5079364820522</v>
      </c>
      <c r="J82" s="22">
        <f t="shared" si="10"/>
        <v>3255.3109808450927</v>
      </c>
      <c r="K82" s="22">
        <f t="shared" si="11"/>
        <v>7400.8189173271448</v>
      </c>
      <c r="L82" s="22">
        <f t="shared" si="12"/>
        <v>806.8342875233069</v>
      </c>
      <c r="M82" s="22"/>
      <c r="N82" s="22"/>
      <c r="O82" s="22"/>
      <c r="P82" s="22"/>
      <c r="Q82" s="22"/>
      <c r="R82" s="22"/>
      <c r="S82" s="23">
        <f t="shared" si="13"/>
        <v>8207.6532048504523</v>
      </c>
      <c r="T82" s="24">
        <f t="shared" si="14"/>
        <v>6556.872463515333</v>
      </c>
      <c r="V82" s="25">
        <f t="shared" si="15"/>
        <v>8207.6532048504523</v>
      </c>
    </row>
    <row r="83" spans="7:22">
      <c r="G83" s="5">
        <v>80</v>
      </c>
      <c r="H83" s="22">
        <f t="shared" si="8"/>
        <v>1414796.8901751288</v>
      </c>
      <c r="I83" s="22">
        <f t="shared" si="9"/>
        <v>4136.0132794545871</v>
      </c>
      <c r="J83" s="22">
        <f t="shared" si="10"/>
        <v>3264.8056378725578</v>
      </c>
      <c r="K83" s="22">
        <f t="shared" si="11"/>
        <v>7400.8189173271448</v>
      </c>
      <c r="L83" s="22">
        <f t="shared" si="12"/>
        <v>804.9863559898472</v>
      </c>
      <c r="M83" s="22"/>
      <c r="N83" s="22"/>
      <c r="O83" s="22"/>
      <c r="P83" s="22"/>
      <c r="Q83" s="22"/>
      <c r="R83" s="22"/>
      <c r="S83" s="23">
        <f t="shared" si="13"/>
        <v>8205.8052733169916</v>
      </c>
      <c r="T83" s="24">
        <f t="shared" si="14"/>
        <v>6558.8053948355137</v>
      </c>
      <c r="V83" s="25">
        <f t="shared" si="15"/>
        <v>8205.8052733169916</v>
      </c>
    </row>
    <row r="84" spans="7:22">
      <c r="G84" s="5">
        <v>81</v>
      </c>
      <c r="H84" s="22">
        <f t="shared" si="8"/>
        <v>1411522.5621874791</v>
      </c>
      <c r="I84" s="22">
        <f t="shared" si="9"/>
        <v>4126.4909296774595</v>
      </c>
      <c r="J84" s="22">
        <f t="shared" si="10"/>
        <v>3274.3279876496854</v>
      </c>
      <c r="K84" s="22">
        <f t="shared" si="11"/>
        <v>7400.8189173271448</v>
      </c>
      <c r="L84" s="22">
        <f t="shared" si="12"/>
        <v>803.13303465608158</v>
      </c>
      <c r="M84" s="22"/>
      <c r="N84" s="22"/>
      <c r="O84" s="22"/>
      <c r="P84" s="22"/>
      <c r="Q84" s="22"/>
      <c r="R84" s="22"/>
      <c r="S84" s="23">
        <f t="shared" si="13"/>
        <v>8203.9519519832265</v>
      </c>
      <c r="T84" s="24">
        <f t="shared" si="14"/>
        <v>6560.7439638720462</v>
      </c>
      <c r="V84" s="25">
        <f t="shared" si="15"/>
        <v>8203.9519519832265</v>
      </c>
    </row>
    <row r="85" spans="7:22">
      <c r="G85" s="5">
        <v>82</v>
      </c>
      <c r="H85" s="22">
        <f t="shared" si="8"/>
        <v>1408238.684076532</v>
      </c>
      <c r="I85" s="22">
        <f t="shared" si="9"/>
        <v>4116.9408063801475</v>
      </c>
      <c r="J85" s="22">
        <f t="shared" si="10"/>
        <v>3283.8781109469974</v>
      </c>
      <c r="K85" s="22">
        <f t="shared" si="11"/>
        <v>7400.8189173271448</v>
      </c>
      <c r="L85" s="22">
        <f t="shared" si="12"/>
        <v>801.27430780175905</v>
      </c>
      <c r="M85" s="22"/>
      <c r="N85" s="22"/>
      <c r="O85" s="22"/>
      <c r="P85" s="22"/>
      <c r="Q85" s="22"/>
      <c r="R85" s="22"/>
      <c r="S85" s="23">
        <f t="shared" si="13"/>
        <v>8202.0932251289032</v>
      </c>
      <c r="T85" s="24">
        <f t="shared" si="14"/>
        <v>6562.6881870682682</v>
      </c>
      <c r="V85" s="25">
        <f t="shared" si="15"/>
        <v>8202.0932251289032</v>
      </c>
    </row>
    <row r="86" spans="7:22">
      <c r="G86" s="5">
        <v>83</v>
      </c>
      <c r="H86" s="22">
        <f t="shared" si="8"/>
        <v>1404945.2279877614</v>
      </c>
      <c r="I86" s="22">
        <f t="shared" si="9"/>
        <v>4107.3628285565519</v>
      </c>
      <c r="J86" s="22">
        <f t="shared" si="10"/>
        <v>3293.4560887705929</v>
      </c>
      <c r="K86" s="22">
        <f t="shared" si="11"/>
        <v>7400.8189173271448</v>
      </c>
      <c r="L86" s="22">
        <f t="shared" si="12"/>
        <v>799.41015966077805</v>
      </c>
      <c r="M86" s="22"/>
      <c r="N86" s="22"/>
      <c r="O86" s="22"/>
      <c r="P86" s="22"/>
      <c r="Q86" s="22"/>
      <c r="R86" s="22"/>
      <c r="S86" s="23">
        <f t="shared" si="13"/>
        <v>8200.2290769879237</v>
      </c>
      <c r="T86" s="24">
        <f t="shared" si="14"/>
        <v>6564.6380809154807</v>
      </c>
      <c r="V86" s="25">
        <f t="shared" si="15"/>
        <v>8200.2290769879237</v>
      </c>
    </row>
    <row r="87" spans="7:22">
      <c r="G87" s="5">
        <v>84</v>
      </c>
      <c r="H87" s="22">
        <f t="shared" si="8"/>
        <v>1401642.1659853985</v>
      </c>
      <c r="I87" s="22">
        <f t="shared" si="9"/>
        <v>4097.7569149643041</v>
      </c>
      <c r="J87" s="22">
        <f t="shared" si="10"/>
        <v>3303.0620023628408</v>
      </c>
      <c r="K87" s="22">
        <f t="shared" si="11"/>
        <v>7400.8189173271448</v>
      </c>
      <c r="L87" s="22">
        <f t="shared" si="12"/>
        <v>797.54057442105261</v>
      </c>
      <c r="M87" s="22"/>
      <c r="N87" s="22"/>
      <c r="O87" s="22"/>
      <c r="P87" s="22"/>
      <c r="Q87" s="22"/>
      <c r="R87" s="22"/>
      <c r="S87" s="23">
        <f t="shared" si="13"/>
        <v>8198.3594917481969</v>
      </c>
      <c r="T87" s="24">
        <f t="shared" si="14"/>
        <v>6566.5936619530785</v>
      </c>
      <c r="V87" s="25">
        <f t="shared" si="15"/>
        <v>8198.3594917481969</v>
      </c>
    </row>
    <row r="88" spans="7:22">
      <c r="G88" s="5">
        <v>85</v>
      </c>
      <c r="H88" s="22">
        <f t="shared" si="8"/>
        <v>1398329.4700521955</v>
      </c>
      <c r="I88" s="22">
        <f t="shared" si="9"/>
        <v>4088.1229841240788</v>
      </c>
      <c r="J88" s="22">
        <f t="shared" si="10"/>
        <v>3312.695933203066</v>
      </c>
      <c r="K88" s="22">
        <f t="shared" si="11"/>
        <v>7400.8189173271448</v>
      </c>
      <c r="L88" s="22">
        <f t="shared" si="12"/>
        <v>795.665536224378</v>
      </c>
      <c r="M88" s="22"/>
      <c r="N88" s="22"/>
      <c r="O88" s="22"/>
      <c r="P88" s="22"/>
      <c r="Q88" s="22"/>
      <c r="R88" s="22"/>
      <c r="S88" s="23">
        <f t="shared" si="13"/>
        <v>8196.4844535515222</v>
      </c>
      <c r="T88" s="24">
        <f t="shared" si="14"/>
        <v>6568.5549467687033</v>
      </c>
      <c r="V88" s="25">
        <f t="shared" si="15"/>
        <v>8196.4844535515222</v>
      </c>
    </row>
    <row r="89" spans="7:22">
      <c r="G89" s="5">
        <v>86</v>
      </c>
      <c r="H89" s="22">
        <f t="shared" si="8"/>
        <v>1395007.1120891871</v>
      </c>
      <c r="I89" s="22">
        <f t="shared" si="9"/>
        <v>4078.4609543189035</v>
      </c>
      <c r="J89" s="22">
        <f t="shared" si="10"/>
        <v>3322.3579630082413</v>
      </c>
      <c r="K89" s="22">
        <f t="shared" si="11"/>
        <v>7400.8189173271448</v>
      </c>
      <c r="L89" s="22">
        <f t="shared" si="12"/>
        <v>793.78502916629634</v>
      </c>
      <c r="M89" s="22"/>
      <c r="N89" s="22"/>
      <c r="O89" s="22"/>
      <c r="P89" s="22"/>
      <c r="Q89" s="22"/>
      <c r="R89" s="22"/>
      <c r="S89" s="23">
        <f t="shared" si="13"/>
        <v>8194.603946493442</v>
      </c>
      <c r="T89" s="24">
        <f t="shared" si="14"/>
        <v>6570.5219519983757</v>
      </c>
      <c r="V89" s="25">
        <f t="shared" si="15"/>
        <v>8194.603946493442</v>
      </c>
    </row>
    <row r="90" spans="7:22">
      <c r="G90" s="5">
        <v>87</v>
      </c>
      <c r="H90" s="22">
        <f t="shared" si="8"/>
        <v>1391675.0639154534</v>
      </c>
      <c r="I90" s="22">
        <f t="shared" si="9"/>
        <v>4068.7707435934626</v>
      </c>
      <c r="J90" s="22">
        <f t="shared" si="10"/>
        <v>3332.0481737336822</v>
      </c>
      <c r="K90" s="22">
        <f t="shared" si="11"/>
        <v>7400.8189173271448</v>
      </c>
      <c r="L90" s="22">
        <f t="shared" si="12"/>
        <v>791.89903729596199</v>
      </c>
      <c r="M90" s="22"/>
      <c r="N90" s="22"/>
      <c r="O90" s="22"/>
      <c r="P90" s="22"/>
      <c r="Q90" s="22"/>
      <c r="R90" s="22"/>
      <c r="S90" s="23">
        <f t="shared" si="13"/>
        <v>8192.7179546231073</v>
      </c>
      <c r="T90" s="24">
        <f t="shared" si="14"/>
        <v>6572.4946943266332</v>
      </c>
      <c r="V90" s="25">
        <f t="shared" si="15"/>
        <v>8192.7179546231073</v>
      </c>
    </row>
    <row r="91" spans="7:22">
      <c r="G91" s="5">
        <v>88</v>
      </c>
      <c r="H91" s="22">
        <f t="shared" si="8"/>
        <v>1388333.2972678796</v>
      </c>
      <c r="I91" s="22">
        <f t="shared" si="9"/>
        <v>4059.0522697534061</v>
      </c>
      <c r="J91" s="22">
        <f t="shared" si="10"/>
        <v>3341.7666475737387</v>
      </c>
      <c r="K91" s="22">
        <f t="shared" si="11"/>
        <v>7400.8189173271448</v>
      </c>
      <c r="L91" s="22">
        <f t="shared" si="12"/>
        <v>790.00754461600582</v>
      </c>
      <c r="M91" s="22"/>
      <c r="N91" s="22"/>
      <c r="O91" s="22"/>
      <c r="P91" s="22"/>
      <c r="Q91" s="22"/>
      <c r="R91" s="22"/>
      <c r="S91" s="23">
        <f t="shared" si="13"/>
        <v>8190.8264619431502</v>
      </c>
      <c r="T91" s="24">
        <f t="shared" si="14"/>
        <v>6574.4731904866803</v>
      </c>
      <c r="V91" s="25">
        <f t="shared" si="15"/>
        <v>8190.8264619431502</v>
      </c>
    </row>
    <row r="92" spans="7:22">
      <c r="G92" s="5">
        <v>89</v>
      </c>
      <c r="H92" s="22">
        <f t="shared" si="8"/>
        <v>1384981.7838009172</v>
      </c>
      <c r="I92" s="22">
        <f t="shared" si="9"/>
        <v>4049.305450364649</v>
      </c>
      <c r="J92" s="22">
        <f t="shared" si="10"/>
        <v>3351.5134669624958</v>
      </c>
      <c r="K92" s="22">
        <f t="shared" si="11"/>
        <v>7400.8189173271448</v>
      </c>
      <c r="L92" s="22">
        <f t="shared" si="12"/>
        <v>788.11053508239979</v>
      </c>
      <c r="M92" s="22"/>
      <c r="N92" s="22"/>
      <c r="O92" s="22"/>
      <c r="P92" s="22"/>
      <c r="Q92" s="22"/>
      <c r="R92" s="22"/>
      <c r="S92" s="23">
        <f t="shared" si="13"/>
        <v>8188.9294524095449</v>
      </c>
      <c r="T92" s="24">
        <f t="shared" si="14"/>
        <v>6576.4574572605288</v>
      </c>
      <c r="V92" s="25">
        <f t="shared" si="15"/>
        <v>8188.9294524095449</v>
      </c>
    </row>
    <row r="93" spans="7:22">
      <c r="G93" s="5">
        <v>90</v>
      </c>
      <c r="H93" s="22">
        <f t="shared" si="8"/>
        <v>1381620.4950863428</v>
      </c>
      <c r="I93" s="22">
        <f t="shared" si="9"/>
        <v>4039.5302027526755</v>
      </c>
      <c r="J93" s="22">
        <f t="shared" si="10"/>
        <v>3361.2887145744694</v>
      </c>
      <c r="K93" s="22">
        <f t="shared" si="11"/>
        <v>7400.8189173271448</v>
      </c>
      <c r="L93" s="22">
        <f t="shared" si="12"/>
        <v>786.20799260432079</v>
      </c>
      <c r="M93" s="22"/>
      <c r="N93" s="22"/>
      <c r="O93" s="22"/>
      <c r="P93" s="22"/>
      <c r="Q93" s="22"/>
      <c r="R93" s="22"/>
      <c r="S93" s="23">
        <f t="shared" si="13"/>
        <v>8187.0269099314655</v>
      </c>
      <c r="T93" s="24">
        <f t="shared" si="14"/>
        <v>6578.447511479133</v>
      </c>
      <c r="V93" s="25">
        <f t="shared" si="15"/>
        <v>8187.0269099314655</v>
      </c>
    </row>
    <row r="94" spans="7:22">
      <c r="G94" s="5">
        <v>91</v>
      </c>
      <c r="H94" s="22">
        <f t="shared" si="8"/>
        <v>1378249.4026130175</v>
      </c>
      <c r="I94" s="22">
        <f t="shared" si="9"/>
        <v>4029.7264440018334</v>
      </c>
      <c r="J94" s="22">
        <f t="shared" si="10"/>
        <v>3371.0924733253114</v>
      </c>
      <c r="K94" s="22">
        <f t="shared" si="11"/>
        <v>7400.8189173271448</v>
      </c>
      <c r="L94" s="22">
        <f t="shared" si="12"/>
        <v>784.29990104401406</v>
      </c>
      <c r="M94" s="22"/>
      <c r="N94" s="22"/>
      <c r="O94" s="22"/>
      <c r="P94" s="22"/>
      <c r="Q94" s="22"/>
      <c r="R94" s="22"/>
      <c r="S94" s="23">
        <f t="shared" si="13"/>
        <v>8185.1188183711593</v>
      </c>
      <c r="T94" s="24">
        <f t="shared" si="14"/>
        <v>6580.4433700225436</v>
      </c>
      <c r="V94" s="25">
        <f t="shared" si="15"/>
        <v>8185.1188183711593</v>
      </c>
    </row>
    <row r="95" spans="7:22">
      <c r="G95" s="5">
        <v>92</v>
      </c>
      <c r="H95" s="22">
        <f t="shared" si="8"/>
        <v>1374868.4777866451</v>
      </c>
      <c r="I95" s="22">
        <f t="shared" si="9"/>
        <v>4019.8940909546345</v>
      </c>
      <c r="J95" s="22">
        <f t="shared" si="10"/>
        <v>3380.9248263725103</v>
      </c>
      <c r="K95" s="22">
        <f t="shared" si="11"/>
        <v>7400.8189173271448</v>
      </c>
      <c r="L95" s="22">
        <f t="shared" si="12"/>
        <v>782.38624421665634</v>
      </c>
      <c r="M95" s="22"/>
      <c r="N95" s="22"/>
      <c r="O95" s="22"/>
      <c r="P95" s="22"/>
      <c r="Q95" s="22"/>
      <c r="R95" s="22"/>
      <c r="S95" s="23">
        <f t="shared" si="13"/>
        <v>8183.2051615438013</v>
      </c>
      <c r="T95" s="24">
        <f t="shared" si="14"/>
        <v>6582.4450498200376</v>
      </c>
      <c r="V95" s="25">
        <f t="shared" si="15"/>
        <v>8183.2051615438013</v>
      </c>
    </row>
    <row r="96" spans="7:22">
      <c r="G96" s="5">
        <v>93</v>
      </c>
      <c r="H96" s="22">
        <f t="shared" si="8"/>
        <v>1371477.691929529</v>
      </c>
      <c r="I96" s="22">
        <f t="shared" si="9"/>
        <v>4010.0330602110485</v>
      </c>
      <c r="J96" s="22">
        <f t="shared" si="10"/>
        <v>3390.7858571160964</v>
      </c>
      <c r="K96" s="22">
        <f t="shared" si="11"/>
        <v>7400.8189173271448</v>
      </c>
      <c r="L96" s="22">
        <f t="shared" si="12"/>
        <v>780.46700589021896</v>
      </c>
      <c r="M96" s="22"/>
      <c r="N96" s="22"/>
      <c r="O96" s="22"/>
      <c r="P96" s="22"/>
      <c r="Q96" s="22"/>
      <c r="R96" s="22"/>
      <c r="S96" s="23">
        <f t="shared" si="13"/>
        <v>8181.2859232173641</v>
      </c>
      <c r="T96" s="24">
        <f t="shared" si="14"/>
        <v>6584.452567850275</v>
      </c>
      <c r="V96" s="25">
        <f t="shared" si="15"/>
        <v>8181.2859232173641</v>
      </c>
    </row>
    <row r="97" spans="7:22">
      <c r="G97" s="5">
        <v>94</v>
      </c>
      <c r="H97" s="22">
        <f t="shared" si="8"/>
        <v>1368077.0162803296</v>
      </c>
      <c r="I97" s="22">
        <f t="shared" si="9"/>
        <v>4000.1432681277929</v>
      </c>
      <c r="J97" s="22">
        <f t="shared" si="10"/>
        <v>3400.6756491993519</v>
      </c>
      <c r="K97" s="22">
        <f t="shared" si="11"/>
        <v>7400.8189173271448</v>
      </c>
      <c r="L97" s="22">
        <f t="shared" si="12"/>
        <v>778.54216978532941</v>
      </c>
      <c r="M97" s="22"/>
      <c r="N97" s="22"/>
      <c r="O97" s="22"/>
      <c r="P97" s="22"/>
      <c r="Q97" s="22"/>
      <c r="R97" s="22"/>
      <c r="S97" s="23">
        <f t="shared" si="13"/>
        <v>8179.3610871124747</v>
      </c>
      <c r="T97" s="24">
        <f t="shared" si="14"/>
        <v>6586.4659411414341</v>
      </c>
      <c r="V97" s="25">
        <f t="shared" si="15"/>
        <v>8179.3610871124747</v>
      </c>
    </row>
    <row r="98" spans="7:22">
      <c r="G98" s="5">
        <v>95</v>
      </c>
      <c r="H98" s="22">
        <f t="shared" si="8"/>
        <v>1364666.42199382</v>
      </c>
      <c r="I98" s="22">
        <f t="shared" si="9"/>
        <v>3990.2246308176282</v>
      </c>
      <c r="J98" s="22">
        <f t="shared" si="10"/>
        <v>3410.5942865095167</v>
      </c>
      <c r="K98" s="22">
        <f t="shared" si="11"/>
        <v>7400.8189173271448</v>
      </c>
      <c r="L98" s="22">
        <f t="shared" si="12"/>
        <v>776.61171957513386</v>
      </c>
      <c r="M98" s="22"/>
      <c r="N98" s="22"/>
      <c r="O98" s="22"/>
      <c r="P98" s="22"/>
      <c r="Q98" s="22"/>
      <c r="R98" s="22"/>
      <c r="S98" s="23">
        <f t="shared" si="13"/>
        <v>8177.4306369022788</v>
      </c>
      <c r="T98" s="24">
        <f t="shared" si="14"/>
        <v>6588.4851867713587</v>
      </c>
      <c r="V98" s="25">
        <f t="shared" si="15"/>
        <v>8177.4306369022788</v>
      </c>
    </row>
    <row r="99" spans="7:22">
      <c r="G99" s="5">
        <v>96</v>
      </c>
      <c r="H99" s="22">
        <f t="shared" si="8"/>
        <v>1361245.8801406415</v>
      </c>
      <c r="I99" s="22">
        <f t="shared" si="9"/>
        <v>3980.2770641486418</v>
      </c>
      <c r="J99" s="22">
        <f t="shared" si="10"/>
        <v>3420.5418531785031</v>
      </c>
      <c r="K99" s="22">
        <f t="shared" si="11"/>
        <v>7400.8189173271448</v>
      </c>
      <c r="L99" s="22">
        <f t="shared" si="12"/>
        <v>774.67563888515861</v>
      </c>
      <c r="M99" s="22"/>
      <c r="N99" s="22"/>
      <c r="O99" s="22"/>
      <c r="P99" s="22"/>
      <c r="Q99" s="22"/>
      <c r="R99" s="22"/>
      <c r="S99" s="23">
        <f t="shared" si="13"/>
        <v>8175.494556212303</v>
      </c>
      <c r="T99" s="24">
        <f t="shared" si="14"/>
        <v>6590.5103218677032</v>
      </c>
      <c r="V99" s="25">
        <f t="shared" si="15"/>
        <v>8175.494556212303</v>
      </c>
    </row>
    <row r="100" spans="7:22">
      <c r="G100" s="5">
        <v>97</v>
      </c>
      <c r="H100" s="22">
        <f t="shared" si="8"/>
        <v>1357815.3617070578</v>
      </c>
      <c r="I100" s="22">
        <f t="shared" si="9"/>
        <v>3970.3004837435378</v>
      </c>
      <c r="J100" s="22">
        <f t="shared" si="10"/>
        <v>3430.518433583607</v>
      </c>
      <c r="K100" s="22">
        <f t="shared" si="11"/>
        <v>7400.8189173271448</v>
      </c>
      <c r="L100" s="22">
        <f t="shared" si="12"/>
        <v>772.73391129317088</v>
      </c>
      <c r="M100" s="22"/>
      <c r="N100" s="22"/>
      <c r="O100" s="22"/>
      <c r="P100" s="22"/>
      <c r="Q100" s="22"/>
      <c r="R100" s="22"/>
      <c r="S100" s="23">
        <f t="shared" si="13"/>
        <v>8173.5528286203153</v>
      </c>
      <c r="T100" s="24">
        <f t="shared" si="14"/>
        <v>6592.5413636080793</v>
      </c>
      <c r="V100" s="25">
        <f t="shared" si="15"/>
        <v>8173.5528286203153</v>
      </c>
    </row>
    <row r="101" spans="7:22">
      <c r="G101" s="5">
        <v>98</v>
      </c>
      <c r="H101" s="22">
        <f t="shared" si="8"/>
        <v>1354374.8375947096</v>
      </c>
      <c r="I101" s="22">
        <f t="shared" si="9"/>
        <v>3960.2948049789188</v>
      </c>
      <c r="J101" s="22">
        <f t="shared" si="10"/>
        <v>3440.524112348226</v>
      </c>
      <c r="K101" s="22">
        <f t="shared" si="11"/>
        <v>7400.8189173271448</v>
      </c>
      <c r="L101" s="22">
        <f t="shared" si="12"/>
        <v>770.78652032903994</v>
      </c>
      <c r="M101" s="22"/>
      <c r="N101" s="22"/>
      <c r="O101" s="22"/>
      <c r="P101" s="22"/>
      <c r="Q101" s="22"/>
      <c r="R101" s="22"/>
      <c r="S101" s="23">
        <f t="shared" si="13"/>
        <v>8171.6054376561851</v>
      </c>
      <c r="T101" s="24">
        <f t="shared" si="14"/>
        <v>6594.5783292201995</v>
      </c>
      <c r="V101" s="25">
        <f t="shared" si="15"/>
        <v>8171.6054376561851</v>
      </c>
    </row>
    <row r="102" spans="7:22">
      <c r="G102" s="5">
        <v>99</v>
      </c>
      <c r="H102" s="22">
        <f t="shared" si="8"/>
        <v>1350924.2786203669</v>
      </c>
      <c r="I102" s="22">
        <f t="shared" si="9"/>
        <v>3950.25994298457</v>
      </c>
      <c r="J102" s="22">
        <f t="shared" si="10"/>
        <v>3450.5589743425749</v>
      </c>
      <c r="K102" s="22">
        <f t="shared" si="11"/>
        <v>7400.8189173271448</v>
      </c>
      <c r="L102" s="22">
        <f t="shared" si="12"/>
        <v>768.83344947459693</v>
      </c>
      <c r="M102" s="22"/>
      <c r="N102" s="22"/>
      <c r="O102" s="22"/>
      <c r="P102" s="22"/>
      <c r="Q102" s="22"/>
      <c r="R102" s="22"/>
      <c r="S102" s="23">
        <f t="shared" si="13"/>
        <v>8169.6523668017417</v>
      </c>
      <c r="T102" s="24">
        <f t="shared" si="14"/>
        <v>6596.6212359820192</v>
      </c>
      <c r="V102" s="25">
        <f t="shared" si="15"/>
        <v>8169.6523668017417</v>
      </c>
    </row>
    <row r="103" spans="7:22">
      <c r="G103" s="5">
        <v>100</v>
      </c>
      <c r="H103" s="22">
        <f t="shared" si="8"/>
        <v>1347463.6555156824</v>
      </c>
      <c r="I103" s="22">
        <f t="shared" si="9"/>
        <v>3940.1958126427371</v>
      </c>
      <c r="J103" s="22">
        <f t="shared" si="10"/>
        <v>3460.6231046844077</v>
      </c>
      <c r="K103" s="22">
        <f t="shared" si="11"/>
        <v>7400.8189173271448</v>
      </c>
      <c r="L103" s="22">
        <f t="shared" si="12"/>
        <v>766.87468216349509</v>
      </c>
      <c r="M103" s="22"/>
      <c r="N103" s="22"/>
      <c r="O103" s="22"/>
      <c r="P103" s="22"/>
      <c r="Q103" s="22"/>
      <c r="R103" s="22"/>
      <c r="S103" s="23">
        <f t="shared" si="13"/>
        <v>8167.6935994906398</v>
      </c>
      <c r="T103" s="24">
        <f t="shared" si="14"/>
        <v>6598.6701012218964</v>
      </c>
      <c r="V103" s="25">
        <f t="shared" si="15"/>
        <v>8167.6935994906398</v>
      </c>
    </row>
    <row r="104" spans="7:22">
      <c r="G104" s="5">
        <v>101</v>
      </c>
      <c r="H104" s="22">
        <f t="shared" si="8"/>
        <v>1343992.9389269426</v>
      </c>
      <c r="I104" s="22">
        <f t="shared" si="9"/>
        <v>3930.1023285874071</v>
      </c>
      <c r="J104" s="22">
        <f t="shared" si="10"/>
        <v>3470.7165887397377</v>
      </c>
      <c r="K104" s="22">
        <f t="shared" si="11"/>
        <v>7400.8189173271448</v>
      </c>
      <c r="L104" s="22">
        <f t="shared" si="12"/>
        <v>764.91020178106919</v>
      </c>
      <c r="M104" s="22"/>
      <c r="N104" s="22"/>
      <c r="O104" s="22"/>
      <c r="P104" s="22"/>
      <c r="Q104" s="22"/>
      <c r="R104" s="22"/>
      <c r="S104" s="23">
        <f t="shared" si="13"/>
        <v>8165.729119108214</v>
      </c>
      <c r="T104" s="24">
        <f t="shared" si="14"/>
        <v>6600.7249423187222</v>
      </c>
      <c r="V104" s="25">
        <f t="shared" si="15"/>
        <v>8165.729119108214</v>
      </c>
    </row>
    <row r="105" spans="7:22">
      <c r="G105" s="5">
        <v>102</v>
      </c>
      <c r="H105" s="22">
        <f t="shared" si="8"/>
        <v>1340512.0994148192</v>
      </c>
      <c r="I105" s="22">
        <f t="shared" si="9"/>
        <v>3919.9794052035827</v>
      </c>
      <c r="J105" s="22">
        <f t="shared" si="10"/>
        <v>3480.8395121235621</v>
      </c>
      <c r="K105" s="22">
        <f t="shared" si="11"/>
        <v>7400.8189173271448</v>
      </c>
      <c r="L105" s="22">
        <f t="shared" si="12"/>
        <v>762.93999166419451</v>
      </c>
      <c r="M105" s="22"/>
      <c r="N105" s="22"/>
      <c r="O105" s="22"/>
      <c r="P105" s="22"/>
      <c r="Q105" s="22"/>
      <c r="R105" s="22"/>
      <c r="S105" s="23">
        <f t="shared" si="13"/>
        <v>8163.758908991339</v>
      </c>
      <c r="T105" s="24">
        <f t="shared" si="14"/>
        <v>6602.7857767020796</v>
      </c>
      <c r="V105" s="25">
        <f t="shared" si="15"/>
        <v>8163.758908991339</v>
      </c>
    </row>
    <row r="106" spans="7:22">
      <c r="G106" s="5">
        <v>103</v>
      </c>
      <c r="H106" s="22">
        <f t="shared" si="8"/>
        <v>1337021.1074541186</v>
      </c>
      <c r="I106" s="22">
        <f t="shared" si="9"/>
        <v>3909.8269566265562</v>
      </c>
      <c r="J106" s="22">
        <f t="shared" si="10"/>
        <v>3490.9919607005886</v>
      </c>
      <c r="K106" s="22">
        <f t="shared" si="11"/>
        <v>7400.8189173271448</v>
      </c>
      <c r="L106" s="22">
        <f t="shared" si="12"/>
        <v>760.96403510114578</v>
      </c>
      <c r="M106" s="22"/>
      <c r="N106" s="22"/>
      <c r="O106" s="22"/>
      <c r="P106" s="22"/>
      <c r="Q106" s="22"/>
      <c r="R106" s="22"/>
      <c r="S106" s="23">
        <f t="shared" si="13"/>
        <v>8161.7829524282906</v>
      </c>
      <c r="T106" s="24">
        <f t="shared" si="14"/>
        <v>6604.8526218523903</v>
      </c>
      <c r="V106" s="25">
        <f t="shared" si="15"/>
        <v>8161.7829524282906</v>
      </c>
    </row>
    <row r="107" spans="7:22">
      <c r="G107" s="5">
        <v>104</v>
      </c>
      <c r="H107" s="22">
        <f t="shared" si="8"/>
        <v>1333519.9334335325</v>
      </c>
      <c r="I107" s="22">
        <f t="shared" si="9"/>
        <v>3899.6448967411793</v>
      </c>
      <c r="J107" s="22">
        <f t="shared" si="10"/>
        <v>3501.1740205859655</v>
      </c>
      <c r="K107" s="22">
        <f t="shared" si="11"/>
        <v>7400.8189173271448</v>
      </c>
      <c r="L107" s="22">
        <f t="shared" si="12"/>
        <v>758.98231533145474</v>
      </c>
      <c r="M107" s="22"/>
      <c r="N107" s="22"/>
      <c r="O107" s="22"/>
      <c r="P107" s="22"/>
      <c r="Q107" s="22"/>
      <c r="R107" s="22"/>
      <c r="S107" s="23">
        <f t="shared" si="13"/>
        <v>8159.8012326585995</v>
      </c>
      <c r="T107" s="24">
        <f t="shared" si="14"/>
        <v>6606.925495301055</v>
      </c>
      <c r="V107" s="25">
        <f t="shared" si="15"/>
        <v>8159.8012326585995</v>
      </c>
    </row>
    <row r="108" spans="7:22">
      <c r="G108" s="5">
        <v>105</v>
      </c>
      <c r="H108" s="22">
        <f t="shared" si="8"/>
        <v>1330008.5476553864</v>
      </c>
      <c r="I108" s="22">
        <f t="shared" si="9"/>
        <v>3889.4331391811365</v>
      </c>
      <c r="J108" s="22">
        <f t="shared" si="10"/>
        <v>3511.3857781460083</v>
      </c>
      <c r="K108" s="22">
        <f t="shared" si="11"/>
        <v>7400.8189173271448</v>
      </c>
      <c r="L108" s="22">
        <f t="shared" si="12"/>
        <v>756.99481554576869</v>
      </c>
      <c r="M108" s="22"/>
      <c r="N108" s="22"/>
      <c r="O108" s="22"/>
      <c r="P108" s="22"/>
      <c r="Q108" s="22"/>
      <c r="R108" s="22"/>
      <c r="S108" s="23">
        <f t="shared" si="13"/>
        <v>8157.8137328729135</v>
      </c>
      <c r="T108" s="24">
        <f t="shared" si="14"/>
        <v>6609.0044146306118</v>
      </c>
      <c r="V108" s="25">
        <f t="shared" si="15"/>
        <v>8157.8137328729135</v>
      </c>
    </row>
    <row r="109" spans="7:22">
      <c r="G109" s="5">
        <v>106</v>
      </c>
      <c r="H109" s="22">
        <f t="shared" si="8"/>
        <v>1326486.9203353873</v>
      </c>
      <c r="I109" s="22">
        <f t="shared" si="9"/>
        <v>3879.1915973282103</v>
      </c>
      <c r="J109" s="22">
        <f t="shared" si="10"/>
        <v>3521.6273199989346</v>
      </c>
      <c r="K109" s="22">
        <f t="shared" si="11"/>
        <v>7400.8189173271448</v>
      </c>
      <c r="L109" s="22">
        <f t="shared" si="12"/>
        <v>755.00151888570781</v>
      </c>
      <c r="M109" s="22"/>
      <c r="N109" s="22"/>
      <c r="O109" s="22"/>
      <c r="P109" s="22"/>
      <c r="Q109" s="22"/>
      <c r="R109" s="22"/>
      <c r="S109" s="23">
        <f t="shared" si="13"/>
        <v>8155.8204362128527</v>
      </c>
      <c r="T109" s="24">
        <f t="shared" si="14"/>
        <v>6611.0893974748797</v>
      </c>
      <c r="V109" s="25">
        <f t="shared" si="15"/>
        <v>8155.8204362128527</v>
      </c>
    </row>
    <row r="110" spans="7:22">
      <c r="G110" s="5">
        <v>107</v>
      </c>
      <c r="H110" s="22">
        <f t="shared" si="8"/>
        <v>1322955.0216023717</v>
      </c>
      <c r="I110" s="22">
        <f t="shared" si="9"/>
        <v>3868.9201843115466</v>
      </c>
      <c r="J110" s="22">
        <f t="shared" si="10"/>
        <v>3531.8987330155983</v>
      </c>
      <c r="K110" s="22">
        <f t="shared" si="11"/>
        <v>7400.8189173271448</v>
      </c>
      <c r="L110" s="22">
        <f t="shared" si="12"/>
        <v>753.00240844372161</v>
      </c>
      <c r="M110" s="22"/>
      <c r="N110" s="22"/>
      <c r="O110" s="22"/>
      <c r="P110" s="22"/>
      <c r="Q110" s="22"/>
      <c r="R110" s="22"/>
      <c r="S110" s="23">
        <f t="shared" si="13"/>
        <v>8153.8213257708667</v>
      </c>
      <c r="T110" s="24">
        <f t="shared" si="14"/>
        <v>6613.1804615191104</v>
      </c>
      <c r="V110" s="25">
        <f t="shared" si="15"/>
        <v>8153.8213257708667</v>
      </c>
    </row>
    <row r="111" spans="7:22">
      <c r="G111" s="5">
        <v>108</v>
      </c>
      <c r="H111" s="22">
        <f t="shared" si="8"/>
        <v>1319412.8214980515</v>
      </c>
      <c r="I111" s="22">
        <f t="shared" si="9"/>
        <v>3858.6188130069177</v>
      </c>
      <c r="J111" s="22">
        <f t="shared" si="10"/>
        <v>3542.2001043202272</v>
      </c>
      <c r="K111" s="22">
        <f t="shared" si="11"/>
        <v>7400.8189173271448</v>
      </c>
      <c r="L111" s="22">
        <f t="shared" si="12"/>
        <v>750.99746726294643</v>
      </c>
      <c r="M111" s="22"/>
      <c r="N111" s="22"/>
      <c r="O111" s="22"/>
      <c r="P111" s="22"/>
      <c r="Q111" s="22"/>
      <c r="R111" s="22"/>
      <c r="S111" s="23">
        <f t="shared" si="13"/>
        <v>8151.8163845900908</v>
      </c>
      <c r="T111" s="24">
        <f t="shared" si="14"/>
        <v>6615.2776245001369</v>
      </c>
      <c r="V111" s="25">
        <f t="shared" si="15"/>
        <v>8151.8163845900908</v>
      </c>
    </row>
    <row r="112" spans="7:22">
      <c r="G112" s="5">
        <v>109</v>
      </c>
      <c r="H112" s="22">
        <f t="shared" si="8"/>
        <v>1315860.2899767603</v>
      </c>
      <c r="I112" s="22">
        <f t="shared" si="9"/>
        <v>3848.2873960359839</v>
      </c>
      <c r="J112" s="22">
        <f t="shared" si="10"/>
        <v>3552.531521291161</v>
      </c>
      <c r="K112" s="22">
        <f t="shared" si="11"/>
        <v>7400.8189173271448</v>
      </c>
      <c r="L112" s="22">
        <f t="shared" si="12"/>
        <v>748.98667833706065</v>
      </c>
      <c r="M112" s="22"/>
      <c r="N112" s="22"/>
      <c r="O112" s="22"/>
      <c r="P112" s="22"/>
      <c r="Q112" s="22"/>
      <c r="R112" s="22"/>
      <c r="S112" s="23">
        <f t="shared" si="13"/>
        <v>8149.8055956642056</v>
      </c>
      <c r="T112" s="24">
        <f t="shared" si="14"/>
        <v>6617.3809042065241</v>
      </c>
      <c r="V112" s="25">
        <f t="shared" si="15"/>
        <v>8149.8055956642056</v>
      </c>
    </row>
    <row r="113" spans="7:22">
      <c r="G113" s="5">
        <v>110</v>
      </c>
      <c r="H113" s="22">
        <f t="shared" si="8"/>
        <v>1312297.3969051987</v>
      </c>
      <c r="I113" s="22">
        <f t="shared" si="9"/>
        <v>3837.925845765551</v>
      </c>
      <c r="J113" s="22">
        <f t="shared" si="10"/>
        <v>3562.8930715615938</v>
      </c>
      <c r="K113" s="22">
        <f t="shared" si="11"/>
        <v>7400.8189173271448</v>
      </c>
      <c r="L113" s="22">
        <f t="shared" si="12"/>
        <v>746.97002461014097</v>
      </c>
      <c r="M113" s="22"/>
      <c r="N113" s="22"/>
      <c r="O113" s="22"/>
      <c r="P113" s="22"/>
      <c r="Q113" s="22"/>
      <c r="R113" s="22"/>
      <c r="S113" s="23">
        <f t="shared" si="13"/>
        <v>8147.7889419372859</v>
      </c>
      <c r="T113" s="24">
        <f t="shared" si="14"/>
        <v>6619.4903184787217</v>
      </c>
      <c r="V113" s="25">
        <f t="shared" si="15"/>
        <v>8147.7889419372859</v>
      </c>
    </row>
    <row r="114" spans="7:22">
      <c r="G114" s="5">
        <v>111</v>
      </c>
      <c r="H114" s="22">
        <f t="shared" si="8"/>
        <v>1308724.1120621783</v>
      </c>
      <c r="I114" s="22">
        <f t="shared" si="9"/>
        <v>3827.5340743068296</v>
      </c>
      <c r="J114" s="22">
        <f t="shared" si="10"/>
        <v>3573.2848430203153</v>
      </c>
      <c r="K114" s="22">
        <f t="shared" si="11"/>
        <v>7400.8189173271448</v>
      </c>
      <c r="L114" s="22">
        <f t="shared" si="12"/>
        <v>744.94748897651789</v>
      </c>
      <c r="M114" s="22"/>
      <c r="N114" s="22"/>
      <c r="O114" s="22"/>
      <c r="P114" s="22"/>
      <c r="Q114" s="22"/>
      <c r="R114" s="22"/>
      <c r="S114" s="23">
        <f t="shared" si="13"/>
        <v>8145.7664063036627</v>
      </c>
      <c r="T114" s="24">
        <f t="shared" si="14"/>
        <v>6621.6058852092137</v>
      </c>
      <c r="V114" s="25">
        <f t="shared" si="15"/>
        <v>8145.7664063036627</v>
      </c>
    </row>
    <row r="115" spans="7:22">
      <c r="G115" s="5">
        <v>112</v>
      </c>
      <c r="H115" s="22">
        <f t="shared" si="8"/>
        <v>1305140.4051383659</v>
      </c>
      <c r="I115" s="22">
        <f t="shared" si="9"/>
        <v>3817.1119935146871</v>
      </c>
      <c r="J115" s="22">
        <f t="shared" si="10"/>
        <v>3583.7069238124577</v>
      </c>
      <c r="K115" s="22">
        <f t="shared" si="11"/>
        <v>7400.8189173271448</v>
      </c>
      <c r="L115" s="22">
        <f t="shared" si="12"/>
        <v>742.91905428063001</v>
      </c>
      <c r="M115" s="22"/>
      <c r="N115" s="22"/>
      <c r="O115" s="22"/>
      <c r="P115" s="22"/>
      <c r="Q115" s="22"/>
      <c r="R115" s="22"/>
      <c r="S115" s="23">
        <f t="shared" si="13"/>
        <v>8143.7379716077749</v>
      </c>
      <c r="T115" s="24">
        <f t="shared" si="14"/>
        <v>6623.7276223426688</v>
      </c>
      <c r="V115" s="25">
        <f t="shared" si="15"/>
        <v>8143.7379716077749</v>
      </c>
    </row>
    <row r="116" spans="7:22">
      <c r="G116" s="5">
        <v>113</v>
      </c>
      <c r="H116" s="22">
        <f t="shared" si="8"/>
        <v>1301546.2457360257</v>
      </c>
      <c r="I116" s="22">
        <f t="shared" si="9"/>
        <v>3806.6595149869008</v>
      </c>
      <c r="J116" s="22">
        <f t="shared" si="10"/>
        <v>3594.159402340244</v>
      </c>
      <c r="K116" s="22">
        <f t="shared" si="11"/>
        <v>7400.8189173271448</v>
      </c>
      <c r="L116" s="22">
        <f t="shared" si="12"/>
        <v>740.88470331687915</v>
      </c>
      <c r="M116" s="22"/>
      <c r="N116" s="22"/>
      <c r="O116" s="22"/>
      <c r="P116" s="22"/>
      <c r="Q116" s="22"/>
      <c r="R116" s="22"/>
      <c r="S116" s="23">
        <f t="shared" si="13"/>
        <v>8141.7036206440243</v>
      </c>
      <c r="T116" s="24">
        <f t="shared" si="14"/>
        <v>6625.8555478760973</v>
      </c>
      <c r="V116" s="25">
        <f t="shared" si="15"/>
        <v>8141.7036206440243</v>
      </c>
    </row>
    <row r="117" spans="7:22">
      <c r="G117" s="5">
        <v>114</v>
      </c>
      <c r="H117" s="22">
        <f t="shared" si="8"/>
        <v>1297941.6033687619</v>
      </c>
      <c r="I117" s="22">
        <f t="shared" si="9"/>
        <v>3796.1765500634087</v>
      </c>
      <c r="J117" s="22">
        <f t="shared" si="10"/>
        <v>3604.6423672637361</v>
      </c>
      <c r="K117" s="22">
        <f t="shared" si="11"/>
        <v>7400.8189173271448</v>
      </c>
      <c r="L117" s="22">
        <f t="shared" si="12"/>
        <v>738.84441882948408</v>
      </c>
      <c r="M117" s="22"/>
      <c r="N117" s="22"/>
      <c r="O117" s="22"/>
      <c r="P117" s="22"/>
      <c r="Q117" s="22"/>
      <c r="R117" s="22"/>
      <c r="S117" s="23">
        <f t="shared" si="13"/>
        <v>8139.6633361566292</v>
      </c>
      <c r="T117" s="24">
        <f t="shared" si="14"/>
        <v>6627.989679858998</v>
      </c>
      <c r="V117" s="25">
        <f t="shared" si="15"/>
        <v>8139.6633361566292</v>
      </c>
    </row>
    <row r="118" spans="7:22">
      <c r="G118" s="5">
        <v>115</v>
      </c>
      <c r="H118" s="22">
        <f t="shared" si="8"/>
        <v>1294326.4474612602</v>
      </c>
      <c r="I118" s="22">
        <f t="shared" si="9"/>
        <v>3785.6630098255559</v>
      </c>
      <c r="J118" s="22">
        <f t="shared" si="10"/>
        <v>3615.1559075015889</v>
      </c>
      <c r="K118" s="22">
        <f t="shared" si="11"/>
        <v>7400.8189173271448</v>
      </c>
      <c r="L118" s="22">
        <f t="shared" si="12"/>
        <v>736.79818351233394</v>
      </c>
      <c r="M118" s="22"/>
      <c r="N118" s="22"/>
      <c r="O118" s="22"/>
      <c r="P118" s="22"/>
      <c r="Q118" s="22"/>
      <c r="R118" s="22"/>
      <c r="S118" s="23">
        <f t="shared" si="13"/>
        <v>8137.6171008394786</v>
      </c>
      <c r="T118" s="24">
        <f t="shared" si="14"/>
        <v>6630.1300363935152</v>
      </c>
      <c r="V118" s="25">
        <f t="shared" si="15"/>
        <v>8137.6171008394786</v>
      </c>
    </row>
    <row r="119" spans="7:22">
      <c r="G119" s="5">
        <v>116</v>
      </c>
      <c r="H119" s="22">
        <f t="shared" si="8"/>
        <v>1290700.7473490285</v>
      </c>
      <c r="I119" s="22">
        <f t="shared" si="9"/>
        <v>3775.1188050953424</v>
      </c>
      <c r="J119" s="22">
        <f t="shared" si="10"/>
        <v>3625.7001122318024</v>
      </c>
      <c r="K119" s="22">
        <f t="shared" si="11"/>
        <v>7400.8189173271448</v>
      </c>
      <c r="L119" s="22">
        <f t="shared" si="12"/>
        <v>734.74598000884214</v>
      </c>
      <c r="M119" s="22"/>
      <c r="N119" s="22"/>
      <c r="O119" s="22"/>
      <c r="P119" s="22"/>
      <c r="Q119" s="22"/>
      <c r="R119" s="22"/>
      <c r="S119" s="23">
        <f t="shared" si="13"/>
        <v>8135.5648973359866</v>
      </c>
      <c r="T119" s="24">
        <f t="shared" si="14"/>
        <v>6632.2766356345919</v>
      </c>
      <c r="V119" s="25">
        <f t="shared" si="15"/>
        <v>8135.5648973359866</v>
      </c>
    </row>
    <row r="120" spans="7:22">
      <c r="G120" s="5">
        <v>117</v>
      </c>
      <c r="H120" s="22">
        <f t="shared" si="8"/>
        <v>1287064.4722781361</v>
      </c>
      <c r="I120" s="22">
        <f t="shared" si="9"/>
        <v>3764.5438464346666</v>
      </c>
      <c r="J120" s="22">
        <f t="shared" si="10"/>
        <v>3636.2750708924782</v>
      </c>
      <c r="K120" s="22">
        <f t="shared" si="11"/>
        <v>7400.8189173271448</v>
      </c>
      <c r="L120" s="22">
        <f t="shared" si="12"/>
        <v>732.68779091179863</v>
      </c>
      <c r="M120" s="22"/>
      <c r="N120" s="22"/>
      <c r="O120" s="22"/>
      <c r="P120" s="22"/>
      <c r="Q120" s="22"/>
      <c r="R120" s="22"/>
      <c r="S120" s="23">
        <f t="shared" si="13"/>
        <v>8133.5067082389432</v>
      </c>
      <c r="T120" s="24">
        <f t="shared" si="14"/>
        <v>6634.429495790122</v>
      </c>
      <c r="V120" s="25">
        <f t="shared" si="15"/>
        <v>8133.5067082389432</v>
      </c>
    </row>
    <row r="121" spans="7:22">
      <c r="G121" s="5">
        <v>118</v>
      </c>
      <c r="H121" s="22">
        <f t="shared" si="8"/>
        <v>1283417.5914049535</v>
      </c>
      <c r="I121" s="22">
        <f t="shared" si="9"/>
        <v>3753.9380441445637</v>
      </c>
      <c r="J121" s="22">
        <f t="shared" si="10"/>
        <v>3646.8808731825811</v>
      </c>
      <c r="K121" s="22">
        <f t="shared" si="11"/>
        <v>7400.8189173271448</v>
      </c>
      <c r="L121" s="22">
        <f t="shared" si="12"/>
        <v>730.62359876322193</v>
      </c>
      <c r="M121" s="22"/>
      <c r="N121" s="22"/>
      <c r="O121" s="22"/>
      <c r="P121" s="22"/>
      <c r="Q121" s="22"/>
      <c r="R121" s="22"/>
      <c r="S121" s="23">
        <f t="shared" si="13"/>
        <v>8131.4425160903666</v>
      </c>
      <c r="T121" s="24">
        <f t="shared" si="14"/>
        <v>6636.5886351211047</v>
      </c>
      <c r="V121" s="25">
        <f t="shared" si="15"/>
        <v>8131.4425160903666</v>
      </c>
    </row>
    <row r="122" spans="7:22">
      <c r="G122" s="5">
        <v>119</v>
      </c>
      <c r="H122" s="22">
        <f t="shared" si="8"/>
        <v>1279760.0737958909</v>
      </c>
      <c r="I122" s="22">
        <f t="shared" si="9"/>
        <v>3743.3013082644479</v>
      </c>
      <c r="J122" s="22">
        <f t="shared" si="10"/>
        <v>3657.5176090626969</v>
      </c>
      <c r="K122" s="22">
        <f t="shared" si="11"/>
        <v>7400.8189173271448</v>
      </c>
      <c r="L122" s="22">
        <f t="shared" si="12"/>
        <v>728.55338605421207</v>
      </c>
      <c r="M122" s="22"/>
      <c r="N122" s="22"/>
      <c r="O122" s="22"/>
      <c r="P122" s="22"/>
      <c r="Q122" s="22"/>
      <c r="R122" s="22"/>
      <c r="S122" s="23">
        <f t="shared" si="13"/>
        <v>8129.3723033813567</v>
      </c>
      <c r="T122" s="24">
        <f t="shared" si="14"/>
        <v>6638.754071941803</v>
      </c>
      <c r="V122" s="25">
        <f t="shared" si="15"/>
        <v>8129.3723033813567</v>
      </c>
    </row>
    <row r="123" spans="7:22">
      <c r="G123" s="5">
        <v>120</v>
      </c>
      <c r="H123" s="22">
        <f t="shared" si="8"/>
        <v>1276091.8884271351</v>
      </c>
      <c r="I123" s="22">
        <f t="shared" si="9"/>
        <v>3732.6335485713485</v>
      </c>
      <c r="J123" s="22">
        <f t="shared" si="10"/>
        <v>3668.1853687557964</v>
      </c>
      <c r="K123" s="22">
        <f t="shared" si="11"/>
        <v>7400.8189173271448</v>
      </c>
      <c r="L123" s="22">
        <f t="shared" si="12"/>
        <v>726.4771352248008</v>
      </c>
      <c r="M123" s="22"/>
      <c r="N123" s="22"/>
      <c r="O123" s="22"/>
      <c r="P123" s="22"/>
      <c r="Q123" s="22"/>
      <c r="R123" s="22"/>
      <c r="S123" s="23">
        <f t="shared" si="13"/>
        <v>8127.2960525519456</v>
      </c>
      <c r="T123" s="24">
        <f t="shared" si="14"/>
        <v>6640.925824619896</v>
      </c>
      <c r="V123" s="25">
        <f t="shared" si="15"/>
        <v>8127.2960525519456</v>
      </c>
    </row>
    <row r="124" spans="7:22">
      <c r="G124" s="5">
        <v>121</v>
      </c>
      <c r="H124" s="22">
        <f t="shared" si="8"/>
        <v>1272413.0041843872</v>
      </c>
      <c r="I124" s="22">
        <f t="shared" si="9"/>
        <v>3721.934674579144</v>
      </c>
      <c r="J124" s="22">
        <f t="shared" si="10"/>
        <v>3678.8842427480008</v>
      </c>
      <c r="K124" s="22">
        <f t="shared" si="11"/>
        <v>7400.8189173271448</v>
      </c>
      <c r="L124" s="22">
        <f t="shared" si="12"/>
        <v>724.39482866380376</v>
      </c>
      <c r="M124" s="22"/>
      <c r="N124" s="22"/>
      <c r="O124" s="22"/>
      <c r="P124" s="22"/>
      <c r="Q124" s="22"/>
      <c r="R124" s="22"/>
      <c r="S124" s="23">
        <f t="shared" si="13"/>
        <v>8125.2137459909482</v>
      </c>
      <c r="T124" s="24">
        <f t="shared" si="14"/>
        <v>6643.1039115766325</v>
      </c>
    </row>
    <row r="125" spans="7:22">
      <c r="G125" s="5">
        <v>122</v>
      </c>
      <c r="H125" s="22">
        <f t="shared" si="8"/>
        <v>1268723.3898625979</v>
      </c>
      <c r="I125" s="22">
        <f t="shared" si="9"/>
        <v>3711.2045955377962</v>
      </c>
      <c r="J125" s="22">
        <f t="shared" si="10"/>
        <v>3689.6143217893487</v>
      </c>
      <c r="K125" s="22">
        <f t="shared" si="11"/>
        <v>7400.8189173271448</v>
      </c>
      <c r="L125" s="22">
        <f t="shared" si="12"/>
        <v>722.30644870867047</v>
      </c>
      <c r="M125" s="22"/>
      <c r="N125" s="22"/>
      <c r="O125" s="22"/>
      <c r="P125" s="22"/>
      <c r="Q125" s="22"/>
      <c r="R125" s="22"/>
      <c r="S125" s="23">
        <f t="shared" si="13"/>
        <v>8123.1253660358152</v>
      </c>
      <c r="T125" s="24">
        <f t="shared" si="14"/>
        <v>6645.288351286993</v>
      </c>
    </row>
    <row r="126" spans="7:22">
      <c r="G126" s="5">
        <v>123</v>
      </c>
      <c r="H126" s="22">
        <f t="shared" si="8"/>
        <v>1265023.0141657034</v>
      </c>
      <c r="I126" s="22">
        <f t="shared" si="9"/>
        <v>3700.4432204325776</v>
      </c>
      <c r="J126" s="22">
        <f t="shared" si="10"/>
        <v>3700.3756968945672</v>
      </c>
      <c r="K126" s="22">
        <f t="shared" si="11"/>
        <v>7400.8189173271448</v>
      </c>
      <c r="L126" s="22">
        <f t="shared" si="12"/>
        <v>720.21197764533485</v>
      </c>
      <c r="M126" s="22"/>
      <c r="N126" s="22"/>
      <c r="O126" s="22"/>
      <c r="P126" s="22"/>
      <c r="Q126" s="22"/>
      <c r="R126" s="22"/>
      <c r="S126" s="23">
        <f t="shared" si="13"/>
        <v>8121.0308949724795</v>
      </c>
      <c r="T126" s="24">
        <f t="shared" si="14"/>
        <v>6647.4791622798421</v>
      </c>
    </row>
    <row r="127" spans="7:22">
      <c r="G127" s="5">
        <v>124</v>
      </c>
      <c r="H127" s="22">
        <f t="shared" si="8"/>
        <v>1261311.8457063595</v>
      </c>
      <c r="I127" s="22">
        <f t="shared" si="9"/>
        <v>3689.6504579833017</v>
      </c>
      <c r="J127" s="22">
        <f t="shared" si="10"/>
        <v>3711.1684593438431</v>
      </c>
      <c r="K127" s="22">
        <f t="shared" si="11"/>
        <v>7400.8189173271448</v>
      </c>
      <c r="L127" s="22">
        <f t="shared" si="12"/>
        <v>718.11139770806437</v>
      </c>
      <c r="M127" s="22"/>
      <c r="N127" s="22"/>
      <c r="O127" s="22"/>
      <c r="P127" s="22"/>
      <c r="Q127" s="22"/>
      <c r="R127" s="22"/>
      <c r="S127" s="23">
        <f t="shared" si="13"/>
        <v>8118.9303150352089</v>
      </c>
      <c r="T127" s="24">
        <f t="shared" si="14"/>
        <v>6649.6763631380873</v>
      </c>
    </row>
    <row r="128" spans="7:22">
      <c r="G128" s="5">
        <v>125</v>
      </c>
      <c r="H128" s="22">
        <f t="shared" si="8"/>
        <v>1257589.8530056758</v>
      </c>
      <c r="I128" s="22">
        <f t="shared" si="9"/>
        <v>3678.8262166435488</v>
      </c>
      <c r="J128" s="22">
        <f t="shared" si="10"/>
        <v>3721.992700683596</v>
      </c>
      <c r="K128" s="22">
        <f t="shared" si="11"/>
        <v>7400.8189173271448</v>
      </c>
      <c r="L128" s="22">
        <f t="shared" si="12"/>
        <v>716.00469107931019</v>
      </c>
      <c r="M128" s="22"/>
      <c r="N128" s="22"/>
      <c r="O128" s="22"/>
      <c r="P128" s="22"/>
      <c r="Q128" s="22"/>
      <c r="R128" s="22"/>
      <c r="S128" s="23">
        <f t="shared" si="13"/>
        <v>8116.8236084064547</v>
      </c>
      <c r="T128" s="24">
        <f t="shared" si="14"/>
        <v>6651.8799724988348</v>
      </c>
    </row>
    <row r="129" spans="7:20">
      <c r="G129" s="5">
        <v>126</v>
      </c>
      <c r="H129" s="22">
        <f t="shared" si="8"/>
        <v>1253857.0044929485</v>
      </c>
      <c r="I129" s="22">
        <f t="shared" si="9"/>
        <v>3667.9704045998878</v>
      </c>
      <c r="J129" s="22">
        <f t="shared" si="10"/>
        <v>3732.848512727257</v>
      </c>
      <c r="K129" s="22">
        <f t="shared" si="11"/>
        <v>7400.8189173271448</v>
      </c>
      <c r="L129" s="22">
        <f t="shared" si="12"/>
        <v>713.8918398895554</v>
      </c>
      <c r="M129" s="22"/>
      <c r="N129" s="22"/>
      <c r="O129" s="22"/>
      <c r="P129" s="22"/>
      <c r="Q129" s="22"/>
      <c r="R129" s="22"/>
      <c r="S129" s="23">
        <f t="shared" si="13"/>
        <v>8114.7107572167006</v>
      </c>
      <c r="T129" s="24">
        <f t="shared" si="14"/>
        <v>6654.0900090535524</v>
      </c>
    </row>
    <row r="130" spans="7:20">
      <c r="G130" s="5">
        <v>127</v>
      </c>
      <c r="H130" s="22">
        <f t="shared" si="8"/>
        <v>1250113.2685053926</v>
      </c>
      <c r="I130" s="22">
        <f t="shared" si="9"/>
        <v>3657.0829297711002</v>
      </c>
      <c r="J130" s="22">
        <f t="shared" si="10"/>
        <v>3743.7359875560446</v>
      </c>
      <c r="K130" s="22">
        <f t="shared" si="11"/>
        <v>7400.8189173271448</v>
      </c>
      <c r="L130" s="22">
        <f t="shared" si="12"/>
        <v>711.77282621716381</v>
      </c>
      <c r="M130" s="22"/>
      <c r="N130" s="22"/>
      <c r="O130" s="22"/>
      <c r="P130" s="22"/>
      <c r="Q130" s="22"/>
      <c r="R130" s="22"/>
      <c r="S130" s="23">
        <f t="shared" si="13"/>
        <v>8112.5917435443089</v>
      </c>
      <c r="T130" s="24">
        <f t="shared" si="14"/>
        <v>6656.3064915482209</v>
      </c>
    </row>
    <row r="131" spans="7:20">
      <c r="G131" s="5">
        <v>128</v>
      </c>
      <c r="H131" s="22">
        <f t="shared" si="8"/>
        <v>1246358.6132878729</v>
      </c>
      <c r="I131" s="22">
        <f t="shared" si="9"/>
        <v>3646.1636998073955</v>
      </c>
      <c r="J131" s="22">
        <f t="shared" si="10"/>
        <v>3754.6552175197494</v>
      </c>
      <c r="K131" s="22">
        <f t="shared" si="11"/>
        <v>7400.8189173271448</v>
      </c>
      <c r="L131" s="22">
        <f t="shared" si="12"/>
        <v>709.64763208822797</v>
      </c>
      <c r="M131" s="22"/>
      <c r="N131" s="22"/>
      <c r="O131" s="22"/>
      <c r="P131" s="22"/>
      <c r="Q131" s="22"/>
      <c r="R131" s="22"/>
      <c r="S131" s="23">
        <f t="shared" si="13"/>
        <v>8110.4665494153724</v>
      </c>
      <c r="T131" s="24">
        <f t="shared" si="14"/>
        <v>6658.5294387834983</v>
      </c>
    </row>
    <row r="132" spans="7:20">
      <c r="G132" s="5">
        <v>129</v>
      </c>
      <c r="H132" s="22">
        <f t="shared" ref="H132:H195" si="16">H131-J132</f>
        <v>1242593.0069926353</v>
      </c>
      <c r="I132" s="22">
        <f t="shared" ref="I132:I195" si="17">$E$9/$E$13*H131</f>
        <v>3635.2126220896293</v>
      </c>
      <c r="J132" s="22">
        <f t="shared" ref="J132:J195" si="18">K132-I132</f>
        <v>3765.6062952375155</v>
      </c>
      <c r="K132" s="22">
        <f t="shared" ref="K132:K195" si="19">IF(G132&gt;$E$14,0,$E$16)</f>
        <v>7400.8189173271448</v>
      </c>
      <c r="L132" s="22">
        <f t="shared" ref="L132:L195" si="20">$E$10/$E$13*H131</f>
        <v>707.51623947641588</v>
      </c>
      <c r="M132" s="22"/>
      <c r="N132" s="22"/>
      <c r="O132" s="22"/>
      <c r="P132" s="22"/>
      <c r="Q132" s="22"/>
      <c r="R132" s="22"/>
      <c r="S132" s="23">
        <f t="shared" ref="S132:S195" si="21">K132+L132</f>
        <v>8108.3351568035605</v>
      </c>
      <c r="T132" s="24">
        <f t="shared" ref="T132:T195" si="22">S132-1/3*(I132+L132)</f>
        <v>6660.7588696148787</v>
      </c>
    </row>
    <row r="133" spans="7:20">
      <c r="G133" s="5">
        <v>130</v>
      </c>
      <c r="H133" s="22">
        <f t="shared" si="16"/>
        <v>1238816.4176790367</v>
      </c>
      <c r="I133" s="22">
        <f t="shared" si="17"/>
        <v>3624.22960372852</v>
      </c>
      <c r="J133" s="22">
        <f t="shared" si="18"/>
        <v>3776.5893135986248</v>
      </c>
      <c r="K133" s="22">
        <f t="shared" si="19"/>
        <v>7400.8189173271448</v>
      </c>
      <c r="L133" s="22">
        <f t="shared" si="20"/>
        <v>705.37863030281937</v>
      </c>
      <c r="M133" s="22"/>
      <c r="N133" s="22"/>
      <c r="O133" s="22"/>
      <c r="P133" s="22"/>
      <c r="Q133" s="22"/>
      <c r="R133" s="22"/>
      <c r="S133" s="23">
        <f t="shared" si="21"/>
        <v>8106.197547629964</v>
      </c>
      <c r="T133" s="24">
        <f t="shared" si="22"/>
        <v>6662.9948029528514</v>
      </c>
    </row>
    <row r="134" spans="7:20">
      <c r="G134" s="5">
        <v>131</v>
      </c>
      <c r="H134" s="22">
        <f t="shared" si="16"/>
        <v>1235028.8133132735</v>
      </c>
      <c r="I134" s="22">
        <f t="shared" si="17"/>
        <v>3613.2145515638572</v>
      </c>
      <c r="J134" s="22">
        <f t="shared" si="18"/>
        <v>3787.6043657632877</v>
      </c>
      <c r="K134" s="22">
        <f t="shared" si="19"/>
        <v>7400.8189173271448</v>
      </c>
      <c r="L134" s="22">
        <f t="shared" si="20"/>
        <v>703.23478643579995</v>
      </c>
      <c r="M134" s="22"/>
      <c r="N134" s="22"/>
      <c r="O134" s="22"/>
      <c r="P134" s="22"/>
      <c r="Q134" s="22"/>
      <c r="R134" s="22"/>
      <c r="S134" s="23">
        <f t="shared" si="21"/>
        <v>8104.0537037629447</v>
      </c>
      <c r="T134" s="24">
        <f t="shared" si="22"/>
        <v>6665.2372577630595</v>
      </c>
    </row>
    <row r="135" spans="7:20">
      <c r="G135" s="5">
        <v>132</v>
      </c>
      <c r="H135" s="22">
        <f t="shared" si="16"/>
        <v>1231230.16176811</v>
      </c>
      <c r="I135" s="22">
        <f t="shared" si="17"/>
        <v>3602.1673721637144</v>
      </c>
      <c r="J135" s="22">
        <f t="shared" si="18"/>
        <v>3798.6515451634305</v>
      </c>
      <c r="K135" s="22">
        <f t="shared" si="19"/>
        <v>7400.8189173271448</v>
      </c>
      <c r="L135" s="22">
        <f t="shared" si="20"/>
        <v>701.08468969083503</v>
      </c>
      <c r="M135" s="22"/>
      <c r="N135" s="22"/>
      <c r="O135" s="22"/>
      <c r="P135" s="22"/>
      <c r="Q135" s="22"/>
      <c r="R135" s="22"/>
      <c r="S135" s="23">
        <f t="shared" si="21"/>
        <v>8101.90360701798</v>
      </c>
      <c r="T135" s="24">
        <f t="shared" si="22"/>
        <v>6667.4862530664632</v>
      </c>
    </row>
    <row r="136" spans="7:20">
      <c r="G136" s="5">
        <v>133</v>
      </c>
      <c r="H136" s="22">
        <f t="shared" si="16"/>
        <v>1227420.4308226064</v>
      </c>
      <c r="I136" s="22">
        <f t="shared" si="17"/>
        <v>3591.0879718236542</v>
      </c>
      <c r="J136" s="22">
        <f t="shared" si="18"/>
        <v>3809.7309455034906</v>
      </c>
      <c r="K136" s="22">
        <f t="shared" si="19"/>
        <v>7400.8189173271448</v>
      </c>
      <c r="L136" s="22">
        <f t="shared" si="20"/>
        <v>698.92832183036387</v>
      </c>
      <c r="M136" s="22"/>
      <c r="N136" s="22"/>
      <c r="O136" s="22"/>
      <c r="P136" s="22"/>
      <c r="Q136" s="22"/>
      <c r="R136" s="22"/>
      <c r="S136" s="23">
        <f t="shared" si="21"/>
        <v>8099.7472391575084</v>
      </c>
      <c r="T136" s="24">
        <f t="shared" si="22"/>
        <v>6669.7418079395029</v>
      </c>
    </row>
    <row r="137" spans="7:20">
      <c r="G137" s="5">
        <v>134</v>
      </c>
      <c r="H137" s="22">
        <f t="shared" si="16"/>
        <v>1223599.5881618452</v>
      </c>
      <c r="I137" s="22">
        <f t="shared" si="17"/>
        <v>3579.9762565659357</v>
      </c>
      <c r="J137" s="22">
        <f t="shared" si="18"/>
        <v>3820.8426607612091</v>
      </c>
      <c r="K137" s="22">
        <f t="shared" si="19"/>
        <v>7400.8189173271448</v>
      </c>
      <c r="L137" s="22">
        <f t="shared" si="20"/>
        <v>696.76566456363298</v>
      </c>
      <c r="M137" s="22"/>
      <c r="N137" s="22"/>
      <c r="O137" s="22"/>
      <c r="P137" s="22"/>
      <c r="Q137" s="22"/>
      <c r="R137" s="22"/>
      <c r="S137" s="23">
        <f t="shared" si="21"/>
        <v>8097.5845818907783</v>
      </c>
      <c r="T137" s="24">
        <f t="shared" si="22"/>
        <v>6672.0039415142555</v>
      </c>
    </row>
    <row r="138" spans="7:20">
      <c r="G138" s="5">
        <v>135</v>
      </c>
      <c r="H138" s="22">
        <f t="shared" si="16"/>
        <v>1219767.6013766569</v>
      </c>
      <c r="I138" s="22">
        <f t="shared" si="17"/>
        <v>3568.8321321387152</v>
      </c>
      <c r="J138" s="22">
        <f t="shared" si="18"/>
        <v>3831.9867851884296</v>
      </c>
      <c r="K138" s="22">
        <f t="shared" si="19"/>
        <v>7400.8189173271448</v>
      </c>
      <c r="L138" s="22">
        <f t="shared" si="20"/>
        <v>694.59669954654089</v>
      </c>
      <c r="M138" s="22"/>
      <c r="N138" s="22"/>
      <c r="O138" s="22"/>
      <c r="P138" s="22"/>
      <c r="Q138" s="22"/>
      <c r="R138" s="22"/>
      <c r="S138" s="23">
        <f t="shared" si="21"/>
        <v>8095.4156168736854</v>
      </c>
      <c r="T138" s="24">
        <f t="shared" si="22"/>
        <v>6674.2726729786</v>
      </c>
    </row>
    <row r="139" spans="7:20">
      <c r="G139" s="5">
        <v>136</v>
      </c>
      <c r="H139" s="22">
        <f t="shared" si="16"/>
        <v>1215924.4379633451</v>
      </c>
      <c r="I139" s="22">
        <f t="shared" si="17"/>
        <v>3557.6555040152493</v>
      </c>
      <c r="J139" s="22">
        <f t="shared" si="18"/>
        <v>3843.1634133118955</v>
      </c>
      <c r="K139" s="22">
        <f t="shared" si="19"/>
        <v>7400.8189173271448</v>
      </c>
      <c r="L139" s="22">
        <f t="shared" si="20"/>
        <v>692.42140838148237</v>
      </c>
      <c r="M139" s="22"/>
      <c r="N139" s="22"/>
      <c r="O139" s="22"/>
      <c r="P139" s="22"/>
      <c r="Q139" s="22"/>
      <c r="R139" s="22"/>
      <c r="S139" s="23">
        <f t="shared" si="21"/>
        <v>8093.2403257086271</v>
      </c>
      <c r="T139" s="24">
        <f t="shared" si="22"/>
        <v>6676.5480215763837</v>
      </c>
    </row>
    <row r="140" spans="7:20">
      <c r="G140" s="5">
        <v>137</v>
      </c>
      <c r="H140" s="22">
        <f t="shared" si="16"/>
        <v>1212070.065323411</v>
      </c>
      <c r="I140" s="22">
        <f t="shared" si="17"/>
        <v>3546.44627739309</v>
      </c>
      <c r="J140" s="22">
        <f t="shared" si="18"/>
        <v>3854.3726399340549</v>
      </c>
      <c r="K140" s="22">
        <f t="shared" si="19"/>
        <v>7400.8189173271448</v>
      </c>
      <c r="L140" s="22">
        <f t="shared" si="20"/>
        <v>690.23977261719233</v>
      </c>
      <c r="M140" s="22"/>
      <c r="N140" s="22"/>
      <c r="O140" s="22"/>
      <c r="P140" s="22"/>
      <c r="Q140" s="22"/>
      <c r="R140" s="22"/>
      <c r="S140" s="23">
        <f t="shared" si="21"/>
        <v>8091.0586899443369</v>
      </c>
      <c r="T140" s="24">
        <f t="shared" si="22"/>
        <v>6678.8300066075763</v>
      </c>
    </row>
    <row r="141" spans="7:20">
      <c r="G141" s="5">
        <v>138</v>
      </c>
      <c r="H141" s="22">
        <f t="shared" si="16"/>
        <v>1208204.4507632772</v>
      </c>
      <c r="I141" s="22">
        <f t="shared" si="17"/>
        <v>3535.2043571932822</v>
      </c>
      <c r="J141" s="22">
        <f t="shared" si="18"/>
        <v>3865.6145601338626</v>
      </c>
      <c r="K141" s="22">
        <f t="shared" si="19"/>
        <v>7400.8189173271448</v>
      </c>
      <c r="L141" s="22">
        <f t="shared" si="20"/>
        <v>688.05177374858977</v>
      </c>
      <c r="M141" s="22"/>
      <c r="N141" s="22"/>
      <c r="O141" s="22"/>
      <c r="P141" s="22"/>
      <c r="Q141" s="22"/>
      <c r="R141" s="22"/>
      <c r="S141" s="23">
        <f t="shared" si="21"/>
        <v>8088.8706910757346</v>
      </c>
      <c r="T141" s="24">
        <f t="shared" si="22"/>
        <v>6681.1186474284441</v>
      </c>
    </row>
    <row r="142" spans="7:20">
      <c r="G142" s="5">
        <v>139</v>
      </c>
      <c r="H142" s="22">
        <f t="shared" si="16"/>
        <v>1204327.5614940096</v>
      </c>
      <c r="I142" s="22">
        <f t="shared" si="17"/>
        <v>3523.929648059559</v>
      </c>
      <c r="J142" s="22">
        <f t="shared" si="18"/>
        <v>3876.8892692675859</v>
      </c>
      <c r="K142" s="22">
        <f t="shared" si="19"/>
        <v>7400.8189173271448</v>
      </c>
      <c r="L142" s="22">
        <f t="shared" si="20"/>
        <v>685.85739321662049</v>
      </c>
      <c r="M142" s="22"/>
      <c r="N142" s="22"/>
      <c r="O142" s="22"/>
      <c r="P142" s="22"/>
      <c r="Q142" s="22"/>
      <c r="R142" s="22"/>
      <c r="S142" s="23">
        <f t="shared" si="21"/>
        <v>8086.6763105437658</v>
      </c>
      <c r="T142" s="24">
        <f t="shared" si="22"/>
        <v>6683.413963451706</v>
      </c>
    </row>
    <row r="143" spans="7:20">
      <c r="G143" s="5">
        <v>140</v>
      </c>
      <c r="H143" s="22">
        <f t="shared" si="16"/>
        <v>1200439.36463104</v>
      </c>
      <c r="I143" s="22">
        <f t="shared" si="17"/>
        <v>3512.6220543575282</v>
      </c>
      <c r="J143" s="22">
        <f t="shared" si="18"/>
        <v>3888.1968629696166</v>
      </c>
      <c r="K143" s="22">
        <f t="shared" si="19"/>
        <v>7400.8189173271448</v>
      </c>
      <c r="L143" s="22">
        <f t="shared" si="20"/>
        <v>683.65661240809948</v>
      </c>
      <c r="M143" s="22"/>
      <c r="N143" s="22"/>
      <c r="O143" s="22"/>
      <c r="P143" s="22"/>
      <c r="Q143" s="22"/>
      <c r="R143" s="22"/>
      <c r="S143" s="23">
        <f t="shared" si="21"/>
        <v>8084.475529735244</v>
      </c>
      <c r="T143" s="24">
        <f t="shared" si="22"/>
        <v>6685.7159741467021</v>
      </c>
    </row>
    <row r="144" spans="7:20">
      <c r="G144" s="5">
        <v>141</v>
      </c>
      <c r="H144" s="22">
        <f t="shared" si="16"/>
        <v>1196539.8271938867</v>
      </c>
      <c r="I144" s="22">
        <f t="shared" si="17"/>
        <v>3501.2814801738668</v>
      </c>
      <c r="J144" s="22">
        <f t="shared" si="18"/>
        <v>3899.537437153278</v>
      </c>
      <c r="K144" s="22">
        <f t="shared" si="19"/>
        <v>7400.8189173271448</v>
      </c>
      <c r="L144" s="22">
        <f t="shared" si="20"/>
        <v>681.44941265555383</v>
      </c>
      <c r="M144" s="22"/>
      <c r="N144" s="22"/>
      <c r="O144" s="22"/>
      <c r="P144" s="22"/>
      <c r="Q144" s="22"/>
      <c r="R144" s="22"/>
      <c r="S144" s="23">
        <f t="shared" si="21"/>
        <v>8082.2683299826986</v>
      </c>
      <c r="T144" s="24">
        <f t="shared" si="22"/>
        <v>6688.024699039559</v>
      </c>
    </row>
    <row r="145" spans="7:20">
      <c r="G145" s="5">
        <v>142</v>
      </c>
      <c r="H145" s="22">
        <f t="shared" si="16"/>
        <v>1192628.916105875</v>
      </c>
      <c r="I145" s="22">
        <f t="shared" si="17"/>
        <v>3489.907829315503</v>
      </c>
      <c r="J145" s="22">
        <f t="shared" si="18"/>
        <v>3910.9110880116418</v>
      </c>
      <c r="K145" s="22">
        <f t="shared" si="19"/>
        <v>7400.8189173271448</v>
      </c>
      <c r="L145" s="22">
        <f t="shared" si="20"/>
        <v>679.23577523706308</v>
      </c>
      <c r="M145" s="22"/>
      <c r="N145" s="22"/>
      <c r="O145" s="22"/>
      <c r="P145" s="22"/>
      <c r="Q145" s="22"/>
      <c r="R145" s="22"/>
      <c r="S145" s="23">
        <f t="shared" si="21"/>
        <v>8080.0546925642084</v>
      </c>
      <c r="T145" s="24">
        <f t="shared" si="22"/>
        <v>6690.3401577133536</v>
      </c>
    </row>
    <row r="146" spans="7:20">
      <c r="G146" s="5">
        <v>143</v>
      </c>
      <c r="H146" s="22">
        <f t="shared" si="16"/>
        <v>1188706.5981938567</v>
      </c>
      <c r="I146" s="22">
        <f t="shared" si="17"/>
        <v>3478.5010053088022</v>
      </c>
      <c r="J146" s="22">
        <f t="shared" si="18"/>
        <v>3922.3179120183427</v>
      </c>
      <c r="K146" s="22">
        <f t="shared" si="19"/>
        <v>7400.8189173271448</v>
      </c>
      <c r="L146" s="22">
        <f t="shared" si="20"/>
        <v>677.01568137610184</v>
      </c>
      <c r="M146" s="22"/>
      <c r="N146" s="22"/>
      <c r="O146" s="22"/>
      <c r="P146" s="22"/>
      <c r="Q146" s="22"/>
      <c r="R146" s="22"/>
      <c r="S146" s="23">
        <f t="shared" si="21"/>
        <v>8077.8345987032462</v>
      </c>
      <c r="T146" s="24">
        <f t="shared" si="22"/>
        <v>6692.6623698082785</v>
      </c>
    </row>
    <row r="147" spans="7:20">
      <c r="G147" s="5">
        <v>144</v>
      </c>
      <c r="H147" s="22">
        <f t="shared" si="16"/>
        <v>1184772.8401879282</v>
      </c>
      <c r="I147" s="22">
        <f t="shared" si="17"/>
        <v>3467.0609113987489</v>
      </c>
      <c r="J147" s="22">
        <f t="shared" si="18"/>
        <v>3933.758005928396</v>
      </c>
      <c r="K147" s="22">
        <f t="shared" si="19"/>
        <v>7400.8189173271448</v>
      </c>
      <c r="L147" s="22">
        <f t="shared" si="20"/>
        <v>674.78911224137937</v>
      </c>
      <c r="M147" s="22"/>
      <c r="N147" s="22"/>
      <c r="O147" s="22"/>
      <c r="P147" s="22"/>
      <c r="Q147" s="22"/>
      <c r="R147" s="22"/>
      <c r="S147" s="23">
        <f t="shared" si="21"/>
        <v>8075.6080295685242</v>
      </c>
      <c r="T147" s="24">
        <f t="shared" si="22"/>
        <v>6694.9913550218153</v>
      </c>
    </row>
    <row r="148" spans="7:20">
      <c r="G148" s="5">
        <v>145</v>
      </c>
      <c r="H148" s="22">
        <f t="shared" si="16"/>
        <v>1180827.6087211492</v>
      </c>
      <c r="I148" s="22">
        <f t="shared" si="17"/>
        <v>3455.5874505481238</v>
      </c>
      <c r="J148" s="22">
        <f t="shared" si="18"/>
        <v>3945.231466779021</v>
      </c>
      <c r="K148" s="22">
        <f t="shared" si="19"/>
        <v>7400.8189173271448</v>
      </c>
      <c r="L148" s="22">
        <f t="shared" si="20"/>
        <v>672.55604894668068</v>
      </c>
      <c r="M148" s="22"/>
      <c r="N148" s="22"/>
      <c r="O148" s="22"/>
      <c r="P148" s="22"/>
      <c r="Q148" s="22"/>
      <c r="R148" s="22"/>
      <c r="S148" s="23">
        <f t="shared" si="21"/>
        <v>8073.3749662738255</v>
      </c>
      <c r="T148" s="24">
        <f t="shared" si="22"/>
        <v>6697.3271331088908</v>
      </c>
    </row>
    <row r="149" spans="7:20">
      <c r="G149" s="5">
        <v>146</v>
      </c>
      <c r="H149" s="22">
        <f t="shared" si="16"/>
        <v>1176870.8703292587</v>
      </c>
      <c r="I149" s="22">
        <f t="shared" si="17"/>
        <v>3444.0805254366851</v>
      </c>
      <c r="J149" s="22">
        <f t="shared" si="18"/>
        <v>3956.7383918904598</v>
      </c>
      <c r="K149" s="22">
        <f t="shared" si="19"/>
        <v>7400.8189173271448</v>
      </c>
      <c r="L149" s="22">
        <f t="shared" si="20"/>
        <v>670.31647255070573</v>
      </c>
      <c r="M149" s="22"/>
      <c r="N149" s="22"/>
      <c r="O149" s="22"/>
      <c r="P149" s="22"/>
      <c r="Q149" s="22"/>
      <c r="R149" s="22"/>
      <c r="S149" s="23">
        <f t="shared" si="21"/>
        <v>8071.1353898778507</v>
      </c>
      <c r="T149" s="24">
        <f t="shared" si="22"/>
        <v>6699.6697238820543</v>
      </c>
    </row>
    <row r="150" spans="7:20">
      <c r="G150" s="5">
        <v>147</v>
      </c>
      <c r="H150" s="22">
        <f t="shared" si="16"/>
        <v>1172902.591450392</v>
      </c>
      <c r="I150" s="22">
        <f t="shared" si="17"/>
        <v>3432.5400384603381</v>
      </c>
      <c r="J150" s="22">
        <f t="shared" si="18"/>
        <v>3968.2788788668067</v>
      </c>
      <c r="K150" s="22">
        <f t="shared" si="19"/>
        <v>7400.8189173271448</v>
      </c>
      <c r="L150" s="22">
        <f t="shared" si="20"/>
        <v>668.07036405690928</v>
      </c>
      <c r="M150" s="22"/>
      <c r="N150" s="22"/>
      <c r="O150" s="22"/>
      <c r="P150" s="22"/>
      <c r="Q150" s="22"/>
      <c r="R150" s="22"/>
      <c r="S150" s="23">
        <f t="shared" si="21"/>
        <v>8068.8892813840539</v>
      </c>
      <c r="T150" s="24">
        <f t="shared" si="22"/>
        <v>6702.0191472116385</v>
      </c>
    </row>
    <row r="151" spans="7:20">
      <c r="G151" s="5">
        <v>148</v>
      </c>
      <c r="H151" s="22">
        <f t="shared" si="16"/>
        <v>1168922.7384247952</v>
      </c>
      <c r="I151" s="22">
        <f t="shared" si="17"/>
        <v>3420.9658917303104</v>
      </c>
      <c r="J151" s="22">
        <f t="shared" si="18"/>
        <v>3979.8530255968344</v>
      </c>
      <c r="K151" s="22">
        <f t="shared" si="19"/>
        <v>7400.8189173271448</v>
      </c>
      <c r="L151" s="22">
        <f t="shared" si="20"/>
        <v>665.81770441333924</v>
      </c>
      <c r="M151" s="22"/>
      <c r="N151" s="22"/>
      <c r="O151" s="22"/>
      <c r="P151" s="22"/>
      <c r="Q151" s="22"/>
      <c r="R151" s="22"/>
      <c r="S151" s="23">
        <f t="shared" si="21"/>
        <v>8066.6366217404839</v>
      </c>
      <c r="T151" s="24">
        <f t="shared" si="22"/>
        <v>6704.3754230259347</v>
      </c>
    </row>
    <row r="152" spans="7:20">
      <c r="G152" s="5">
        <v>149</v>
      </c>
      <c r="H152" s="22">
        <f t="shared" si="16"/>
        <v>1164931.2774945404</v>
      </c>
      <c r="I152" s="22">
        <f t="shared" si="17"/>
        <v>3409.3579870723197</v>
      </c>
      <c r="J152" s="22">
        <f t="shared" si="18"/>
        <v>3991.4609302548251</v>
      </c>
      <c r="K152" s="22">
        <f t="shared" si="19"/>
        <v>7400.8189173271448</v>
      </c>
      <c r="L152" s="22">
        <f t="shared" si="20"/>
        <v>663.55847451247553</v>
      </c>
      <c r="M152" s="22"/>
      <c r="N152" s="22"/>
      <c r="O152" s="22"/>
      <c r="P152" s="22"/>
      <c r="Q152" s="22"/>
      <c r="R152" s="22"/>
      <c r="S152" s="23">
        <f t="shared" si="21"/>
        <v>8064.37739183962</v>
      </c>
      <c r="T152" s="24">
        <f t="shared" si="22"/>
        <v>6706.7385713113545</v>
      </c>
    </row>
    <row r="153" spans="7:20">
      <c r="G153" s="5">
        <v>150</v>
      </c>
      <c r="H153" s="22">
        <f t="shared" si="16"/>
        <v>1160928.1748032391</v>
      </c>
      <c r="I153" s="22">
        <f t="shared" si="17"/>
        <v>3397.7162260257433</v>
      </c>
      <c r="J153" s="22">
        <f t="shared" si="18"/>
        <v>4003.1026913014016</v>
      </c>
      <c r="K153" s="22">
        <f t="shared" si="19"/>
        <v>7400.8189173271448</v>
      </c>
      <c r="L153" s="22">
        <f t="shared" si="20"/>
        <v>661.29265519106752</v>
      </c>
      <c r="M153" s="22"/>
      <c r="N153" s="22"/>
      <c r="O153" s="22"/>
      <c r="P153" s="22"/>
      <c r="Q153" s="22"/>
      <c r="R153" s="22"/>
      <c r="S153" s="23">
        <f t="shared" si="21"/>
        <v>8062.1115725182126</v>
      </c>
      <c r="T153" s="24">
        <f t="shared" si="22"/>
        <v>6709.1086121126091</v>
      </c>
    </row>
    <row r="154" spans="7:20">
      <c r="G154" s="5">
        <v>151</v>
      </c>
      <c r="H154" s="22">
        <f t="shared" si="16"/>
        <v>1156913.3963957548</v>
      </c>
      <c r="I154" s="22">
        <f t="shared" si="17"/>
        <v>3386.0405098427809</v>
      </c>
      <c r="J154" s="22">
        <f t="shared" si="18"/>
        <v>4014.7784074843639</v>
      </c>
      <c r="K154" s="22">
        <f t="shared" si="19"/>
        <v>7400.8189173271448</v>
      </c>
      <c r="L154" s="22">
        <f t="shared" si="20"/>
        <v>659.02022722997208</v>
      </c>
      <c r="M154" s="22"/>
      <c r="N154" s="22"/>
      <c r="O154" s="22"/>
      <c r="P154" s="22"/>
      <c r="Q154" s="22"/>
      <c r="R154" s="22"/>
      <c r="S154" s="23">
        <f t="shared" si="21"/>
        <v>8059.8391445571169</v>
      </c>
      <c r="T154" s="24">
        <f t="shared" si="22"/>
        <v>6711.4855655328665</v>
      </c>
    </row>
    <row r="155" spans="7:20">
      <c r="G155" s="5">
        <v>152</v>
      </c>
      <c r="H155" s="22">
        <f t="shared" si="16"/>
        <v>1152886.9082179153</v>
      </c>
      <c r="I155" s="22">
        <f t="shared" si="17"/>
        <v>3374.3307394876183</v>
      </c>
      <c r="J155" s="22">
        <f t="shared" si="18"/>
        <v>4026.4881778395265</v>
      </c>
      <c r="K155" s="22">
        <f t="shared" si="19"/>
        <v>7400.8189173271448</v>
      </c>
      <c r="L155" s="22">
        <f t="shared" si="20"/>
        <v>656.74117135399024</v>
      </c>
      <c r="M155" s="22"/>
      <c r="N155" s="22"/>
      <c r="O155" s="22"/>
      <c r="P155" s="22"/>
      <c r="Q155" s="22"/>
      <c r="R155" s="22"/>
      <c r="S155" s="23">
        <f t="shared" si="21"/>
        <v>8057.5600886811353</v>
      </c>
      <c r="T155" s="24">
        <f t="shared" si="22"/>
        <v>6713.8694517339327</v>
      </c>
    </row>
    <row r="156" spans="7:20">
      <c r="G156" s="5">
        <v>153</v>
      </c>
      <c r="H156" s="22">
        <f t="shared" si="16"/>
        <v>1148848.6761162237</v>
      </c>
      <c r="I156" s="22">
        <f t="shared" si="17"/>
        <v>3362.5868156355864</v>
      </c>
      <c r="J156" s="22">
        <f t="shared" si="18"/>
        <v>4038.2321016915585</v>
      </c>
      <c r="K156" s="22">
        <f t="shared" si="19"/>
        <v>7400.8189173271448</v>
      </c>
      <c r="L156" s="22">
        <f t="shared" si="20"/>
        <v>654.45546823170332</v>
      </c>
      <c r="M156" s="22"/>
      <c r="N156" s="22"/>
      <c r="O156" s="22"/>
      <c r="P156" s="22"/>
      <c r="Q156" s="22"/>
      <c r="R156" s="22"/>
      <c r="S156" s="23">
        <f t="shared" si="21"/>
        <v>8055.2743855588478</v>
      </c>
      <c r="T156" s="24">
        <f t="shared" si="22"/>
        <v>6716.2602909364177</v>
      </c>
    </row>
    <row r="157" spans="7:20">
      <c r="G157" s="5">
        <v>154</v>
      </c>
      <c r="H157" s="22">
        <f t="shared" si="16"/>
        <v>1144798.6658375689</v>
      </c>
      <c r="I157" s="22">
        <f t="shared" si="17"/>
        <v>3350.8086386723194</v>
      </c>
      <c r="J157" s="22">
        <f t="shared" si="18"/>
        <v>4050.0102786548255</v>
      </c>
      <c r="K157" s="22">
        <f t="shared" si="19"/>
        <v>7400.8189173271448</v>
      </c>
      <c r="L157" s="22">
        <f t="shared" si="20"/>
        <v>652.16309847530977</v>
      </c>
      <c r="M157" s="22"/>
      <c r="N157" s="22"/>
      <c r="O157" s="22"/>
      <c r="P157" s="22"/>
      <c r="Q157" s="22"/>
      <c r="R157" s="22"/>
      <c r="S157" s="23">
        <f t="shared" si="21"/>
        <v>8052.982015802455</v>
      </c>
      <c r="T157" s="24">
        <f t="shared" si="22"/>
        <v>6718.6581034199116</v>
      </c>
    </row>
    <row r="158" spans="7:20">
      <c r="G158" s="5">
        <v>155</v>
      </c>
      <c r="H158" s="22">
        <f t="shared" si="16"/>
        <v>1140736.8430289347</v>
      </c>
      <c r="I158" s="22">
        <f t="shared" si="17"/>
        <v>3338.9961086929097</v>
      </c>
      <c r="J158" s="22">
        <f t="shared" si="18"/>
        <v>4061.8228086342351</v>
      </c>
      <c r="K158" s="22">
        <f t="shared" si="19"/>
        <v>7400.8189173271448</v>
      </c>
      <c r="L158" s="22">
        <f t="shared" si="20"/>
        <v>649.86404264046007</v>
      </c>
      <c r="M158" s="22"/>
      <c r="N158" s="22"/>
      <c r="O158" s="22"/>
      <c r="P158" s="22"/>
      <c r="Q158" s="22"/>
      <c r="R158" s="22"/>
      <c r="S158" s="23">
        <f t="shared" si="21"/>
        <v>8050.6829599676048</v>
      </c>
      <c r="T158" s="24">
        <f t="shared" si="22"/>
        <v>6721.0629095231488</v>
      </c>
    </row>
    <row r="159" spans="7:20">
      <c r="G159" s="5">
        <v>156</v>
      </c>
      <c r="H159" s="22">
        <f t="shared" si="16"/>
        <v>1136663.1732371086</v>
      </c>
      <c r="I159" s="22">
        <f t="shared" si="17"/>
        <v>3327.1491255010596</v>
      </c>
      <c r="J159" s="22">
        <f t="shared" si="18"/>
        <v>4073.6697918260852</v>
      </c>
      <c r="K159" s="22">
        <f t="shared" si="19"/>
        <v>7400.8189173271448</v>
      </c>
      <c r="L159" s="22">
        <f t="shared" si="20"/>
        <v>647.55828122609194</v>
      </c>
      <c r="M159" s="22"/>
      <c r="N159" s="22"/>
      <c r="O159" s="22"/>
      <c r="P159" s="22"/>
      <c r="Q159" s="22"/>
      <c r="R159" s="22"/>
      <c r="S159" s="23">
        <f t="shared" si="21"/>
        <v>8048.3771985532367</v>
      </c>
      <c r="T159" s="24">
        <f t="shared" si="22"/>
        <v>6723.4747296441865</v>
      </c>
    </row>
    <row r="160" spans="7:20">
      <c r="G160" s="5">
        <v>157</v>
      </c>
      <c r="H160" s="22">
        <f t="shared" si="16"/>
        <v>1132577.6219083897</v>
      </c>
      <c r="I160" s="22">
        <f t="shared" si="17"/>
        <v>3315.2675886082338</v>
      </c>
      <c r="J160" s="22">
        <f t="shared" si="18"/>
        <v>4085.551328718911</v>
      </c>
      <c r="K160" s="22">
        <f t="shared" si="19"/>
        <v>7400.8189173271448</v>
      </c>
      <c r="L160" s="22">
        <f t="shared" si="20"/>
        <v>645.24579467426543</v>
      </c>
      <c r="M160" s="22"/>
      <c r="N160" s="22"/>
      <c r="O160" s="22"/>
      <c r="P160" s="22"/>
      <c r="Q160" s="22"/>
      <c r="R160" s="22"/>
      <c r="S160" s="23">
        <f t="shared" si="21"/>
        <v>8046.06471200141</v>
      </c>
      <c r="T160" s="24">
        <f t="shared" si="22"/>
        <v>6725.8935842405772</v>
      </c>
    </row>
    <row r="161" spans="7:20">
      <c r="G161" s="5">
        <v>158</v>
      </c>
      <c r="H161" s="22">
        <f t="shared" si="16"/>
        <v>1128480.1543882955</v>
      </c>
      <c r="I161" s="22">
        <f t="shared" si="17"/>
        <v>3303.3513972328037</v>
      </c>
      <c r="J161" s="22">
        <f t="shared" si="18"/>
        <v>4097.4675200943411</v>
      </c>
      <c r="K161" s="22">
        <f t="shared" si="19"/>
        <v>7400.8189173271448</v>
      </c>
      <c r="L161" s="22">
        <f t="shared" si="20"/>
        <v>642.92656336999596</v>
      </c>
      <c r="M161" s="22"/>
      <c r="N161" s="22"/>
      <c r="O161" s="22"/>
      <c r="P161" s="22"/>
      <c r="Q161" s="22"/>
      <c r="R161" s="22"/>
      <c r="S161" s="23">
        <f t="shared" si="21"/>
        <v>8043.7454806971409</v>
      </c>
      <c r="T161" s="24">
        <f t="shared" si="22"/>
        <v>6728.319493829541</v>
      </c>
    </row>
    <row r="162" spans="7:20">
      <c r="G162" s="5">
        <v>159</v>
      </c>
      <c r="H162" s="22">
        <f t="shared" si="16"/>
        <v>1124370.7359212674</v>
      </c>
      <c r="I162" s="22">
        <f t="shared" si="17"/>
        <v>3291.4004502991952</v>
      </c>
      <c r="J162" s="22">
        <f t="shared" si="18"/>
        <v>4109.4184670279501</v>
      </c>
      <c r="K162" s="22">
        <f t="shared" si="19"/>
        <v>7400.8189173271448</v>
      </c>
      <c r="L162" s="22">
        <f t="shared" si="20"/>
        <v>640.60056764108913</v>
      </c>
      <c r="M162" s="22"/>
      <c r="N162" s="22"/>
      <c r="O162" s="22"/>
      <c r="P162" s="22"/>
      <c r="Q162" s="22"/>
      <c r="R162" s="22"/>
      <c r="S162" s="23">
        <f t="shared" si="21"/>
        <v>8041.4194849682335</v>
      </c>
      <c r="T162" s="24">
        <f t="shared" si="22"/>
        <v>6730.752478988139</v>
      </c>
    </row>
    <row r="163" spans="7:20">
      <c r="G163" s="5">
        <v>160</v>
      </c>
      <c r="H163" s="22">
        <f t="shared" si="16"/>
        <v>1120249.3316503773</v>
      </c>
      <c r="I163" s="22">
        <f t="shared" si="17"/>
        <v>3279.4146464370301</v>
      </c>
      <c r="J163" s="22">
        <f t="shared" si="18"/>
        <v>4121.4042708901143</v>
      </c>
      <c r="K163" s="22">
        <f t="shared" si="19"/>
        <v>7400.8189173271448</v>
      </c>
      <c r="L163" s="22">
        <f t="shared" si="20"/>
        <v>638.26778775797288</v>
      </c>
      <c r="M163" s="22"/>
      <c r="N163" s="22"/>
      <c r="O163" s="22"/>
      <c r="P163" s="22"/>
      <c r="Q163" s="22"/>
      <c r="R163" s="22"/>
      <c r="S163" s="23">
        <f t="shared" si="21"/>
        <v>8039.0867050851175</v>
      </c>
      <c r="T163" s="24">
        <f t="shared" si="22"/>
        <v>6733.1925603534501</v>
      </c>
    </row>
    <row r="164" spans="7:20">
      <c r="G164" s="5">
        <v>161</v>
      </c>
      <c r="H164" s="22">
        <f t="shared" si="16"/>
        <v>1116115.9066170303</v>
      </c>
      <c r="I164" s="22">
        <f t="shared" si="17"/>
        <v>3267.3938839802672</v>
      </c>
      <c r="J164" s="22">
        <f t="shared" si="18"/>
        <v>4133.4250333468772</v>
      </c>
      <c r="K164" s="22">
        <f t="shared" si="19"/>
        <v>7400.8189173271448</v>
      </c>
      <c r="L164" s="22">
        <f t="shared" si="20"/>
        <v>635.92820393353088</v>
      </c>
      <c r="M164" s="22"/>
      <c r="N164" s="22"/>
      <c r="O164" s="22"/>
      <c r="P164" s="22"/>
      <c r="Q164" s="22"/>
      <c r="R164" s="22"/>
      <c r="S164" s="23">
        <f t="shared" si="21"/>
        <v>8036.7471212606761</v>
      </c>
      <c r="T164" s="24">
        <f t="shared" si="22"/>
        <v>6735.6397586227431</v>
      </c>
    </row>
    <row r="165" spans="7:20">
      <c r="G165" s="5">
        <v>162</v>
      </c>
      <c r="H165" s="22">
        <f t="shared" si="16"/>
        <v>1111970.4257606694</v>
      </c>
      <c r="I165" s="22">
        <f t="shared" si="17"/>
        <v>3255.3380609663386</v>
      </c>
      <c r="J165" s="22">
        <f t="shared" si="18"/>
        <v>4145.4808563608058</v>
      </c>
      <c r="K165" s="22">
        <f t="shared" si="19"/>
        <v>7400.8189173271448</v>
      </c>
      <c r="L165" s="22">
        <f t="shared" si="20"/>
        <v>633.58179632293422</v>
      </c>
      <c r="M165" s="22"/>
      <c r="N165" s="22"/>
      <c r="O165" s="22"/>
      <c r="P165" s="22"/>
      <c r="Q165" s="22"/>
      <c r="R165" s="22"/>
      <c r="S165" s="23">
        <f t="shared" si="21"/>
        <v>8034.4007136500786</v>
      </c>
      <c r="T165" s="24">
        <f t="shared" si="22"/>
        <v>6738.0940945536549</v>
      </c>
    </row>
    <row r="166" spans="7:20">
      <c r="G166" s="5">
        <v>163</v>
      </c>
      <c r="H166" s="22">
        <f t="shared" si="16"/>
        <v>1107812.8539184774</v>
      </c>
      <c r="I166" s="22">
        <f t="shared" si="17"/>
        <v>3243.2470751352857</v>
      </c>
      <c r="J166" s="22">
        <f t="shared" si="18"/>
        <v>4157.5718421918591</v>
      </c>
      <c r="K166" s="22">
        <f t="shared" si="19"/>
        <v>7400.8189173271448</v>
      </c>
      <c r="L166" s="22">
        <f t="shared" si="20"/>
        <v>631.22854502347343</v>
      </c>
      <c r="M166" s="22"/>
      <c r="N166" s="22"/>
      <c r="O166" s="22"/>
      <c r="P166" s="22"/>
      <c r="Q166" s="22"/>
      <c r="R166" s="22"/>
      <c r="S166" s="23">
        <f t="shared" si="21"/>
        <v>8032.0474623506179</v>
      </c>
      <c r="T166" s="24">
        <f t="shared" si="22"/>
        <v>6740.5555889643647</v>
      </c>
    </row>
    <row r="167" spans="7:20">
      <c r="G167" s="5">
        <v>164</v>
      </c>
      <c r="H167" s="22">
        <f t="shared" si="16"/>
        <v>1103643.1558250792</v>
      </c>
      <c r="I167" s="22">
        <f t="shared" si="17"/>
        <v>3231.1208239288926</v>
      </c>
      <c r="J167" s="22">
        <f t="shared" si="18"/>
        <v>4169.6980933982522</v>
      </c>
      <c r="K167" s="22">
        <f t="shared" si="19"/>
        <v>7400.8189173271448</v>
      </c>
      <c r="L167" s="22">
        <f t="shared" si="20"/>
        <v>628.86843007438904</v>
      </c>
      <c r="M167" s="22"/>
      <c r="N167" s="22"/>
      <c r="O167" s="22"/>
      <c r="P167" s="22"/>
      <c r="Q167" s="22"/>
      <c r="R167" s="22"/>
      <c r="S167" s="23">
        <f t="shared" si="21"/>
        <v>8029.6873474015338</v>
      </c>
      <c r="T167" s="24">
        <f t="shared" si="22"/>
        <v>6743.0242627337739</v>
      </c>
    </row>
    <row r="168" spans="7:20">
      <c r="G168" s="5">
        <v>165</v>
      </c>
      <c r="H168" s="22">
        <f t="shared" si="16"/>
        <v>1099461.2961122419</v>
      </c>
      <c r="I168" s="22">
        <f t="shared" si="17"/>
        <v>3218.9592044898145</v>
      </c>
      <c r="J168" s="22">
        <f t="shared" si="18"/>
        <v>4181.8597128373303</v>
      </c>
      <c r="K168" s="22">
        <f t="shared" si="19"/>
        <v>7400.8189173271448</v>
      </c>
      <c r="L168" s="22">
        <f t="shared" si="20"/>
        <v>626.50143145670336</v>
      </c>
      <c r="M168" s="22"/>
      <c r="N168" s="22"/>
      <c r="O168" s="22"/>
      <c r="P168" s="22"/>
      <c r="Q168" s="22"/>
      <c r="R168" s="22"/>
      <c r="S168" s="23">
        <f t="shared" si="21"/>
        <v>8027.3203487838482</v>
      </c>
      <c r="T168" s="24">
        <f t="shared" si="22"/>
        <v>6745.5001368016756</v>
      </c>
    </row>
    <row r="169" spans="7:20">
      <c r="G169" s="5">
        <v>166</v>
      </c>
      <c r="H169" s="22">
        <f t="shared" si="16"/>
        <v>1095267.2393085754</v>
      </c>
      <c r="I169" s="22">
        <f t="shared" si="17"/>
        <v>3206.7621136607058</v>
      </c>
      <c r="J169" s="22">
        <f t="shared" si="18"/>
        <v>4194.056803666439</v>
      </c>
      <c r="K169" s="22">
        <f t="shared" si="19"/>
        <v>7400.8189173271448</v>
      </c>
      <c r="L169" s="22">
        <f t="shared" si="20"/>
        <v>624.12752909304936</v>
      </c>
      <c r="M169" s="22"/>
      <c r="N169" s="22"/>
      <c r="O169" s="22"/>
      <c r="P169" s="22"/>
      <c r="Q169" s="22"/>
      <c r="R169" s="22"/>
      <c r="S169" s="23">
        <f t="shared" si="21"/>
        <v>8024.9464464201938</v>
      </c>
      <c r="T169" s="24">
        <f t="shared" si="22"/>
        <v>6747.9832321689419</v>
      </c>
    </row>
    <row r="170" spans="7:20">
      <c r="G170" s="5">
        <v>167</v>
      </c>
      <c r="H170" s="22">
        <f t="shared" si="16"/>
        <v>1091060.9498392316</v>
      </c>
      <c r="I170" s="22">
        <f t="shared" si="17"/>
        <v>3194.5294479833451</v>
      </c>
      <c r="J170" s="22">
        <f t="shared" si="18"/>
        <v>4206.2894693437993</v>
      </c>
      <c r="K170" s="22">
        <f t="shared" si="19"/>
        <v>7400.8189173271448</v>
      </c>
      <c r="L170" s="22">
        <f t="shared" si="20"/>
        <v>621.74670284750141</v>
      </c>
      <c r="M170" s="22"/>
      <c r="N170" s="22"/>
      <c r="O170" s="22"/>
      <c r="P170" s="22"/>
      <c r="Q170" s="22"/>
      <c r="R170" s="22"/>
      <c r="S170" s="23">
        <f t="shared" si="21"/>
        <v>8022.565620174646</v>
      </c>
      <c r="T170" s="24">
        <f t="shared" si="22"/>
        <v>6750.4735698976974</v>
      </c>
    </row>
    <row r="171" spans="7:20">
      <c r="G171" s="5">
        <v>168</v>
      </c>
      <c r="H171" s="22">
        <f t="shared" si="16"/>
        <v>1086842.3920256023</v>
      </c>
      <c r="I171" s="22">
        <f t="shared" si="17"/>
        <v>3182.2611036977587</v>
      </c>
      <c r="J171" s="22">
        <f t="shared" si="18"/>
        <v>4218.5578136293861</v>
      </c>
      <c r="K171" s="22">
        <f t="shared" si="19"/>
        <v>7400.8189173271448</v>
      </c>
      <c r="L171" s="22">
        <f t="shared" si="20"/>
        <v>619.35893252540382</v>
      </c>
      <c r="M171" s="22"/>
      <c r="N171" s="22"/>
      <c r="O171" s="22"/>
      <c r="P171" s="22"/>
      <c r="Q171" s="22"/>
      <c r="R171" s="22"/>
      <c r="S171" s="23">
        <f t="shared" si="21"/>
        <v>8020.1778498525491</v>
      </c>
      <c r="T171" s="24">
        <f t="shared" si="22"/>
        <v>6752.9711711114951</v>
      </c>
    </row>
    <row r="172" spans="7:20">
      <c r="G172" s="5">
        <v>169</v>
      </c>
      <c r="H172" s="22">
        <f t="shared" si="16"/>
        <v>1082611.5300850165</v>
      </c>
      <c r="I172" s="22">
        <f t="shared" si="17"/>
        <v>3169.95697674134</v>
      </c>
      <c r="J172" s="22">
        <f t="shared" si="18"/>
        <v>4230.8619405858044</v>
      </c>
      <c r="K172" s="22">
        <f t="shared" si="19"/>
        <v>7400.8189173271448</v>
      </c>
      <c r="L172" s="22">
        <f t="shared" si="20"/>
        <v>616.96419787320031</v>
      </c>
      <c r="M172" s="22"/>
      <c r="N172" s="22"/>
      <c r="O172" s="22"/>
      <c r="P172" s="22"/>
      <c r="Q172" s="22"/>
      <c r="R172" s="22"/>
      <c r="S172" s="23">
        <f t="shared" si="21"/>
        <v>8017.7831152003455</v>
      </c>
      <c r="T172" s="24">
        <f t="shared" si="22"/>
        <v>6755.4760569954988</v>
      </c>
    </row>
    <row r="173" spans="7:20">
      <c r="G173" s="5">
        <v>170</v>
      </c>
      <c r="H173" s="22">
        <f t="shared" si="16"/>
        <v>1078368.3281304373</v>
      </c>
      <c r="I173" s="22">
        <f t="shared" si="17"/>
        <v>3157.6169627479649</v>
      </c>
      <c r="J173" s="22">
        <f t="shared" si="18"/>
        <v>4243.20195457918</v>
      </c>
      <c r="K173" s="22">
        <f t="shared" si="19"/>
        <v>7400.8189173271448</v>
      </c>
      <c r="L173" s="22">
        <f t="shared" si="20"/>
        <v>614.56247857826111</v>
      </c>
      <c r="M173" s="22"/>
      <c r="N173" s="22"/>
      <c r="O173" s="22"/>
      <c r="P173" s="22"/>
      <c r="Q173" s="22"/>
      <c r="R173" s="22"/>
      <c r="S173" s="23">
        <f t="shared" si="21"/>
        <v>8015.381395905406</v>
      </c>
      <c r="T173" s="24">
        <f t="shared" si="22"/>
        <v>6757.9882487966643</v>
      </c>
    </row>
    <row r="174" spans="7:20">
      <c r="G174" s="5">
        <v>171</v>
      </c>
      <c r="H174" s="22">
        <f t="shared" si="16"/>
        <v>1074112.7501701573</v>
      </c>
      <c r="I174" s="22">
        <f t="shared" si="17"/>
        <v>3145.2409570471091</v>
      </c>
      <c r="J174" s="22">
        <f t="shared" si="18"/>
        <v>4255.5779602800358</v>
      </c>
      <c r="K174" s="22">
        <f t="shared" si="19"/>
        <v>7400.8189173271448</v>
      </c>
      <c r="L174" s="22">
        <f t="shared" si="20"/>
        <v>612.15375426871162</v>
      </c>
      <c r="M174" s="22"/>
      <c r="N174" s="22"/>
      <c r="O174" s="22"/>
      <c r="P174" s="22"/>
      <c r="Q174" s="22"/>
      <c r="R174" s="22"/>
      <c r="S174" s="23">
        <f t="shared" si="21"/>
        <v>8012.9726715958568</v>
      </c>
      <c r="T174" s="24">
        <f t="shared" si="22"/>
        <v>6760.5077678239168</v>
      </c>
    </row>
    <row r="175" spans="7:20">
      <c r="G175" s="5">
        <v>172</v>
      </c>
      <c r="H175" s="22">
        <f t="shared" si="16"/>
        <v>1069844.760107493</v>
      </c>
      <c r="I175" s="22">
        <f t="shared" si="17"/>
        <v>3132.8288546629587</v>
      </c>
      <c r="J175" s="22">
        <f t="shared" si="18"/>
        <v>4267.9900626641866</v>
      </c>
      <c r="K175" s="22">
        <f t="shared" si="19"/>
        <v>7400.8189173271448</v>
      </c>
      <c r="L175" s="22">
        <f t="shared" si="20"/>
        <v>609.7380045132594</v>
      </c>
      <c r="M175" s="22"/>
      <c r="N175" s="22"/>
      <c r="O175" s="22"/>
      <c r="P175" s="22"/>
      <c r="Q175" s="22"/>
      <c r="R175" s="22"/>
      <c r="S175" s="23">
        <f t="shared" si="21"/>
        <v>8010.5569218404044</v>
      </c>
      <c r="T175" s="24">
        <f t="shared" si="22"/>
        <v>6763.0346354483318</v>
      </c>
    </row>
    <row r="176" spans="7:20">
      <c r="G176" s="5">
        <v>173</v>
      </c>
      <c r="H176" s="22">
        <f t="shared" si="16"/>
        <v>1065564.3217404794</v>
      </c>
      <c r="I176" s="22">
        <f t="shared" si="17"/>
        <v>3120.3805503135213</v>
      </c>
      <c r="J176" s="22">
        <f t="shared" si="18"/>
        <v>4280.4383670136231</v>
      </c>
      <c r="K176" s="22">
        <f t="shared" si="19"/>
        <v>7400.8189173271448</v>
      </c>
      <c r="L176" s="22">
        <f t="shared" si="20"/>
        <v>607.31520882102029</v>
      </c>
      <c r="M176" s="22"/>
      <c r="N176" s="22"/>
      <c r="O176" s="22"/>
      <c r="P176" s="22"/>
      <c r="Q176" s="22"/>
      <c r="R176" s="22"/>
      <c r="S176" s="23">
        <f t="shared" si="21"/>
        <v>8008.1341261481648</v>
      </c>
      <c r="T176" s="24">
        <f t="shared" si="22"/>
        <v>6765.5688731033179</v>
      </c>
    </row>
    <row r="177" spans="7:20">
      <c r="G177" s="5">
        <v>174</v>
      </c>
      <c r="H177" s="22">
        <f t="shared" si="16"/>
        <v>1061271.3987615621</v>
      </c>
      <c r="I177" s="22">
        <f t="shared" si="17"/>
        <v>3107.895938409732</v>
      </c>
      <c r="J177" s="22">
        <f t="shared" si="18"/>
        <v>4292.9229789174133</v>
      </c>
      <c r="K177" s="22">
        <f t="shared" si="19"/>
        <v>7400.8189173271448</v>
      </c>
      <c r="L177" s="22">
        <f t="shared" si="20"/>
        <v>604.88534664134556</v>
      </c>
      <c r="M177" s="22"/>
      <c r="N177" s="22"/>
      <c r="O177" s="22"/>
      <c r="P177" s="22"/>
      <c r="Q177" s="22"/>
      <c r="R177" s="22"/>
      <c r="S177" s="23">
        <f t="shared" si="21"/>
        <v>8005.7042639684905</v>
      </c>
      <c r="T177" s="24">
        <f t="shared" si="22"/>
        <v>6768.1105022847978</v>
      </c>
    </row>
    <row r="178" spans="7:20">
      <c r="G178" s="5">
        <v>175</v>
      </c>
      <c r="H178" s="22">
        <f t="shared" si="16"/>
        <v>1056965.9547572895</v>
      </c>
      <c r="I178" s="22">
        <f t="shared" si="17"/>
        <v>3095.3749130545561</v>
      </c>
      <c r="J178" s="22">
        <f t="shared" si="18"/>
        <v>4305.4440042725892</v>
      </c>
      <c r="K178" s="22">
        <f t="shared" si="19"/>
        <v>7400.8189173271448</v>
      </c>
      <c r="L178" s="22">
        <f t="shared" si="20"/>
        <v>602.44839736364679</v>
      </c>
      <c r="M178" s="22"/>
      <c r="N178" s="22"/>
      <c r="O178" s="22"/>
      <c r="P178" s="22"/>
      <c r="Q178" s="22"/>
      <c r="R178" s="22"/>
      <c r="S178" s="23">
        <f t="shared" si="21"/>
        <v>8003.2673146907919</v>
      </c>
      <c r="T178" s="24">
        <f t="shared" si="22"/>
        <v>6770.6595445513913</v>
      </c>
    </row>
    <row r="179" spans="7:20">
      <c r="G179" s="5">
        <v>176</v>
      </c>
      <c r="H179" s="22">
        <f t="shared" si="16"/>
        <v>1052647.9532080044</v>
      </c>
      <c r="I179" s="22">
        <f t="shared" si="17"/>
        <v>3082.8173680420946</v>
      </c>
      <c r="J179" s="22">
        <f t="shared" si="18"/>
        <v>4318.0015492850507</v>
      </c>
      <c r="K179" s="22">
        <f t="shared" si="19"/>
        <v>7400.8189173271448</v>
      </c>
      <c r="L179" s="22">
        <f t="shared" si="20"/>
        <v>600.00434031722136</v>
      </c>
      <c r="M179" s="22"/>
      <c r="N179" s="22"/>
      <c r="O179" s="22"/>
      <c r="P179" s="22"/>
      <c r="Q179" s="22"/>
      <c r="R179" s="22"/>
      <c r="S179" s="23">
        <f t="shared" si="21"/>
        <v>8000.8232576443661</v>
      </c>
      <c r="T179" s="24">
        <f t="shared" si="22"/>
        <v>6773.216021524594</v>
      </c>
    </row>
    <row r="180" spans="7:20">
      <c r="G180" s="5">
        <v>177</v>
      </c>
      <c r="H180" s="22">
        <f t="shared" si="16"/>
        <v>1048317.3574875339</v>
      </c>
      <c r="I180" s="22">
        <f t="shared" si="17"/>
        <v>3070.2231968566794</v>
      </c>
      <c r="J180" s="22">
        <f t="shared" si="18"/>
        <v>4330.5957204704655</v>
      </c>
      <c r="K180" s="22">
        <f t="shared" si="19"/>
        <v>7400.8189173271448</v>
      </c>
      <c r="L180" s="22">
        <f t="shared" si="20"/>
        <v>597.55315477107717</v>
      </c>
      <c r="M180" s="22"/>
      <c r="N180" s="22"/>
      <c r="O180" s="22"/>
      <c r="P180" s="22"/>
      <c r="Q180" s="22"/>
      <c r="R180" s="22"/>
      <c r="S180" s="23">
        <f t="shared" si="21"/>
        <v>7998.3720720982219</v>
      </c>
      <c r="T180" s="24">
        <f t="shared" si="22"/>
        <v>6775.7799548889698</v>
      </c>
    </row>
    <row r="181" spans="7:20">
      <c r="G181" s="5">
        <v>178</v>
      </c>
      <c r="H181" s="22">
        <f t="shared" si="16"/>
        <v>1043974.1308628788</v>
      </c>
      <c r="I181" s="22">
        <f t="shared" si="17"/>
        <v>3057.5922926719741</v>
      </c>
      <c r="J181" s="22">
        <f t="shared" si="18"/>
        <v>4343.2266246551708</v>
      </c>
      <c r="K181" s="22">
        <f t="shared" si="19"/>
        <v>7400.8189173271448</v>
      </c>
      <c r="L181" s="22">
        <f t="shared" si="20"/>
        <v>595.09481993375687</v>
      </c>
      <c r="M181" s="22"/>
      <c r="N181" s="22"/>
      <c r="O181" s="22"/>
      <c r="P181" s="22"/>
      <c r="Q181" s="22"/>
      <c r="R181" s="22"/>
      <c r="S181" s="23">
        <f t="shared" si="21"/>
        <v>7995.9137372609021</v>
      </c>
      <c r="T181" s="24">
        <f t="shared" si="22"/>
        <v>6778.351366392325</v>
      </c>
    </row>
    <row r="182" spans="7:20">
      <c r="G182" s="5">
        <v>179</v>
      </c>
      <c r="H182" s="22">
        <f t="shared" si="16"/>
        <v>1039618.2364939017</v>
      </c>
      <c r="I182" s="22">
        <f t="shared" si="17"/>
        <v>3044.9245483500631</v>
      </c>
      <c r="J182" s="22">
        <f t="shared" si="18"/>
        <v>4355.8943689770822</v>
      </c>
      <c r="K182" s="22">
        <f t="shared" si="19"/>
        <v>7400.8189173271448</v>
      </c>
      <c r="L182" s="22">
        <f t="shared" si="20"/>
        <v>592.62931495316093</v>
      </c>
      <c r="M182" s="22"/>
      <c r="N182" s="22"/>
      <c r="O182" s="22"/>
      <c r="P182" s="22"/>
      <c r="Q182" s="22"/>
      <c r="R182" s="22"/>
      <c r="S182" s="23">
        <f t="shared" si="21"/>
        <v>7993.448232280306</v>
      </c>
      <c r="T182" s="24">
        <f t="shared" si="22"/>
        <v>6780.9302778458987</v>
      </c>
    </row>
    <row r="183" spans="7:20">
      <c r="G183" s="5">
        <v>180</v>
      </c>
      <c r="H183" s="22">
        <f t="shared" si="16"/>
        <v>1035249.637433015</v>
      </c>
      <c r="I183" s="22">
        <f t="shared" si="17"/>
        <v>3032.2198564405467</v>
      </c>
      <c r="J183" s="22">
        <f t="shared" si="18"/>
        <v>4368.5990608865977</v>
      </c>
      <c r="K183" s="22">
        <f t="shared" si="19"/>
        <v>7400.8189173271448</v>
      </c>
      <c r="L183" s="22">
        <f t="shared" si="20"/>
        <v>590.1566189163716</v>
      </c>
      <c r="M183" s="22"/>
      <c r="N183" s="22"/>
      <c r="O183" s="22"/>
      <c r="P183" s="22"/>
      <c r="Q183" s="22"/>
      <c r="R183" s="22"/>
      <c r="S183" s="23">
        <f t="shared" si="21"/>
        <v>7990.9755362435162</v>
      </c>
      <c r="T183" s="24">
        <f t="shared" si="22"/>
        <v>6783.5167111245437</v>
      </c>
    </row>
    <row r="184" spans="7:20">
      <c r="G184" s="5">
        <v>181</v>
      </c>
      <c r="H184" s="22">
        <f t="shared" si="16"/>
        <v>1030868.2966248675</v>
      </c>
      <c r="I184" s="22">
        <f t="shared" si="17"/>
        <v>3019.4781091796272</v>
      </c>
      <c r="J184" s="22">
        <f t="shared" si="18"/>
        <v>4381.3408081475172</v>
      </c>
      <c r="K184" s="22">
        <f t="shared" si="19"/>
        <v>7400.8189173271448</v>
      </c>
      <c r="L184" s="22">
        <f t="shared" si="20"/>
        <v>587.67671084947494</v>
      </c>
      <c r="M184" s="22"/>
      <c r="N184" s="22"/>
      <c r="O184" s="22"/>
      <c r="P184" s="22"/>
      <c r="Q184" s="22"/>
      <c r="R184" s="22"/>
      <c r="S184" s="23">
        <f t="shared" si="21"/>
        <v>7988.4956281766199</v>
      </c>
      <c r="T184" s="24">
        <f t="shared" si="22"/>
        <v>6786.1106881669193</v>
      </c>
    </row>
    <row r="185" spans="7:20">
      <c r="G185" s="5">
        <v>182</v>
      </c>
      <c r="H185" s="22">
        <f t="shared" si="16"/>
        <v>1026474.1769060296</v>
      </c>
      <c r="I185" s="22">
        <f t="shared" si="17"/>
        <v>3006.699198489197</v>
      </c>
      <c r="J185" s="22">
        <f t="shared" si="18"/>
        <v>4394.1197188379483</v>
      </c>
      <c r="K185" s="22">
        <f t="shared" si="19"/>
        <v>7400.8189173271448</v>
      </c>
      <c r="L185" s="22">
        <f t="shared" si="20"/>
        <v>585.18956971738316</v>
      </c>
      <c r="M185" s="22"/>
      <c r="N185" s="22"/>
      <c r="O185" s="22"/>
      <c r="P185" s="22"/>
      <c r="Q185" s="22"/>
      <c r="R185" s="22"/>
      <c r="S185" s="23">
        <f t="shared" si="21"/>
        <v>7986.008487044528</v>
      </c>
      <c r="T185" s="24">
        <f t="shared" si="22"/>
        <v>6788.7122309756678</v>
      </c>
    </row>
    <row r="186" spans="7:20">
      <c r="G186" s="5">
        <v>183</v>
      </c>
      <c r="H186" s="22">
        <f t="shared" si="16"/>
        <v>1022067.2410046783</v>
      </c>
      <c r="I186" s="22">
        <f t="shared" si="17"/>
        <v>2993.8830159759195</v>
      </c>
      <c r="J186" s="22">
        <f t="shared" si="18"/>
        <v>4406.9359013512258</v>
      </c>
      <c r="K186" s="22">
        <f t="shared" si="19"/>
        <v>7400.8189173271448</v>
      </c>
      <c r="L186" s="22">
        <f t="shared" si="20"/>
        <v>582.69517442365623</v>
      </c>
      <c r="M186" s="22"/>
      <c r="N186" s="22"/>
      <c r="O186" s="22"/>
      <c r="P186" s="22"/>
      <c r="Q186" s="22"/>
      <c r="R186" s="22"/>
      <c r="S186" s="23">
        <f t="shared" si="21"/>
        <v>7983.5140917508015</v>
      </c>
      <c r="T186" s="24">
        <f t="shared" si="22"/>
        <v>6791.3213616176099</v>
      </c>
    </row>
    <row r="187" spans="7:20">
      <c r="G187" s="5">
        <v>184</v>
      </c>
      <c r="H187" s="22">
        <f t="shared" si="16"/>
        <v>1017647.4515402814</v>
      </c>
      <c r="I187" s="22">
        <f t="shared" si="17"/>
        <v>2981.0294529303119</v>
      </c>
      <c r="J187" s="22">
        <f t="shared" si="18"/>
        <v>4419.789464396833</v>
      </c>
      <c r="K187" s="22">
        <f t="shared" si="19"/>
        <v>7400.8189173271448</v>
      </c>
      <c r="L187" s="22">
        <f t="shared" si="20"/>
        <v>580.19350381032245</v>
      </c>
      <c r="M187" s="22"/>
      <c r="N187" s="22"/>
      <c r="O187" s="22"/>
      <c r="P187" s="22"/>
      <c r="Q187" s="22"/>
      <c r="R187" s="22"/>
      <c r="S187" s="23">
        <f t="shared" si="21"/>
        <v>7981.0124211374678</v>
      </c>
      <c r="T187" s="24">
        <f t="shared" si="22"/>
        <v>6793.9381022239231</v>
      </c>
    </row>
    <row r="188" spans="7:20">
      <c r="G188" s="5">
        <v>185</v>
      </c>
      <c r="H188" s="22">
        <f t="shared" si="16"/>
        <v>1013214.7710232801</v>
      </c>
      <c r="I188" s="22">
        <f t="shared" si="17"/>
        <v>2968.1384003258208</v>
      </c>
      <c r="J188" s="22">
        <f t="shared" si="18"/>
        <v>4432.680517001324</v>
      </c>
      <c r="K188" s="22">
        <f t="shared" si="19"/>
        <v>7400.8189173271448</v>
      </c>
      <c r="L188" s="22">
        <f t="shared" si="20"/>
        <v>577.68453665769982</v>
      </c>
      <c r="M188" s="22"/>
      <c r="N188" s="22"/>
      <c r="O188" s="22"/>
      <c r="P188" s="22"/>
      <c r="Q188" s="22"/>
      <c r="R188" s="22"/>
      <c r="S188" s="23">
        <f t="shared" si="21"/>
        <v>7978.5034539848448</v>
      </c>
      <c r="T188" s="24">
        <f t="shared" si="22"/>
        <v>6796.5624749903382</v>
      </c>
    </row>
    <row r="189" spans="7:20">
      <c r="G189" s="5">
        <v>186</v>
      </c>
      <c r="H189" s="22">
        <f t="shared" si="16"/>
        <v>1008769.1618547708</v>
      </c>
      <c r="I189" s="22">
        <f t="shared" si="17"/>
        <v>2955.2097488179006</v>
      </c>
      <c r="J189" s="22">
        <f t="shared" si="18"/>
        <v>4445.6091685092442</v>
      </c>
      <c r="K189" s="22">
        <f t="shared" si="19"/>
        <v>7400.8189173271448</v>
      </c>
      <c r="L189" s="22">
        <f t="shared" si="20"/>
        <v>575.16825168421542</v>
      </c>
      <c r="M189" s="22"/>
      <c r="N189" s="22"/>
      <c r="O189" s="22"/>
      <c r="P189" s="22"/>
      <c r="Q189" s="22"/>
      <c r="R189" s="22"/>
      <c r="S189" s="23">
        <f t="shared" si="21"/>
        <v>7975.9871690113605</v>
      </c>
      <c r="T189" s="24">
        <f t="shared" si="22"/>
        <v>6799.1945021773217</v>
      </c>
    </row>
    <row r="190" spans="7:20">
      <c r="G190" s="5">
        <v>187</v>
      </c>
      <c r="H190" s="22">
        <f t="shared" si="16"/>
        <v>1004310.5863261868</v>
      </c>
      <c r="I190" s="22">
        <f t="shared" si="17"/>
        <v>2942.2433887430816</v>
      </c>
      <c r="J190" s="22">
        <f t="shared" si="18"/>
        <v>4458.5755285840632</v>
      </c>
      <c r="K190" s="22">
        <f t="shared" si="19"/>
        <v>7400.8189173271448</v>
      </c>
      <c r="L190" s="22">
        <f t="shared" si="20"/>
        <v>572.64462754622502</v>
      </c>
      <c r="M190" s="22"/>
      <c r="N190" s="22"/>
      <c r="O190" s="22"/>
      <c r="P190" s="22"/>
      <c r="Q190" s="22"/>
      <c r="R190" s="22"/>
      <c r="S190" s="23">
        <f t="shared" si="21"/>
        <v>7973.4635448733698</v>
      </c>
      <c r="T190" s="24">
        <f t="shared" si="22"/>
        <v>6801.8342061102676</v>
      </c>
    </row>
    <row r="191" spans="7:20">
      <c r="G191" s="5">
        <v>188</v>
      </c>
      <c r="H191" s="22">
        <f t="shared" si="16"/>
        <v>999839.00661897764</v>
      </c>
      <c r="I191" s="22">
        <f t="shared" si="17"/>
        <v>2929.2392101180449</v>
      </c>
      <c r="J191" s="22">
        <f t="shared" si="18"/>
        <v>4471.5797072091</v>
      </c>
      <c r="K191" s="22">
        <f t="shared" si="19"/>
        <v>7400.8189173271448</v>
      </c>
      <c r="L191" s="22">
        <f t="shared" si="20"/>
        <v>570.11364283783212</v>
      </c>
      <c r="M191" s="22"/>
      <c r="N191" s="22"/>
      <c r="O191" s="22"/>
      <c r="P191" s="22"/>
      <c r="Q191" s="22"/>
      <c r="R191" s="22"/>
      <c r="S191" s="23">
        <f t="shared" si="21"/>
        <v>7970.9325601649771</v>
      </c>
      <c r="T191" s="24">
        <f t="shared" si="22"/>
        <v>6804.4816091796847</v>
      </c>
    </row>
    <row r="192" spans="7:20">
      <c r="G192" s="5">
        <v>189</v>
      </c>
      <c r="H192" s="22">
        <f t="shared" si="16"/>
        <v>995354.38480428921</v>
      </c>
      <c r="I192" s="22">
        <f t="shared" si="17"/>
        <v>2916.197102638685</v>
      </c>
      <c r="J192" s="22">
        <f t="shared" si="18"/>
        <v>4484.6218146884603</v>
      </c>
      <c r="K192" s="22">
        <f t="shared" si="19"/>
        <v>7400.8189173271448</v>
      </c>
      <c r="L192" s="22">
        <f t="shared" si="20"/>
        <v>567.57527609070632</v>
      </c>
      <c r="M192" s="22"/>
      <c r="N192" s="22"/>
      <c r="O192" s="22"/>
      <c r="P192" s="22"/>
      <c r="Q192" s="22"/>
      <c r="R192" s="22"/>
      <c r="S192" s="23">
        <f t="shared" si="21"/>
        <v>7968.3941934178511</v>
      </c>
      <c r="T192" s="24">
        <f t="shared" si="22"/>
        <v>6807.1367338413875</v>
      </c>
    </row>
    <row r="193" spans="7:20">
      <c r="G193" s="5">
        <v>190</v>
      </c>
      <c r="H193" s="22">
        <f t="shared" si="16"/>
        <v>990856.68284264125</v>
      </c>
      <c r="I193" s="22">
        <f t="shared" si="17"/>
        <v>2903.116955679177</v>
      </c>
      <c r="J193" s="22">
        <f t="shared" si="18"/>
        <v>4497.7019616479683</v>
      </c>
      <c r="K193" s="22">
        <f t="shared" si="19"/>
        <v>7400.8189173271448</v>
      </c>
      <c r="L193" s="22">
        <f t="shared" si="20"/>
        <v>565.02950577390152</v>
      </c>
      <c r="M193" s="22"/>
      <c r="N193" s="22"/>
      <c r="O193" s="22"/>
      <c r="P193" s="22"/>
      <c r="Q193" s="22"/>
      <c r="R193" s="22"/>
      <c r="S193" s="23">
        <f t="shared" si="21"/>
        <v>7965.8484231010461</v>
      </c>
      <c r="T193" s="24">
        <f t="shared" si="22"/>
        <v>6809.7996026166866</v>
      </c>
    </row>
    <row r="194" spans="7:20">
      <c r="G194" s="5">
        <v>191</v>
      </c>
      <c r="H194" s="22">
        <f t="shared" si="16"/>
        <v>986345.86258360511</v>
      </c>
      <c r="I194" s="22">
        <f t="shared" si="17"/>
        <v>2889.9986582910369</v>
      </c>
      <c r="J194" s="22">
        <f t="shared" si="18"/>
        <v>4510.8202590361079</v>
      </c>
      <c r="K194" s="22">
        <f t="shared" si="19"/>
        <v>7400.8189173271448</v>
      </c>
      <c r="L194" s="22">
        <f t="shared" si="20"/>
        <v>562.47631029367278</v>
      </c>
      <c r="M194" s="22"/>
      <c r="N194" s="22"/>
      <c r="O194" s="22"/>
      <c r="P194" s="22"/>
      <c r="Q194" s="22"/>
      <c r="R194" s="22"/>
      <c r="S194" s="23">
        <f t="shared" si="21"/>
        <v>7963.295227620818</v>
      </c>
      <c r="T194" s="24">
        <f t="shared" si="22"/>
        <v>6812.470238092581</v>
      </c>
    </row>
    <row r="195" spans="7:20">
      <c r="G195" s="5">
        <v>192</v>
      </c>
      <c r="H195" s="22">
        <f t="shared" si="16"/>
        <v>981821.88576548011</v>
      </c>
      <c r="I195" s="22">
        <f t="shared" si="17"/>
        <v>2876.8420992021815</v>
      </c>
      <c r="J195" s="22">
        <f t="shared" si="18"/>
        <v>4523.9768181249638</v>
      </c>
      <c r="K195" s="22">
        <f t="shared" si="19"/>
        <v>7400.8189173271448</v>
      </c>
      <c r="L195" s="22">
        <f t="shared" si="20"/>
        <v>559.91566799329325</v>
      </c>
      <c r="M195" s="22"/>
      <c r="N195" s="22"/>
      <c r="O195" s="22"/>
      <c r="P195" s="22"/>
      <c r="Q195" s="22"/>
      <c r="R195" s="22"/>
      <c r="S195" s="23">
        <f t="shared" si="21"/>
        <v>7960.7345853204379</v>
      </c>
      <c r="T195" s="24">
        <f t="shared" si="22"/>
        <v>6815.1486629219462</v>
      </c>
    </row>
    <row r="196" spans="7:20">
      <c r="G196" s="5">
        <v>193</v>
      </c>
      <c r="H196" s="22">
        <f t="shared" ref="H196:H259" si="23">H195-J196</f>
        <v>977284.71401496895</v>
      </c>
      <c r="I196" s="22">
        <f t="shared" ref="I196:I259" si="24">$E$9/$E$13*H195</f>
        <v>2863.6471668159838</v>
      </c>
      <c r="J196" s="22">
        <f t="shared" ref="J196:J259" si="25">K196-I196</f>
        <v>4537.171750511161</v>
      </c>
      <c r="K196" s="22">
        <f t="shared" ref="K196:K259" si="26">IF(G196&gt;$E$14,0,$E$16)</f>
        <v>7400.8189173271448</v>
      </c>
      <c r="L196" s="22">
        <f t="shared" ref="L196:L259" si="27">$E$10/$E$13*H195</f>
        <v>557.34755715287099</v>
      </c>
      <c r="M196" s="22"/>
      <c r="N196" s="22"/>
      <c r="O196" s="22"/>
      <c r="P196" s="22"/>
      <c r="Q196" s="22"/>
      <c r="R196" s="22"/>
      <c r="S196" s="23">
        <f t="shared" ref="S196:S259" si="28">K196+L196</f>
        <v>7958.1664744800155</v>
      </c>
      <c r="T196" s="24">
        <f t="shared" ref="T196:T259" si="29">S196-1/3*(I196+L196)</f>
        <v>6817.8348998237307</v>
      </c>
    </row>
    <row r="197" spans="7:20">
      <c r="G197" s="5">
        <v>194</v>
      </c>
      <c r="H197" s="22">
        <f t="shared" si="23"/>
        <v>972734.30884685216</v>
      </c>
      <c r="I197" s="22">
        <f t="shared" si="24"/>
        <v>2850.4137492103264</v>
      </c>
      <c r="J197" s="22">
        <f t="shared" si="25"/>
        <v>4550.4051681168185</v>
      </c>
      <c r="K197" s="22">
        <f t="shared" si="26"/>
        <v>7400.8189173271448</v>
      </c>
      <c r="L197" s="22">
        <f t="shared" si="27"/>
        <v>554.7719559891641</v>
      </c>
      <c r="M197" s="22"/>
      <c r="N197" s="22"/>
      <c r="O197" s="22"/>
      <c r="P197" s="22"/>
      <c r="Q197" s="22"/>
      <c r="R197" s="22"/>
      <c r="S197" s="23">
        <f t="shared" si="28"/>
        <v>7955.5908733163087</v>
      </c>
      <c r="T197" s="24">
        <f t="shared" si="29"/>
        <v>6820.5289715831459</v>
      </c>
    </row>
    <row r="198" spans="7:20">
      <c r="G198" s="5">
        <v>195</v>
      </c>
      <c r="H198" s="22">
        <f t="shared" si="23"/>
        <v>968170.63166366168</v>
      </c>
      <c r="I198" s="22">
        <f t="shared" si="24"/>
        <v>2837.1417341366523</v>
      </c>
      <c r="J198" s="22">
        <f t="shared" si="25"/>
        <v>4563.6771831904925</v>
      </c>
      <c r="K198" s="22">
        <f t="shared" si="26"/>
        <v>7400.8189173271448</v>
      </c>
      <c r="L198" s="22">
        <f t="shared" si="27"/>
        <v>552.18884265539646</v>
      </c>
      <c r="M198" s="22"/>
      <c r="N198" s="22"/>
      <c r="O198" s="22"/>
      <c r="P198" s="22"/>
      <c r="Q198" s="22"/>
      <c r="R198" s="22"/>
      <c r="S198" s="23">
        <f t="shared" si="28"/>
        <v>7953.0077599825418</v>
      </c>
      <c r="T198" s="24">
        <f t="shared" si="29"/>
        <v>6823.2309010518584</v>
      </c>
    </row>
    <row r="199" spans="7:20">
      <c r="G199" s="5">
        <v>196</v>
      </c>
      <c r="H199" s="22">
        <f t="shared" si="23"/>
        <v>963593.64375535352</v>
      </c>
      <c r="I199" s="22">
        <f t="shared" si="24"/>
        <v>2823.8310090190134</v>
      </c>
      <c r="J199" s="22">
        <f t="shared" si="25"/>
        <v>4576.9879083081314</v>
      </c>
      <c r="K199" s="22">
        <f t="shared" si="26"/>
        <v>7400.8189173271448</v>
      </c>
      <c r="L199" s="22">
        <f t="shared" si="27"/>
        <v>549.59819524107206</v>
      </c>
      <c r="M199" s="22"/>
      <c r="N199" s="22"/>
      <c r="O199" s="22"/>
      <c r="P199" s="22"/>
      <c r="Q199" s="22"/>
      <c r="R199" s="22"/>
      <c r="S199" s="23">
        <f t="shared" si="28"/>
        <v>7950.4171125682169</v>
      </c>
      <c r="T199" s="24">
        <f t="shared" si="29"/>
        <v>6825.9407111481887</v>
      </c>
    </row>
    <row r="200" spans="7:20">
      <c r="G200" s="5">
        <v>197</v>
      </c>
      <c r="H200" s="22">
        <f t="shared" si="23"/>
        <v>959003.30629897944</v>
      </c>
      <c r="I200" s="22">
        <f t="shared" si="24"/>
        <v>2810.4814609531145</v>
      </c>
      <c r="J200" s="22">
        <f t="shared" si="25"/>
        <v>4590.3374563740308</v>
      </c>
      <c r="K200" s="22">
        <f t="shared" si="26"/>
        <v>7400.8189173271448</v>
      </c>
      <c r="L200" s="22">
        <f t="shared" si="27"/>
        <v>546.99999177178904</v>
      </c>
      <c r="M200" s="22"/>
      <c r="N200" s="22"/>
      <c r="O200" s="22"/>
      <c r="P200" s="22"/>
      <c r="Q200" s="22"/>
      <c r="R200" s="22"/>
      <c r="S200" s="23">
        <f t="shared" si="28"/>
        <v>7947.8189090989335</v>
      </c>
      <c r="T200" s="24">
        <f t="shared" si="29"/>
        <v>6828.658424857299</v>
      </c>
    </row>
    <row r="201" spans="7:20">
      <c r="G201" s="5">
        <v>198</v>
      </c>
      <c r="H201" s="22">
        <f t="shared" si="23"/>
        <v>954399.58035835763</v>
      </c>
      <c r="I201" s="22">
        <f t="shared" si="24"/>
        <v>2797.0929767053567</v>
      </c>
      <c r="J201" s="22">
        <f t="shared" si="25"/>
        <v>4603.7259406217881</v>
      </c>
      <c r="K201" s="22">
        <f t="shared" si="26"/>
        <v>7400.8189173271448</v>
      </c>
      <c r="L201" s="22">
        <f t="shared" si="27"/>
        <v>544.39421020905411</v>
      </c>
      <c r="M201" s="22"/>
      <c r="N201" s="22"/>
      <c r="O201" s="22"/>
      <c r="P201" s="22"/>
      <c r="Q201" s="22"/>
      <c r="R201" s="22"/>
      <c r="S201" s="23">
        <f t="shared" si="28"/>
        <v>7945.213127536199</v>
      </c>
      <c r="T201" s="24">
        <f t="shared" si="29"/>
        <v>6831.3840652313957</v>
      </c>
    </row>
    <row r="202" spans="7:20">
      <c r="G202" s="5">
        <v>199</v>
      </c>
      <c r="H202" s="22">
        <f t="shared" si="23"/>
        <v>949782.42688374233</v>
      </c>
      <c r="I202" s="22">
        <f t="shared" si="24"/>
        <v>2783.6654427118765</v>
      </c>
      <c r="J202" s="22">
        <f t="shared" si="25"/>
        <v>4617.1534746152684</v>
      </c>
      <c r="K202" s="22">
        <f t="shared" si="26"/>
        <v>7400.8189173271448</v>
      </c>
      <c r="L202" s="22">
        <f t="shared" si="27"/>
        <v>541.78082845009442</v>
      </c>
      <c r="M202" s="22"/>
      <c r="N202" s="22"/>
      <c r="O202" s="22"/>
      <c r="P202" s="22"/>
      <c r="Q202" s="22"/>
      <c r="R202" s="22"/>
      <c r="S202" s="23">
        <f t="shared" si="28"/>
        <v>7942.5997457772391</v>
      </c>
      <c r="T202" s="24">
        <f t="shared" si="29"/>
        <v>6834.1176553899159</v>
      </c>
    </row>
    <row r="203" spans="7:20">
      <c r="G203" s="5">
        <v>200</v>
      </c>
      <c r="H203" s="22">
        <f t="shared" si="23"/>
        <v>945151.80671149271</v>
      </c>
      <c r="I203" s="22">
        <f t="shared" si="24"/>
        <v>2770.1987450775819</v>
      </c>
      <c r="J203" s="22">
        <f t="shared" si="25"/>
        <v>4630.6201722495625</v>
      </c>
      <c r="K203" s="22">
        <f t="shared" si="26"/>
        <v>7400.8189173271448</v>
      </c>
      <c r="L203" s="22">
        <f t="shared" si="27"/>
        <v>539.15982432767112</v>
      </c>
      <c r="M203" s="22"/>
      <c r="N203" s="22"/>
      <c r="O203" s="22"/>
      <c r="P203" s="22"/>
      <c r="Q203" s="22"/>
      <c r="R203" s="22"/>
      <c r="S203" s="23">
        <f t="shared" si="28"/>
        <v>7939.9787416548161</v>
      </c>
      <c r="T203" s="24">
        <f t="shared" si="29"/>
        <v>6836.8592185197322</v>
      </c>
    </row>
    <row r="204" spans="7:20">
      <c r="G204" s="5">
        <v>201</v>
      </c>
      <c r="H204" s="22">
        <f t="shared" si="23"/>
        <v>940507.68056374078</v>
      </c>
      <c r="I204" s="22">
        <f t="shared" si="24"/>
        <v>2756.6927695751874</v>
      </c>
      <c r="J204" s="22">
        <f t="shared" si="25"/>
        <v>4644.1261477519574</v>
      </c>
      <c r="K204" s="22">
        <f t="shared" si="26"/>
        <v>7400.8189173271448</v>
      </c>
      <c r="L204" s="22">
        <f t="shared" si="27"/>
        <v>536.53117560989074</v>
      </c>
      <c r="M204" s="22"/>
      <c r="N204" s="22"/>
      <c r="O204" s="22"/>
      <c r="P204" s="22"/>
      <c r="Q204" s="22"/>
      <c r="R204" s="22"/>
      <c r="S204" s="23">
        <f t="shared" si="28"/>
        <v>7937.3500929370357</v>
      </c>
      <c r="T204" s="24">
        <f t="shared" si="29"/>
        <v>6839.6087778753426</v>
      </c>
    </row>
    <row r="205" spans="7:20">
      <c r="G205" s="5">
        <v>202</v>
      </c>
      <c r="H205" s="22">
        <f t="shared" si="23"/>
        <v>935850.00904805784</v>
      </c>
      <c r="I205" s="22">
        <f t="shared" si="24"/>
        <v>2743.1474016442439</v>
      </c>
      <c r="J205" s="22">
        <f t="shared" si="25"/>
        <v>4657.6715156829014</v>
      </c>
      <c r="K205" s="22">
        <f t="shared" si="26"/>
        <v>7400.8189173271448</v>
      </c>
      <c r="L205" s="22">
        <f t="shared" si="27"/>
        <v>533.89486000001693</v>
      </c>
      <c r="M205" s="22"/>
      <c r="N205" s="22"/>
      <c r="O205" s="22"/>
      <c r="P205" s="22"/>
      <c r="Q205" s="22"/>
      <c r="R205" s="22"/>
      <c r="S205" s="23">
        <f t="shared" si="28"/>
        <v>7934.7137773271616</v>
      </c>
      <c r="T205" s="24">
        <f t="shared" si="29"/>
        <v>6842.3663567790745</v>
      </c>
    </row>
    <row r="206" spans="7:20">
      <c r="G206" s="5">
        <v>203</v>
      </c>
      <c r="H206" s="22">
        <f t="shared" si="23"/>
        <v>931178.75265712081</v>
      </c>
      <c r="I206" s="22">
        <f t="shared" si="24"/>
        <v>2729.5625263901688</v>
      </c>
      <c r="J206" s="22">
        <f t="shared" si="25"/>
        <v>4671.2563909369765</v>
      </c>
      <c r="K206" s="22">
        <f t="shared" si="26"/>
        <v>7400.8189173271448</v>
      </c>
      <c r="L206" s="22">
        <f t="shared" si="27"/>
        <v>531.25085513628085</v>
      </c>
      <c r="M206" s="22"/>
      <c r="N206" s="22"/>
      <c r="O206" s="22"/>
      <c r="P206" s="22"/>
      <c r="Q206" s="22"/>
      <c r="R206" s="22"/>
      <c r="S206" s="23">
        <f t="shared" si="28"/>
        <v>7932.0697724634256</v>
      </c>
      <c r="T206" s="24">
        <f t="shared" si="29"/>
        <v>6845.1319786212753</v>
      </c>
    </row>
    <row r="207" spans="7:20">
      <c r="G207" s="5">
        <v>204</v>
      </c>
      <c r="H207" s="22">
        <f t="shared" si="23"/>
        <v>926493.87176837691</v>
      </c>
      <c r="I207" s="22">
        <f t="shared" si="24"/>
        <v>2715.938028583269</v>
      </c>
      <c r="J207" s="22">
        <f t="shared" si="25"/>
        <v>4684.8808887438754</v>
      </c>
      <c r="K207" s="22">
        <f t="shared" si="26"/>
        <v>7400.8189173271448</v>
      </c>
      <c r="L207" s="22">
        <f t="shared" si="27"/>
        <v>528.59913859169228</v>
      </c>
      <c r="M207" s="22"/>
      <c r="N207" s="22"/>
      <c r="O207" s="22"/>
      <c r="P207" s="22"/>
      <c r="Q207" s="22"/>
      <c r="R207" s="22"/>
      <c r="S207" s="23">
        <f t="shared" si="28"/>
        <v>7929.4180559188371</v>
      </c>
      <c r="T207" s="24">
        <f t="shared" si="29"/>
        <v>6847.9056668605172</v>
      </c>
    </row>
    <row r="208" spans="7:20">
      <c r="G208" s="5">
        <v>205</v>
      </c>
      <c r="H208" s="22">
        <f t="shared" si="23"/>
        <v>921795.32664370758</v>
      </c>
      <c r="I208" s="22">
        <f t="shared" si="24"/>
        <v>2702.2737926577661</v>
      </c>
      <c r="J208" s="22">
        <f t="shared" si="25"/>
        <v>4698.5451246693792</v>
      </c>
      <c r="K208" s="22">
        <f t="shared" si="26"/>
        <v>7400.8189173271448</v>
      </c>
      <c r="L208" s="22">
        <f t="shared" si="27"/>
        <v>525.9396878738487</v>
      </c>
      <c r="M208" s="22"/>
      <c r="N208" s="22"/>
      <c r="O208" s="22"/>
      <c r="P208" s="22"/>
      <c r="Q208" s="22"/>
      <c r="R208" s="22"/>
      <c r="S208" s="23">
        <f t="shared" si="28"/>
        <v>7926.7586052009938</v>
      </c>
      <c r="T208" s="24">
        <f t="shared" si="29"/>
        <v>6850.6874450237892</v>
      </c>
    </row>
    <row r="209" spans="7:20">
      <c r="G209" s="5">
        <v>206</v>
      </c>
      <c r="H209" s="22">
        <f t="shared" si="23"/>
        <v>917083.07742909121</v>
      </c>
      <c r="I209" s="22">
        <f t="shared" si="24"/>
        <v>2688.569702710814</v>
      </c>
      <c r="J209" s="22">
        <f t="shared" si="25"/>
        <v>4712.2492146163313</v>
      </c>
      <c r="K209" s="22">
        <f t="shared" si="26"/>
        <v>7400.8189173271448</v>
      </c>
      <c r="L209" s="22">
        <f t="shared" si="27"/>
        <v>523.27248042474469</v>
      </c>
      <c r="M209" s="22"/>
      <c r="N209" s="22"/>
      <c r="O209" s="22"/>
      <c r="P209" s="22"/>
      <c r="Q209" s="22"/>
      <c r="R209" s="22"/>
      <c r="S209" s="23">
        <f t="shared" si="28"/>
        <v>7924.0913977518894</v>
      </c>
      <c r="T209" s="24">
        <f t="shared" si="29"/>
        <v>6853.4773367067028</v>
      </c>
    </row>
    <row r="210" spans="7:20">
      <c r="G210" s="5">
        <v>207</v>
      </c>
      <c r="H210" s="22">
        <f t="shared" si="23"/>
        <v>912357.08415426558</v>
      </c>
      <c r="I210" s="22">
        <f t="shared" si="24"/>
        <v>2674.8256425015161</v>
      </c>
      <c r="J210" s="22">
        <f t="shared" si="25"/>
        <v>4725.9932748256288</v>
      </c>
      <c r="K210" s="22">
        <f t="shared" si="26"/>
        <v>7400.8189173271448</v>
      </c>
      <c r="L210" s="22">
        <f t="shared" si="27"/>
        <v>520.59749362058085</v>
      </c>
      <c r="M210" s="22"/>
      <c r="N210" s="22"/>
      <c r="O210" s="22"/>
      <c r="P210" s="22"/>
      <c r="Q210" s="22"/>
      <c r="R210" s="22"/>
      <c r="S210" s="23">
        <f t="shared" si="28"/>
        <v>7921.416410947726</v>
      </c>
      <c r="T210" s="24">
        <f t="shared" si="29"/>
        <v>6856.2753655736942</v>
      </c>
    </row>
    <row r="211" spans="7:20">
      <c r="G211" s="5">
        <v>208</v>
      </c>
      <c r="H211" s="22">
        <f t="shared" si="23"/>
        <v>907617.30673238833</v>
      </c>
      <c r="I211" s="22">
        <f t="shared" si="24"/>
        <v>2661.0414954499415</v>
      </c>
      <c r="J211" s="22">
        <f t="shared" si="25"/>
        <v>4739.7774218772029</v>
      </c>
      <c r="K211" s="22">
        <f t="shared" si="26"/>
        <v>7400.8189173271448</v>
      </c>
      <c r="L211" s="22">
        <f t="shared" si="27"/>
        <v>517.91470477157145</v>
      </c>
      <c r="M211" s="22"/>
      <c r="N211" s="22"/>
      <c r="O211" s="22"/>
      <c r="P211" s="22"/>
      <c r="Q211" s="22"/>
      <c r="R211" s="22"/>
      <c r="S211" s="23">
        <f t="shared" si="28"/>
        <v>7918.7336220987163</v>
      </c>
      <c r="T211" s="24">
        <f t="shared" si="29"/>
        <v>6859.0815553582124</v>
      </c>
    </row>
    <row r="212" spans="7:20">
      <c r="G212" s="5">
        <v>209</v>
      </c>
      <c r="H212" s="22">
        <f t="shared" si="23"/>
        <v>902863.70495969732</v>
      </c>
      <c r="I212" s="22">
        <f t="shared" si="24"/>
        <v>2647.2171446361326</v>
      </c>
      <c r="J212" s="22">
        <f t="shared" si="25"/>
        <v>4753.6017726910122</v>
      </c>
      <c r="K212" s="22">
        <f t="shared" si="26"/>
        <v>7400.8189173271448</v>
      </c>
      <c r="L212" s="22">
        <f t="shared" si="27"/>
        <v>515.22409112175251</v>
      </c>
      <c r="M212" s="22"/>
      <c r="N212" s="22"/>
      <c r="O212" s="22"/>
      <c r="P212" s="22"/>
      <c r="Q212" s="22"/>
      <c r="R212" s="22"/>
      <c r="S212" s="23">
        <f t="shared" si="28"/>
        <v>7916.0430084488971</v>
      </c>
      <c r="T212" s="24">
        <f t="shared" si="29"/>
        <v>6861.8959298629361</v>
      </c>
    </row>
    <row r="213" spans="7:20">
      <c r="G213" s="5">
        <v>210</v>
      </c>
      <c r="H213" s="22">
        <f t="shared" si="23"/>
        <v>898096.23851516924</v>
      </c>
      <c r="I213" s="22">
        <f t="shared" si="24"/>
        <v>2633.3524727991171</v>
      </c>
      <c r="J213" s="22">
        <f t="shared" si="25"/>
        <v>4767.4664445280278</v>
      </c>
      <c r="K213" s="22">
        <f t="shared" si="26"/>
        <v>7400.8189173271448</v>
      </c>
      <c r="L213" s="22">
        <f t="shared" si="27"/>
        <v>512.52562984878818</v>
      </c>
      <c r="M213" s="22"/>
      <c r="N213" s="22"/>
      <c r="O213" s="22"/>
      <c r="P213" s="22"/>
      <c r="Q213" s="22"/>
      <c r="R213" s="22"/>
      <c r="S213" s="23">
        <f t="shared" si="28"/>
        <v>7913.3445471759333</v>
      </c>
      <c r="T213" s="24">
        <f t="shared" si="29"/>
        <v>6864.7185129599648</v>
      </c>
    </row>
    <row r="214" spans="7:20">
      <c r="G214" s="5">
        <v>211</v>
      </c>
      <c r="H214" s="22">
        <f t="shared" si="23"/>
        <v>893314.86696017801</v>
      </c>
      <c r="I214" s="22">
        <f t="shared" si="24"/>
        <v>2619.4473623359104</v>
      </c>
      <c r="J214" s="22">
        <f t="shared" si="25"/>
        <v>4781.371554991234</v>
      </c>
      <c r="K214" s="22">
        <f t="shared" si="26"/>
        <v>7400.8189173271448</v>
      </c>
      <c r="L214" s="22">
        <f t="shared" si="27"/>
        <v>509.81929806377781</v>
      </c>
      <c r="M214" s="22"/>
      <c r="N214" s="22"/>
      <c r="O214" s="22"/>
      <c r="P214" s="22"/>
      <c r="Q214" s="22"/>
      <c r="R214" s="22"/>
      <c r="S214" s="23">
        <f t="shared" si="28"/>
        <v>7910.6382153909226</v>
      </c>
      <c r="T214" s="24">
        <f t="shared" si="29"/>
        <v>6867.549328591027</v>
      </c>
    </row>
    <row r="215" spans="7:20">
      <c r="G215" s="5">
        <v>212</v>
      </c>
      <c r="H215" s="22">
        <f t="shared" si="23"/>
        <v>888519.54973815137</v>
      </c>
      <c r="I215" s="22">
        <f t="shared" si="24"/>
        <v>2605.5016953005193</v>
      </c>
      <c r="J215" s="22">
        <f t="shared" si="25"/>
        <v>4795.317222026626</v>
      </c>
      <c r="K215" s="22">
        <f t="shared" si="26"/>
        <v>7400.8189173271448</v>
      </c>
      <c r="L215" s="22">
        <f t="shared" si="27"/>
        <v>507.10507281106112</v>
      </c>
      <c r="M215" s="22"/>
      <c r="N215" s="22"/>
      <c r="O215" s="22"/>
      <c r="P215" s="22"/>
      <c r="Q215" s="22"/>
      <c r="R215" s="22"/>
      <c r="S215" s="23">
        <f t="shared" si="28"/>
        <v>7907.9239901382061</v>
      </c>
      <c r="T215" s="24">
        <f t="shared" si="29"/>
        <v>6870.3884007676788</v>
      </c>
    </row>
    <row r="216" spans="7:20">
      <c r="G216" s="5">
        <v>213</v>
      </c>
      <c r="H216" s="22">
        <f t="shared" si="23"/>
        <v>883710.24617422721</v>
      </c>
      <c r="I216" s="22">
        <f t="shared" si="24"/>
        <v>2591.5153534029414</v>
      </c>
      <c r="J216" s="22">
        <f t="shared" si="25"/>
        <v>4809.3035639242034</v>
      </c>
      <c r="K216" s="22">
        <f t="shared" si="26"/>
        <v>7400.8189173271448</v>
      </c>
      <c r="L216" s="22">
        <f t="shared" si="27"/>
        <v>504.38293106802399</v>
      </c>
      <c r="M216" s="22"/>
      <c r="N216" s="22"/>
      <c r="O216" s="22"/>
      <c r="P216" s="22"/>
      <c r="Q216" s="22"/>
      <c r="R216" s="22"/>
      <c r="S216" s="23">
        <f t="shared" si="28"/>
        <v>7905.2018483951688</v>
      </c>
      <c r="T216" s="24">
        <f t="shared" si="29"/>
        <v>6873.2357535715137</v>
      </c>
    </row>
    <row r="217" spans="7:20">
      <c r="G217" s="5">
        <v>214</v>
      </c>
      <c r="H217" s="22">
        <f t="shared" si="23"/>
        <v>878886.91547490819</v>
      </c>
      <c r="I217" s="22">
        <f t="shared" si="24"/>
        <v>2577.4882180081627</v>
      </c>
      <c r="J217" s="22">
        <f t="shared" si="25"/>
        <v>4823.3306993189817</v>
      </c>
      <c r="K217" s="22">
        <f t="shared" si="26"/>
        <v>7400.8189173271448</v>
      </c>
      <c r="L217" s="22">
        <f t="shared" si="27"/>
        <v>501.65284974490305</v>
      </c>
      <c r="M217" s="22"/>
      <c r="N217" s="22"/>
      <c r="O217" s="22"/>
      <c r="P217" s="22"/>
      <c r="Q217" s="22"/>
      <c r="R217" s="22"/>
      <c r="S217" s="23">
        <f t="shared" si="28"/>
        <v>7902.4717670720474</v>
      </c>
      <c r="T217" s="24">
        <f t="shared" si="29"/>
        <v>6876.0914111543589</v>
      </c>
    </row>
    <row r="218" spans="7:20">
      <c r="G218" s="5">
        <v>215</v>
      </c>
      <c r="H218" s="22">
        <f t="shared" si="23"/>
        <v>874049.5167277162</v>
      </c>
      <c r="I218" s="22">
        <f t="shared" si="24"/>
        <v>2563.420170135149</v>
      </c>
      <c r="J218" s="22">
        <f t="shared" si="25"/>
        <v>4837.3987471919954</v>
      </c>
      <c r="K218" s="22">
        <f t="shared" si="26"/>
        <v>7400.8189173271448</v>
      </c>
      <c r="L218" s="22">
        <f t="shared" si="27"/>
        <v>498.91480568458962</v>
      </c>
      <c r="M218" s="22"/>
      <c r="N218" s="22"/>
      <c r="O218" s="22"/>
      <c r="P218" s="22"/>
      <c r="Q218" s="22"/>
      <c r="R218" s="22"/>
      <c r="S218" s="23">
        <f t="shared" si="28"/>
        <v>7899.7337230117346</v>
      </c>
      <c r="T218" s="24">
        <f t="shared" si="29"/>
        <v>6878.9553977384885</v>
      </c>
    </row>
    <row r="219" spans="7:20">
      <c r="G219" s="5">
        <v>216</v>
      </c>
      <c r="H219" s="22">
        <f t="shared" si="23"/>
        <v>869198.00890084484</v>
      </c>
      <c r="I219" s="22">
        <f t="shared" si="24"/>
        <v>2549.3110904558389</v>
      </c>
      <c r="J219" s="22">
        <f t="shared" si="25"/>
        <v>4851.507826871306</v>
      </c>
      <c r="K219" s="22">
        <f t="shared" si="26"/>
        <v>7400.8189173271448</v>
      </c>
      <c r="L219" s="22">
        <f t="shared" si="27"/>
        <v>496.16877566243363</v>
      </c>
      <c r="M219" s="22"/>
      <c r="N219" s="22"/>
      <c r="O219" s="22"/>
      <c r="P219" s="22"/>
      <c r="Q219" s="22"/>
      <c r="R219" s="22"/>
      <c r="S219" s="23">
        <f t="shared" si="28"/>
        <v>7896.9876929895781</v>
      </c>
      <c r="T219" s="24">
        <f t="shared" si="29"/>
        <v>6881.8277376168207</v>
      </c>
    </row>
    <row r="220" spans="7:20">
      <c r="G220" s="5">
        <v>217</v>
      </c>
      <c r="H220" s="22">
        <f t="shared" si="23"/>
        <v>864332.35084281187</v>
      </c>
      <c r="I220" s="22">
        <f t="shared" si="24"/>
        <v>2535.1608592941311</v>
      </c>
      <c r="J220" s="22">
        <f t="shared" si="25"/>
        <v>4865.6580580330137</v>
      </c>
      <c r="K220" s="22">
        <f t="shared" si="26"/>
        <v>7400.8189173271448</v>
      </c>
      <c r="L220" s="22">
        <f t="shared" si="27"/>
        <v>493.41473638604629</v>
      </c>
      <c r="M220" s="22"/>
      <c r="N220" s="22"/>
      <c r="O220" s="22"/>
      <c r="P220" s="22"/>
      <c r="Q220" s="22"/>
      <c r="R220" s="22"/>
      <c r="S220" s="23">
        <f t="shared" si="28"/>
        <v>7894.2336537131914</v>
      </c>
      <c r="T220" s="24">
        <f t="shared" si="29"/>
        <v>6884.7084551531325</v>
      </c>
    </row>
    <row r="221" spans="7:20">
      <c r="G221" s="5">
        <v>218</v>
      </c>
      <c r="H221" s="22">
        <f t="shared" si="23"/>
        <v>859452.50128210965</v>
      </c>
      <c r="I221" s="22">
        <f t="shared" si="24"/>
        <v>2520.9693566248679</v>
      </c>
      <c r="J221" s="22">
        <f t="shared" si="25"/>
        <v>4879.8495607022769</v>
      </c>
      <c r="K221" s="22">
        <f t="shared" si="26"/>
        <v>7400.8189173271448</v>
      </c>
      <c r="L221" s="22">
        <f t="shared" si="27"/>
        <v>490.6526644951029</v>
      </c>
      <c r="M221" s="22"/>
      <c r="N221" s="22"/>
      <c r="O221" s="22"/>
      <c r="P221" s="22"/>
      <c r="Q221" s="22"/>
      <c r="R221" s="22"/>
      <c r="S221" s="23">
        <f t="shared" si="28"/>
        <v>7891.4715818222476</v>
      </c>
      <c r="T221" s="24">
        <f t="shared" si="29"/>
        <v>6887.5975747822577</v>
      </c>
    </row>
    <row r="222" spans="7:20">
      <c r="G222" s="5">
        <v>219</v>
      </c>
      <c r="H222" s="22">
        <f t="shared" si="23"/>
        <v>854558.41882685537</v>
      </c>
      <c r="I222" s="22">
        <f t="shared" si="24"/>
        <v>2506.7364620728199</v>
      </c>
      <c r="J222" s="22">
        <f t="shared" si="25"/>
        <v>4894.0824552543254</v>
      </c>
      <c r="K222" s="22">
        <f t="shared" si="26"/>
        <v>7400.8189173271448</v>
      </c>
      <c r="L222" s="22">
        <f t="shared" si="27"/>
        <v>487.88253656114432</v>
      </c>
      <c r="M222" s="22"/>
      <c r="N222" s="22"/>
      <c r="O222" s="22"/>
      <c r="P222" s="22"/>
      <c r="Q222" s="22"/>
      <c r="R222" s="22"/>
      <c r="S222" s="23">
        <f t="shared" si="28"/>
        <v>7888.7014538882895</v>
      </c>
      <c r="T222" s="24">
        <f t="shared" si="29"/>
        <v>6890.4951210103018</v>
      </c>
    </row>
    <row r="223" spans="7:20">
      <c r="G223" s="5">
        <v>220</v>
      </c>
      <c r="H223" s="22">
        <f t="shared" si="23"/>
        <v>849650.06196443993</v>
      </c>
      <c r="I223" s="22">
        <f t="shared" si="24"/>
        <v>2492.4620549116617</v>
      </c>
      <c r="J223" s="22">
        <f t="shared" si="25"/>
        <v>4908.3568624154832</v>
      </c>
      <c r="K223" s="22">
        <f t="shared" si="26"/>
        <v>7400.8189173271448</v>
      </c>
      <c r="L223" s="22">
        <f t="shared" si="27"/>
        <v>485.10432908737829</v>
      </c>
      <c r="M223" s="22"/>
      <c r="N223" s="22"/>
      <c r="O223" s="22"/>
      <c r="P223" s="22"/>
      <c r="Q223" s="22"/>
      <c r="R223" s="22"/>
      <c r="S223" s="23">
        <f t="shared" si="28"/>
        <v>7885.9232464145234</v>
      </c>
      <c r="T223" s="24">
        <f t="shared" si="29"/>
        <v>6893.4011184148439</v>
      </c>
    </row>
    <row r="224" spans="7:20">
      <c r="G224" s="5">
        <v>221</v>
      </c>
      <c r="H224" s="22">
        <f t="shared" si="23"/>
        <v>844727.38906117575</v>
      </c>
      <c r="I224" s="22">
        <f t="shared" si="24"/>
        <v>2478.1460140629497</v>
      </c>
      <c r="J224" s="22">
        <f t="shared" si="25"/>
        <v>4922.6729032641952</v>
      </c>
      <c r="K224" s="22">
        <f t="shared" si="26"/>
        <v>7400.8189173271448</v>
      </c>
      <c r="L224" s="22">
        <f t="shared" si="27"/>
        <v>482.31801850848046</v>
      </c>
      <c r="M224" s="22"/>
      <c r="N224" s="22"/>
      <c r="O224" s="22"/>
      <c r="P224" s="22"/>
      <c r="Q224" s="22"/>
      <c r="R224" s="22"/>
      <c r="S224" s="23">
        <f t="shared" si="28"/>
        <v>7883.1369358356251</v>
      </c>
      <c r="T224" s="24">
        <f t="shared" si="29"/>
        <v>6896.3155916451487</v>
      </c>
    </row>
    <row r="225" spans="7:20">
      <c r="G225" s="5">
        <v>222</v>
      </c>
      <c r="H225" s="22">
        <f t="shared" si="23"/>
        <v>839790.35836194374</v>
      </c>
      <c r="I225" s="22">
        <f t="shared" si="24"/>
        <v>2463.788218095096</v>
      </c>
      <c r="J225" s="22">
        <f t="shared" si="25"/>
        <v>4937.0306992320493</v>
      </c>
      <c r="K225" s="22">
        <f t="shared" si="26"/>
        <v>7400.8189173271448</v>
      </c>
      <c r="L225" s="22">
        <f t="shared" si="27"/>
        <v>479.52358119039417</v>
      </c>
      <c r="M225" s="22"/>
      <c r="N225" s="22"/>
      <c r="O225" s="22"/>
      <c r="P225" s="22"/>
      <c r="Q225" s="22"/>
      <c r="R225" s="22"/>
      <c r="S225" s="23">
        <f t="shared" si="28"/>
        <v>7880.3424985175388</v>
      </c>
      <c r="T225" s="24">
        <f t="shared" si="29"/>
        <v>6899.2385654223754</v>
      </c>
    </row>
    <row r="226" spans="7:20">
      <c r="G226" s="5">
        <v>223</v>
      </c>
      <c r="H226" s="22">
        <f t="shared" si="23"/>
        <v>834838.92798983888</v>
      </c>
      <c r="I226" s="22">
        <f t="shared" si="24"/>
        <v>2449.3885452223362</v>
      </c>
      <c r="J226" s="22">
        <f t="shared" si="25"/>
        <v>4951.4303721048091</v>
      </c>
      <c r="K226" s="22">
        <f t="shared" si="26"/>
        <v>7400.8189173271448</v>
      </c>
      <c r="L226" s="22">
        <f t="shared" si="27"/>
        <v>476.72099343013014</v>
      </c>
      <c r="M226" s="22"/>
      <c r="N226" s="22"/>
      <c r="O226" s="22"/>
      <c r="P226" s="22"/>
      <c r="Q226" s="22"/>
      <c r="R226" s="22"/>
      <c r="S226" s="23">
        <f t="shared" si="28"/>
        <v>7877.5399107572748</v>
      </c>
      <c r="T226" s="24">
        <f t="shared" si="29"/>
        <v>6902.1700645397859</v>
      </c>
    </row>
    <row r="227" spans="7:20">
      <c r="G227" s="5">
        <v>224</v>
      </c>
      <c r="H227" s="22">
        <f t="shared" si="23"/>
        <v>829873.0559458154</v>
      </c>
      <c r="I227" s="22">
        <f t="shared" si="24"/>
        <v>2434.946873303697</v>
      </c>
      <c r="J227" s="22">
        <f t="shared" si="25"/>
        <v>4965.8720440234483</v>
      </c>
      <c r="K227" s="22">
        <f t="shared" si="26"/>
        <v>7400.8189173271448</v>
      </c>
      <c r="L227" s="22">
        <f t="shared" si="27"/>
        <v>473.91023145556528</v>
      </c>
      <c r="M227" s="22"/>
      <c r="N227" s="22"/>
      <c r="O227" s="22"/>
      <c r="P227" s="22"/>
      <c r="Q227" s="22"/>
      <c r="R227" s="22"/>
      <c r="S227" s="23">
        <f t="shared" si="28"/>
        <v>7874.7291487827097</v>
      </c>
      <c r="T227" s="24">
        <f t="shared" si="29"/>
        <v>6905.1101138629556</v>
      </c>
    </row>
    <row r="228" spans="7:20">
      <c r="G228" s="5">
        <v>225</v>
      </c>
      <c r="H228" s="22">
        <f t="shared" si="23"/>
        <v>824892.70010833023</v>
      </c>
      <c r="I228" s="22">
        <f t="shared" si="24"/>
        <v>2420.4630798419616</v>
      </c>
      <c r="J228" s="22">
        <f t="shared" si="25"/>
        <v>4980.3558374851837</v>
      </c>
      <c r="K228" s="22">
        <f t="shared" si="26"/>
        <v>7400.8189173271448</v>
      </c>
      <c r="L228" s="22">
        <f t="shared" si="27"/>
        <v>471.09127142524125</v>
      </c>
      <c r="M228" s="22"/>
      <c r="N228" s="22"/>
      <c r="O228" s="22"/>
      <c r="P228" s="22"/>
      <c r="Q228" s="22"/>
      <c r="R228" s="22"/>
      <c r="S228" s="23">
        <f t="shared" si="28"/>
        <v>7871.9101887523857</v>
      </c>
      <c r="T228" s="24">
        <f t="shared" si="29"/>
        <v>6908.0587383299844</v>
      </c>
    </row>
    <row r="229" spans="7:20">
      <c r="G229" s="5">
        <v>226</v>
      </c>
      <c r="H229" s="22">
        <f t="shared" si="23"/>
        <v>819897.81823298568</v>
      </c>
      <c r="I229" s="22">
        <f t="shared" si="24"/>
        <v>2405.93704198263</v>
      </c>
      <c r="J229" s="22">
        <f t="shared" si="25"/>
        <v>4994.8818753445148</v>
      </c>
      <c r="K229" s="22">
        <f t="shared" si="26"/>
        <v>7400.8189173271448</v>
      </c>
      <c r="L229" s="22">
        <f t="shared" si="27"/>
        <v>468.26408942816221</v>
      </c>
      <c r="M229" s="22"/>
      <c r="N229" s="22"/>
      <c r="O229" s="22"/>
      <c r="P229" s="22"/>
      <c r="Q229" s="22"/>
      <c r="R229" s="22"/>
      <c r="S229" s="23">
        <f t="shared" si="28"/>
        <v>7869.083006755307</v>
      </c>
      <c r="T229" s="24">
        <f t="shared" si="29"/>
        <v>6911.0159629517093</v>
      </c>
    </row>
    <row r="230" spans="7:20">
      <c r="G230" s="5">
        <v>227</v>
      </c>
      <c r="H230" s="22">
        <f t="shared" si="23"/>
        <v>814888.36795217136</v>
      </c>
      <c r="I230" s="22">
        <f t="shared" si="24"/>
        <v>2391.3686365128751</v>
      </c>
      <c r="J230" s="22">
        <f t="shared" si="25"/>
        <v>5009.4502808142697</v>
      </c>
      <c r="K230" s="22">
        <f t="shared" si="26"/>
        <v>7400.8189173271448</v>
      </c>
      <c r="L230" s="22">
        <f t="shared" si="27"/>
        <v>465.42866148359161</v>
      </c>
      <c r="M230" s="22"/>
      <c r="N230" s="22"/>
      <c r="O230" s="22"/>
      <c r="P230" s="22"/>
      <c r="Q230" s="22"/>
      <c r="R230" s="22"/>
      <c r="S230" s="23">
        <f t="shared" si="28"/>
        <v>7866.2475788107367</v>
      </c>
      <c r="T230" s="24">
        <f t="shared" si="29"/>
        <v>6913.981812811915</v>
      </c>
    </row>
    <row r="231" spans="7:20">
      <c r="G231" s="5">
        <v>228</v>
      </c>
      <c r="H231" s="22">
        <f t="shared" si="23"/>
        <v>809864.30677470472</v>
      </c>
      <c r="I231" s="22">
        <f t="shared" si="24"/>
        <v>2376.7577398604999</v>
      </c>
      <c r="J231" s="22">
        <f t="shared" si="25"/>
        <v>5024.0611774666449</v>
      </c>
      <c r="K231" s="22">
        <f t="shared" si="26"/>
        <v>7400.8189173271448</v>
      </c>
      <c r="L231" s="22">
        <f t="shared" si="27"/>
        <v>462.58496354084934</v>
      </c>
      <c r="M231" s="22"/>
      <c r="N231" s="22"/>
      <c r="O231" s="22"/>
      <c r="P231" s="22"/>
      <c r="Q231" s="22"/>
      <c r="R231" s="22"/>
      <c r="S231" s="23">
        <f t="shared" si="28"/>
        <v>7863.4038808679943</v>
      </c>
      <c r="T231" s="24">
        <f t="shared" si="29"/>
        <v>6916.9563130675442</v>
      </c>
    </row>
    <row r="232" spans="7:20">
      <c r="G232" s="5">
        <v>229</v>
      </c>
      <c r="H232" s="22">
        <f t="shared" si="23"/>
        <v>804825.59208547045</v>
      </c>
      <c r="I232" s="22">
        <f t="shared" si="24"/>
        <v>2362.1042280928887</v>
      </c>
      <c r="J232" s="22">
        <f t="shared" si="25"/>
        <v>5038.7146892342562</v>
      </c>
      <c r="K232" s="22">
        <f t="shared" si="26"/>
        <v>7400.8189173271448</v>
      </c>
      <c r="L232" s="22">
        <f t="shared" si="27"/>
        <v>459.73297147910745</v>
      </c>
      <c r="M232" s="22"/>
      <c r="N232" s="22"/>
      <c r="O232" s="22"/>
      <c r="P232" s="22"/>
      <c r="Q232" s="22"/>
      <c r="R232" s="22"/>
      <c r="S232" s="23">
        <f t="shared" si="28"/>
        <v>7860.5518888062525</v>
      </c>
      <c r="T232" s="24">
        <f t="shared" si="29"/>
        <v>6919.9394889489204</v>
      </c>
    </row>
    <row r="233" spans="7:20">
      <c r="G233" s="5">
        <v>230</v>
      </c>
      <c r="H233" s="22">
        <f t="shared" si="23"/>
        <v>799772.18114505929</v>
      </c>
      <c r="I233" s="22">
        <f t="shared" si="24"/>
        <v>2347.4079769159557</v>
      </c>
      <c r="J233" s="22">
        <f t="shared" si="25"/>
        <v>5053.4109404111896</v>
      </c>
      <c r="K233" s="22">
        <f t="shared" si="26"/>
        <v>7400.8189173271448</v>
      </c>
      <c r="L233" s="22">
        <f t="shared" si="27"/>
        <v>456.87266110718542</v>
      </c>
      <c r="M233" s="22"/>
      <c r="N233" s="22"/>
      <c r="O233" s="22"/>
      <c r="P233" s="22"/>
      <c r="Q233" s="22"/>
      <c r="R233" s="22"/>
      <c r="S233" s="23">
        <f t="shared" si="28"/>
        <v>7857.69157843433</v>
      </c>
      <c r="T233" s="24">
        <f t="shared" si="29"/>
        <v>6922.9313657599496</v>
      </c>
    </row>
    <row r="234" spans="7:20">
      <c r="G234" s="5">
        <v>231</v>
      </c>
      <c r="H234" s="22">
        <f t="shared" si="23"/>
        <v>794704.0310894053</v>
      </c>
      <c r="I234" s="22">
        <f t="shared" si="24"/>
        <v>2332.6688616730899</v>
      </c>
      <c r="J234" s="22">
        <f t="shared" si="25"/>
        <v>5068.150055654055</v>
      </c>
      <c r="K234" s="22">
        <f t="shared" si="26"/>
        <v>7400.8189173271448</v>
      </c>
      <c r="L234" s="22">
        <f t="shared" si="27"/>
        <v>454.00400816334536</v>
      </c>
      <c r="M234" s="22"/>
      <c r="N234" s="22"/>
      <c r="O234" s="22"/>
      <c r="P234" s="22"/>
      <c r="Q234" s="22"/>
      <c r="R234" s="22"/>
      <c r="S234" s="23">
        <f t="shared" si="28"/>
        <v>7854.82292549049</v>
      </c>
      <c r="T234" s="24">
        <f t="shared" si="29"/>
        <v>6925.9319688783453</v>
      </c>
    </row>
    <row r="235" spans="7:20">
      <c r="G235" s="5">
        <v>232</v>
      </c>
      <c r="H235" s="22">
        <f t="shared" si="23"/>
        <v>789621.09892942221</v>
      </c>
      <c r="I235" s="22">
        <f t="shared" si="24"/>
        <v>2317.8867573440989</v>
      </c>
      <c r="J235" s="22">
        <f t="shared" si="25"/>
        <v>5082.9321599830455</v>
      </c>
      <c r="K235" s="22">
        <f t="shared" si="26"/>
        <v>7400.8189173271448</v>
      </c>
      <c r="L235" s="22">
        <f t="shared" si="27"/>
        <v>451.12698831508578</v>
      </c>
      <c r="M235" s="22"/>
      <c r="N235" s="22"/>
      <c r="O235" s="22"/>
      <c r="P235" s="22"/>
      <c r="Q235" s="22"/>
      <c r="R235" s="22"/>
      <c r="S235" s="23">
        <f t="shared" si="28"/>
        <v>7851.9459056422311</v>
      </c>
      <c r="T235" s="24">
        <f t="shared" si="29"/>
        <v>6928.9413237558365</v>
      </c>
    </row>
    <row r="236" spans="7:20">
      <c r="G236" s="5">
        <v>233</v>
      </c>
      <c r="H236" s="22">
        <f t="shared" si="23"/>
        <v>784523.34155063925</v>
      </c>
      <c r="I236" s="22">
        <f t="shared" si="24"/>
        <v>2303.0615385441483</v>
      </c>
      <c r="J236" s="22">
        <f t="shared" si="25"/>
        <v>5097.757378782997</v>
      </c>
      <c r="K236" s="22">
        <f t="shared" si="26"/>
        <v>7400.8189173271448</v>
      </c>
      <c r="L236" s="22">
        <f t="shared" si="27"/>
        <v>448.2415771589354</v>
      </c>
      <c r="M236" s="22"/>
      <c r="N236" s="22"/>
      <c r="O236" s="22"/>
      <c r="P236" s="22"/>
      <c r="Q236" s="22"/>
      <c r="R236" s="22"/>
      <c r="S236" s="23">
        <f t="shared" si="28"/>
        <v>7849.0604944860806</v>
      </c>
      <c r="T236" s="24">
        <f t="shared" si="29"/>
        <v>6931.9594559183861</v>
      </c>
    </row>
    <row r="237" spans="7:20">
      <c r="G237" s="5">
        <v>234</v>
      </c>
      <c r="H237" s="22">
        <f t="shared" si="23"/>
        <v>779410.71571283485</v>
      </c>
      <c r="I237" s="22">
        <f t="shared" si="24"/>
        <v>2288.1930795226981</v>
      </c>
      <c r="J237" s="22">
        <f t="shared" si="25"/>
        <v>5112.6258378044467</v>
      </c>
      <c r="K237" s="22">
        <f t="shared" si="26"/>
        <v>7400.8189173271448</v>
      </c>
      <c r="L237" s="22">
        <f t="shared" si="27"/>
        <v>445.34775022024627</v>
      </c>
      <c r="M237" s="22"/>
      <c r="N237" s="22"/>
      <c r="O237" s="22"/>
      <c r="P237" s="22"/>
      <c r="Q237" s="22"/>
      <c r="R237" s="22"/>
      <c r="S237" s="23">
        <f t="shared" si="28"/>
        <v>7846.1666675473907</v>
      </c>
      <c r="T237" s="24">
        <f t="shared" si="29"/>
        <v>6934.9863909664091</v>
      </c>
    </row>
    <row r="238" spans="7:20">
      <c r="G238" s="5">
        <v>235</v>
      </c>
      <c r="H238" s="22">
        <f t="shared" si="23"/>
        <v>774283.17804967018</v>
      </c>
      <c r="I238" s="22">
        <f t="shared" si="24"/>
        <v>2273.2812541624353</v>
      </c>
      <c r="J238" s="22">
        <f t="shared" si="25"/>
        <v>5127.5376631647096</v>
      </c>
      <c r="K238" s="22">
        <f t="shared" si="26"/>
        <v>7400.8189173271448</v>
      </c>
      <c r="L238" s="22">
        <f t="shared" si="27"/>
        <v>442.44548295298597</v>
      </c>
      <c r="M238" s="22"/>
      <c r="N238" s="22"/>
      <c r="O238" s="22"/>
      <c r="P238" s="22"/>
      <c r="Q238" s="22"/>
      <c r="R238" s="22"/>
      <c r="S238" s="23">
        <f t="shared" si="28"/>
        <v>7843.2644002801308</v>
      </c>
      <c r="T238" s="24">
        <f t="shared" si="29"/>
        <v>6938.0221545749901</v>
      </c>
    </row>
    <row r="239" spans="7:20">
      <c r="G239" s="5">
        <v>236</v>
      </c>
      <c r="H239" s="22">
        <f t="shared" si="23"/>
        <v>769140.6850683213</v>
      </c>
      <c r="I239" s="22">
        <f t="shared" si="24"/>
        <v>2258.3259359782046</v>
      </c>
      <c r="J239" s="22">
        <f t="shared" si="25"/>
        <v>5142.4929813489398</v>
      </c>
      <c r="K239" s="22">
        <f t="shared" si="26"/>
        <v>7400.8189173271448</v>
      </c>
      <c r="L239" s="22">
        <f t="shared" si="27"/>
        <v>439.5347507395295</v>
      </c>
      <c r="M239" s="22"/>
      <c r="N239" s="22"/>
      <c r="O239" s="22"/>
      <c r="P239" s="22"/>
      <c r="Q239" s="22"/>
      <c r="R239" s="22"/>
      <c r="S239" s="23">
        <f t="shared" si="28"/>
        <v>7840.3536680666748</v>
      </c>
      <c r="T239" s="24">
        <f t="shared" si="29"/>
        <v>6941.0667724940968</v>
      </c>
    </row>
    <row r="240" spans="7:20">
      <c r="G240" s="5">
        <v>237</v>
      </c>
      <c r="H240" s="22">
        <f t="shared" si="23"/>
        <v>763983.19314911007</v>
      </c>
      <c r="I240" s="22">
        <f t="shared" si="24"/>
        <v>2243.3269981159374</v>
      </c>
      <c r="J240" s="22">
        <f t="shared" si="25"/>
        <v>5157.4919192112075</v>
      </c>
      <c r="K240" s="22">
        <f t="shared" si="26"/>
        <v>7400.8189173271448</v>
      </c>
      <c r="L240" s="22">
        <f t="shared" si="27"/>
        <v>436.61552889045043</v>
      </c>
      <c r="M240" s="22"/>
      <c r="N240" s="22"/>
      <c r="O240" s="22"/>
      <c r="P240" s="22"/>
      <c r="Q240" s="22"/>
      <c r="R240" s="22"/>
      <c r="S240" s="23">
        <f t="shared" si="28"/>
        <v>7837.434446217595</v>
      </c>
      <c r="T240" s="24">
        <f t="shared" si="29"/>
        <v>6944.1202705487995</v>
      </c>
    </row>
    <row r="241" spans="7:20">
      <c r="G241" s="5">
        <v>238</v>
      </c>
      <c r="H241" s="22">
        <f t="shared" si="23"/>
        <v>758810.65854513447</v>
      </c>
      <c r="I241" s="22">
        <f t="shared" si="24"/>
        <v>2228.2843133515712</v>
      </c>
      <c r="J241" s="22">
        <f t="shared" si="25"/>
        <v>5172.5346039755732</v>
      </c>
      <c r="K241" s="22">
        <f t="shared" si="26"/>
        <v>7400.8189173271448</v>
      </c>
      <c r="L241" s="22">
        <f t="shared" si="27"/>
        <v>433.68779264431151</v>
      </c>
      <c r="M241" s="22"/>
      <c r="N241" s="22"/>
      <c r="O241" s="22"/>
      <c r="P241" s="22"/>
      <c r="Q241" s="22"/>
      <c r="R241" s="22"/>
      <c r="S241" s="23">
        <f t="shared" si="28"/>
        <v>7834.5067099714561</v>
      </c>
      <c r="T241" s="24">
        <f t="shared" si="29"/>
        <v>6947.1826746394954</v>
      </c>
    </row>
    <row r="242" spans="7:20">
      <c r="G242" s="5">
        <v>239</v>
      </c>
      <c r="H242" s="22">
        <f t="shared" si="23"/>
        <v>753623.03738189733</v>
      </c>
      <c r="I242" s="22">
        <f t="shared" si="24"/>
        <v>2213.1977540899757</v>
      </c>
      <c r="J242" s="22">
        <f t="shared" si="25"/>
        <v>5187.6211632371687</v>
      </c>
      <c r="K242" s="22">
        <f t="shared" si="26"/>
        <v>7400.8189173271448</v>
      </c>
      <c r="L242" s="22">
        <f t="shared" si="27"/>
        <v>430.75151716745472</v>
      </c>
      <c r="M242" s="22"/>
      <c r="N242" s="22"/>
      <c r="O242" s="22"/>
      <c r="P242" s="22"/>
      <c r="Q242" s="22"/>
      <c r="R242" s="22"/>
      <c r="S242" s="23">
        <f t="shared" si="28"/>
        <v>7831.5704344945998</v>
      </c>
      <c r="T242" s="24">
        <f t="shared" si="29"/>
        <v>6950.2540107421228</v>
      </c>
    </row>
    <row r="243" spans="7:20">
      <c r="G243" s="5">
        <v>240</v>
      </c>
      <c r="H243" s="22">
        <f t="shared" si="23"/>
        <v>748420.28565693402</v>
      </c>
      <c r="I243" s="22">
        <f t="shared" si="24"/>
        <v>2198.0671923638674</v>
      </c>
      <c r="J243" s="22">
        <f t="shared" si="25"/>
        <v>5202.7517249632774</v>
      </c>
      <c r="K243" s="22">
        <f t="shared" si="26"/>
        <v>7400.8189173271448</v>
      </c>
      <c r="L243" s="22">
        <f t="shared" si="27"/>
        <v>427.80667755379045</v>
      </c>
      <c r="M243" s="22"/>
      <c r="N243" s="22"/>
      <c r="O243" s="22"/>
      <c r="P243" s="22"/>
      <c r="Q243" s="22"/>
      <c r="R243" s="22"/>
      <c r="S243" s="23">
        <f t="shared" si="28"/>
        <v>7828.6255948809358</v>
      </c>
      <c r="T243" s="24">
        <f t="shared" si="29"/>
        <v>6953.3343049083833</v>
      </c>
    </row>
    <row r="244" spans="7:20">
      <c r="G244" s="5">
        <v>241</v>
      </c>
      <c r="H244" s="22">
        <f t="shared" si="23"/>
        <v>743202.3592394396</v>
      </c>
      <c r="I244" s="22">
        <f t="shared" si="24"/>
        <v>2182.8924998327243</v>
      </c>
      <c r="J244" s="22">
        <f t="shared" si="25"/>
        <v>5217.9264174944201</v>
      </c>
      <c r="K244" s="22">
        <f t="shared" si="26"/>
        <v>7400.8189173271448</v>
      </c>
      <c r="L244" s="22">
        <f t="shared" si="27"/>
        <v>424.85324882458627</v>
      </c>
      <c r="M244" s="22"/>
      <c r="N244" s="22"/>
      <c r="O244" s="22"/>
      <c r="P244" s="22"/>
      <c r="Q244" s="22"/>
      <c r="R244" s="22"/>
      <c r="S244" s="23">
        <f t="shared" si="28"/>
        <v>7825.6721661517313</v>
      </c>
      <c r="T244" s="24">
        <f t="shared" si="29"/>
        <v>6956.4235832659615</v>
      </c>
    </row>
    <row r="245" spans="7:20">
      <c r="G245" s="5">
        <v>242</v>
      </c>
      <c r="H245" s="22">
        <f t="shared" si="23"/>
        <v>737969.21386989416</v>
      </c>
      <c r="I245" s="22">
        <f t="shared" si="24"/>
        <v>2167.6735477816987</v>
      </c>
      <c r="J245" s="22">
        <f t="shared" si="25"/>
        <v>5233.1453695454456</v>
      </c>
      <c r="K245" s="22">
        <f t="shared" si="26"/>
        <v>7400.8189173271448</v>
      </c>
      <c r="L245" s="22">
        <f t="shared" si="27"/>
        <v>421.89120592825526</v>
      </c>
      <c r="M245" s="22"/>
      <c r="N245" s="22"/>
      <c r="O245" s="22"/>
      <c r="P245" s="22"/>
      <c r="Q245" s="22"/>
      <c r="R245" s="22"/>
      <c r="S245" s="23">
        <f t="shared" si="28"/>
        <v>7822.7101232554005</v>
      </c>
      <c r="T245" s="24">
        <f t="shared" si="29"/>
        <v>6959.5218720187495</v>
      </c>
    </row>
    <row r="246" spans="7:20">
      <c r="G246" s="5">
        <v>243</v>
      </c>
      <c r="H246" s="22">
        <f t="shared" si="23"/>
        <v>732720.80515968753</v>
      </c>
      <c r="I246" s="22">
        <f t="shared" si="24"/>
        <v>2152.4102071205248</v>
      </c>
      <c r="J246" s="22">
        <f t="shared" si="25"/>
        <v>5248.4087102066205</v>
      </c>
      <c r="K246" s="22">
        <f t="shared" si="26"/>
        <v>7400.8189173271448</v>
      </c>
      <c r="L246" s="22">
        <f t="shared" si="27"/>
        <v>418.92052374014332</v>
      </c>
      <c r="M246" s="22"/>
      <c r="N246" s="22"/>
      <c r="O246" s="22"/>
      <c r="P246" s="22"/>
      <c r="Q246" s="22"/>
      <c r="R246" s="22"/>
      <c r="S246" s="23">
        <f t="shared" si="28"/>
        <v>7819.7394410672878</v>
      </c>
      <c r="T246" s="24">
        <f t="shared" si="29"/>
        <v>6962.6291974470651</v>
      </c>
    </row>
    <row r="247" spans="7:20">
      <c r="G247" s="5">
        <v>244</v>
      </c>
      <c r="H247" s="22">
        <f t="shared" si="23"/>
        <v>727457.08859074279</v>
      </c>
      <c r="I247" s="22">
        <f t="shared" si="24"/>
        <v>2137.102348382422</v>
      </c>
      <c r="J247" s="22">
        <f t="shared" si="25"/>
        <v>5263.7165689447229</v>
      </c>
      <c r="K247" s="22">
        <f t="shared" si="26"/>
        <v>7400.8189173271448</v>
      </c>
      <c r="L247" s="22">
        <f t="shared" si="27"/>
        <v>415.941177062316</v>
      </c>
      <c r="M247" s="22"/>
      <c r="N247" s="22"/>
      <c r="O247" s="22"/>
      <c r="P247" s="22"/>
      <c r="Q247" s="22"/>
      <c r="R247" s="22"/>
      <c r="S247" s="23">
        <f t="shared" si="28"/>
        <v>7816.7600943894613</v>
      </c>
      <c r="T247" s="24">
        <f t="shared" si="29"/>
        <v>6965.7455859078818</v>
      </c>
    </row>
    <row r="248" spans="7:20">
      <c r="G248" s="5">
        <v>245</v>
      </c>
      <c r="H248" s="22">
        <f t="shared" si="23"/>
        <v>722178.01951513859</v>
      </c>
      <c r="I248" s="22">
        <f t="shared" si="24"/>
        <v>2121.7498417229999</v>
      </c>
      <c r="J248" s="22">
        <f t="shared" si="25"/>
        <v>5279.0690756041449</v>
      </c>
      <c r="K248" s="22">
        <f t="shared" si="26"/>
        <v>7400.8189173271448</v>
      </c>
      <c r="L248" s="22">
        <f t="shared" si="27"/>
        <v>412.95314062334506</v>
      </c>
      <c r="M248" s="22"/>
      <c r="N248" s="22"/>
      <c r="O248" s="22"/>
      <c r="P248" s="22"/>
      <c r="Q248" s="22"/>
      <c r="R248" s="22"/>
      <c r="S248" s="23">
        <f t="shared" si="28"/>
        <v>7813.7720579504903</v>
      </c>
      <c r="T248" s="24">
        <f t="shared" si="29"/>
        <v>6968.8710638350422</v>
      </c>
    </row>
    <row r="249" spans="7:20">
      <c r="G249" s="5">
        <v>246</v>
      </c>
      <c r="H249" s="22">
        <f t="shared" si="23"/>
        <v>716883.55315473059</v>
      </c>
      <c r="I249" s="22">
        <f t="shared" si="24"/>
        <v>2106.3525569191543</v>
      </c>
      <c r="J249" s="22">
        <f t="shared" si="25"/>
        <v>5294.4663604079906</v>
      </c>
      <c r="K249" s="22">
        <f t="shared" si="26"/>
        <v>7400.8189173271448</v>
      </c>
      <c r="L249" s="22">
        <f t="shared" si="27"/>
        <v>409.95638907809371</v>
      </c>
      <c r="M249" s="22"/>
      <c r="N249" s="22"/>
      <c r="O249" s="22"/>
      <c r="P249" s="22"/>
      <c r="Q249" s="22"/>
      <c r="R249" s="22"/>
      <c r="S249" s="23">
        <f t="shared" si="28"/>
        <v>7810.7753064052386</v>
      </c>
      <c r="T249" s="24">
        <f t="shared" si="29"/>
        <v>6972.0056577394889</v>
      </c>
    </row>
    <row r="250" spans="7:20">
      <c r="G250" s="5">
        <v>247</v>
      </c>
      <c r="H250" s="22">
        <f t="shared" si="23"/>
        <v>711573.64460077137</v>
      </c>
      <c r="I250" s="22">
        <f t="shared" si="24"/>
        <v>2090.9103633679642</v>
      </c>
      <c r="J250" s="22">
        <f t="shared" si="25"/>
        <v>5309.9085539591806</v>
      </c>
      <c r="K250" s="22">
        <f t="shared" si="26"/>
        <v>7400.8189173271448</v>
      </c>
      <c r="L250" s="22">
        <f t="shared" si="27"/>
        <v>406.95089700750214</v>
      </c>
      <c r="M250" s="22"/>
      <c r="N250" s="22"/>
      <c r="O250" s="22"/>
      <c r="P250" s="22"/>
      <c r="Q250" s="22"/>
      <c r="R250" s="22"/>
      <c r="S250" s="23">
        <f t="shared" si="28"/>
        <v>7807.769814334647</v>
      </c>
      <c r="T250" s="24">
        <f t="shared" si="29"/>
        <v>6975.1493942094912</v>
      </c>
    </row>
    <row r="251" spans="7:20">
      <c r="G251" s="5">
        <v>248</v>
      </c>
      <c r="H251" s="22">
        <f t="shared" si="23"/>
        <v>706248.24881352985</v>
      </c>
      <c r="I251" s="22">
        <f t="shared" si="24"/>
        <v>2075.4231300855831</v>
      </c>
      <c r="J251" s="22">
        <f t="shared" si="25"/>
        <v>5325.3957872415613</v>
      </c>
      <c r="K251" s="22">
        <f t="shared" si="26"/>
        <v>7400.8189173271448</v>
      </c>
      <c r="L251" s="22">
        <f t="shared" si="27"/>
        <v>403.93663891837127</v>
      </c>
      <c r="M251" s="22"/>
      <c r="N251" s="22"/>
      <c r="O251" s="22"/>
      <c r="P251" s="22"/>
      <c r="Q251" s="22"/>
      <c r="R251" s="22"/>
      <c r="S251" s="23">
        <f t="shared" si="28"/>
        <v>7804.7555562455163</v>
      </c>
      <c r="T251" s="24">
        <f t="shared" si="29"/>
        <v>6978.3022999108653</v>
      </c>
    </row>
    <row r="252" spans="7:20">
      <c r="G252" s="5">
        <v>249</v>
      </c>
      <c r="H252" s="22">
        <f t="shared" si="23"/>
        <v>700907.32062190888</v>
      </c>
      <c r="I252" s="22">
        <f t="shared" si="24"/>
        <v>2059.8907257061287</v>
      </c>
      <c r="J252" s="22">
        <f t="shared" si="25"/>
        <v>5340.9281916210166</v>
      </c>
      <c r="K252" s="22">
        <f t="shared" si="26"/>
        <v>7400.8189173271448</v>
      </c>
      <c r="L252" s="22">
        <f t="shared" si="27"/>
        <v>400.91358924314716</v>
      </c>
      <c r="M252" s="22"/>
      <c r="N252" s="22"/>
      <c r="O252" s="22"/>
      <c r="P252" s="22"/>
      <c r="Q252" s="22"/>
      <c r="R252" s="22"/>
      <c r="S252" s="23">
        <f t="shared" si="28"/>
        <v>7801.7325065702917</v>
      </c>
      <c r="T252" s="24">
        <f t="shared" si="29"/>
        <v>6981.4644015872</v>
      </c>
    </row>
    <row r="253" spans="7:20">
      <c r="G253" s="5">
        <v>250</v>
      </c>
      <c r="H253" s="22">
        <f t="shared" si="23"/>
        <v>695550.81472306233</v>
      </c>
      <c r="I253" s="22">
        <f t="shared" si="24"/>
        <v>2044.3130184805677</v>
      </c>
      <c r="J253" s="22">
        <f t="shared" si="25"/>
        <v>5356.5058988465771</v>
      </c>
      <c r="K253" s="22">
        <f t="shared" si="26"/>
        <v>7400.8189173271448</v>
      </c>
      <c r="L253" s="22">
        <f t="shared" si="27"/>
        <v>397.88172233970363</v>
      </c>
      <c r="M253" s="22"/>
      <c r="N253" s="22"/>
      <c r="O253" s="22"/>
      <c r="P253" s="22"/>
      <c r="Q253" s="22"/>
      <c r="R253" s="22"/>
      <c r="S253" s="23">
        <f t="shared" si="28"/>
        <v>7798.7006396668485</v>
      </c>
      <c r="T253" s="24">
        <f t="shared" si="29"/>
        <v>6984.6357260600917</v>
      </c>
    </row>
    <row r="254" spans="7:20">
      <c r="G254" s="5">
        <v>251</v>
      </c>
      <c r="H254" s="22">
        <f t="shared" si="23"/>
        <v>690178.68568201084</v>
      </c>
      <c r="I254" s="22">
        <f t="shared" si="24"/>
        <v>2028.6898762755986</v>
      </c>
      <c r="J254" s="22">
        <f t="shared" si="25"/>
        <v>5372.1290410515467</v>
      </c>
      <c r="K254" s="22">
        <f t="shared" si="26"/>
        <v>7400.8189173271448</v>
      </c>
      <c r="L254" s="22">
        <f t="shared" si="27"/>
        <v>394.84101249112507</v>
      </c>
      <c r="M254" s="22"/>
      <c r="N254" s="22"/>
      <c r="O254" s="22"/>
      <c r="P254" s="22"/>
      <c r="Q254" s="22"/>
      <c r="R254" s="22"/>
      <c r="S254" s="23">
        <f t="shared" si="28"/>
        <v>7795.65992981827</v>
      </c>
      <c r="T254" s="24">
        <f t="shared" si="29"/>
        <v>6987.8163002293622</v>
      </c>
    </row>
    <row r="255" spans="7:20">
      <c r="G255" s="5">
        <v>252</v>
      </c>
      <c r="H255" s="22">
        <f t="shared" si="23"/>
        <v>684790.88793125621</v>
      </c>
      <c r="I255" s="22">
        <f t="shared" si="24"/>
        <v>2013.0211665725317</v>
      </c>
      <c r="J255" s="22">
        <f t="shared" si="25"/>
        <v>5387.7977507546129</v>
      </c>
      <c r="K255" s="22">
        <f t="shared" si="26"/>
        <v>7400.8189173271448</v>
      </c>
      <c r="L255" s="22">
        <f t="shared" si="27"/>
        <v>391.79143390548819</v>
      </c>
      <c r="M255" s="22"/>
      <c r="N255" s="22"/>
      <c r="O255" s="22"/>
      <c r="P255" s="22"/>
      <c r="Q255" s="22"/>
      <c r="R255" s="22"/>
      <c r="S255" s="23">
        <f t="shared" si="28"/>
        <v>7792.6103512326326</v>
      </c>
      <c r="T255" s="24">
        <f t="shared" si="29"/>
        <v>6991.006151073293</v>
      </c>
    </row>
    <row r="256" spans="7:20">
      <c r="G256" s="5">
        <v>253</v>
      </c>
      <c r="H256" s="22">
        <f t="shared" si="23"/>
        <v>679387.37577039527</v>
      </c>
      <c r="I256" s="22">
        <f t="shared" si="24"/>
        <v>1997.306756466164</v>
      </c>
      <c r="J256" s="22">
        <f t="shared" si="25"/>
        <v>5403.5121608609807</v>
      </c>
      <c r="K256" s="22">
        <f t="shared" si="26"/>
        <v>7400.8189173271448</v>
      </c>
      <c r="L256" s="22">
        <f t="shared" si="27"/>
        <v>388.73296071564317</v>
      </c>
      <c r="M256" s="22"/>
      <c r="N256" s="22"/>
      <c r="O256" s="22"/>
      <c r="P256" s="22"/>
      <c r="Q256" s="22"/>
      <c r="R256" s="22"/>
      <c r="S256" s="23">
        <f t="shared" si="28"/>
        <v>7789.5518780427883</v>
      </c>
      <c r="T256" s="24">
        <f t="shared" si="29"/>
        <v>6994.205305648853</v>
      </c>
    </row>
    <row r="257" spans="7:20">
      <c r="G257" s="5">
        <v>254</v>
      </c>
      <c r="H257" s="22">
        <f t="shared" si="23"/>
        <v>673968.10336573177</v>
      </c>
      <c r="I257" s="22">
        <f t="shared" si="24"/>
        <v>1981.5465126636529</v>
      </c>
      <c r="J257" s="22">
        <f t="shared" si="25"/>
        <v>5419.2724046634921</v>
      </c>
      <c r="K257" s="22">
        <f t="shared" si="26"/>
        <v>7400.8189173271448</v>
      </c>
      <c r="L257" s="22">
        <f t="shared" si="27"/>
        <v>385.66556697899443</v>
      </c>
      <c r="M257" s="22"/>
      <c r="N257" s="22"/>
      <c r="O257" s="22"/>
      <c r="P257" s="22"/>
      <c r="Q257" s="22"/>
      <c r="R257" s="22"/>
      <c r="S257" s="23">
        <f t="shared" si="28"/>
        <v>7786.4844843061392</v>
      </c>
      <c r="T257" s="24">
        <f t="shared" si="29"/>
        <v>6997.4137910919235</v>
      </c>
    </row>
    <row r="258" spans="7:20">
      <c r="G258" s="5">
        <v>255</v>
      </c>
      <c r="H258" s="22">
        <f t="shared" si="23"/>
        <v>668533.02474988799</v>
      </c>
      <c r="I258" s="22">
        <f t="shared" si="24"/>
        <v>1965.7403014833844</v>
      </c>
      <c r="J258" s="22">
        <f t="shared" si="25"/>
        <v>5435.0786158437604</v>
      </c>
      <c r="K258" s="22">
        <f t="shared" si="26"/>
        <v>7400.8189173271448</v>
      </c>
      <c r="L258" s="22">
        <f t="shared" si="27"/>
        <v>382.58922667728046</v>
      </c>
      <c r="M258" s="22"/>
      <c r="N258" s="22"/>
      <c r="O258" s="22"/>
      <c r="P258" s="22"/>
      <c r="Q258" s="22"/>
      <c r="R258" s="22"/>
      <c r="S258" s="23">
        <f t="shared" si="28"/>
        <v>7783.4081440044256</v>
      </c>
      <c r="T258" s="24">
        <f t="shared" si="29"/>
        <v>7000.6316346175372</v>
      </c>
    </row>
    <row r="259" spans="7:20">
      <c r="G259" s="5">
        <v>256</v>
      </c>
      <c r="H259" s="22">
        <f t="shared" si="23"/>
        <v>663082.09382141463</v>
      </c>
      <c r="I259" s="22">
        <f t="shared" si="24"/>
        <v>1949.8879888538402</v>
      </c>
      <c r="J259" s="22">
        <f t="shared" si="25"/>
        <v>5450.9309284733044</v>
      </c>
      <c r="K259" s="22">
        <f t="shared" si="26"/>
        <v>7400.8189173271448</v>
      </c>
      <c r="L259" s="22">
        <f t="shared" si="27"/>
        <v>379.50391371635311</v>
      </c>
      <c r="M259" s="22"/>
      <c r="N259" s="22"/>
      <c r="O259" s="22"/>
      <c r="P259" s="22"/>
      <c r="Q259" s="22"/>
      <c r="R259" s="22"/>
      <c r="S259" s="23">
        <f t="shared" si="28"/>
        <v>7780.3228310434979</v>
      </c>
      <c r="T259" s="24">
        <f t="shared" si="29"/>
        <v>7003.8588635201004</v>
      </c>
    </row>
    <row r="260" spans="7:20">
      <c r="G260" s="5">
        <v>257</v>
      </c>
      <c r="H260" s="22">
        <f t="shared" ref="H260:H323" si="30">H259-J260</f>
        <v>657615.26434439991</v>
      </c>
      <c r="I260" s="22">
        <f t="shared" ref="I260:I323" si="31">$E$9/$E$13*H259</f>
        <v>1933.9894403124595</v>
      </c>
      <c r="J260" s="22">
        <f t="shared" ref="J260:J323" si="32">K260-I260</f>
        <v>5466.8294770146858</v>
      </c>
      <c r="K260" s="22">
        <f t="shared" ref="K260:K323" si="33">IF(G260&gt;$E$14,0,$E$16)</f>
        <v>7400.8189173271448</v>
      </c>
      <c r="L260" s="22">
        <f t="shared" ref="L260:L323" si="34">$E$10/$E$13*H259</f>
        <v>376.40960192595639</v>
      </c>
      <c r="M260" s="22"/>
      <c r="N260" s="22"/>
      <c r="O260" s="22"/>
      <c r="P260" s="22"/>
      <c r="Q260" s="22"/>
      <c r="R260" s="22"/>
      <c r="S260" s="23">
        <f t="shared" ref="S260:S323" si="35">K260+L260</f>
        <v>7777.2285192531017</v>
      </c>
      <c r="T260" s="24">
        <f t="shared" ref="T260:T323" si="36">S260-1/3*(I260+L260)</f>
        <v>7007.09550517363</v>
      </c>
    </row>
    <row r="261" spans="7:20">
      <c r="G261" s="5">
        <v>258</v>
      </c>
      <c r="H261" s="22">
        <f t="shared" si="30"/>
        <v>652132.48994807724</v>
      </c>
      <c r="I261" s="22">
        <f t="shared" si="31"/>
        <v>1918.0445210044998</v>
      </c>
      <c r="J261" s="22">
        <f t="shared" si="32"/>
        <v>5482.7743963226449</v>
      </c>
      <c r="K261" s="22">
        <f t="shared" si="33"/>
        <v>7400.8189173271448</v>
      </c>
      <c r="L261" s="22">
        <f t="shared" si="34"/>
        <v>373.30626505950437</v>
      </c>
      <c r="M261" s="22"/>
      <c r="N261" s="22"/>
      <c r="O261" s="22"/>
      <c r="P261" s="22"/>
      <c r="Q261" s="22"/>
      <c r="R261" s="22"/>
      <c r="S261" s="23">
        <f t="shared" si="35"/>
        <v>7774.1251823866496</v>
      </c>
      <c r="T261" s="24">
        <f t="shared" si="36"/>
        <v>7010.3415870319814</v>
      </c>
    </row>
    <row r="262" spans="7:20">
      <c r="G262" s="5">
        <v>259</v>
      </c>
      <c r="H262" s="22">
        <f t="shared" si="30"/>
        <v>646633.72412643197</v>
      </c>
      <c r="I262" s="22">
        <f t="shared" si="31"/>
        <v>1902.053095681892</v>
      </c>
      <c r="J262" s="22">
        <f t="shared" si="32"/>
        <v>5498.7658216452528</v>
      </c>
      <c r="K262" s="22">
        <f t="shared" si="33"/>
        <v>7400.8189173271448</v>
      </c>
      <c r="L262" s="22">
        <f t="shared" si="34"/>
        <v>370.19387679385858</v>
      </c>
      <c r="M262" s="22"/>
      <c r="N262" s="22"/>
      <c r="O262" s="22"/>
      <c r="P262" s="22"/>
      <c r="Q262" s="22"/>
      <c r="R262" s="22"/>
      <c r="S262" s="23">
        <f t="shared" si="35"/>
        <v>7771.012794121003</v>
      </c>
      <c r="T262" s="24">
        <f t="shared" si="36"/>
        <v>7013.597136629086</v>
      </c>
    </row>
    <row r="263" spans="7:20">
      <c r="G263" s="5">
        <v>260</v>
      </c>
      <c r="H263" s="22">
        <f t="shared" si="30"/>
        <v>641118.92023780697</v>
      </c>
      <c r="I263" s="22">
        <f t="shared" si="31"/>
        <v>1886.0150287020933</v>
      </c>
      <c r="J263" s="22">
        <f t="shared" si="32"/>
        <v>5514.8038886250515</v>
      </c>
      <c r="K263" s="22">
        <f t="shared" si="33"/>
        <v>7400.8189173271448</v>
      </c>
      <c r="L263" s="22">
        <f t="shared" si="34"/>
        <v>367.0724107291046</v>
      </c>
      <c r="M263" s="22"/>
      <c r="N263" s="22"/>
      <c r="O263" s="22"/>
      <c r="P263" s="22"/>
      <c r="Q263" s="22"/>
      <c r="R263" s="22"/>
      <c r="S263" s="23">
        <f t="shared" si="35"/>
        <v>7767.8913280562492</v>
      </c>
      <c r="T263" s="24">
        <f t="shared" si="36"/>
        <v>7016.862181579183</v>
      </c>
    </row>
    <row r="264" spans="7:20">
      <c r="G264" s="5">
        <v>261</v>
      </c>
      <c r="H264" s="22">
        <f t="shared" si="30"/>
        <v>635588.03150450671</v>
      </c>
      <c r="I264" s="22">
        <f t="shared" si="31"/>
        <v>1869.930184026937</v>
      </c>
      <c r="J264" s="22">
        <f t="shared" si="32"/>
        <v>5530.8887333002076</v>
      </c>
      <c r="K264" s="22">
        <f t="shared" si="33"/>
        <v>7400.8189173271448</v>
      </c>
      <c r="L264" s="22">
        <f t="shared" si="34"/>
        <v>363.94184038832844</v>
      </c>
      <c r="M264" s="22"/>
      <c r="N264" s="22"/>
      <c r="O264" s="22"/>
      <c r="P264" s="22"/>
      <c r="Q264" s="22"/>
      <c r="R264" s="22"/>
      <c r="S264" s="23">
        <f t="shared" si="35"/>
        <v>7764.7607577154731</v>
      </c>
      <c r="T264" s="24">
        <f t="shared" si="36"/>
        <v>7020.136749577051</v>
      </c>
    </row>
    <row r="265" spans="7:20">
      <c r="G265" s="5">
        <v>262</v>
      </c>
      <c r="H265" s="22">
        <f t="shared" si="30"/>
        <v>630041.01101240108</v>
      </c>
      <c r="I265" s="22">
        <f t="shared" si="31"/>
        <v>1853.7984252214781</v>
      </c>
      <c r="J265" s="22">
        <f t="shared" si="32"/>
        <v>5547.0204921056666</v>
      </c>
      <c r="K265" s="22">
        <f t="shared" si="33"/>
        <v>7400.8189173271448</v>
      </c>
      <c r="L265" s="22">
        <f t="shared" si="34"/>
        <v>360.8021392173917</v>
      </c>
      <c r="M265" s="22"/>
      <c r="N265" s="22"/>
      <c r="O265" s="22"/>
      <c r="P265" s="22"/>
      <c r="Q265" s="22"/>
      <c r="R265" s="22"/>
      <c r="S265" s="23">
        <f t="shared" si="35"/>
        <v>7761.6210565445363</v>
      </c>
      <c r="T265" s="24">
        <f t="shared" si="36"/>
        <v>7023.4208683982461</v>
      </c>
    </row>
    <row r="266" spans="7:20">
      <c r="G266" s="5">
        <v>263</v>
      </c>
      <c r="H266" s="22">
        <f t="shared" si="30"/>
        <v>624477.81171052682</v>
      </c>
      <c r="I266" s="22">
        <f t="shared" si="31"/>
        <v>1837.6196154528366</v>
      </c>
      <c r="J266" s="22">
        <f t="shared" si="32"/>
        <v>5563.1993018743087</v>
      </c>
      <c r="K266" s="22">
        <f t="shared" si="33"/>
        <v>7400.8189173271448</v>
      </c>
      <c r="L266" s="22">
        <f t="shared" si="34"/>
        <v>357.65328058470641</v>
      </c>
      <c r="M266" s="22"/>
      <c r="N266" s="22"/>
      <c r="O266" s="22"/>
      <c r="P266" s="22"/>
      <c r="Q266" s="22"/>
      <c r="R266" s="22"/>
      <c r="S266" s="23">
        <f t="shared" si="35"/>
        <v>7758.4721979118513</v>
      </c>
      <c r="T266" s="24">
        <f t="shared" si="36"/>
        <v>7026.7145658993368</v>
      </c>
    </row>
    <row r="267" spans="7:20">
      <c r="G267" s="5">
        <v>264</v>
      </c>
      <c r="H267" s="22">
        <f t="shared" si="30"/>
        <v>618898.38641068875</v>
      </c>
      <c r="I267" s="22">
        <f t="shared" si="31"/>
        <v>1821.3936174890366</v>
      </c>
      <c r="J267" s="22">
        <f t="shared" si="32"/>
        <v>5579.425299838108</v>
      </c>
      <c r="K267" s="22">
        <f t="shared" si="33"/>
        <v>7400.8189173271448</v>
      </c>
      <c r="L267" s="22">
        <f t="shared" si="34"/>
        <v>354.49523778100911</v>
      </c>
      <c r="M267" s="22"/>
      <c r="N267" s="22"/>
      <c r="O267" s="22"/>
      <c r="P267" s="22"/>
      <c r="Q267" s="22"/>
      <c r="R267" s="22"/>
      <c r="S267" s="23">
        <f t="shared" si="35"/>
        <v>7755.3141551081535</v>
      </c>
      <c r="T267" s="24">
        <f t="shared" si="36"/>
        <v>7030.0178700181386</v>
      </c>
    </row>
    <row r="268" spans="7:20">
      <c r="G268" s="5">
        <v>265</v>
      </c>
      <c r="H268" s="22">
        <f t="shared" si="30"/>
        <v>613302.68778705946</v>
      </c>
      <c r="I268" s="22">
        <f t="shared" si="31"/>
        <v>1805.1202936978423</v>
      </c>
      <c r="J268" s="22">
        <f t="shared" si="32"/>
        <v>5595.6986236293023</v>
      </c>
      <c r="K268" s="22">
        <f t="shared" si="33"/>
        <v>7400.8189173271448</v>
      </c>
      <c r="L268" s="22">
        <f t="shared" si="34"/>
        <v>351.32798401913436</v>
      </c>
      <c r="M268" s="22"/>
      <c r="N268" s="22"/>
      <c r="O268" s="22"/>
      <c r="P268" s="22"/>
      <c r="Q268" s="22"/>
      <c r="R268" s="22"/>
      <c r="S268" s="23">
        <f t="shared" si="35"/>
        <v>7752.1469013462793</v>
      </c>
      <c r="T268" s="24">
        <f t="shared" si="36"/>
        <v>7033.3308087739533</v>
      </c>
    </row>
    <row r="269" spans="7:20">
      <c r="G269" s="5">
        <v>266</v>
      </c>
      <c r="H269" s="22">
        <f t="shared" si="30"/>
        <v>607690.6683757779</v>
      </c>
      <c r="I269" s="22">
        <f t="shared" si="31"/>
        <v>1788.7995060455901</v>
      </c>
      <c r="J269" s="22">
        <f t="shared" si="32"/>
        <v>5612.0194112815552</v>
      </c>
      <c r="K269" s="22">
        <f t="shared" si="33"/>
        <v>7400.8189173271448</v>
      </c>
      <c r="L269" s="22">
        <f t="shared" si="34"/>
        <v>348.15149243378744</v>
      </c>
      <c r="M269" s="22"/>
      <c r="N269" s="22"/>
      <c r="O269" s="22"/>
      <c r="P269" s="22"/>
      <c r="Q269" s="22"/>
      <c r="R269" s="22"/>
      <c r="S269" s="23">
        <f t="shared" si="35"/>
        <v>7748.9704097609319</v>
      </c>
      <c r="T269" s="24">
        <f t="shared" si="36"/>
        <v>7036.6534102678061</v>
      </c>
    </row>
    <row r="270" spans="7:20">
      <c r="G270" s="5">
        <v>267</v>
      </c>
      <c r="H270" s="22">
        <f t="shared" si="30"/>
        <v>602062.28057454678</v>
      </c>
      <c r="I270" s="22">
        <f t="shared" si="31"/>
        <v>1772.431116096019</v>
      </c>
      <c r="J270" s="22">
        <f t="shared" si="32"/>
        <v>5628.3878012311261</v>
      </c>
      <c r="K270" s="22">
        <f t="shared" si="33"/>
        <v>7400.8189173271448</v>
      </c>
      <c r="L270" s="22">
        <f t="shared" si="34"/>
        <v>344.96573608131661</v>
      </c>
      <c r="M270" s="22"/>
      <c r="N270" s="22"/>
      <c r="O270" s="22"/>
      <c r="P270" s="22"/>
      <c r="Q270" s="22"/>
      <c r="R270" s="22"/>
      <c r="S270" s="23">
        <f t="shared" si="35"/>
        <v>7745.7846534084611</v>
      </c>
      <c r="T270" s="24">
        <f t="shared" si="36"/>
        <v>7039.985702682683</v>
      </c>
    </row>
    <row r="271" spans="7:20">
      <c r="G271" s="5">
        <v>268</v>
      </c>
      <c r="H271" s="22">
        <f t="shared" si="30"/>
        <v>596417.47664222878</v>
      </c>
      <c r="I271" s="22">
        <f t="shared" si="31"/>
        <v>1756.0149850090947</v>
      </c>
      <c r="J271" s="22">
        <f t="shared" si="32"/>
        <v>5644.8039323180501</v>
      </c>
      <c r="K271" s="22">
        <f t="shared" si="33"/>
        <v>7400.8189173271448</v>
      </c>
      <c r="L271" s="22">
        <f t="shared" si="34"/>
        <v>341.77068793948445</v>
      </c>
      <c r="M271" s="22"/>
      <c r="N271" s="22"/>
      <c r="O271" s="22"/>
      <c r="P271" s="22"/>
      <c r="Q271" s="22"/>
      <c r="R271" s="22"/>
      <c r="S271" s="23">
        <f t="shared" si="35"/>
        <v>7742.5896052666294</v>
      </c>
      <c r="T271" s="24">
        <f t="shared" si="36"/>
        <v>7043.3277142837696</v>
      </c>
    </row>
    <row r="272" spans="7:20">
      <c r="G272" s="5">
        <v>269</v>
      </c>
      <c r="H272" s="22">
        <f t="shared" si="30"/>
        <v>590756.20869844151</v>
      </c>
      <c r="I272" s="22">
        <f t="shared" si="31"/>
        <v>1739.5509735398341</v>
      </c>
      <c r="J272" s="22">
        <f t="shared" si="32"/>
        <v>5661.2679437873103</v>
      </c>
      <c r="K272" s="22">
        <f t="shared" si="33"/>
        <v>7400.8189173271448</v>
      </c>
      <c r="L272" s="22">
        <f t="shared" si="34"/>
        <v>338.56632090723855</v>
      </c>
      <c r="M272" s="22"/>
      <c r="N272" s="22"/>
      <c r="O272" s="22"/>
      <c r="P272" s="22"/>
      <c r="Q272" s="22"/>
      <c r="R272" s="22"/>
      <c r="S272" s="23">
        <f t="shared" si="35"/>
        <v>7739.385238234383</v>
      </c>
      <c r="T272" s="24">
        <f t="shared" si="36"/>
        <v>7046.6794734186924</v>
      </c>
    </row>
    <row r="273" spans="7:20">
      <c r="G273" s="5">
        <v>270</v>
      </c>
      <c r="H273" s="22">
        <f t="shared" si="30"/>
        <v>585078.42872315145</v>
      </c>
      <c r="I273" s="22">
        <f t="shared" si="31"/>
        <v>1723.0389420371212</v>
      </c>
      <c r="J273" s="22">
        <f t="shared" si="32"/>
        <v>5677.7799752900237</v>
      </c>
      <c r="K273" s="22">
        <f t="shared" si="33"/>
        <v>7400.8189173271448</v>
      </c>
      <c r="L273" s="22">
        <f t="shared" si="34"/>
        <v>335.35260780448198</v>
      </c>
      <c r="M273" s="22"/>
      <c r="N273" s="22"/>
      <c r="O273" s="22"/>
      <c r="P273" s="22"/>
      <c r="Q273" s="22"/>
      <c r="R273" s="22"/>
      <c r="S273" s="23">
        <f t="shared" si="35"/>
        <v>7736.1715251316273</v>
      </c>
      <c r="T273" s="24">
        <f t="shared" si="36"/>
        <v>7050.0410085177591</v>
      </c>
    </row>
    <row r="274" spans="7:20">
      <c r="G274" s="5">
        <v>271</v>
      </c>
      <c r="H274" s="22">
        <f t="shared" si="30"/>
        <v>579384.08855626686</v>
      </c>
      <c r="I274" s="22">
        <f t="shared" si="31"/>
        <v>1706.4787504425251</v>
      </c>
      <c r="J274" s="22">
        <f t="shared" si="32"/>
        <v>5694.34016688462</v>
      </c>
      <c r="K274" s="22">
        <f t="shared" si="33"/>
        <v>7400.8189173271448</v>
      </c>
      <c r="L274" s="22">
        <f t="shared" si="34"/>
        <v>332.12952137184232</v>
      </c>
      <c r="M274" s="22"/>
      <c r="N274" s="22"/>
      <c r="O274" s="22"/>
      <c r="P274" s="22"/>
      <c r="Q274" s="22"/>
      <c r="R274" s="22"/>
      <c r="S274" s="23">
        <f t="shared" si="35"/>
        <v>7732.948438698987</v>
      </c>
      <c r="T274" s="24">
        <f t="shared" si="36"/>
        <v>7053.412348094198</v>
      </c>
    </row>
    <row r="275" spans="7:20">
      <c r="G275" s="5">
        <v>272</v>
      </c>
      <c r="H275" s="22">
        <f t="shared" si="30"/>
        <v>573673.1398972288</v>
      </c>
      <c r="I275" s="22">
        <f t="shared" si="31"/>
        <v>1689.8702582891117</v>
      </c>
      <c r="J275" s="22">
        <f t="shared" si="32"/>
        <v>5710.9486590380329</v>
      </c>
      <c r="K275" s="22">
        <f t="shared" si="33"/>
        <v>7400.8189173271448</v>
      </c>
      <c r="L275" s="22">
        <f t="shared" si="34"/>
        <v>328.89703427044088</v>
      </c>
      <c r="M275" s="22"/>
      <c r="N275" s="22"/>
      <c r="O275" s="22"/>
      <c r="P275" s="22"/>
      <c r="Q275" s="22"/>
      <c r="R275" s="22"/>
      <c r="S275" s="23">
        <f t="shared" si="35"/>
        <v>7729.7159515975854</v>
      </c>
      <c r="T275" s="24">
        <f t="shared" si="36"/>
        <v>7056.7935207444016</v>
      </c>
    </row>
    <row r="276" spans="7:20">
      <c r="G276" s="5">
        <v>273</v>
      </c>
      <c r="H276" s="22">
        <f t="shared" si="30"/>
        <v>567945.53430460196</v>
      </c>
      <c r="I276" s="22">
        <f t="shared" si="31"/>
        <v>1673.2133247002507</v>
      </c>
      <c r="J276" s="22">
        <f t="shared" si="32"/>
        <v>5727.6055926268946</v>
      </c>
      <c r="K276" s="22">
        <f t="shared" si="33"/>
        <v>7400.8189173271448</v>
      </c>
      <c r="L276" s="22">
        <f t="shared" si="34"/>
        <v>325.65511908166025</v>
      </c>
      <c r="M276" s="22"/>
      <c r="N276" s="22"/>
      <c r="O276" s="22"/>
      <c r="P276" s="22"/>
      <c r="Q276" s="22"/>
      <c r="R276" s="22"/>
      <c r="S276" s="23">
        <f t="shared" si="35"/>
        <v>7726.4740364088047</v>
      </c>
      <c r="T276" s="24">
        <f t="shared" si="36"/>
        <v>7060.1845551481674</v>
      </c>
    </row>
    <row r="277" spans="7:20">
      <c r="G277" s="5">
        <v>274</v>
      </c>
      <c r="H277" s="22">
        <f t="shared" si="30"/>
        <v>562201.22319566319</v>
      </c>
      <c r="I277" s="22">
        <f t="shared" si="31"/>
        <v>1656.5078083884225</v>
      </c>
      <c r="J277" s="22">
        <f t="shared" si="32"/>
        <v>5744.3111089387221</v>
      </c>
      <c r="K277" s="22">
        <f t="shared" si="33"/>
        <v>7400.8189173271448</v>
      </c>
      <c r="L277" s="22">
        <f t="shared" si="34"/>
        <v>322.40374830691241</v>
      </c>
      <c r="M277" s="22"/>
      <c r="N277" s="22"/>
      <c r="O277" s="22"/>
      <c r="P277" s="22"/>
      <c r="Q277" s="22"/>
      <c r="R277" s="22"/>
      <c r="S277" s="23">
        <f t="shared" si="35"/>
        <v>7723.2226656340572</v>
      </c>
      <c r="T277" s="24">
        <f t="shared" si="36"/>
        <v>7063.5854800689458</v>
      </c>
    </row>
    <row r="278" spans="7:20">
      <c r="G278" s="5">
        <v>275</v>
      </c>
      <c r="H278" s="22">
        <f t="shared" si="30"/>
        <v>556440.15784599003</v>
      </c>
      <c r="I278" s="22">
        <f t="shared" si="31"/>
        <v>1639.7535676540176</v>
      </c>
      <c r="J278" s="22">
        <f t="shared" si="32"/>
        <v>5761.0653496731275</v>
      </c>
      <c r="K278" s="22">
        <f t="shared" si="33"/>
        <v>7400.8189173271448</v>
      </c>
      <c r="L278" s="22">
        <f t="shared" si="34"/>
        <v>319.14289436740484</v>
      </c>
      <c r="M278" s="22"/>
      <c r="N278" s="22"/>
      <c r="O278" s="22"/>
      <c r="P278" s="22"/>
      <c r="Q278" s="22"/>
      <c r="R278" s="22"/>
      <c r="S278" s="23">
        <f t="shared" si="35"/>
        <v>7719.9618116945494</v>
      </c>
      <c r="T278" s="24">
        <f t="shared" si="36"/>
        <v>7066.9963243540751</v>
      </c>
    </row>
    <row r="279" spans="7:20">
      <c r="G279" s="5">
        <v>276</v>
      </c>
      <c r="H279" s="22">
        <f t="shared" si="30"/>
        <v>550662.28938904707</v>
      </c>
      <c r="I279" s="22">
        <f t="shared" si="31"/>
        <v>1622.9504603841376</v>
      </c>
      <c r="J279" s="22">
        <f t="shared" si="32"/>
        <v>5777.868456943007</v>
      </c>
      <c r="K279" s="22">
        <f t="shared" si="33"/>
        <v>7400.8189173271448</v>
      </c>
      <c r="L279" s="22">
        <f t="shared" si="34"/>
        <v>315.87252960390703</v>
      </c>
      <c r="M279" s="22"/>
      <c r="N279" s="22"/>
      <c r="O279" s="22"/>
      <c r="P279" s="22"/>
      <c r="Q279" s="22"/>
      <c r="R279" s="22"/>
      <c r="S279" s="23">
        <f t="shared" si="35"/>
        <v>7716.6914469310523</v>
      </c>
      <c r="T279" s="24">
        <f t="shared" si="36"/>
        <v>7070.4171169350375</v>
      </c>
    </row>
    <row r="280" spans="7:20">
      <c r="G280" s="5">
        <v>277</v>
      </c>
      <c r="H280" s="22">
        <f t="shared" si="30"/>
        <v>544867.56881577126</v>
      </c>
      <c r="I280" s="22">
        <f t="shared" si="31"/>
        <v>1606.0983440513874</v>
      </c>
      <c r="J280" s="22">
        <f t="shared" si="32"/>
        <v>5794.7205732757575</v>
      </c>
      <c r="K280" s="22">
        <f t="shared" si="33"/>
        <v>7400.8189173271448</v>
      </c>
      <c r="L280" s="22">
        <f t="shared" si="34"/>
        <v>312.59262627651577</v>
      </c>
      <c r="M280" s="22"/>
      <c r="N280" s="22"/>
      <c r="O280" s="22"/>
      <c r="P280" s="22"/>
      <c r="Q280" s="22"/>
      <c r="R280" s="22"/>
      <c r="S280" s="23">
        <f t="shared" si="35"/>
        <v>7713.4115436036609</v>
      </c>
      <c r="T280" s="24">
        <f t="shared" si="36"/>
        <v>7073.8478868276934</v>
      </c>
    </row>
    <row r="281" spans="7:20">
      <c r="G281" s="5">
        <v>278</v>
      </c>
      <c r="H281" s="22">
        <f t="shared" si="30"/>
        <v>539055.94697415677</v>
      </c>
      <c r="I281" s="22">
        <f t="shared" si="31"/>
        <v>1589.1970757126662</v>
      </c>
      <c r="J281" s="22">
        <f t="shared" si="32"/>
        <v>5811.6218416144784</v>
      </c>
      <c r="K281" s="22">
        <f t="shared" si="33"/>
        <v>7400.8189173271448</v>
      </c>
      <c r="L281" s="22">
        <f t="shared" si="34"/>
        <v>309.30315656441951</v>
      </c>
      <c r="M281" s="22"/>
      <c r="N281" s="22"/>
      <c r="O281" s="22"/>
      <c r="P281" s="22"/>
      <c r="Q281" s="22"/>
      <c r="R281" s="22"/>
      <c r="S281" s="23">
        <f t="shared" si="35"/>
        <v>7710.1220738915645</v>
      </c>
      <c r="T281" s="24">
        <f t="shared" si="36"/>
        <v>7077.2886631325364</v>
      </c>
    </row>
    <row r="282" spans="7:20">
      <c r="G282" s="5">
        <v>279</v>
      </c>
      <c r="H282" s="22">
        <f t="shared" si="30"/>
        <v>533227.37456883758</v>
      </c>
      <c r="I282" s="22">
        <f t="shared" si="31"/>
        <v>1572.2465120079573</v>
      </c>
      <c r="J282" s="22">
        <f t="shared" si="32"/>
        <v>5828.572405319188</v>
      </c>
      <c r="K282" s="22">
        <f t="shared" si="33"/>
        <v>7400.8189173271448</v>
      </c>
      <c r="L282" s="22">
        <f t="shared" si="34"/>
        <v>306.00409256566303</v>
      </c>
      <c r="M282" s="22"/>
      <c r="N282" s="22"/>
      <c r="O282" s="22"/>
      <c r="P282" s="22"/>
      <c r="Q282" s="22"/>
      <c r="R282" s="22"/>
      <c r="S282" s="23">
        <f t="shared" si="35"/>
        <v>7706.8230098928079</v>
      </c>
      <c r="T282" s="24">
        <f t="shared" si="36"/>
        <v>7080.739475034934</v>
      </c>
    </row>
    <row r="283" spans="7:20">
      <c r="G283" s="5">
        <v>280</v>
      </c>
      <c r="H283" s="22">
        <f t="shared" si="30"/>
        <v>527381.80216066958</v>
      </c>
      <c r="I283" s="22">
        <f t="shared" si="31"/>
        <v>1555.2465091591096</v>
      </c>
      <c r="J283" s="22">
        <f t="shared" si="32"/>
        <v>5845.5724081680355</v>
      </c>
      <c r="K283" s="22">
        <f t="shared" si="33"/>
        <v>7400.8189173271448</v>
      </c>
      <c r="L283" s="22">
        <f t="shared" si="34"/>
        <v>302.69540629691016</v>
      </c>
      <c r="M283" s="22"/>
      <c r="N283" s="22"/>
      <c r="O283" s="22"/>
      <c r="P283" s="22"/>
      <c r="Q283" s="22"/>
      <c r="R283" s="22"/>
      <c r="S283" s="23">
        <f t="shared" si="35"/>
        <v>7703.5143236240547</v>
      </c>
      <c r="T283" s="24">
        <f t="shared" si="36"/>
        <v>7084.2003518053816</v>
      </c>
    </row>
    <row r="284" spans="7:20">
      <c r="G284" s="5">
        <v>281</v>
      </c>
      <c r="H284" s="22">
        <f t="shared" si="30"/>
        <v>521519.18016631104</v>
      </c>
      <c r="I284" s="22">
        <f t="shared" si="31"/>
        <v>1538.1969229686197</v>
      </c>
      <c r="J284" s="22">
        <f t="shared" si="32"/>
        <v>5862.6219943585256</v>
      </c>
      <c r="K284" s="22">
        <f t="shared" si="33"/>
        <v>7400.8189173271448</v>
      </c>
      <c r="L284" s="22">
        <f t="shared" si="34"/>
        <v>299.37706969320681</v>
      </c>
      <c r="M284" s="22"/>
      <c r="N284" s="22"/>
      <c r="O284" s="22"/>
      <c r="P284" s="22"/>
      <c r="Q284" s="22"/>
      <c r="R284" s="22"/>
      <c r="S284" s="23">
        <f t="shared" si="35"/>
        <v>7700.1959870203518</v>
      </c>
      <c r="T284" s="24">
        <f t="shared" si="36"/>
        <v>7087.6713227997434</v>
      </c>
    </row>
    <row r="285" spans="7:20">
      <c r="G285" s="5">
        <v>282</v>
      </c>
      <c r="H285" s="22">
        <f t="shared" si="30"/>
        <v>515639.45885780232</v>
      </c>
      <c r="I285" s="22">
        <f t="shared" si="31"/>
        <v>1521.0976088184073</v>
      </c>
      <c r="J285" s="22">
        <f t="shared" si="32"/>
        <v>5879.7213085087378</v>
      </c>
      <c r="K285" s="22">
        <f t="shared" si="33"/>
        <v>7400.8189173271448</v>
      </c>
      <c r="L285" s="22">
        <f t="shared" si="34"/>
        <v>296.04905460774262</v>
      </c>
      <c r="M285" s="22"/>
      <c r="N285" s="22"/>
      <c r="O285" s="22"/>
      <c r="P285" s="22"/>
      <c r="Q285" s="22"/>
      <c r="R285" s="22"/>
      <c r="S285" s="23">
        <f t="shared" si="35"/>
        <v>7696.8679719348875</v>
      </c>
      <c r="T285" s="24">
        <f t="shared" si="36"/>
        <v>7091.1524174595042</v>
      </c>
    </row>
    <row r="286" spans="7:20">
      <c r="G286" s="5">
        <v>283</v>
      </c>
      <c r="H286" s="22">
        <f t="shared" si="30"/>
        <v>509742.58836214378</v>
      </c>
      <c r="I286" s="22">
        <f t="shared" si="31"/>
        <v>1503.9484216685901</v>
      </c>
      <c r="J286" s="22">
        <f t="shared" si="32"/>
        <v>5896.8704956585552</v>
      </c>
      <c r="K286" s="22">
        <f t="shared" si="33"/>
        <v>7400.8189173271448</v>
      </c>
      <c r="L286" s="22">
        <f t="shared" si="34"/>
        <v>292.71133281161246</v>
      </c>
      <c r="M286" s="22"/>
      <c r="N286" s="22"/>
      <c r="O286" s="22"/>
      <c r="P286" s="22"/>
      <c r="Q286" s="22"/>
      <c r="R286" s="22"/>
      <c r="S286" s="23">
        <f t="shared" si="35"/>
        <v>7693.5302501387578</v>
      </c>
      <c r="T286" s="24">
        <f t="shared" si="36"/>
        <v>7094.6436653120236</v>
      </c>
    </row>
    <row r="287" spans="7:20">
      <c r="G287" s="5">
        <v>284</v>
      </c>
      <c r="H287" s="22">
        <f t="shared" si="30"/>
        <v>503828.51866087288</v>
      </c>
      <c r="I287" s="22">
        <f t="shared" si="31"/>
        <v>1486.7492160562529</v>
      </c>
      <c r="J287" s="22">
        <f t="shared" si="32"/>
        <v>5914.0697012708915</v>
      </c>
      <c r="K287" s="22">
        <f t="shared" si="33"/>
        <v>7400.8189173271448</v>
      </c>
      <c r="L287" s="22">
        <f t="shared" si="34"/>
        <v>289.36387599357698</v>
      </c>
      <c r="M287" s="22"/>
      <c r="N287" s="22"/>
      <c r="O287" s="22"/>
      <c r="P287" s="22"/>
      <c r="Q287" s="22"/>
      <c r="R287" s="22"/>
      <c r="S287" s="23">
        <f t="shared" si="35"/>
        <v>7690.1827933207214</v>
      </c>
      <c r="T287" s="24">
        <f t="shared" si="36"/>
        <v>7098.1450959707781</v>
      </c>
    </row>
    <row r="288" spans="7:20">
      <c r="G288" s="5">
        <v>285</v>
      </c>
      <c r="H288" s="22">
        <f t="shared" si="30"/>
        <v>497897.19958963996</v>
      </c>
      <c r="I288" s="22">
        <f t="shared" si="31"/>
        <v>1469.4998460942127</v>
      </c>
      <c r="J288" s="22">
        <f t="shared" si="32"/>
        <v>5931.3190712329324</v>
      </c>
      <c r="K288" s="22">
        <f t="shared" si="33"/>
        <v>7400.8189173271448</v>
      </c>
      <c r="L288" s="22">
        <f t="shared" si="34"/>
        <v>286.00665575982219</v>
      </c>
      <c r="M288" s="22"/>
      <c r="N288" s="22"/>
      <c r="O288" s="22"/>
      <c r="P288" s="22"/>
      <c r="Q288" s="22"/>
      <c r="R288" s="22"/>
      <c r="S288" s="23">
        <f t="shared" si="35"/>
        <v>7686.8255730869669</v>
      </c>
      <c r="T288" s="24">
        <f t="shared" si="36"/>
        <v>7101.656739135622</v>
      </c>
    </row>
    <row r="289" spans="7:20">
      <c r="G289" s="5">
        <v>286</v>
      </c>
      <c r="H289" s="22">
        <f t="shared" si="30"/>
        <v>491948.58083778259</v>
      </c>
      <c r="I289" s="22">
        <f t="shared" si="31"/>
        <v>1452.2001654697833</v>
      </c>
      <c r="J289" s="22">
        <f t="shared" si="32"/>
        <v>5948.6187518573615</v>
      </c>
      <c r="K289" s="22">
        <f t="shared" si="33"/>
        <v>7400.8189173271448</v>
      </c>
      <c r="L289" s="22">
        <f t="shared" si="34"/>
        <v>282.639643633719</v>
      </c>
      <c r="M289" s="22"/>
      <c r="N289" s="22"/>
      <c r="O289" s="22"/>
      <c r="P289" s="22"/>
      <c r="Q289" s="22"/>
      <c r="R289" s="22"/>
      <c r="S289" s="23">
        <f t="shared" si="35"/>
        <v>7683.4585609608639</v>
      </c>
      <c r="T289" s="24">
        <f t="shared" si="36"/>
        <v>7105.1786245930298</v>
      </c>
    </row>
    <row r="290" spans="7:20">
      <c r="G290" s="5">
        <v>287</v>
      </c>
      <c r="H290" s="22">
        <f t="shared" si="30"/>
        <v>485982.61194789899</v>
      </c>
      <c r="I290" s="22">
        <f t="shared" si="31"/>
        <v>1434.8500274435326</v>
      </c>
      <c r="J290" s="22">
        <f t="shared" si="32"/>
        <v>5965.9688898836121</v>
      </c>
      <c r="K290" s="22">
        <f t="shared" si="33"/>
        <v>7400.8189173271448</v>
      </c>
      <c r="L290" s="22">
        <f t="shared" si="34"/>
        <v>279.26281105558127</v>
      </c>
      <c r="M290" s="22"/>
      <c r="N290" s="22"/>
      <c r="O290" s="22"/>
      <c r="P290" s="22"/>
      <c r="Q290" s="22"/>
      <c r="R290" s="22"/>
      <c r="S290" s="23">
        <f t="shared" si="35"/>
        <v>7680.0817283827264</v>
      </c>
      <c r="T290" s="24">
        <f t="shared" si="36"/>
        <v>7108.7107822163553</v>
      </c>
    </row>
    <row r="291" spans="7:20">
      <c r="G291" s="5">
        <v>288</v>
      </c>
      <c r="H291" s="22">
        <f t="shared" si="30"/>
        <v>479999.24231541989</v>
      </c>
      <c r="I291" s="22">
        <f t="shared" si="31"/>
        <v>1417.4492848480388</v>
      </c>
      <c r="J291" s="22">
        <f t="shared" si="32"/>
        <v>5983.3696324791063</v>
      </c>
      <c r="K291" s="22">
        <f t="shared" si="33"/>
        <v>7400.8189173271448</v>
      </c>
      <c r="L291" s="22">
        <f t="shared" si="34"/>
        <v>275.87612938242404</v>
      </c>
      <c r="M291" s="22"/>
      <c r="N291" s="22"/>
      <c r="O291" s="22"/>
      <c r="P291" s="22"/>
      <c r="Q291" s="22"/>
      <c r="R291" s="22"/>
      <c r="S291" s="23">
        <f t="shared" si="35"/>
        <v>7676.6950467095685</v>
      </c>
      <c r="T291" s="24">
        <f t="shared" si="36"/>
        <v>7112.2532419660811</v>
      </c>
    </row>
    <row r="292" spans="7:20">
      <c r="G292" s="5">
        <v>289</v>
      </c>
      <c r="H292" s="22">
        <f t="shared" si="30"/>
        <v>473998.4211881794</v>
      </c>
      <c r="I292" s="22">
        <f t="shared" si="31"/>
        <v>1399.9977900866413</v>
      </c>
      <c r="J292" s="22">
        <f t="shared" si="32"/>
        <v>6000.8211272405033</v>
      </c>
      <c r="K292" s="22">
        <f t="shared" si="33"/>
        <v>7400.8189173271448</v>
      </c>
      <c r="L292" s="22">
        <f t="shared" si="34"/>
        <v>272.47956988772006</v>
      </c>
      <c r="M292" s="22"/>
      <c r="N292" s="22"/>
      <c r="O292" s="22"/>
      <c r="P292" s="22"/>
      <c r="Q292" s="22"/>
      <c r="R292" s="22"/>
      <c r="S292" s="23">
        <f t="shared" si="35"/>
        <v>7673.2984872148645</v>
      </c>
      <c r="T292" s="24">
        <f t="shared" si="36"/>
        <v>7115.8060338900777</v>
      </c>
    </row>
    <row r="293" spans="7:20">
      <c r="G293" s="5">
        <v>290</v>
      </c>
      <c r="H293" s="22">
        <f t="shared" si="30"/>
        <v>467980.09766598447</v>
      </c>
      <c r="I293" s="22">
        <f t="shared" si="31"/>
        <v>1382.49539513219</v>
      </c>
      <c r="J293" s="22">
        <f t="shared" si="32"/>
        <v>6018.3235221949544</v>
      </c>
      <c r="K293" s="22">
        <f t="shared" si="33"/>
        <v>7400.8189173271448</v>
      </c>
      <c r="L293" s="22">
        <f t="shared" si="34"/>
        <v>269.07310376115652</v>
      </c>
      <c r="M293" s="22"/>
      <c r="N293" s="22"/>
      <c r="O293" s="22"/>
      <c r="P293" s="22"/>
      <c r="Q293" s="22"/>
      <c r="R293" s="22"/>
      <c r="S293" s="23">
        <f t="shared" si="35"/>
        <v>7669.8920210883016</v>
      </c>
      <c r="T293" s="24">
        <f t="shared" si="36"/>
        <v>7119.3691881238528</v>
      </c>
    </row>
    <row r="294" spans="7:20">
      <c r="G294" s="5">
        <v>291</v>
      </c>
      <c r="H294" s="22">
        <f t="shared" si="30"/>
        <v>461944.22070018313</v>
      </c>
      <c r="I294" s="22">
        <f t="shared" si="31"/>
        <v>1364.9419515257882</v>
      </c>
      <c r="J294" s="22">
        <f t="shared" si="32"/>
        <v>6035.8769658013571</v>
      </c>
      <c r="K294" s="22">
        <f t="shared" si="33"/>
        <v>7400.8189173271448</v>
      </c>
      <c r="L294" s="22">
        <f t="shared" si="34"/>
        <v>265.65670210839056</v>
      </c>
      <c r="M294" s="22"/>
      <c r="N294" s="22"/>
      <c r="O294" s="22"/>
      <c r="P294" s="22"/>
      <c r="Q294" s="22"/>
      <c r="R294" s="22"/>
      <c r="S294" s="23">
        <f t="shared" si="35"/>
        <v>7666.475619435535</v>
      </c>
      <c r="T294" s="24">
        <f t="shared" si="36"/>
        <v>7122.9427348908084</v>
      </c>
    </row>
    <row r="295" spans="7:20">
      <c r="G295" s="5">
        <v>292</v>
      </c>
      <c r="H295" s="22">
        <f t="shared" si="30"/>
        <v>455890.7390932315</v>
      </c>
      <c r="I295" s="22">
        <f t="shared" si="31"/>
        <v>1347.3373103755341</v>
      </c>
      <c r="J295" s="22">
        <f t="shared" si="32"/>
        <v>6053.481606951611</v>
      </c>
      <c r="K295" s="22">
        <f t="shared" si="33"/>
        <v>7400.8189173271448</v>
      </c>
      <c r="L295" s="22">
        <f t="shared" si="34"/>
        <v>262.23033595080398</v>
      </c>
      <c r="M295" s="22"/>
      <c r="N295" s="22"/>
      <c r="O295" s="22"/>
      <c r="P295" s="22"/>
      <c r="Q295" s="22"/>
      <c r="R295" s="22"/>
      <c r="S295" s="23">
        <f t="shared" si="35"/>
        <v>7663.049253277949</v>
      </c>
      <c r="T295" s="24">
        <f t="shared" si="36"/>
        <v>7126.526704502503</v>
      </c>
    </row>
    <row r="296" spans="7:20">
      <c r="G296" s="5">
        <v>293</v>
      </c>
      <c r="H296" s="22">
        <f t="shared" si="30"/>
        <v>449819.60149825964</v>
      </c>
      <c r="I296" s="22">
        <f t="shared" si="31"/>
        <v>1329.6813223552585</v>
      </c>
      <c r="J296" s="22">
        <f t="shared" si="32"/>
        <v>6071.1375949718858</v>
      </c>
      <c r="K296" s="22">
        <f t="shared" si="33"/>
        <v>7400.8189173271448</v>
      </c>
      <c r="L296" s="22">
        <f t="shared" si="34"/>
        <v>258.79397622525778</v>
      </c>
      <c r="M296" s="22"/>
      <c r="N296" s="22"/>
      <c r="O296" s="22"/>
      <c r="P296" s="22"/>
      <c r="Q296" s="22"/>
      <c r="R296" s="22"/>
      <c r="S296" s="23">
        <f t="shared" si="35"/>
        <v>7659.612893552403</v>
      </c>
      <c r="T296" s="24">
        <f t="shared" si="36"/>
        <v>7130.1211273588979</v>
      </c>
    </row>
    <row r="297" spans="7:20">
      <c r="G297" s="5">
        <v>294</v>
      </c>
      <c r="H297" s="22">
        <f t="shared" si="30"/>
        <v>443730.75641863578</v>
      </c>
      <c r="I297" s="22">
        <f t="shared" si="31"/>
        <v>1311.9738377032572</v>
      </c>
      <c r="J297" s="22">
        <f t="shared" si="32"/>
        <v>6088.8450796238876</v>
      </c>
      <c r="K297" s="22">
        <f t="shared" si="33"/>
        <v>7400.8189173271448</v>
      </c>
      <c r="L297" s="22">
        <f t="shared" si="34"/>
        <v>255.34759378384541</v>
      </c>
      <c r="M297" s="22"/>
      <c r="N297" s="22"/>
      <c r="O297" s="22"/>
      <c r="P297" s="22"/>
      <c r="Q297" s="22"/>
      <c r="R297" s="22"/>
      <c r="S297" s="23">
        <f t="shared" si="35"/>
        <v>7656.1665111109905</v>
      </c>
      <c r="T297" s="24">
        <f t="shared" si="36"/>
        <v>7133.7260339486229</v>
      </c>
    </row>
    <row r="298" spans="7:20">
      <c r="G298" s="5">
        <v>295</v>
      </c>
      <c r="H298" s="22">
        <f t="shared" si="30"/>
        <v>437624.15220752964</v>
      </c>
      <c r="I298" s="22">
        <f t="shared" si="31"/>
        <v>1294.2147062210211</v>
      </c>
      <c r="J298" s="22">
        <f t="shared" si="32"/>
        <v>6106.6042111061233</v>
      </c>
      <c r="K298" s="22">
        <f t="shared" si="33"/>
        <v>7400.8189173271448</v>
      </c>
      <c r="L298" s="22">
        <f t="shared" si="34"/>
        <v>251.89115939364561</v>
      </c>
      <c r="M298" s="22"/>
      <c r="N298" s="22"/>
      <c r="O298" s="22"/>
      <c r="P298" s="22"/>
      <c r="Q298" s="22"/>
      <c r="R298" s="22"/>
      <c r="S298" s="23">
        <f t="shared" si="35"/>
        <v>7652.7100767207903</v>
      </c>
      <c r="T298" s="24">
        <f t="shared" si="36"/>
        <v>7137.3414548492347</v>
      </c>
    </row>
    <row r="299" spans="7:20">
      <c r="G299" s="5">
        <v>296</v>
      </c>
      <c r="H299" s="22">
        <f t="shared" si="30"/>
        <v>431499.73706747446</v>
      </c>
      <c r="I299" s="22">
        <f t="shared" si="31"/>
        <v>1276.4037772719614</v>
      </c>
      <c r="J299" s="22">
        <f t="shared" si="32"/>
        <v>6124.4151400551837</v>
      </c>
      <c r="K299" s="22">
        <f t="shared" si="33"/>
        <v>7400.8189173271448</v>
      </c>
      <c r="L299" s="22">
        <f t="shared" si="34"/>
        <v>248.42464373647437</v>
      </c>
      <c r="M299" s="22"/>
      <c r="N299" s="22"/>
      <c r="O299" s="22"/>
      <c r="P299" s="22"/>
      <c r="Q299" s="22"/>
      <c r="R299" s="22"/>
      <c r="S299" s="23">
        <f t="shared" si="35"/>
        <v>7649.2435610636194</v>
      </c>
      <c r="T299" s="24">
        <f t="shared" si="36"/>
        <v>7140.9674207274738</v>
      </c>
    </row>
    <row r="300" spans="7:20">
      <c r="G300" s="5">
        <v>297</v>
      </c>
      <c r="H300" s="22">
        <f t="shared" si="30"/>
        <v>425357.45904992742</v>
      </c>
      <c r="I300" s="22">
        <f t="shared" si="31"/>
        <v>1258.5408997801339</v>
      </c>
      <c r="J300" s="22">
        <f t="shared" si="32"/>
        <v>6142.2780175470107</v>
      </c>
      <c r="K300" s="22">
        <f t="shared" si="33"/>
        <v>7400.8189173271448</v>
      </c>
      <c r="L300" s="22">
        <f t="shared" si="34"/>
        <v>244.94801740863636</v>
      </c>
      <c r="M300" s="22"/>
      <c r="N300" s="22"/>
      <c r="O300" s="22"/>
      <c r="P300" s="22"/>
      <c r="Q300" s="22"/>
      <c r="R300" s="22"/>
      <c r="S300" s="23">
        <f t="shared" si="35"/>
        <v>7645.7669347357814</v>
      </c>
      <c r="T300" s="24">
        <f t="shared" si="36"/>
        <v>7144.6039623395245</v>
      </c>
    </row>
    <row r="301" spans="7:20">
      <c r="G301" s="5">
        <v>298</v>
      </c>
      <c r="H301" s="22">
        <f t="shared" si="30"/>
        <v>419197.26605482923</v>
      </c>
      <c r="I301" s="22">
        <f t="shared" si="31"/>
        <v>1240.625922228955</v>
      </c>
      <c r="J301" s="22">
        <f t="shared" si="32"/>
        <v>6160.1929950981903</v>
      </c>
      <c r="K301" s="22">
        <f t="shared" si="33"/>
        <v>7400.8189173271448</v>
      </c>
      <c r="L301" s="22">
        <f t="shared" si="34"/>
        <v>241.4612509206755</v>
      </c>
      <c r="M301" s="22"/>
      <c r="N301" s="22"/>
      <c r="O301" s="22"/>
      <c r="P301" s="22"/>
      <c r="Q301" s="22"/>
      <c r="R301" s="22"/>
      <c r="S301" s="23">
        <f t="shared" si="35"/>
        <v>7642.2801682478203</v>
      </c>
      <c r="T301" s="24">
        <f t="shared" si="36"/>
        <v>7148.2511105312769</v>
      </c>
    </row>
    <row r="302" spans="7:20">
      <c r="G302" s="5">
        <v>299</v>
      </c>
      <c r="H302" s="22">
        <f t="shared" si="30"/>
        <v>413019.10583016201</v>
      </c>
      <c r="I302" s="22">
        <f t="shared" si="31"/>
        <v>1222.6586926599186</v>
      </c>
      <c r="J302" s="22">
        <f t="shared" si="32"/>
        <v>6178.1602246672264</v>
      </c>
      <c r="K302" s="22">
        <f t="shared" si="33"/>
        <v>7400.8189173271448</v>
      </c>
      <c r="L302" s="22">
        <f t="shared" si="34"/>
        <v>237.96431469712476</v>
      </c>
      <c r="M302" s="22"/>
      <c r="N302" s="22"/>
      <c r="O302" s="22"/>
      <c r="P302" s="22"/>
      <c r="Q302" s="22"/>
      <c r="R302" s="22"/>
      <c r="S302" s="23">
        <f t="shared" si="35"/>
        <v>7638.7832320242696</v>
      </c>
      <c r="T302" s="24">
        <f t="shared" si="36"/>
        <v>7151.9088962385886</v>
      </c>
    </row>
    <row r="303" spans="7:20">
      <c r="G303" s="5">
        <v>300</v>
      </c>
      <c r="H303" s="22">
        <f t="shared" si="30"/>
        <v>406822.92597150616</v>
      </c>
      <c r="I303" s="22">
        <f t="shared" si="31"/>
        <v>1204.639058671306</v>
      </c>
      <c r="J303" s="22">
        <f t="shared" si="32"/>
        <v>6196.1798586558389</v>
      </c>
      <c r="K303" s="22">
        <f t="shared" si="33"/>
        <v>7400.8189173271448</v>
      </c>
      <c r="L303" s="22">
        <f t="shared" si="34"/>
        <v>234.45717907625533</v>
      </c>
      <c r="M303" s="22"/>
      <c r="N303" s="22"/>
      <c r="O303" s="22"/>
      <c r="P303" s="22"/>
      <c r="Q303" s="22"/>
      <c r="R303" s="22"/>
      <c r="S303" s="23">
        <f t="shared" si="35"/>
        <v>7635.2760964034005</v>
      </c>
      <c r="T303" s="24">
        <f t="shared" si="36"/>
        <v>7155.5773504875469</v>
      </c>
    </row>
    <row r="304" spans="7:20">
      <c r="G304" s="5">
        <v>301</v>
      </c>
      <c r="H304" s="22">
        <f t="shared" si="30"/>
        <v>400608.67392159591</v>
      </c>
      <c r="I304" s="22">
        <f t="shared" si="31"/>
        <v>1186.566867416893</v>
      </c>
      <c r="J304" s="22">
        <f t="shared" si="32"/>
        <v>6214.252049910252</v>
      </c>
      <c r="K304" s="22">
        <f t="shared" si="33"/>
        <v>7400.8189173271448</v>
      </c>
      <c r="L304" s="22">
        <f t="shared" si="34"/>
        <v>230.93981430982504</v>
      </c>
      <c r="M304" s="22"/>
      <c r="N304" s="22"/>
      <c r="O304" s="22"/>
      <c r="P304" s="22"/>
      <c r="Q304" s="22"/>
      <c r="R304" s="22"/>
      <c r="S304" s="23">
        <f t="shared" si="35"/>
        <v>7631.75873163697</v>
      </c>
      <c r="T304" s="24">
        <f t="shared" si="36"/>
        <v>7159.2565043947307</v>
      </c>
    </row>
    <row r="305" spans="7:20">
      <c r="G305" s="5">
        <v>302</v>
      </c>
      <c r="H305" s="22">
        <f t="shared" si="30"/>
        <v>394376.29696987342</v>
      </c>
      <c r="I305" s="22">
        <f t="shared" si="31"/>
        <v>1168.4419656046548</v>
      </c>
      <c r="J305" s="22">
        <f t="shared" si="32"/>
        <v>6232.37695172249</v>
      </c>
      <c r="K305" s="22">
        <f t="shared" si="33"/>
        <v>7400.8189173271448</v>
      </c>
      <c r="L305" s="22">
        <f t="shared" si="34"/>
        <v>227.41219056282597</v>
      </c>
      <c r="M305" s="22"/>
      <c r="N305" s="22"/>
      <c r="O305" s="22"/>
      <c r="P305" s="22"/>
      <c r="Q305" s="22"/>
      <c r="R305" s="22"/>
      <c r="S305" s="23">
        <f t="shared" si="35"/>
        <v>7628.2311078899711</v>
      </c>
      <c r="T305" s="24">
        <f t="shared" si="36"/>
        <v>7162.9463891674777</v>
      </c>
    </row>
    <row r="306" spans="7:20">
      <c r="G306" s="5">
        <v>303</v>
      </c>
      <c r="H306" s="22">
        <f t="shared" si="30"/>
        <v>388125.74225204176</v>
      </c>
      <c r="I306" s="22">
        <f t="shared" si="31"/>
        <v>1150.2641994954643</v>
      </c>
      <c r="J306" s="22">
        <f t="shared" si="32"/>
        <v>6250.554717831681</v>
      </c>
      <c r="K306" s="22">
        <f t="shared" si="33"/>
        <v>7400.8189173271448</v>
      </c>
      <c r="L306" s="22">
        <f t="shared" si="34"/>
        <v>223.87427791323151</v>
      </c>
      <c r="M306" s="22"/>
      <c r="N306" s="22"/>
      <c r="O306" s="22"/>
      <c r="P306" s="22"/>
      <c r="Q306" s="22"/>
      <c r="R306" s="22"/>
      <c r="S306" s="23">
        <f t="shared" si="35"/>
        <v>7624.6931952403766</v>
      </c>
      <c r="T306" s="24">
        <f t="shared" si="36"/>
        <v>7166.6470361041447</v>
      </c>
    </row>
    <row r="307" spans="7:20">
      <c r="G307" s="5">
        <v>304</v>
      </c>
      <c r="H307" s="22">
        <f t="shared" si="30"/>
        <v>381856.95674961642</v>
      </c>
      <c r="I307" s="22">
        <f t="shared" si="31"/>
        <v>1132.0334149017885</v>
      </c>
      <c r="J307" s="22">
        <f t="shared" si="32"/>
        <v>6268.7855024253568</v>
      </c>
      <c r="K307" s="22">
        <f t="shared" si="33"/>
        <v>7400.8189173271448</v>
      </c>
      <c r="L307" s="22">
        <f t="shared" si="34"/>
        <v>220.32604635174241</v>
      </c>
      <c r="M307" s="22"/>
      <c r="N307" s="22"/>
      <c r="O307" s="22"/>
      <c r="P307" s="22"/>
      <c r="Q307" s="22"/>
      <c r="R307" s="22"/>
      <c r="S307" s="23">
        <f t="shared" si="35"/>
        <v>7621.1449636788875</v>
      </c>
      <c r="T307" s="24">
        <f t="shared" si="36"/>
        <v>7170.358476594377</v>
      </c>
    </row>
    <row r="308" spans="7:20">
      <c r="G308" s="5">
        <v>305</v>
      </c>
      <c r="H308" s="22">
        <f t="shared" si="30"/>
        <v>375569.88728947565</v>
      </c>
      <c r="I308" s="22">
        <f t="shared" si="31"/>
        <v>1113.7494571863813</v>
      </c>
      <c r="J308" s="22">
        <f t="shared" si="32"/>
        <v>6287.0694601407631</v>
      </c>
      <c r="K308" s="22">
        <f t="shared" si="33"/>
        <v>7400.8189173271448</v>
      </c>
      <c r="L308" s="22">
        <f t="shared" si="34"/>
        <v>216.76746578153228</v>
      </c>
      <c r="M308" s="22"/>
      <c r="N308" s="22"/>
      <c r="O308" s="22"/>
      <c r="P308" s="22"/>
      <c r="Q308" s="22"/>
      <c r="R308" s="22"/>
      <c r="S308" s="23">
        <f t="shared" si="35"/>
        <v>7617.5863831086772</v>
      </c>
      <c r="T308" s="24">
        <f t="shared" si="36"/>
        <v>7174.0807421193731</v>
      </c>
    </row>
    <row r="309" spans="7:20">
      <c r="G309" s="5">
        <v>306</v>
      </c>
      <c r="H309" s="22">
        <f t="shared" si="30"/>
        <v>369264.48054340947</v>
      </c>
      <c r="I309" s="22">
        <f t="shared" si="31"/>
        <v>1095.4121712609706</v>
      </c>
      <c r="J309" s="22">
        <f t="shared" si="32"/>
        <v>6305.4067460661745</v>
      </c>
      <c r="K309" s="22">
        <f t="shared" si="33"/>
        <v>7400.8189173271448</v>
      </c>
      <c r="L309" s="22">
        <f t="shared" si="34"/>
        <v>213.19850601799237</v>
      </c>
      <c r="M309" s="22"/>
      <c r="N309" s="22"/>
      <c r="O309" s="22"/>
      <c r="P309" s="22"/>
      <c r="Q309" s="22"/>
      <c r="R309" s="22"/>
      <c r="S309" s="23">
        <f t="shared" si="35"/>
        <v>7614.0174233451371</v>
      </c>
      <c r="T309" s="24">
        <f t="shared" si="36"/>
        <v>7177.8138642521499</v>
      </c>
    </row>
    <row r="310" spans="7:20">
      <c r="G310" s="5">
        <v>307</v>
      </c>
      <c r="H310" s="22">
        <f t="shared" si="30"/>
        <v>362940.68302766728</v>
      </c>
      <c r="I310" s="22">
        <f t="shared" si="31"/>
        <v>1077.0214015849444</v>
      </c>
      <c r="J310" s="22">
        <f t="shared" si="32"/>
        <v>6323.7975157422006</v>
      </c>
      <c r="K310" s="22">
        <f t="shared" si="33"/>
        <v>7400.8189173271448</v>
      </c>
      <c r="L310" s="22">
        <f t="shared" si="34"/>
        <v>209.61913678847546</v>
      </c>
      <c r="M310" s="22"/>
      <c r="N310" s="22"/>
      <c r="O310" s="22"/>
      <c r="P310" s="22"/>
      <c r="Q310" s="22"/>
      <c r="R310" s="22"/>
      <c r="S310" s="23">
        <f t="shared" si="35"/>
        <v>7610.4380541156206</v>
      </c>
      <c r="T310" s="24">
        <f t="shared" si="36"/>
        <v>7181.557874657814</v>
      </c>
    </row>
    <row r="311" spans="7:20">
      <c r="G311" s="5">
        <v>308</v>
      </c>
      <c r="H311" s="22">
        <f t="shared" si="30"/>
        <v>356598.44110250415</v>
      </c>
      <c r="I311" s="22">
        <f t="shared" si="31"/>
        <v>1058.5769921640297</v>
      </c>
      <c r="J311" s="22">
        <f t="shared" si="32"/>
        <v>6342.2419251631154</v>
      </c>
      <c r="K311" s="22">
        <f t="shared" si="33"/>
        <v>7400.8189173271448</v>
      </c>
      <c r="L311" s="22">
        <f t="shared" si="34"/>
        <v>206.02932773203915</v>
      </c>
      <c r="M311" s="22"/>
      <c r="N311" s="22"/>
      <c r="O311" s="22"/>
      <c r="P311" s="22"/>
      <c r="Q311" s="22"/>
      <c r="R311" s="22"/>
      <c r="S311" s="23">
        <f t="shared" si="35"/>
        <v>7606.8482450591837</v>
      </c>
      <c r="T311" s="24">
        <f t="shared" si="36"/>
        <v>7185.3128050938276</v>
      </c>
    </row>
    <row r="312" spans="7:20">
      <c r="G312" s="5">
        <v>309</v>
      </c>
      <c r="H312" s="22">
        <f t="shared" si="30"/>
        <v>350237.70097172598</v>
      </c>
      <c r="I312" s="22">
        <f t="shared" si="31"/>
        <v>1040.0787865489706</v>
      </c>
      <c r="J312" s="22">
        <f t="shared" si="32"/>
        <v>6360.7401307781747</v>
      </c>
      <c r="K312" s="22">
        <f t="shared" si="33"/>
        <v>7400.8189173271448</v>
      </c>
      <c r="L312" s="22">
        <f t="shared" si="34"/>
        <v>202.42904839918822</v>
      </c>
      <c r="M312" s="22"/>
      <c r="N312" s="22"/>
      <c r="O312" s="22"/>
      <c r="P312" s="22"/>
      <c r="Q312" s="22"/>
      <c r="R312" s="22"/>
      <c r="S312" s="23">
        <f t="shared" si="35"/>
        <v>7603.2479657263329</v>
      </c>
      <c r="T312" s="24">
        <f t="shared" si="36"/>
        <v>7189.0786874102796</v>
      </c>
    </row>
    <row r="313" spans="7:20">
      <c r="G313" s="5">
        <v>310</v>
      </c>
      <c r="H313" s="22">
        <f t="shared" si="30"/>
        <v>343858.40868223301</v>
      </c>
      <c r="I313" s="22">
        <f t="shared" si="31"/>
        <v>1021.5266278342008</v>
      </c>
      <c r="J313" s="22">
        <f t="shared" si="32"/>
        <v>6379.2922894929443</v>
      </c>
      <c r="K313" s="22">
        <f t="shared" si="33"/>
        <v>7400.8189173271448</v>
      </c>
      <c r="L313" s="22">
        <f t="shared" si="34"/>
        <v>198.81826825161647</v>
      </c>
      <c r="M313" s="22"/>
      <c r="N313" s="22"/>
      <c r="O313" s="22"/>
      <c r="P313" s="22"/>
      <c r="Q313" s="22"/>
      <c r="R313" s="22"/>
      <c r="S313" s="23">
        <f t="shared" si="35"/>
        <v>7599.6371855787611</v>
      </c>
      <c r="T313" s="24">
        <f t="shared" si="36"/>
        <v>7192.8555535501555</v>
      </c>
    </row>
    <row r="314" spans="7:20">
      <c r="G314" s="5">
        <v>311</v>
      </c>
      <c r="H314" s="22">
        <f t="shared" si="30"/>
        <v>337460.51012356236</v>
      </c>
      <c r="I314" s="22">
        <f t="shared" si="31"/>
        <v>1002.920358656513</v>
      </c>
      <c r="J314" s="22">
        <f t="shared" si="32"/>
        <v>6397.8985586706322</v>
      </c>
      <c r="K314" s="22">
        <f t="shared" si="33"/>
        <v>7400.8189173271448</v>
      </c>
      <c r="L314" s="22">
        <f t="shared" si="34"/>
        <v>195.19695666194764</v>
      </c>
      <c r="M314" s="22"/>
      <c r="N314" s="22"/>
      <c r="O314" s="22"/>
      <c r="P314" s="22"/>
      <c r="Q314" s="22"/>
      <c r="R314" s="22"/>
      <c r="S314" s="23">
        <f t="shared" si="35"/>
        <v>7596.0158739890921</v>
      </c>
      <c r="T314" s="24">
        <f t="shared" si="36"/>
        <v>7196.6434355496049</v>
      </c>
    </row>
    <row r="315" spans="7:20">
      <c r="G315" s="5">
        <v>312</v>
      </c>
      <c r="H315" s="22">
        <f t="shared" si="30"/>
        <v>331043.95102742896</v>
      </c>
      <c r="I315" s="22">
        <f t="shared" si="31"/>
        <v>984.25982119372361</v>
      </c>
      <c r="J315" s="22">
        <f t="shared" si="32"/>
        <v>6416.559096133421</v>
      </c>
      <c r="K315" s="22">
        <f t="shared" si="33"/>
        <v>7400.8189173271448</v>
      </c>
      <c r="L315" s="22">
        <f t="shared" si="34"/>
        <v>191.56508291347558</v>
      </c>
      <c r="M315" s="22"/>
      <c r="N315" s="22"/>
      <c r="O315" s="22"/>
      <c r="P315" s="22"/>
      <c r="Q315" s="22"/>
      <c r="R315" s="22"/>
      <c r="S315" s="23">
        <f t="shared" si="35"/>
        <v>7592.3840002406205</v>
      </c>
      <c r="T315" s="24">
        <f t="shared" si="36"/>
        <v>7200.4423655382207</v>
      </c>
    </row>
    <row r="316" spans="7:20">
      <c r="G316" s="5">
        <v>313</v>
      </c>
      <c r="H316" s="22">
        <f t="shared" si="30"/>
        <v>324608.67696726514</v>
      </c>
      <c r="I316" s="22">
        <f t="shared" si="31"/>
        <v>965.54485716333454</v>
      </c>
      <c r="J316" s="22">
        <f t="shared" si="32"/>
        <v>6435.2740601638106</v>
      </c>
      <c r="K316" s="22">
        <f t="shared" si="33"/>
        <v>7400.8189173271448</v>
      </c>
      <c r="L316" s="22">
        <f t="shared" si="34"/>
        <v>187.92261619990387</v>
      </c>
      <c r="M316" s="22"/>
      <c r="N316" s="22"/>
      <c r="O316" s="22"/>
      <c r="P316" s="22"/>
      <c r="Q316" s="22"/>
      <c r="R316" s="22"/>
      <c r="S316" s="23">
        <f t="shared" si="35"/>
        <v>7588.7415335270489</v>
      </c>
      <c r="T316" s="24">
        <f t="shared" si="36"/>
        <v>7204.2523757393028</v>
      </c>
    </row>
    <row r="317" spans="7:20">
      <c r="G317" s="5">
        <v>314</v>
      </c>
      <c r="H317" s="22">
        <f t="shared" si="30"/>
        <v>318154.63335775922</v>
      </c>
      <c r="I317" s="22">
        <f t="shared" si="31"/>
        <v>946.77530782119004</v>
      </c>
      <c r="J317" s="22">
        <f t="shared" si="32"/>
        <v>6454.0436095059549</v>
      </c>
      <c r="K317" s="22">
        <f t="shared" si="33"/>
        <v>7400.8189173271448</v>
      </c>
      <c r="L317" s="22">
        <f t="shared" si="34"/>
        <v>184.26952562508421</v>
      </c>
      <c r="M317" s="22"/>
      <c r="N317" s="22"/>
      <c r="O317" s="22"/>
      <c r="P317" s="22"/>
      <c r="Q317" s="22"/>
      <c r="R317" s="22"/>
      <c r="S317" s="23">
        <f t="shared" si="35"/>
        <v>7585.0884429522293</v>
      </c>
      <c r="T317" s="24">
        <f t="shared" si="36"/>
        <v>7208.0734984701376</v>
      </c>
    </row>
    <row r="318" spans="7:20">
      <c r="G318" s="5">
        <v>315</v>
      </c>
      <c r="H318" s="22">
        <f t="shared" si="30"/>
        <v>311681.76545439218</v>
      </c>
      <c r="I318" s="22">
        <f t="shared" si="31"/>
        <v>927.95101396013104</v>
      </c>
      <c r="J318" s="22">
        <f t="shared" si="32"/>
        <v>6472.8679033670142</v>
      </c>
      <c r="K318" s="22">
        <f t="shared" si="33"/>
        <v>7400.8189173271448</v>
      </c>
      <c r="L318" s="22">
        <f t="shared" si="34"/>
        <v>180.60578020275466</v>
      </c>
      <c r="M318" s="22"/>
      <c r="N318" s="22"/>
      <c r="O318" s="22"/>
      <c r="P318" s="22"/>
      <c r="Q318" s="22"/>
      <c r="R318" s="22"/>
      <c r="S318" s="23">
        <f t="shared" si="35"/>
        <v>7581.4246975298993</v>
      </c>
      <c r="T318" s="24">
        <f t="shared" si="36"/>
        <v>7211.9057661422703</v>
      </c>
    </row>
    <row r="319" spans="7:20">
      <c r="G319" s="5">
        <v>316</v>
      </c>
      <c r="H319" s="22">
        <f t="shared" si="30"/>
        <v>305190.01835297368</v>
      </c>
      <c r="I319" s="22">
        <f t="shared" si="31"/>
        <v>909.07181590864388</v>
      </c>
      <c r="J319" s="22">
        <f t="shared" si="32"/>
        <v>6491.7471014185012</v>
      </c>
      <c r="K319" s="22">
        <f t="shared" si="33"/>
        <v>7400.8189173271448</v>
      </c>
      <c r="L319" s="22">
        <f t="shared" si="34"/>
        <v>176.93134885627666</v>
      </c>
      <c r="M319" s="22"/>
      <c r="N319" s="22"/>
      <c r="O319" s="22"/>
      <c r="P319" s="22"/>
      <c r="Q319" s="22"/>
      <c r="R319" s="22"/>
      <c r="S319" s="23">
        <f t="shared" si="35"/>
        <v>7577.7502661834214</v>
      </c>
      <c r="T319" s="24">
        <f t="shared" si="36"/>
        <v>7215.7492112617811</v>
      </c>
    </row>
    <row r="320" spans="7:20">
      <c r="G320" s="5">
        <v>317</v>
      </c>
      <c r="H320" s="22">
        <f t="shared" si="30"/>
        <v>298679.33698917605</v>
      </c>
      <c r="I320" s="22">
        <f t="shared" si="31"/>
        <v>890.13755352950659</v>
      </c>
      <c r="J320" s="22">
        <f t="shared" si="32"/>
        <v>6510.6813637976384</v>
      </c>
      <c r="K320" s="22">
        <f t="shared" si="33"/>
        <v>7400.8189173271448</v>
      </c>
      <c r="L320" s="22">
        <f t="shared" si="34"/>
        <v>173.24620041837142</v>
      </c>
      <c r="M320" s="22"/>
      <c r="N320" s="22"/>
      <c r="O320" s="22"/>
      <c r="P320" s="22"/>
      <c r="Q320" s="22"/>
      <c r="R320" s="22"/>
      <c r="S320" s="23">
        <f t="shared" si="35"/>
        <v>7574.0651177455165</v>
      </c>
      <c r="T320" s="24">
        <f t="shared" si="36"/>
        <v>7219.6038664295575</v>
      </c>
    </row>
    <row r="321" spans="7:20">
      <c r="G321" s="5">
        <v>318</v>
      </c>
      <c r="H321" s="22">
        <f t="shared" si="30"/>
        <v>292149.66613806732</v>
      </c>
      <c r="I321" s="22">
        <f t="shared" si="31"/>
        <v>871.14806621843024</v>
      </c>
      <c r="J321" s="22">
        <f t="shared" si="32"/>
        <v>6529.6708511087145</v>
      </c>
      <c r="K321" s="22">
        <f t="shared" si="33"/>
        <v>7400.8189173271448</v>
      </c>
      <c r="L321" s="22">
        <f t="shared" si="34"/>
        <v>169.55030363085564</v>
      </c>
      <c r="M321" s="22"/>
      <c r="N321" s="22"/>
      <c r="O321" s="22"/>
      <c r="P321" s="22"/>
      <c r="Q321" s="22"/>
      <c r="R321" s="22"/>
      <c r="S321" s="23">
        <f t="shared" si="35"/>
        <v>7570.3692209580004</v>
      </c>
      <c r="T321" s="24">
        <f t="shared" si="36"/>
        <v>7223.469764341572</v>
      </c>
    </row>
    <row r="322" spans="7:20">
      <c r="G322" s="5">
        <v>319</v>
      </c>
      <c r="H322" s="22">
        <f t="shared" si="30"/>
        <v>285600.95041364286</v>
      </c>
      <c r="I322" s="22">
        <f t="shared" si="31"/>
        <v>852.10319290269638</v>
      </c>
      <c r="J322" s="22">
        <f t="shared" si="32"/>
        <v>6548.7157244244481</v>
      </c>
      <c r="K322" s="22">
        <f t="shared" si="33"/>
        <v>7400.8189173271448</v>
      </c>
      <c r="L322" s="22">
        <f t="shared" si="34"/>
        <v>165.84362714437623</v>
      </c>
      <c r="M322" s="22"/>
      <c r="N322" s="22"/>
      <c r="O322" s="22"/>
      <c r="P322" s="22"/>
      <c r="Q322" s="22"/>
      <c r="R322" s="22"/>
      <c r="S322" s="23">
        <f t="shared" si="35"/>
        <v>7566.662544471521</v>
      </c>
      <c r="T322" s="24">
        <f t="shared" si="36"/>
        <v>7227.3469377891633</v>
      </c>
    </row>
    <row r="323" spans="7:20">
      <c r="G323" s="5">
        <v>320</v>
      </c>
      <c r="H323" s="22">
        <f t="shared" si="30"/>
        <v>279033.1342683555</v>
      </c>
      <c r="I323" s="22">
        <f t="shared" si="31"/>
        <v>833.00277203979169</v>
      </c>
      <c r="J323" s="22">
        <f t="shared" si="32"/>
        <v>6567.8161452873528</v>
      </c>
      <c r="K323" s="22">
        <f t="shared" si="33"/>
        <v>7400.8189173271448</v>
      </c>
      <c r="L323" s="22">
        <f t="shared" si="34"/>
        <v>162.12613951814461</v>
      </c>
      <c r="M323" s="22"/>
      <c r="N323" s="22"/>
      <c r="O323" s="22"/>
      <c r="P323" s="22"/>
      <c r="Q323" s="22"/>
      <c r="R323" s="22"/>
      <c r="S323" s="23">
        <f t="shared" si="35"/>
        <v>7562.9450568452894</v>
      </c>
      <c r="T323" s="24">
        <f t="shared" si="36"/>
        <v>7231.2354196593105</v>
      </c>
    </row>
    <row r="324" spans="7:20">
      <c r="G324" s="5">
        <v>321</v>
      </c>
      <c r="H324" s="22">
        <f t="shared" ref="H324:H363" si="37">H323-J324</f>
        <v>272446.16199264437</v>
      </c>
      <c r="I324" s="22">
        <f t="shared" ref="I324:I371" si="38">$E$9/$E$13*H323</f>
        <v>813.84664161603689</v>
      </c>
      <c r="J324" s="22">
        <f t="shared" ref="J324:J371" si="39">K324-I324</f>
        <v>6586.9722757111076</v>
      </c>
      <c r="K324" s="22">
        <f t="shared" ref="K324:K371" si="40">IF(G324&gt;$E$14,0,$E$16)</f>
        <v>7400.8189173271448</v>
      </c>
      <c r="L324" s="22">
        <f t="shared" ref="L324:L371" si="41">$E$10/$E$13*H323</f>
        <v>158.39780921966982</v>
      </c>
      <c r="M324" s="22"/>
      <c r="N324" s="22"/>
      <c r="O324" s="22"/>
      <c r="P324" s="22"/>
      <c r="Q324" s="22"/>
      <c r="R324" s="22"/>
      <c r="S324" s="23">
        <f t="shared" ref="S324:S371" si="42">K324+L324</f>
        <v>7559.2167265468142</v>
      </c>
      <c r="T324" s="24">
        <f t="shared" ref="T324:T371" si="43">S324-1/3*(I324+L324)</f>
        <v>7235.1352429349117</v>
      </c>
    </row>
    <row r="325" spans="7:20">
      <c r="G325" s="5">
        <v>322</v>
      </c>
      <c r="H325" s="22">
        <f t="shared" si="37"/>
        <v>265839.97771446244</v>
      </c>
      <c r="I325" s="22">
        <f t="shared" si="38"/>
        <v>794.63463914521276</v>
      </c>
      <c r="J325" s="22">
        <f t="shared" si="39"/>
        <v>6606.1842781819323</v>
      </c>
      <c r="K325" s="22">
        <f t="shared" si="40"/>
        <v>7400.8189173271448</v>
      </c>
      <c r="L325" s="22">
        <f t="shared" si="41"/>
        <v>154.65860462449115</v>
      </c>
      <c r="M325" s="22"/>
      <c r="N325" s="22"/>
      <c r="O325" s="22"/>
      <c r="P325" s="22"/>
      <c r="Q325" s="22"/>
      <c r="R325" s="22"/>
      <c r="S325" s="23">
        <f t="shared" si="42"/>
        <v>7555.4775219516359</v>
      </c>
      <c r="T325" s="24">
        <f t="shared" si="43"/>
        <v>7239.0464406950678</v>
      </c>
    </row>
    <row r="326" spans="7:20">
      <c r="G326" s="5">
        <v>323</v>
      </c>
      <c r="H326" s="22">
        <f t="shared" si="37"/>
        <v>259214.52539880248</v>
      </c>
      <c r="I326" s="22">
        <f t="shared" si="38"/>
        <v>775.36660166718218</v>
      </c>
      <c r="J326" s="22">
        <f t="shared" si="39"/>
        <v>6625.4523156599626</v>
      </c>
      <c r="K326" s="22">
        <f t="shared" si="40"/>
        <v>7400.8189173271448</v>
      </c>
      <c r="L326" s="22">
        <f t="shared" si="41"/>
        <v>150.90849401590987</v>
      </c>
      <c r="M326" s="22"/>
      <c r="N326" s="22"/>
      <c r="O326" s="22"/>
      <c r="P326" s="22"/>
      <c r="Q326" s="22"/>
      <c r="R326" s="22"/>
      <c r="S326" s="23">
        <f t="shared" si="42"/>
        <v>7551.7274113430549</v>
      </c>
      <c r="T326" s="24">
        <f t="shared" si="43"/>
        <v>7242.9690461153577</v>
      </c>
    </row>
    <row r="327" spans="7:20">
      <c r="G327" s="5">
        <v>324</v>
      </c>
      <c r="H327" s="22">
        <f t="shared" si="37"/>
        <v>252569.74884722184</v>
      </c>
      <c r="I327" s="22">
        <f t="shared" si="38"/>
        <v>756.04236574650724</v>
      </c>
      <c r="J327" s="22">
        <f t="shared" si="39"/>
        <v>6644.7765515806377</v>
      </c>
      <c r="K327" s="22">
        <f t="shared" si="40"/>
        <v>7400.8189173271448</v>
      </c>
      <c r="L327" s="22">
        <f t="shared" si="41"/>
        <v>147.14744558472023</v>
      </c>
      <c r="M327" s="22"/>
      <c r="N327" s="22"/>
      <c r="O327" s="22"/>
      <c r="P327" s="22"/>
      <c r="Q327" s="22"/>
      <c r="R327" s="22"/>
      <c r="S327" s="23">
        <f t="shared" si="42"/>
        <v>7547.966362911865</v>
      </c>
      <c r="T327" s="24">
        <f t="shared" si="43"/>
        <v>7246.9030924681228</v>
      </c>
    </row>
    <row r="328" spans="7:20">
      <c r="G328" s="5">
        <v>325</v>
      </c>
      <c r="H328" s="22">
        <f t="shared" si="37"/>
        <v>245905.59169736574</v>
      </c>
      <c r="I328" s="22">
        <f t="shared" si="38"/>
        <v>736.66176747106374</v>
      </c>
      <c r="J328" s="22">
        <f t="shared" si="39"/>
        <v>6664.1571498560807</v>
      </c>
      <c r="K328" s="22">
        <f t="shared" si="40"/>
        <v>7400.8189173271448</v>
      </c>
      <c r="L328" s="22">
        <f t="shared" si="41"/>
        <v>143.37542742893962</v>
      </c>
      <c r="M328" s="22"/>
      <c r="N328" s="22"/>
      <c r="O328" s="22"/>
      <c r="P328" s="22"/>
      <c r="Q328" s="22"/>
      <c r="R328" s="22"/>
      <c r="S328" s="23">
        <f t="shared" si="42"/>
        <v>7544.1943447560843</v>
      </c>
      <c r="T328" s="24">
        <f t="shared" si="43"/>
        <v>7250.8486131227501</v>
      </c>
    </row>
    <row r="329" spans="7:20">
      <c r="G329" s="5">
        <v>326</v>
      </c>
      <c r="H329" s="22">
        <f t="shared" si="37"/>
        <v>239221.99742248925</v>
      </c>
      <c r="I329" s="22">
        <f t="shared" si="38"/>
        <v>717.22464245065009</v>
      </c>
      <c r="J329" s="22">
        <f t="shared" si="39"/>
        <v>6683.5942748764946</v>
      </c>
      <c r="K329" s="22">
        <f t="shared" si="40"/>
        <v>7400.8189173271448</v>
      </c>
      <c r="L329" s="22">
        <f t="shared" si="41"/>
        <v>139.59240755353798</v>
      </c>
      <c r="M329" s="22"/>
      <c r="N329" s="22"/>
      <c r="O329" s="22"/>
      <c r="P329" s="22"/>
      <c r="Q329" s="22"/>
      <c r="R329" s="22"/>
      <c r="S329" s="23">
        <f t="shared" si="42"/>
        <v>7540.4113248806825</v>
      </c>
      <c r="T329" s="24">
        <f t="shared" si="43"/>
        <v>7254.8056415459532</v>
      </c>
    </row>
    <row r="330" spans="7:20">
      <c r="G330" s="5">
        <v>327</v>
      </c>
      <c r="H330" s="22">
        <f t="shared" si="37"/>
        <v>232518.90933097771</v>
      </c>
      <c r="I330" s="22">
        <f t="shared" si="38"/>
        <v>697.73082581559368</v>
      </c>
      <c r="J330" s="22">
        <f t="shared" si="39"/>
        <v>6703.0880915115513</v>
      </c>
      <c r="K330" s="22">
        <f t="shared" si="40"/>
        <v>7400.8189173271448</v>
      </c>
      <c r="L330" s="22">
        <f t="shared" si="41"/>
        <v>135.79835387016641</v>
      </c>
      <c r="M330" s="22"/>
      <c r="N330" s="22"/>
      <c r="O330" s="22"/>
      <c r="P330" s="22"/>
      <c r="Q330" s="22"/>
      <c r="R330" s="22"/>
      <c r="S330" s="23">
        <f t="shared" si="42"/>
        <v>7536.6172711973113</v>
      </c>
      <c r="T330" s="24">
        <f t="shared" si="43"/>
        <v>7258.7742113020577</v>
      </c>
    </row>
    <row r="331" spans="7:20">
      <c r="G331" s="5">
        <v>328</v>
      </c>
      <c r="H331" s="22">
        <f t="shared" si="37"/>
        <v>225796.27056586591</v>
      </c>
      <c r="I331" s="22">
        <f t="shared" si="38"/>
        <v>678.18015221535165</v>
      </c>
      <c r="J331" s="22">
        <f t="shared" si="39"/>
        <v>6722.638765111793</v>
      </c>
      <c r="K331" s="22">
        <f t="shared" si="40"/>
        <v>7400.8189173271448</v>
      </c>
      <c r="L331" s="22">
        <f t="shared" si="41"/>
        <v>131.99323419688503</v>
      </c>
      <c r="M331" s="22"/>
      <c r="N331" s="22"/>
      <c r="O331" s="22"/>
      <c r="P331" s="22"/>
      <c r="Q331" s="22"/>
      <c r="R331" s="22"/>
      <c r="S331" s="23">
        <f t="shared" si="42"/>
        <v>7532.81215152403</v>
      </c>
      <c r="T331" s="24">
        <f t="shared" si="43"/>
        <v>7262.7543560532849</v>
      </c>
    </row>
    <row r="332" spans="7:20">
      <c r="G332" s="5">
        <v>329</v>
      </c>
      <c r="H332" s="22">
        <f t="shared" si="37"/>
        <v>219054.02410435586</v>
      </c>
      <c r="I332" s="22">
        <f t="shared" si="38"/>
        <v>658.5724558171089</v>
      </c>
      <c r="J332" s="22">
        <f t="shared" si="39"/>
        <v>6742.2464615100362</v>
      </c>
      <c r="K332" s="22">
        <f t="shared" si="40"/>
        <v>7400.8189173271448</v>
      </c>
      <c r="L332" s="22">
        <f t="shared" si="41"/>
        <v>128.1770162578899</v>
      </c>
      <c r="M332" s="22"/>
      <c r="N332" s="22"/>
      <c r="O332" s="22"/>
      <c r="P332" s="22"/>
      <c r="Q332" s="22"/>
      <c r="R332" s="22"/>
      <c r="S332" s="23">
        <f t="shared" si="42"/>
        <v>7528.9959335850344</v>
      </c>
      <c r="T332" s="24">
        <f t="shared" si="43"/>
        <v>7266.7461095600347</v>
      </c>
    </row>
    <row r="333" spans="7:20">
      <c r="G333" s="5">
        <v>330</v>
      </c>
      <c r="H333" s="22">
        <f t="shared" si="37"/>
        <v>212292.11275733309</v>
      </c>
      <c r="I333" s="22">
        <f t="shared" si="38"/>
        <v>638.90757030437135</v>
      </c>
      <c r="J333" s="22">
        <f t="shared" si="39"/>
        <v>6761.911347022773</v>
      </c>
      <c r="K333" s="22">
        <f t="shared" si="40"/>
        <v>7400.8189173271448</v>
      </c>
      <c r="L333" s="22">
        <f t="shared" si="41"/>
        <v>124.34966768323936</v>
      </c>
      <c r="M333" s="22"/>
      <c r="N333" s="22"/>
      <c r="O333" s="22"/>
      <c r="P333" s="22"/>
      <c r="Q333" s="22"/>
      <c r="R333" s="22"/>
      <c r="S333" s="23">
        <f t="shared" si="42"/>
        <v>7525.168585010384</v>
      </c>
      <c r="T333" s="24">
        <f t="shared" si="43"/>
        <v>7270.7495056811804</v>
      </c>
    </row>
    <row r="334" spans="7:20">
      <c r="G334" s="5">
        <v>331</v>
      </c>
      <c r="H334" s="22">
        <f t="shared" si="37"/>
        <v>205510.47916888149</v>
      </c>
      <c r="I334" s="22">
        <f t="shared" si="38"/>
        <v>619.18532887555489</v>
      </c>
      <c r="J334" s="22">
        <f t="shared" si="39"/>
        <v>6781.6335884515902</v>
      </c>
      <c r="K334" s="22">
        <f t="shared" si="40"/>
        <v>7400.8189173271448</v>
      </c>
      <c r="L334" s="22">
        <f t="shared" si="41"/>
        <v>120.51115600857943</v>
      </c>
      <c r="M334" s="22"/>
      <c r="N334" s="22"/>
      <c r="O334" s="22"/>
      <c r="P334" s="22"/>
      <c r="Q334" s="22"/>
      <c r="R334" s="22"/>
      <c r="S334" s="23">
        <f t="shared" si="42"/>
        <v>7521.3300733357246</v>
      </c>
      <c r="T334" s="24">
        <f t="shared" si="43"/>
        <v>7274.7645783743465</v>
      </c>
    </row>
    <row r="335" spans="7:20">
      <c r="G335" s="5">
        <v>332</v>
      </c>
      <c r="H335" s="22">
        <f t="shared" si="37"/>
        <v>198709.0658157969</v>
      </c>
      <c r="I335" s="22">
        <f t="shared" si="38"/>
        <v>599.40556424257102</v>
      </c>
      <c r="J335" s="22">
        <f t="shared" si="39"/>
        <v>6801.4133530845738</v>
      </c>
      <c r="K335" s="22">
        <f t="shared" si="40"/>
        <v>7400.8189173271448</v>
      </c>
      <c r="L335" s="22">
        <f t="shared" si="41"/>
        <v>116.66144867486841</v>
      </c>
      <c r="M335" s="22"/>
      <c r="N335" s="22"/>
      <c r="O335" s="22"/>
      <c r="P335" s="22"/>
      <c r="Q335" s="22"/>
      <c r="R335" s="22"/>
      <c r="S335" s="23">
        <f t="shared" si="42"/>
        <v>7517.4803660020134</v>
      </c>
      <c r="T335" s="24">
        <f t="shared" si="43"/>
        <v>7278.7913616962005</v>
      </c>
    </row>
    <row r="336" spans="7:20">
      <c r="G336" s="5">
        <v>333</v>
      </c>
      <c r="H336" s="22">
        <f t="shared" si="37"/>
        <v>191887.81500709915</v>
      </c>
      <c r="I336" s="22">
        <f t="shared" si="38"/>
        <v>579.56810862940767</v>
      </c>
      <c r="J336" s="22">
        <f t="shared" si="39"/>
        <v>6821.2508086977368</v>
      </c>
      <c r="K336" s="22">
        <f t="shared" si="40"/>
        <v>7400.8189173271448</v>
      </c>
      <c r="L336" s="22">
        <f t="shared" si="41"/>
        <v>112.80051302810072</v>
      </c>
      <c r="M336" s="22"/>
      <c r="N336" s="22"/>
      <c r="O336" s="22"/>
      <c r="P336" s="22"/>
      <c r="Q336" s="22"/>
      <c r="R336" s="22"/>
      <c r="S336" s="23">
        <f t="shared" si="42"/>
        <v>7513.6194303552456</v>
      </c>
      <c r="T336" s="24">
        <f t="shared" si="43"/>
        <v>7282.8298898027424</v>
      </c>
    </row>
    <row r="337" spans="7:20">
      <c r="G337" s="5">
        <v>334</v>
      </c>
      <c r="H337" s="22">
        <f t="shared" si="37"/>
        <v>185046.6688835427</v>
      </c>
      <c r="I337" s="22">
        <f t="shared" si="38"/>
        <v>559.67279377070588</v>
      </c>
      <c r="J337" s="22">
        <f t="shared" si="39"/>
        <v>6841.1461235564393</v>
      </c>
      <c r="K337" s="22">
        <f t="shared" si="40"/>
        <v>7400.8189173271448</v>
      </c>
      <c r="L337" s="22">
        <f t="shared" si="41"/>
        <v>108.92831631902996</v>
      </c>
      <c r="M337" s="22"/>
      <c r="N337" s="22"/>
      <c r="O337" s="22"/>
      <c r="P337" s="22"/>
      <c r="Q337" s="22"/>
      <c r="R337" s="22"/>
      <c r="S337" s="23">
        <f t="shared" si="42"/>
        <v>7509.7472336461751</v>
      </c>
      <c r="T337" s="24">
        <f t="shared" si="43"/>
        <v>7286.8801969495962</v>
      </c>
    </row>
    <row r="338" spans="7:20">
      <c r="G338" s="5">
        <v>335</v>
      </c>
      <c r="H338" s="22">
        <f t="shared" si="37"/>
        <v>178185.56941712589</v>
      </c>
      <c r="I338" s="22">
        <f t="shared" si="38"/>
        <v>539.71945091033297</v>
      </c>
      <c r="J338" s="22">
        <f t="shared" si="39"/>
        <v>6861.099466416812</v>
      </c>
      <c r="K338" s="22">
        <f t="shared" si="40"/>
        <v>7400.8189173271448</v>
      </c>
      <c r="L338" s="22">
        <f t="shared" si="41"/>
        <v>105.04482570289109</v>
      </c>
      <c r="M338" s="22"/>
      <c r="N338" s="22"/>
      <c r="O338" s="22"/>
      <c r="P338" s="22"/>
      <c r="Q338" s="22"/>
      <c r="R338" s="22"/>
      <c r="S338" s="23">
        <f t="shared" si="42"/>
        <v>7505.8637430300359</v>
      </c>
      <c r="T338" s="24">
        <f t="shared" si="43"/>
        <v>7290.9423174922949</v>
      </c>
    </row>
    <row r="339" spans="7:20">
      <c r="G339" s="5">
        <v>336</v>
      </c>
      <c r="H339" s="22">
        <f t="shared" si="37"/>
        <v>171304.45841059869</v>
      </c>
      <c r="I339" s="22">
        <f t="shared" si="38"/>
        <v>519.70791079995058</v>
      </c>
      <c r="J339" s="22">
        <f t="shared" si="39"/>
        <v>6881.1110065271941</v>
      </c>
      <c r="K339" s="22">
        <f t="shared" si="40"/>
        <v>7400.8189173271448</v>
      </c>
      <c r="L339" s="22">
        <f t="shared" si="41"/>
        <v>101.15000823912182</v>
      </c>
      <c r="M339" s="22"/>
      <c r="N339" s="22"/>
      <c r="O339" s="22"/>
      <c r="P339" s="22"/>
      <c r="Q339" s="22"/>
      <c r="R339" s="22"/>
      <c r="S339" s="23">
        <f t="shared" si="42"/>
        <v>7501.968925566267</v>
      </c>
      <c r="T339" s="24">
        <f t="shared" si="43"/>
        <v>7295.016285886576</v>
      </c>
    </row>
    <row r="340" spans="7:20">
      <c r="G340" s="5">
        <v>337</v>
      </c>
      <c r="H340" s="22">
        <f t="shared" si="37"/>
        <v>164403.27749696912</v>
      </c>
      <c r="I340" s="22">
        <f t="shared" si="38"/>
        <v>499.63800369757951</v>
      </c>
      <c r="J340" s="22">
        <f t="shared" si="39"/>
        <v>6901.1809136295651</v>
      </c>
      <c r="K340" s="22">
        <f t="shared" si="40"/>
        <v>7400.8189173271448</v>
      </c>
      <c r="L340" s="22">
        <f t="shared" si="41"/>
        <v>97.243830891083192</v>
      </c>
      <c r="M340" s="22"/>
      <c r="N340" s="22"/>
      <c r="O340" s="22"/>
      <c r="P340" s="22"/>
      <c r="Q340" s="22"/>
      <c r="R340" s="22"/>
      <c r="S340" s="23">
        <f t="shared" si="42"/>
        <v>7498.0627482182281</v>
      </c>
      <c r="T340" s="24">
        <f t="shared" si="43"/>
        <v>7299.1021366886735</v>
      </c>
    </row>
    <row r="341" spans="7:20">
      <c r="G341" s="5">
        <v>338</v>
      </c>
      <c r="H341" s="22">
        <f t="shared" si="37"/>
        <v>157481.96813900815</v>
      </c>
      <c r="I341" s="22">
        <f t="shared" si="38"/>
        <v>479.50955936615998</v>
      </c>
      <c r="J341" s="22">
        <f t="shared" si="39"/>
        <v>6921.3093579609849</v>
      </c>
      <c r="K341" s="22">
        <f t="shared" si="40"/>
        <v>7400.8189173271448</v>
      </c>
      <c r="L341" s="22">
        <f t="shared" si="41"/>
        <v>93.326260525779489</v>
      </c>
      <c r="M341" s="22"/>
      <c r="N341" s="22"/>
      <c r="O341" s="22"/>
      <c r="P341" s="22"/>
      <c r="Q341" s="22"/>
      <c r="R341" s="22"/>
      <c r="S341" s="23">
        <f t="shared" si="42"/>
        <v>7494.1451778529245</v>
      </c>
      <c r="T341" s="24">
        <f t="shared" si="43"/>
        <v>7303.1999045556113</v>
      </c>
    </row>
    <row r="342" spans="7:20">
      <c r="G342" s="5">
        <v>339</v>
      </c>
      <c r="H342" s="22">
        <f t="shared" si="37"/>
        <v>150540.47162875312</v>
      </c>
      <c r="I342" s="22">
        <f t="shared" si="38"/>
        <v>459.32240707210713</v>
      </c>
      <c r="J342" s="22">
        <f t="shared" si="39"/>
        <v>6941.4965102550377</v>
      </c>
      <c r="K342" s="22">
        <f t="shared" si="40"/>
        <v>7400.8189173271448</v>
      </c>
      <c r="L342" s="22">
        <f t="shared" si="41"/>
        <v>89.397263913576978</v>
      </c>
      <c r="M342" s="22"/>
      <c r="N342" s="22"/>
      <c r="O342" s="22"/>
      <c r="P342" s="22"/>
      <c r="Q342" s="22"/>
      <c r="R342" s="22"/>
      <c r="S342" s="23">
        <f t="shared" si="42"/>
        <v>7490.2161812407221</v>
      </c>
      <c r="T342" s="24">
        <f t="shared" si="43"/>
        <v>7307.309624245494</v>
      </c>
    </row>
    <row r="343" spans="7:20">
      <c r="G343" s="5">
        <v>340</v>
      </c>
      <c r="H343" s="22">
        <f t="shared" si="37"/>
        <v>143578.72908700985</v>
      </c>
      <c r="I343" s="22">
        <f t="shared" si="38"/>
        <v>439.0763755838633</v>
      </c>
      <c r="J343" s="22">
        <f t="shared" si="39"/>
        <v>6961.7425417432814</v>
      </c>
      <c r="K343" s="22">
        <f t="shared" si="40"/>
        <v>7400.8189173271448</v>
      </c>
      <c r="L343" s="22">
        <f t="shared" si="41"/>
        <v>85.456807727922197</v>
      </c>
      <c r="M343" s="22"/>
      <c r="N343" s="22"/>
      <c r="O343" s="22"/>
      <c r="P343" s="22"/>
      <c r="Q343" s="22"/>
      <c r="R343" s="22"/>
      <c r="S343" s="23">
        <f t="shared" si="42"/>
        <v>7486.2757250550667</v>
      </c>
      <c r="T343" s="24">
        <f t="shared" si="43"/>
        <v>7311.4313306178046</v>
      </c>
    </row>
    <row r="344" spans="7:20">
      <c r="G344" s="5">
        <v>341</v>
      </c>
      <c r="H344" s="22">
        <f t="shared" si="37"/>
        <v>136596.68146285316</v>
      </c>
      <c r="I344" s="22">
        <f t="shared" si="38"/>
        <v>418.7712931704454</v>
      </c>
      <c r="J344" s="22">
        <f t="shared" si="39"/>
        <v>6982.0476241566994</v>
      </c>
      <c r="K344" s="22">
        <f t="shared" si="40"/>
        <v>7400.8189173271448</v>
      </c>
      <c r="L344" s="22">
        <f t="shared" si="41"/>
        <v>81.504858545059264</v>
      </c>
      <c r="M344" s="22"/>
      <c r="N344" s="22"/>
      <c r="O344" s="22"/>
      <c r="P344" s="22"/>
      <c r="Q344" s="22"/>
      <c r="R344" s="22"/>
      <c r="S344" s="23">
        <f t="shared" si="42"/>
        <v>7482.3237758722044</v>
      </c>
      <c r="T344" s="24">
        <f t="shared" si="43"/>
        <v>7315.5650586337024</v>
      </c>
    </row>
    <row r="345" spans="7:20">
      <c r="G345" s="5">
        <v>342</v>
      </c>
      <c r="H345" s="22">
        <f t="shared" si="37"/>
        <v>129594.269533126</v>
      </c>
      <c r="I345" s="22">
        <f t="shared" si="38"/>
        <v>398.40698759998838</v>
      </c>
      <c r="J345" s="22">
        <f t="shared" si="39"/>
        <v>7002.4119297271563</v>
      </c>
      <c r="K345" s="22">
        <f t="shared" si="40"/>
        <v>7400.8189173271448</v>
      </c>
      <c r="L345" s="22">
        <f t="shared" si="41"/>
        <v>77.54138284374632</v>
      </c>
      <c r="M345" s="22"/>
      <c r="N345" s="22"/>
      <c r="O345" s="22"/>
      <c r="P345" s="22"/>
      <c r="Q345" s="22"/>
      <c r="R345" s="22"/>
      <c r="S345" s="23">
        <f t="shared" si="42"/>
        <v>7478.3603001708916</v>
      </c>
      <c r="T345" s="24">
        <f t="shared" si="43"/>
        <v>7319.7108433563135</v>
      </c>
    </row>
    <row r="346" spans="7:20">
      <c r="G346" s="5">
        <v>343</v>
      </c>
      <c r="H346" s="22">
        <f t="shared" si="37"/>
        <v>122571.43390193714</v>
      </c>
      <c r="I346" s="22">
        <f t="shared" si="38"/>
        <v>377.9832861382842</v>
      </c>
      <c r="J346" s="22">
        <f t="shared" si="39"/>
        <v>7022.835631188861</v>
      </c>
      <c r="K346" s="22">
        <f t="shared" si="40"/>
        <v>7400.8189173271448</v>
      </c>
      <c r="L346" s="22">
        <f t="shared" si="41"/>
        <v>73.566347004971206</v>
      </c>
      <c r="M346" s="22"/>
      <c r="N346" s="22"/>
      <c r="O346" s="22"/>
      <c r="P346" s="22"/>
      <c r="Q346" s="22"/>
      <c r="R346" s="22"/>
      <c r="S346" s="23">
        <f t="shared" si="42"/>
        <v>7474.3852643321161</v>
      </c>
      <c r="T346" s="24">
        <f t="shared" si="43"/>
        <v>7323.8687199510314</v>
      </c>
    </row>
    <row r="347" spans="7:20">
      <c r="G347" s="5">
        <v>344</v>
      </c>
      <c r="H347" s="22">
        <f t="shared" si="37"/>
        <v>115528.11500015731</v>
      </c>
      <c r="I347" s="22">
        <f t="shared" si="38"/>
        <v>357.50001554731665</v>
      </c>
      <c r="J347" s="22">
        <f t="shared" si="39"/>
        <v>7043.3189017798286</v>
      </c>
      <c r="K347" s="22">
        <f t="shared" si="40"/>
        <v>7400.8189173271448</v>
      </c>
      <c r="L347" s="22">
        <f t="shared" si="41"/>
        <v>69.579717311666329</v>
      </c>
      <c r="M347" s="22"/>
      <c r="N347" s="22"/>
      <c r="O347" s="22"/>
      <c r="P347" s="22"/>
      <c r="Q347" s="22"/>
      <c r="R347" s="22"/>
      <c r="S347" s="23">
        <f t="shared" si="42"/>
        <v>7470.398634638811</v>
      </c>
      <c r="T347" s="24">
        <f t="shared" si="43"/>
        <v>7328.0387236858169</v>
      </c>
    </row>
    <row r="348" spans="7:20">
      <c r="G348" s="5">
        <v>345</v>
      </c>
      <c r="H348" s="22">
        <f t="shared" si="37"/>
        <v>108464.25308491396</v>
      </c>
      <c r="I348" s="22">
        <f t="shared" si="38"/>
        <v>336.95700208379219</v>
      </c>
      <c r="J348" s="22">
        <f t="shared" si="39"/>
        <v>7063.861915243353</v>
      </c>
      <c r="K348" s="22">
        <f t="shared" si="40"/>
        <v>7400.8189173271448</v>
      </c>
      <c r="L348" s="22">
        <f t="shared" si="41"/>
        <v>65.581459948422648</v>
      </c>
      <c r="M348" s="22"/>
      <c r="N348" s="22"/>
      <c r="O348" s="22"/>
      <c r="P348" s="22"/>
      <c r="Q348" s="22"/>
      <c r="R348" s="22"/>
      <c r="S348" s="23">
        <f t="shared" si="42"/>
        <v>7466.4003772755677</v>
      </c>
      <c r="T348" s="24">
        <f t="shared" si="43"/>
        <v>7332.2208899314965</v>
      </c>
    </row>
    <row r="349" spans="7:20">
      <c r="G349" s="5">
        <v>346</v>
      </c>
      <c r="H349" s="22">
        <f t="shared" si="37"/>
        <v>101379.78823908448</v>
      </c>
      <c r="I349" s="22">
        <f t="shared" si="38"/>
        <v>316.3540714976657</v>
      </c>
      <c r="J349" s="22">
        <f t="shared" si="39"/>
        <v>7084.4648458294796</v>
      </c>
      <c r="K349" s="22">
        <f t="shared" si="40"/>
        <v>7400.8189173271448</v>
      </c>
      <c r="L349" s="22">
        <f t="shared" si="41"/>
        <v>61.571541001202831</v>
      </c>
      <c r="M349" s="22"/>
      <c r="N349" s="22"/>
      <c r="O349" s="22"/>
      <c r="P349" s="22"/>
      <c r="Q349" s="22"/>
      <c r="R349" s="22"/>
      <c r="S349" s="23">
        <f t="shared" si="42"/>
        <v>7462.3904583283474</v>
      </c>
      <c r="T349" s="24">
        <f t="shared" si="43"/>
        <v>7336.4152541620579</v>
      </c>
    </row>
    <row r="350" spans="7:20">
      <c r="G350" s="5">
        <v>347</v>
      </c>
      <c r="H350" s="22">
        <f t="shared" si="37"/>
        <v>94274.660370787999</v>
      </c>
      <c r="I350" s="22">
        <f t="shared" si="38"/>
        <v>295.69104903066307</v>
      </c>
      <c r="J350" s="22">
        <f t="shared" si="39"/>
        <v>7105.1278682964821</v>
      </c>
      <c r="K350" s="22">
        <f t="shared" si="40"/>
        <v>7400.8189173271448</v>
      </c>
      <c r="L350" s="22">
        <f t="shared" si="41"/>
        <v>57.54992645705363</v>
      </c>
      <c r="M350" s="22"/>
      <c r="N350" s="22"/>
      <c r="O350" s="22"/>
      <c r="P350" s="22"/>
      <c r="Q350" s="22"/>
      <c r="R350" s="22"/>
      <c r="S350" s="23">
        <f t="shared" si="42"/>
        <v>7458.3688437841984</v>
      </c>
      <c r="T350" s="24">
        <f t="shared" si="43"/>
        <v>7340.6218519549593</v>
      </c>
    </row>
    <row r="351" spans="7:20">
      <c r="G351" s="5">
        <v>348</v>
      </c>
      <c r="H351" s="22">
        <f t="shared" si="37"/>
        <v>87148.809212875654</v>
      </c>
      <c r="I351" s="22">
        <f t="shared" si="38"/>
        <v>274.96775941479837</v>
      </c>
      <c r="J351" s="22">
        <f t="shared" si="39"/>
        <v>7125.851157912346</v>
      </c>
      <c r="K351" s="22">
        <f t="shared" si="40"/>
        <v>7400.8189173271448</v>
      </c>
      <c r="L351" s="22">
        <f t="shared" si="41"/>
        <v>53.516582203817329</v>
      </c>
      <c r="M351" s="22"/>
      <c r="N351" s="22"/>
      <c r="O351" s="22"/>
      <c r="P351" s="22"/>
      <c r="Q351" s="22"/>
      <c r="R351" s="22"/>
      <c r="S351" s="23">
        <f t="shared" si="42"/>
        <v>7454.3354995309619</v>
      </c>
      <c r="T351" s="24">
        <f t="shared" si="43"/>
        <v>7344.8407189914233</v>
      </c>
    </row>
    <row r="352" spans="7:20">
      <c r="G352" s="5">
        <v>349</v>
      </c>
      <c r="H352" s="22">
        <f t="shared" si="37"/>
        <v>80002.174322419392</v>
      </c>
      <c r="I352" s="22">
        <f t="shared" si="38"/>
        <v>254.18402687088735</v>
      </c>
      <c r="J352" s="22">
        <f t="shared" si="39"/>
        <v>7146.6348904562574</v>
      </c>
      <c r="K352" s="22">
        <f t="shared" si="40"/>
        <v>7400.8189173271448</v>
      </c>
      <c r="L352" s="22">
        <f t="shared" si="41"/>
        <v>49.471474029842419</v>
      </c>
      <c r="M352" s="22"/>
      <c r="N352" s="22"/>
      <c r="O352" s="22"/>
      <c r="P352" s="22"/>
      <c r="Q352" s="22"/>
      <c r="R352" s="22"/>
      <c r="S352" s="23">
        <f t="shared" si="42"/>
        <v>7450.2903913569871</v>
      </c>
      <c r="T352" s="24">
        <f t="shared" si="43"/>
        <v>7349.0718910567439</v>
      </c>
    </row>
    <row r="353" spans="7:20">
      <c r="G353" s="5">
        <v>350</v>
      </c>
      <c r="H353" s="22">
        <f t="shared" si="37"/>
        <v>72834.695080199308</v>
      </c>
      <c r="I353" s="22">
        <f t="shared" si="38"/>
        <v>233.33967510705656</v>
      </c>
      <c r="J353" s="22">
        <f t="shared" si="39"/>
        <v>7167.4792422200881</v>
      </c>
      <c r="K353" s="22">
        <f t="shared" si="40"/>
        <v>7400.8189173271448</v>
      </c>
      <c r="L353" s="22">
        <f t="shared" si="41"/>
        <v>45.414567623693415</v>
      </c>
      <c r="M353" s="22"/>
      <c r="N353" s="22"/>
      <c r="O353" s="22"/>
      <c r="P353" s="22"/>
      <c r="Q353" s="22"/>
      <c r="R353" s="22"/>
      <c r="S353" s="23">
        <f t="shared" si="42"/>
        <v>7446.2334849508379</v>
      </c>
      <c r="T353" s="24">
        <f t="shared" si="43"/>
        <v>7353.315404040588</v>
      </c>
    </row>
    <row r="354" spans="7:20">
      <c r="G354" s="5">
        <v>351</v>
      </c>
      <c r="H354" s="22">
        <f t="shared" si="37"/>
        <v>65646.310690189406</v>
      </c>
      <c r="I354" s="22">
        <f t="shared" si="38"/>
        <v>212.43452731724798</v>
      </c>
      <c r="J354" s="22">
        <f t="shared" si="39"/>
        <v>7188.3843900098973</v>
      </c>
      <c r="K354" s="22">
        <f t="shared" si="40"/>
        <v>7400.8189173271448</v>
      </c>
      <c r="L354" s="22">
        <f t="shared" si="41"/>
        <v>41.345828573859812</v>
      </c>
      <c r="M354" s="22"/>
      <c r="N354" s="22"/>
      <c r="O354" s="22"/>
      <c r="P354" s="22"/>
      <c r="Q354" s="22"/>
      <c r="R354" s="22"/>
      <c r="S354" s="23">
        <f t="shared" si="42"/>
        <v>7442.1647459010046</v>
      </c>
      <c r="T354" s="24">
        <f t="shared" si="43"/>
        <v>7357.5712939373025</v>
      </c>
    </row>
    <row r="355" spans="7:20">
      <c r="G355" s="5">
        <v>352</v>
      </c>
      <c r="H355" s="22">
        <f t="shared" si="37"/>
        <v>58436.960179041984</v>
      </c>
      <c r="I355" s="22">
        <f t="shared" si="38"/>
        <v>191.4684061797191</v>
      </c>
      <c r="J355" s="22">
        <f t="shared" si="39"/>
        <v>7209.350511147426</v>
      </c>
      <c r="K355" s="22">
        <f t="shared" si="40"/>
        <v>7400.8189173271448</v>
      </c>
      <c r="L355" s="22">
        <f t="shared" si="41"/>
        <v>37.265222368464194</v>
      </c>
      <c r="M355" s="22"/>
      <c r="N355" s="22"/>
      <c r="O355" s="22"/>
      <c r="P355" s="22"/>
      <c r="Q355" s="22"/>
      <c r="R355" s="22"/>
      <c r="S355" s="23">
        <f t="shared" si="42"/>
        <v>7438.0841396956093</v>
      </c>
      <c r="T355" s="24">
        <f t="shared" si="43"/>
        <v>7361.8395968462146</v>
      </c>
    </row>
    <row r="356" spans="7:20">
      <c r="G356" s="5">
        <v>353</v>
      </c>
      <c r="H356" s="22">
        <f t="shared" si="37"/>
        <v>51206.582395570382</v>
      </c>
      <c r="I356" s="22">
        <f t="shared" si="38"/>
        <v>170.44113385553914</v>
      </c>
      <c r="J356" s="22">
        <f t="shared" si="39"/>
        <v>7230.3777834716057</v>
      </c>
      <c r="K356" s="22">
        <f t="shared" si="40"/>
        <v>7400.8189173271448</v>
      </c>
      <c r="L356" s="22">
        <f t="shared" si="41"/>
        <v>33.172714394969503</v>
      </c>
      <c r="M356" s="22"/>
      <c r="N356" s="22"/>
      <c r="O356" s="22"/>
      <c r="P356" s="22"/>
      <c r="Q356" s="22"/>
      <c r="R356" s="22"/>
      <c r="S356" s="23">
        <f t="shared" si="42"/>
        <v>7433.9916317221141</v>
      </c>
      <c r="T356" s="24">
        <f t="shared" si="43"/>
        <v>7366.1203489719446</v>
      </c>
    </row>
    <row r="357" spans="7:20">
      <c r="G357" s="5">
        <v>354</v>
      </c>
      <c r="H357" s="22">
        <f t="shared" si="37"/>
        <v>43955.116010230318</v>
      </c>
      <c r="I357" s="22">
        <f t="shared" si="38"/>
        <v>149.35253198708028</v>
      </c>
      <c r="J357" s="22">
        <f t="shared" si="39"/>
        <v>7251.4663853400643</v>
      </c>
      <c r="K357" s="22">
        <f t="shared" si="40"/>
        <v>7400.8189173271448</v>
      </c>
      <c r="L357" s="22">
        <f t="shared" si="41"/>
        <v>29.068269939885457</v>
      </c>
      <c r="M357" s="22"/>
      <c r="N357" s="22"/>
      <c r="O357" s="22"/>
      <c r="P357" s="22"/>
      <c r="Q357" s="22"/>
      <c r="R357" s="22"/>
      <c r="S357" s="23">
        <f t="shared" si="42"/>
        <v>7429.8871872670306</v>
      </c>
      <c r="T357" s="24">
        <f t="shared" si="43"/>
        <v>7370.4135866247088</v>
      </c>
    </row>
    <row r="358" spans="7:20">
      <c r="G358" s="5">
        <v>355</v>
      </c>
      <c r="H358" s="22">
        <f t="shared" si="37"/>
        <v>36682.49951459968</v>
      </c>
      <c r="I358" s="22">
        <f t="shared" si="38"/>
        <v>128.2024216965051</v>
      </c>
      <c r="J358" s="22">
        <f t="shared" si="39"/>
        <v>7272.6164956306402</v>
      </c>
      <c r="K358" s="22">
        <f t="shared" si="40"/>
        <v>7400.8189173271448</v>
      </c>
      <c r="L358" s="22">
        <f t="shared" si="41"/>
        <v>24.95185418847408</v>
      </c>
      <c r="M358" s="22"/>
      <c r="N358" s="22"/>
      <c r="O358" s="22"/>
      <c r="P358" s="22"/>
      <c r="Q358" s="22"/>
      <c r="R358" s="22"/>
      <c r="S358" s="23">
        <f t="shared" si="42"/>
        <v>7425.7707715156193</v>
      </c>
      <c r="T358" s="24">
        <f t="shared" si="43"/>
        <v>7374.719346220626</v>
      </c>
    </row>
    <row r="359" spans="7:20">
      <c r="G359" s="5">
        <v>356</v>
      </c>
      <c r="H359" s="22">
        <f t="shared" si="37"/>
        <v>29388.671220856784</v>
      </c>
      <c r="I359" s="22">
        <f t="shared" si="38"/>
        <v>106.99062358424906</v>
      </c>
      <c r="J359" s="22">
        <f t="shared" si="39"/>
        <v>7293.8282937428958</v>
      </c>
      <c r="K359" s="22">
        <f t="shared" si="40"/>
        <v>7400.8189173271448</v>
      </c>
      <c r="L359" s="22">
        <f t="shared" si="41"/>
        <v>20.823432224454422</v>
      </c>
      <c r="M359" s="22"/>
      <c r="N359" s="22"/>
      <c r="O359" s="22"/>
      <c r="P359" s="22"/>
      <c r="Q359" s="22"/>
      <c r="R359" s="22"/>
      <c r="S359" s="23">
        <f t="shared" si="42"/>
        <v>7421.6423495515992</v>
      </c>
      <c r="T359" s="24">
        <f t="shared" si="43"/>
        <v>7379.0376642820311</v>
      </c>
    </row>
    <row r="360" spans="7:20">
      <c r="G360" s="5">
        <v>357</v>
      </c>
      <c r="H360" s="22">
        <f t="shared" si="37"/>
        <v>22073.569261257137</v>
      </c>
      <c r="I360" s="22">
        <f t="shared" si="38"/>
        <v>85.716957727498965</v>
      </c>
      <c r="J360" s="22">
        <f t="shared" si="39"/>
        <v>7315.1019595996459</v>
      </c>
      <c r="K360" s="22">
        <f t="shared" si="40"/>
        <v>7400.8189173271448</v>
      </c>
      <c r="L360" s="22">
        <f t="shared" si="41"/>
        <v>16.682969029706371</v>
      </c>
      <c r="M360" s="22"/>
      <c r="N360" s="22"/>
      <c r="O360" s="22"/>
      <c r="P360" s="22"/>
      <c r="Q360" s="22"/>
      <c r="R360" s="22"/>
      <c r="S360" s="23">
        <f t="shared" si="42"/>
        <v>7417.5018863568512</v>
      </c>
      <c r="T360" s="24">
        <f t="shared" si="43"/>
        <v>7383.3685774377827</v>
      </c>
    </row>
    <row r="361" spans="7:20">
      <c r="G361" s="5">
        <v>358</v>
      </c>
      <c r="H361" s="22">
        <f t="shared" si="37"/>
        <v>14737.131587608659</v>
      </c>
      <c r="I361" s="22">
        <f t="shared" si="38"/>
        <v>64.38124367866665</v>
      </c>
      <c r="J361" s="22">
        <f t="shared" si="39"/>
        <v>7336.4376736484783</v>
      </c>
      <c r="K361" s="22">
        <f t="shared" si="40"/>
        <v>7400.8189173271448</v>
      </c>
      <c r="L361" s="22">
        <f t="shared" si="41"/>
        <v>12.530429483973636</v>
      </c>
      <c r="M361" s="22"/>
      <c r="N361" s="22"/>
      <c r="O361" s="22"/>
      <c r="P361" s="22"/>
      <c r="Q361" s="22"/>
      <c r="R361" s="22"/>
      <c r="S361" s="23">
        <f t="shared" si="42"/>
        <v>7413.3493468111183</v>
      </c>
      <c r="T361" s="24">
        <f t="shared" si="43"/>
        <v>7387.7121224235716</v>
      </c>
    </row>
    <row r="362" spans="7:20">
      <c r="G362" s="5">
        <v>359</v>
      </c>
      <c r="H362" s="22">
        <f t="shared" si="37"/>
        <v>7379.2959707453729</v>
      </c>
      <c r="I362" s="22">
        <f t="shared" si="38"/>
        <v>42.98330046385859</v>
      </c>
      <c r="J362" s="22">
        <f t="shared" si="39"/>
        <v>7357.8356168632863</v>
      </c>
      <c r="K362" s="22">
        <f t="shared" si="40"/>
        <v>7400.8189173271448</v>
      </c>
      <c r="L362" s="22">
        <f t="shared" si="41"/>
        <v>8.3657783645658501</v>
      </c>
      <c r="M362" s="22"/>
      <c r="N362" s="22"/>
      <c r="O362" s="22"/>
      <c r="P362" s="22"/>
      <c r="Q362" s="22"/>
      <c r="R362" s="22"/>
      <c r="S362" s="23">
        <f t="shared" si="42"/>
        <v>7409.1846956917107</v>
      </c>
      <c r="T362" s="24">
        <f t="shared" si="43"/>
        <v>7392.0683360822359</v>
      </c>
    </row>
    <row r="363" spans="7:20">
      <c r="G363" s="5">
        <v>360</v>
      </c>
      <c r="H363" s="22">
        <f t="shared" si="37"/>
        <v>-4.3110048864036798E-10</v>
      </c>
      <c r="I363" s="22">
        <f t="shared" si="38"/>
        <v>21.522946581340673</v>
      </c>
      <c r="J363" s="22">
        <f t="shared" si="39"/>
        <v>7379.295970745804</v>
      </c>
      <c r="K363" s="22">
        <f t="shared" si="40"/>
        <v>7400.8189173271448</v>
      </c>
      <c r="L363" s="22">
        <f t="shared" si="41"/>
        <v>4.1889803460597905</v>
      </c>
      <c r="M363" s="22"/>
      <c r="N363" s="22"/>
      <c r="O363" s="22"/>
      <c r="P363" s="22"/>
      <c r="Q363" s="22"/>
      <c r="R363" s="22"/>
      <c r="S363" s="23">
        <f t="shared" si="42"/>
        <v>7405.0078976732048</v>
      </c>
      <c r="T363" s="24">
        <f t="shared" si="43"/>
        <v>7396.4372553640715</v>
      </c>
    </row>
    <row r="364" spans="7:20"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3"/>
      <c r="T364" s="24"/>
    </row>
    <row r="365" spans="7:20"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3"/>
      <c r="T365" s="24"/>
    </row>
    <row r="366" spans="7:20"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3"/>
      <c r="T366" s="24"/>
    </row>
    <row r="367" spans="7:20"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3"/>
      <c r="T367" s="24"/>
    </row>
    <row r="368" spans="7:20"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3"/>
      <c r="T368" s="24"/>
    </row>
    <row r="369" spans="8:20"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3"/>
      <c r="T369" s="24"/>
    </row>
    <row r="370" spans="8:20"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3"/>
      <c r="T370" s="24"/>
    </row>
  </sheetData>
  <mergeCells count="16">
    <mergeCell ref="A23:B27"/>
    <mergeCell ref="A28:B28"/>
    <mergeCell ref="A29:B30"/>
    <mergeCell ref="A31:B37"/>
    <mergeCell ref="K1:K2"/>
    <mergeCell ref="L1:L2"/>
    <mergeCell ref="S1:S2"/>
    <mergeCell ref="T1:T2"/>
    <mergeCell ref="A12:B19"/>
    <mergeCell ref="A21:B22"/>
    <mergeCell ref="D1:D2"/>
    <mergeCell ref="E1:E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Byg realkredit beregn restgæl20</vt:lpstr>
      <vt:lpstr>Byg realkredit beregn restgæl30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Petersen</dc:creator>
  <cp:lastModifiedBy>Thomas Petersen</cp:lastModifiedBy>
  <dcterms:created xsi:type="dcterms:W3CDTF">2025-02-12T21:23:36Z</dcterms:created>
  <dcterms:modified xsi:type="dcterms:W3CDTF">2025-02-12T21:26:29Z</dcterms:modified>
</cp:coreProperties>
</file>