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omas/Desktop/"/>
    </mc:Choice>
  </mc:AlternateContent>
  <xr:revisionPtr revIDLastSave="0" documentId="13_ncr:1_{1DDFAB3F-DDCE-6944-86CF-1A3F8B46F8A9}" xr6:coauthVersionLast="47" xr6:coauthVersionMax="47" xr10:uidLastSave="{00000000-0000-0000-0000-000000000000}"/>
  <bookViews>
    <workbookView xWindow="14640" yWindow="-21100" windowWidth="38400" windowHeight="21100" firstSheet="4" activeTab="6" xr2:uid="{945868FB-B485-8E4A-8675-64F8E978D766}"/>
  </bookViews>
  <sheets>
    <sheet name="Enlig skat før boligkøb" sheetId="2" r:id="rId1"/>
    <sheet name="Ægtepar skat før boligkøb" sheetId="3" r:id="rId2"/>
    <sheet name="Budget før boligkøb" sheetId="23" r:id="rId3"/>
    <sheet name="Skattesatser" sheetId="4" r:id="rId4"/>
    <sheet name="Hvordan finansieres boligen" sheetId="24" r:id="rId5"/>
    <sheet name="Banklån" sheetId="6" r:id="rId6"/>
    <sheet name="Realkredit finansiering" sheetId="7" r:id="rId7"/>
    <sheet name="F5" sheetId="8" state="hidden" r:id="rId8"/>
    <sheet name="Enlig skat efter boligkøb" sheetId="21" r:id="rId9"/>
    <sheet name="Ægtepar skat efter boligkøb" sheetId="22" r:id="rId10"/>
    <sheet name="Budget efter boligkøb" sheetId="9" r:id="rId11"/>
    <sheet name="Rådighedsbeløb og gældsfaktor" sheetId="10" r:id="rId12"/>
    <sheet name="Nedkonvertering" sheetId="11" r:id="rId13"/>
    <sheet name="Opkonvertering" sheetId="12" r:id="rId14"/>
    <sheet name="Byg realkredit beregn restgæld" sheetId="13" r:id="rId15"/>
    <sheet name="Andelsboliglån" sheetId="17" r:id="rId16"/>
    <sheet name="Andelsværdiberegner" sheetId="18" r:id="rId17"/>
    <sheet name="Forældrekøb" sheetId="25" r:id="rId18"/>
    <sheet name="Investering" sheetId="15" r:id="rId19"/>
    <sheet name="Hvor meget har jeg at leve for" sheetId="16" r:id="rId20"/>
    <sheet name="Pensionsberegner 2025" sheetId="14" r:id="rId21"/>
    <sheet name="Låneskabelon" sheetId="20" r:id="rId22"/>
    <sheet name="Ark1" sheetId="1" r:id="rId23"/>
  </sheets>
  <definedNames>
    <definedName name="__hej1" hidden="1">#REF!</definedName>
    <definedName name="_hej1" localSheetId="19" hidden="1">#REF!</definedName>
    <definedName name="_hej1" hidden="1">#REF!</definedName>
    <definedName name="ArbBidrag" localSheetId="5">#REF!</definedName>
    <definedName name="ArbBidrag" localSheetId="2">#REF!</definedName>
    <definedName name="ArbBidrag" localSheetId="14">#REF!</definedName>
    <definedName name="ArbBidrag" localSheetId="7">#REF!</definedName>
    <definedName name="ArbBidrag" localSheetId="19">#REF!</definedName>
    <definedName name="ArbBidrag" localSheetId="20">#REF!</definedName>
    <definedName name="ArbBidrag" localSheetId="11">#REF!</definedName>
    <definedName name="ArbBidrag" localSheetId="6">#REF!</definedName>
    <definedName name="ArbBidrag">Skattesatser!$H$3</definedName>
    <definedName name="BeFradragHojSats" localSheetId="5">#REF!</definedName>
    <definedName name="BeFradragHojSats" localSheetId="2">#REF!</definedName>
    <definedName name="BeFradragHojSats" localSheetId="14">#REF!</definedName>
    <definedName name="BeFradragHojSats" localSheetId="7">#REF!</definedName>
    <definedName name="BeFradragHojSats" localSheetId="19">#REF!</definedName>
    <definedName name="BeFradragHojSats" localSheetId="20">#REF!</definedName>
    <definedName name="BeFradragHojSats" localSheetId="11">#REF!</definedName>
    <definedName name="BeFradragHojSats" localSheetId="6">#REF!</definedName>
    <definedName name="BeFradragHojSats">Skattesatser!$H$4</definedName>
    <definedName name="BeFradragKmMax" localSheetId="5">#REF!</definedName>
    <definedName name="BeFradragKmMax" localSheetId="2">#REF!</definedName>
    <definedName name="BeFradragKmMax" localSheetId="14">#REF!</definedName>
    <definedName name="BeFradragKmMax" localSheetId="7">#REF!</definedName>
    <definedName name="BeFradragKmMax" localSheetId="19">#REF!</definedName>
    <definedName name="BeFradragKmMax" localSheetId="20">#REF!</definedName>
    <definedName name="BeFradragKmMax" localSheetId="11">#REF!</definedName>
    <definedName name="BeFradragKmMax" localSheetId="6">#REF!</definedName>
    <definedName name="BeFradragKmMax">Skattesatser!$H$6</definedName>
    <definedName name="BeFradragKmMin" localSheetId="5">#REF!</definedName>
    <definedName name="BeFradragKmMin" localSheetId="2">#REF!</definedName>
    <definedName name="BeFradragKmMin" localSheetId="14">#REF!</definedName>
    <definedName name="BeFradragKmMin" localSheetId="7">#REF!</definedName>
    <definedName name="BeFradragKmMin" localSheetId="19">#REF!</definedName>
    <definedName name="BeFradragKmMin" localSheetId="20">#REF!</definedName>
    <definedName name="BeFradragKmMin" localSheetId="11">#REF!</definedName>
    <definedName name="BeFradragKmMin" localSheetId="6">#REF!</definedName>
    <definedName name="BeFradragKmMin">Skattesatser!$H$5</definedName>
    <definedName name="BeFradragLavSats" localSheetId="5">#REF!</definedName>
    <definedName name="BeFradragLavSats" localSheetId="2">#REF!</definedName>
    <definedName name="BeFradragLavSats" localSheetId="14">#REF!</definedName>
    <definedName name="BeFradragLavSats" localSheetId="7">#REF!</definedName>
    <definedName name="BeFradragLavSats" localSheetId="19">#REF!</definedName>
    <definedName name="BeFradragLavSats" localSheetId="20">#REF!</definedName>
    <definedName name="BeFradragLavSats" localSheetId="11">#REF!</definedName>
    <definedName name="BeFradragLavSats" localSheetId="6">#REF!</definedName>
    <definedName name="BeFradragLavSats">Skattesatser!$H$7</definedName>
    <definedName name="BFradragMax" localSheetId="5">#REF!</definedName>
    <definedName name="BFradragMax" localSheetId="2">#REF!</definedName>
    <definedName name="BFradragMax" localSheetId="14">#REF!</definedName>
    <definedName name="BFradragMax" localSheetId="7">#REF!</definedName>
    <definedName name="BFradragMax" localSheetId="19">#REF!</definedName>
    <definedName name="BFradragMax" localSheetId="20">#REF!</definedName>
    <definedName name="BFradragMax" localSheetId="11">#REF!</definedName>
    <definedName name="BFradragMax" localSheetId="6">#REF!</definedName>
    <definedName name="BFradragMax">Skattesatser!$H$10</definedName>
    <definedName name="BFradragProc" localSheetId="5">#REF!</definedName>
    <definedName name="BFradragProc" localSheetId="2">#REF!</definedName>
    <definedName name="BFradragProc" localSheetId="14">#REF!</definedName>
    <definedName name="BFradragProc" localSheetId="7">#REF!</definedName>
    <definedName name="BFradragProc" localSheetId="19">#REF!</definedName>
    <definedName name="BFradragProc" localSheetId="20">#REF!</definedName>
    <definedName name="BFradragProc" localSheetId="11">#REF!</definedName>
    <definedName name="BFradragProc" localSheetId="6">#REF!</definedName>
    <definedName name="BFradragProc">Skattesatser!$H$9</definedName>
    <definedName name="Bundskat" localSheetId="5">#REF!</definedName>
    <definedName name="Bundskat" localSheetId="2">#REF!</definedName>
    <definedName name="Bundskat" localSheetId="14">#REF!</definedName>
    <definedName name="Bundskat" localSheetId="7">#REF!</definedName>
    <definedName name="Bundskat" localSheetId="19">#REF!</definedName>
    <definedName name="Bundskat" localSheetId="20">#REF!</definedName>
    <definedName name="Bundskat" localSheetId="11">#REF!</definedName>
    <definedName name="Bundskat" localSheetId="6">#REF!</definedName>
    <definedName name="Bundskat">Skattesatser!$H$11</definedName>
    <definedName name="dikdsks" localSheetId="10" hidden="1">#REF!</definedName>
    <definedName name="dikdsks" localSheetId="14" hidden="1">#REF!</definedName>
    <definedName name="dikdsks" localSheetId="7" hidden="1">#REF!</definedName>
    <definedName name="dikdsks" localSheetId="19" hidden="1">#REF!</definedName>
    <definedName name="dikdsks" localSheetId="6" hidden="1">#REF!</definedName>
    <definedName name="dikdsks" hidden="1">#REF!</definedName>
    <definedName name="dsfasdfsfa" localSheetId="10" hidden="1">#REF!</definedName>
    <definedName name="dsfasdfsfa" localSheetId="14" hidden="1">#REF!</definedName>
    <definedName name="dsfasdfsfa" localSheetId="7" hidden="1">#REF!</definedName>
    <definedName name="dsfasdfsfa" localSheetId="6" hidden="1">#REF!</definedName>
    <definedName name="dsfasdfsfa" hidden="1">#REF!</definedName>
    <definedName name="EjVSkatGranse" localSheetId="14">#REF!</definedName>
    <definedName name="EjVSkatGranse" localSheetId="7">#REF!</definedName>
    <definedName name="EjVSkatGranse" localSheetId="19">#REF!</definedName>
    <definedName name="EjVSkatGranse" localSheetId="6">#REF!</definedName>
    <definedName name="EjVSkatGranse">Skattesatser!$H$14</definedName>
    <definedName name="EjVSkatMax" localSheetId="5">#REF!</definedName>
    <definedName name="EjVSkatMax" localSheetId="2">#REF!</definedName>
    <definedName name="EjVSkatMax" localSheetId="14">#REF!</definedName>
    <definedName name="EjVSkatMax" localSheetId="7">#REF!</definedName>
    <definedName name="EjVSkatMax" localSheetId="19">#REF!</definedName>
    <definedName name="EjVSkatMax" localSheetId="20">#REF!</definedName>
    <definedName name="EjVSkatMax" localSheetId="11">#REF!</definedName>
    <definedName name="EjVSkatMax" localSheetId="6">#REF!</definedName>
    <definedName name="EjVSkatMax">Skattesatser!$H$13</definedName>
    <definedName name="EjVSkatMin" localSheetId="5">#REF!</definedName>
    <definedName name="EjVSkatMin" localSheetId="2">#REF!</definedName>
    <definedName name="EjVSkatMin" localSheetId="14">#REF!</definedName>
    <definedName name="EjVSkatMin" localSheetId="7">#REF!</definedName>
    <definedName name="EjVSkatMin" localSheetId="19">#REF!</definedName>
    <definedName name="EjVSkatMin" localSheetId="20">#REF!</definedName>
    <definedName name="EjVSkatMin" localSheetId="11">#REF!</definedName>
    <definedName name="EjVSkatMin" localSheetId="6">#REF!</definedName>
    <definedName name="EjVSkatMin">Skattesatser!$H$12</definedName>
    <definedName name="EPENfradragMax" localSheetId="2">#REF!</definedName>
    <definedName name="EPENfradragMax" localSheetId="14">#REF!</definedName>
    <definedName name="EPENfradragMax" localSheetId="19">#REF!</definedName>
    <definedName name="EPENfradragMax" localSheetId="20">#REF!</definedName>
    <definedName name="EPENfradragMax">Skattesatser!$H$16</definedName>
    <definedName name="EPENfradragProc" localSheetId="2">#REF!</definedName>
    <definedName name="EPENfradragProc" localSheetId="14">#REF!</definedName>
    <definedName name="EPENfradragProc" localSheetId="19">#REF!</definedName>
    <definedName name="EPENfradragProc" localSheetId="20">#REF!</definedName>
    <definedName name="EPENfradragProc">Skattesatser!$H$15</definedName>
    <definedName name="EPENSeniorMax" localSheetId="2">#REF!</definedName>
    <definedName name="EPENSeniorMax" localSheetId="14">#REF!</definedName>
    <definedName name="EPENSeniorMax" localSheetId="19">#REF!</definedName>
    <definedName name="EPENSeniorMax" localSheetId="20">#REF!</definedName>
    <definedName name="EPENSeniorMax">Skattesatser!$H$18</definedName>
    <definedName name="EPENSeniorProc" localSheetId="2">#REF!</definedName>
    <definedName name="EPENSeniorProc" localSheetId="14">#REF!</definedName>
    <definedName name="EPENSeniorProc" localSheetId="19">#REF!</definedName>
    <definedName name="EPENSeniorProc" localSheetId="20">#REF!</definedName>
    <definedName name="EPENSeniorProc">Skattesatser!$H$17</definedName>
    <definedName name="FagforeningMax" localSheetId="5">#REF!</definedName>
    <definedName name="FagforeningMax" localSheetId="2">#REF!</definedName>
    <definedName name="FagforeningMax" localSheetId="14">#REF!</definedName>
    <definedName name="FagforeningMax" localSheetId="7">#REF!</definedName>
    <definedName name="FagforeningMax" localSheetId="19">#REF!</definedName>
    <definedName name="FagforeningMax" localSheetId="20">#REF!</definedName>
    <definedName name="FagforeningMax" localSheetId="11">#REF!</definedName>
    <definedName name="FagforeningMax" localSheetId="6">#REF!</definedName>
    <definedName name="FagforeningMax">Skattesatser!$H$19</definedName>
    <definedName name="FirmabilGranse" localSheetId="5">#REF!</definedName>
    <definedName name="FirmabilGranse" localSheetId="14">#REF!</definedName>
    <definedName name="FirmabilGranse" localSheetId="7">#REF!</definedName>
    <definedName name="FirmabilGranse" localSheetId="19">#REF!</definedName>
    <definedName name="FirmabilGranse" localSheetId="11">#REF!</definedName>
    <definedName name="FirmabilGranse" localSheetId="6">#REF!</definedName>
    <definedName name="FirmabilGranse">Skattesatser!$H$20</definedName>
    <definedName name="FirmabilHoj" localSheetId="5">#REF!</definedName>
    <definedName name="FirmabilHoj" localSheetId="14">#REF!</definedName>
    <definedName name="FirmabilHoj" localSheetId="7">#REF!</definedName>
    <definedName name="FirmabilHoj" localSheetId="19">#REF!</definedName>
    <definedName name="FirmabilHoj" localSheetId="11">#REF!</definedName>
    <definedName name="FirmabilHoj" localSheetId="6">#REF!</definedName>
    <definedName name="FirmabilHoj">Skattesatser!$H$22</definedName>
    <definedName name="FirmabilLav" localSheetId="5">#REF!</definedName>
    <definedName name="FirmabilLav" localSheetId="14">#REF!</definedName>
    <definedName name="FirmabilLav" localSheetId="7">#REF!</definedName>
    <definedName name="FirmabilLav" localSheetId="19">#REF!</definedName>
    <definedName name="FirmabilLav" localSheetId="11">#REF!</definedName>
    <definedName name="FirmabilLav" localSheetId="6">#REF!</definedName>
    <definedName name="FirmabilLav">Skattesatser!$H$21</definedName>
    <definedName name="Forsigtighed">Skattesatser!$H$23</definedName>
    <definedName name="FriTelefon" localSheetId="5">#REF!</definedName>
    <definedName name="FriTelefon" localSheetId="2">#REF!</definedName>
    <definedName name="FriTelefon" localSheetId="14">#REF!</definedName>
    <definedName name="FriTelefon" localSheetId="7">#REF!</definedName>
    <definedName name="FriTelefon" localSheetId="19">#REF!</definedName>
    <definedName name="FriTelefon" localSheetId="20">#REF!</definedName>
    <definedName name="FriTelefon" localSheetId="11">#REF!</definedName>
    <definedName name="FriTelefon" localSheetId="6">#REF!</definedName>
    <definedName name="FriTelefon">Skattesatser!$H$24</definedName>
    <definedName name="Gift" localSheetId="14">#REF!</definedName>
    <definedName name="Gift" localSheetId="19">#REF!</definedName>
    <definedName name="Gift">#REF!</definedName>
    <definedName name="GranseForhBFdrag" localSheetId="14">#REF!</definedName>
    <definedName name="GranseForhBFdrag" localSheetId="7">#REF!</definedName>
    <definedName name="GranseForhBFdrag" localSheetId="19">#REF!</definedName>
    <definedName name="GranseForhBFdrag" localSheetId="6">#REF!</definedName>
    <definedName name="GranseForhBFdrag">Skattesatser!$H$8</definedName>
    <definedName name="GranseNegKIEnlig" localSheetId="2">#REF!</definedName>
    <definedName name="GranseNegKIEnlig" localSheetId="14">#REF!</definedName>
    <definedName name="GranseNegKIEnlig" localSheetId="7">#REF!</definedName>
    <definedName name="GranseNegKIEnlig" localSheetId="19">#REF!</definedName>
    <definedName name="GranseNegKIEnlig" localSheetId="6">#REF!</definedName>
    <definedName name="GranseNegKIEnlig">Skattesatser!$H$42</definedName>
    <definedName name="GranseNegKIPar" localSheetId="5">#REF!</definedName>
    <definedName name="GranseNegKIPar" localSheetId="2">#REF!</definedName>
    <definedName name="GranseNegKIPar" localSheetId="14">#REF!</definedName>
    <definedName name="GranseNegKIPar" localSheetId="7">#REF!</definedName>
    <definedName name="GranseNegKIPar" localSheetId="19">#REF!</definedName>
    <definedName name="GranseNegKIPar" localSheetId="20">#REF!</definedName>
    <definedName name="GranseNegKIPar" localSheetId="11">#REF!</definedName>
    <definedName name="GranseNegKIPar" localSheetId="6">#REF!</definedName>
    <definedName name="GranseNegKIPar">Skattesatser!$H$41</definedName>
    <definedName name="Grøn_check_antal_børn_max" localSheetId="10">#REF!</definedName>
    <definedName name="Grøn_check_antal_børn_max" localSheetId="2">#REF!</definedName>
    <definedName name="Grøn_check_antal_børn_max" localSheetId="14">#REF!</definedName>
    <definedName name="Grøn_check_antal_børn_max" localSheetId="8">Skattesatser!#REF!</definedName>
    <definedName name="Grøn_check_antal_børn_max" localSheetId="0">Skattesatser!#REF!</definedName>
    <definedName name="Grøn_check_antal_børn_max" localSheetId="19">#REF!</definedName>
    <definedName name="Grøn_check_antal_børn_max" localSheetId="20">#REF!</definedName>
    <definedName name="Grøn_check_antal_børn_max">Skattesatser!#REF!</definedName>
    <definedName name="GronCheck" localSheetId="5">#REF!</definedName>
    <definedName name="GronCheck" localSheetId="2">#REF!</definedName>
    <definedName name="GronCheck" localSheetId="14">#REF!</definedName>
    <definedName name="GronCheck" localSheetId="7">#REF!</definedName>
    <definedName name="GronCheck" localSheetId="19">#REF!</definedName>
    <definedName name="GronCheck" localSheetId="20">#REF!</definedName>
    <definedName name="GronCheck" localSheetId="11">#REF!</definedName>
    <definedName name="GronCheck" localSheetId="6">#REF!</definedName>
    <definedName name="GronCheck">Skattesatser!$H$25</definedName>
    <definedName name="GronSkatBorn" localSheetId="10">#REF!</definedName>
    <definedName name="GronSkatBorn" localSheetId="2">#REF!</definedName>
    <definedName name="GronSkatBorn" localSheetId="14">#REF!</definedName>
    <definedName name="GronSkatBorn" localSheetId="8">Skattesatser!#REF!</definedName>
    <definedName name="GronSkatBorn" localSheetId="0">Skattesatser!#REF!</definedName>
    <definedName name="GronSkatBorn" localSheetId="19">#REF!</definedName>
    <definedName name="GronSkatBorn" localSheetId="20">#REF!</definedName>
    <definedName name="GronSkatBorn">Skattesatser!#REF!</definedName>
    <definedName name="GronSkatBornexGranse" localSheetId="10">#REF!</definedName>
    <definedName name="GronSkatBornexGranse" localSheetId="2">#REF!</definedName>
    <definedName name="GronSkatBornexGranse" localSheetId="14">#REF!</definedName>
    <definedName name="GronSkatBornexGranse" localSheetId="8">Skattesatser!#REF!</definedName>
    <definedName name="GronSkatBornexGranse" localSheetId="0">Skattesatser!#REF!</definedName>
    <definedName name="GronSkatBornexGranse" localSheetId="19">#REF!</definedName>
    <definedName name="GronSkatBornexGranse" localSheetId="20">#REF!</definedName>
    <definedName name="GronSkatBornexGranse">Skattesatser!#REF!</definedName>
    <definedName name="GronSkatexBorn" localSheetId="10">#REF!</definedName>
    <definedName name="GronSkatexBorn" localSheetId="2">#REF!</definedName>
    <definedName name="GronSkatexBorn" localSheetId="14">#REF!</definedName>
    <definedName name="GronSkatexBorn" localSheetId="8">Skattesatser!#REF!</definedName>
    <definedName name="GronSkatexBorn" localSheetId="0">Skattesatser!#REF!</definedName>
    <definedName name="GronSkatexBorn" localSheetId="19">#REF!</definedName>
    <definedName name="GronSkatexBorn" localSheetId="20">#REF!</definedName>
    <definedName name="GronSkatexBorn">Skattesatser!#REF!</definedName>
    <definedName name="GronSkatMax" localSheetId="5">#REF!</definedName>
    <definedName name="GronSkatMax" localSheetId="2">#REF!</definedName>
    <definedName name="GronSkatMax" localSheetId="14">#REF!</definedName>
    <definedName name="GronSkatMax" localSheetId="7">#REF!</definedName>
    <definedName name="GronSkatMax" localSheetId="19">#REF!</definedName>
    <definedName name="GronSkatMax" localSheetId="20">#REF!</definedName>
    <definedName name="GronSkatMax" localSheetId="11">#REF!</definedName>
    <definedName name="GronSkatMax" localSheetId="6">#REF!</definedName>
    <definedName name="GronSkatMax">Skattesatser!$H$27</definedName>
    <definedName name="GronSkatMin" localSheetId="5">#REF!</definedName>
    <definedName name="GronSkatMin" localSheetId="2">#REF!</definedName>
    <definedName name="GronSkatMin" localSheetId="14">#REF!</definedName>
    <definedName name="GronSkatMin" localSheetId="7">#REF!</definedName>
    <definedName name="GronSkatMin" localSheetId="19">#REF!</definedName>
    <definedName name="GronSkatMin" localSheetId="20">#REF!</definedName>
    <definedName name="GronSkatMin" localSheetId="11">#REF!</definedName>
    <definedName name="GronSkatMin" localSheetId="6">#REF!</definedName>
    <definedName name="GronSkatMin">Skattesatser!$H$26</definedName>
    <definedName name="GronSkatMod" localSheetId="5">#REF!</definedName>
    <definedName name="GronSkatMod" localSheetId="2">#REF!</definedName>
    <definedName name="GronSkatMod" localSheetId="14">#REF!</definedName>
    <definedName name="GronSkatMod" localSheetId="7">#REF!</definedName>
    <definedName name="GronSkatMod" localSheetId="19">#REF!</definedName>
    <definedName name="GronSkatMod" localSheetId="20">#REF!</definedName>
    <definedName name="GronSkatMod" localSheetId="11">#REF!</definedName>
    <definedName name="GronSkatMod" localSheetId="6">#REF!</definedName>
    <definedName name="GronSkatMod">Skattesatser!$H$28</definedName>
    <definedName name="hej" localSheetId="19" hidden="1">#REF!</definedName>
    <definedName name="hej" hidden="1">#REF!</definedName>
    <definedName name="henrik" localSheetId="10" hidden="1">#REF!</definedName>
    <definedName name="henrik" localSheetId="14" hidden="1">#REF!</definedName>
    <definedName name="henrik" localSheetId="7" hidden="1">#REF!</definedName>
    <definedName name="henrik" localSheetId="6" hidden="1">#REF!</definedName>
    <definedName name="henrik" hidden="1">#REF!</definedName>
    <definedName name="ieeooe" localSheetId="10" hidden="1">#REF!</definedName>
    <definedName name="ieeooe" localSheetId="14" hidden="1">#REF!</definedName>
    <definedName name="ieeooe" localSheetId="7" hidden="1">#REF!</definedName>
    <definedName name="ieeooe" localSheetId="6" hidden="1">#REF!</definedName>
    <definedName name="ieeooe" hidden="1">#REF!</definedName>
    <definedName name="Intro" localSheetId="5">#REF!</definedName>
    <definedName name="Intro" localSheetId="10">#REF!</definedName>
    <definedName name="Intro" localSheetId="2">#REF!</definedName>
    <definedName name="Intro" localSheetId="14">#REF!</definedName>
    <definedName name="Intro" localSheetId="8">#REF!</definedName>
    <definedName name="Intro" localSheetId="0">#REF!</definedName>
    <definedName name="Intro" localSheetId="7">#REF!</definedName>
    <definedName name="Intro" localSheetId="20">#REF!</definedName>
    <definedName name="Intro" localSheetId="11">#REF!</definedName>
    <definedName name="Intro" localSheetId="6">#REF!</definedName>
    <definedName name="Intro">#REF!</definedName>
    <definedName name="Jfradraggranse" localSheetId="2">#REF!</definedName>
    <definedName name="Jfradraggranse" localSheetId="14">#REF!</definedName>
    <definedName name="Jfradraggranse" localSheetId="19">#REF!</definedName>
    <definedName name="Jfradraggranse" localSheetId="20">#REF!</definedName>
    <definedName name="Jfradraggranse">Skattesatser!$H$30</definedName>
    <definedName name="JfradragMax" localSheetId="2">#REF!</definedName>
    <definedName name="JfradragMax" localSheetId="14">#REF!</definedName>
    <definedName name="JfradragMax" localSheetId="19">#REF!</definedName>
    <definedName name="JfradragMax" localSheetId="20">#REF!</definedName>
    <definedName name="JfradragMax">Skattesatser!$H$31</definedName>
    <definedName name="Jfradragproc" localSheetId="2">#REF!</definedName>
    <definedName name="Jfradragproc" localSheetId="14">#REF!</definedName>
    <definedName name="Jfradragproc" localSheetId="19">#REF!</definedName>
    <definedName name="Jfradragproc" localSheetId="20">#REF!</definedName>
    <definedName name="Jfradragproc">Skattesatser!$H$29</definedName>
    <definedName name="KItilTopskatEnlig" localSheetId="2">#REF!</definedName>
    <definedName name="KItilTopskatEnlig" localSheetId="14">#REF!</definedName>
    <definedName name="KItilTopskatEnlig" localSheetId="7">#REF!</definedName>
    <definedName name="KItilTopskatEnlig" localSheetId="19">#REF!</definedName>
    <definedName name="KItilTopskatEnlig" localSheetId="20">#REF!</definedName>
    <definedName name="KItilTopskatEnlig" localSheetId="6">#REF!</definedName>
    <definedName name="KItilTopskatEnlig">Skattesatser!$H$33</definedName>
    <definedName name="KItilTopskatPar" localSheetId="5">#REF!</definedName>
    <definedName name="KItilTopskatPar" localSheetId="2">#REF!</definedName>
    <definedName name="KItilTopskatPar" localSheetId="14">#REF!</definedName>
    <definedName name="KItilTopskatPar" localSheetId="7">#REF!</definedName>
    <definedName name="KItilTopskatPar" localSheetId="19">#REF!</definedName>
    <definedName name="KItilTopskatPar" localSheetId="20">#REF!</definedName>
    <definedName name="KItilTopskatPar" localSheetId="11">#REF!</definedName>
    <definedName name="KItilTopskatPar" localSheetId="6">#REF!</definedName>
    <definedName name="KItilTopskatPar">Skattesatser!$H$32</definedName>
    <definedName name="Look1Area" localSheetId="5" hidden="1">#REF!</definedName>
    <definedName name="Look1Area" localSheetId="10" hidden="1">#REF!</definedName>
    <definedName name="Look1Area" localSheetId="2" hidden="1">#REF!</definedName>
    <definedName name="Look1Area" localSheetId="14" hidden="1">#REF!</definedName>
    <definedName name="Look1Area" localSheetId="8" hidden="1">#REF!</definedName>
    <definedName name="Look1Area" localSheetId="0" hidden="1">#REF!</definedName>
    <definedName name="Look1Area" localSheetId="7" hidden="1">#REF!</definedName>
    <definedName name="Look1Area" localSheetId="19" hidden="1">#REF!</definedName>
    <definedName name="Look1Area" localSheetId="20" hidden="1">#REF!</definedName>
    <definedName name="Look1Area" localSheetId="11" hidden="1">#REF!</definedName>
    <definedName name="Look1Area" localSheetId="6" hidden="1">#REF!</definedName>
    <definedName name="Look1Area" hidden="1">#REF!</definedName>
    <definedName name="Look2Area" localSheetId="5" hidden="1">#REF!</definedName>
    <definedName name="Look2Area" localSheetId="10" hidden="1">#REF!</definedName>
    <definedName name="Look2Area" localSheetId="2" hidden="1">#REF!</definedName>
    <definedName name="Look2Area" localSheetId="14" hidden="1">#REF!</definedName>
    <definedName name="Look2Area" localSheetId="8" hidden="1">#REF!</definedName>
    <definedName name="Look2Area" localSheetId="0" hidden="1">#REF!</definedName>
    <definedName name="Look2Area" localSheetId="7" hidden="1">#REF!</definedName>
    <definedName name="Look2Area" localSheetId="19" hidden="1">#REF!</definedName>
    <definedName name="Look2Area" localSheetId="20" hidden="1">#REF!</definedName>
    <definedName name="Look2Area" localSheetId="11" hidden="1">#REF!</definedName>
    <definedName name="Look2Area" localSheetId="6" hidden="1">#REF!</definedName>
    <definedName name="Look2Area" hidden="1">#REF!</definedName>
    <definedName name="Look3Area" localSheetId="5" hidden="1">#REF!</definedName>
    <definedName name="Look3Area" localSheetId="10" hidden="1">#REF!</definedName>
    <definedName name="Look3Area" localSheetId="2" hidden="1">#REF!</definedName>
    <definedName name="Look3Area" localSheetId="14" hidden="1">#REF!</definedName>
    <definedName name="Look3Area" localSheetId="8" hidden="1">#REF!</definedName>
    <definedName name="Look3Area" localSheetId="0" hidden="1">#REF!</definedName>
    <definedName name="Look3Area" localSheetId="7" hidden="1">#REF!</definedName>
    <definedName name="Look3Area" localSheetId="20" hidden="1">#REF!</definedName>
    <definedName name="Look3Area" localSheetId="11" hidden="1">#REF!</definedName>
    <definedName name="Look3Area" localSheetId="6" hidden="1">#REF!</definedName>
    <definedName name="Look3Area" hidden="1">#REF!</definedName>
    <definedName name="Look4Area" localSheetId="10" hidden="1">#REF!</definedName>
    <definedName name="Look4Area" localSheetId="2" hidden="1">#REF!</definedName>
    <definedName name="Look4Area" localSheetId="14" hidden="1">#REF!</definedName>
    <definedName name="Look4Area" localSheetId="8" hidden="1">#REF!</definedName>
    <definedName name="Look4Area" localSheetId="0" hidden="1">#REF!</definedName>
    <definedName name="Look4Area" localSheetId="7" hidden="1">#REF!</definedName>
    <definedName name="Look4Area" localSheetId="20" hidden="1">#REF!</definedName>
    <definedName name="Look4Area" localSheetId="6" hidden="1">#REF!</definedName>
    <definedName name="Look4Area" hidden="1">#REF!</definedName>
    <definedName name="Look5Area" localSheetId="10" hidden="1">#REF!</definedName>
    <definedName name="Look5Area" localSheetId="2" hidden="1">#REF!</definedName>
    <definedName name="Look5Area" localSheetId="14" hidden="1">#REF!</definedName>
    <definedName name="Look5Area" localSheetId="8" hidden="1">#REF!</definedName>
    <definedName name="Look5Area" localSheetId="0" hidden="1">#REF!</definedName>
    <definedName name="Look5Area" localSheetId="7" hidden="1">#REF!</definedName>
    <definedName name="Look5Area" localSheetId="20" hidden="1">#REF!</definedName>
    <definedName name="Look5Area" localSheetId="6" hidden="1">#REF!</definedName>
    <definedName name="Look5Area" hidden="1">#REF!</definedName>
    <definedName name="mkiuyee" localSheetId="10" hidden="1">#REF!</definedName>
    <definedName name="mkiuyee" localSheetId="14" hidden="1">#REF!</definedName>
    <definedName name="mkiuyee" localSheetId="7" hidden="1">#REF!</definedName>
    <definedName name="mkiuyee" localSheetId="6" hidden="1">#REF!</definedName>
    <definedName name="mkiuyee" hidden="1">#REF!</definedName>
    <definedName name="NyIntro">#REF!</definedName>
    <definedName name="Personfradrag" localSheetId="5">#REF!</definedName>
    <definedName name="Personfradrag" localSheetId="2">#REF!</definedName>
    <definedName name="Personfradrag" localSheetId="14">#REF!</definedName>
    <definedName name="Personfradrag" localSheetId="7">#REF!</definedName>
    <definedName name="Personfradrag" localSheetId="19">#REF!</definedName>
    <definedName name="Personfradrag" localSheetId="20">#REF!</definedName>
    <definedName name="Personfradrag" localSheetId="11">#REF!</definedName>
    <definedName name="Personfradrag" localSheetId="6">#REF!</definedName>
    <definedName name="Personfradrag">Skattesatser!$H$34</definedName>
    <definedName name="poedoe" localSheetId="10">#REF!</definedName>
    <definedName name="poedoe" localSheetId="14">#REF!</definedName>
    <definedName name="poedoe" localSheetId="7">#REF!</definedName>
    <definedName name="poedoe" localSheetId="19">#REF!</definedName>
    <definedName name="poedoe" localSheetId="6">#REF!</definedName>
    <definedName name="poedoe">#REF!</definedName>
    <definedName name="polse" localSheetId="10">#REF!</definedName>
    <definedName name="polse" localSheetId="14">#REF!</definedName>
    <definedName name="polse" localSheetId="7">#REF!</definedName>
    <definedName name="polse" localSheetId="6">#REF!</definedName>
    <definedName name="polse">#REF!</definedName>
    <definedName name="_xlnm.Print_Area" localSheetId="10">'Budget efter boligkøb'!$A$1:$N$88</definedName>
    <definedName name="_xlnm.Print_Area" localSheetId="2">'Budget før boligkøb'!$A$1:$N$88</definedName>
    <definedName name="qiecmkie" localSheetId="10" hidden="1">#REF!</definedName>
    <definedName name="qiecmkie" localSheetId="14" hidden="1">#REF!</definedName>
    <definedName name="qiecmkie" localSheetId="7" hidden="1">#REF!</definedName>
    <definedName name="qiecmkie" localSheetId="6" hidden="1">#REF!</definedName>
    <definedName name="qiecmkie" hidden="1">#REF!</definedName>
    <definedName name="qqqqwww" localSheetId="10" hidden="1">#REF!</definedName>
    <definedName name="qqqqwww" localSheetId="14" hidden="1">#REF!</definedName>
    <definedName name="qqqqwww" localSheetId="7" hidden="1">#REF!</definedName>
    <definedName name="qqqqwww" localSheetId="6" hidden="1">#REF!</definedName>
    <definedName name="qqqqwww" hidden="1">#REF!</definedName>
    <definedName name="RatepensionMax" localSheetId="5">#REF!</definedName>
    <definedName name="RatepensionMax" localSheetId="2">#REF!</definedName>
    <definedName name="RatepensionMax" localSheetId="14">#REF!</definedName>
    <definedName name="RatepensionMax" localSheetId="7">#REF!</definedName>
    <definedName name="RatepensionMax" localSheetId="19">#REF!</definedName>
    <definedName name="RatepensionMax" localSheetId="20">#REF!</definedName>
    <definedName name="RatepensionMax" localSheetId="11">#REF!</definedName>
    <definedName name="RatepensionMax" localSheetId="6">#REF!</definedName>
    <definedName name="RatepensionMax">Skattesatser!$H$36</definedName>
    <definedName name="sda" localSheetId="10">#REF!</definedName>
    <definedName name="sda" localSheetId="14">#REF!</definedName>
    <definedName name="sda" localSheetId="7">#REF!</definedName>
    <definedName name="sda" localSheetId="19">#REF!</definedName>
    <definedName name="sda" localSheetId="6">#REF!</definedName>
    <definedName name="sda">#REF!</definedName>
    <definedName name="Skatteordning">#REF!</definedName>
    <definedName name="SkraatSkatteloftKI" localSheetId="5">#REF!</definedName>
    <definedName name="SkraatSkatteloftKI" localSheetId="2">#REF!</definedName>
    <definedName name="SkraatSkatteloftKI" localSheetId="14">#REF!</definedName>
    <definedName name="SkraatSkatteloftKI" localSheetId="7">#REF!</definedName>
    <definedName name="SkraatSkatteloftKI" localSheetId="19">#REF!</definedName>
    <definedName name="SkraatSkatteloftKI" localSheetId="20">#REF!</definedName>
    <definedName name="SkraatSkatteloftKI" localSheetId="11">#REF!</definedName>
    <definedName name="SkraatSkatteloftKI" localSheetId="6">#REF!</definedName>
    <definedName name="SkraatSkatteloftKI">Skattesatser!$H$38</definedName>
    <definedName name="SkraatSkatteloftPI" localSheetId="5">#REF!</definedName>
    <definedName name="SkraatSkatteloftPI" localSheetId="2">#REF!</definedName>
    <definedName name="SkraatSkatteloftPI" localSheetId="14">#REF!</definedName>
    <definedName name="SkraatSkatteloftPI" localSheetId="7">#REF!</definedName>
    <definedName name="SkraatSkatteloftPI" localSheetId="19">#REF!</definedName>
    <definedName name="SkraatSkatteloftPI" localSheetId="20">#REF!</definedName>
    <definedName name="SkraatSkatteloftPI" localSheetId="11">#REF!</definedName>
    <definedName name="SkraatSkatteloftPI" localSheetId="6">#REF!</definedName>
    <definedName name="SkraatSkatteloftPI">Skattesatser!$H$37</definedName>
    <definedName name="Sundhedsbidrag" localSheetId="5">#REF!</definedName>
    <definedName name="Sundhedsbidrag" localSheetId="2">#REF!</definedName>
    <definedName name="Sundhedsbidrag" localSheetId="14">#REF!</definedName>
    <definedName name="Sundhedsbidrag" localSheetId="7">#REF!</definedName>
    <definedName name="Sundhedsbidrag" localSheetId="19">#REF!</definedName>
    <definedName name="Sundhedsbidrag" localSheetId="20">#REF!</definedName>
    <definedName name="Sundhedsbidrag" localSheetId="11">#REF!</definedName>
    <definedName name="Sundhedsbidrag" localSheetId="6">#REF!</definedName>
    <definedName name="Sundhedsbidrag">Skattesatser!$H$39</definedName>
    <definedName name="teste11" localSheetId="10">#REF!</definedName>
    <definedName name="teste11" localSheetId="14">#REF!</definedName>
    <definedName name="teste11" localSheetId="7">#REF!</definedName>
    <definedName name="teste11" localSheetId="19">#REF!</definedName>
    <definedName name="teste11" localSheetId="6">#REF!</definedName>
    <definedName name="teste11">#REF!</definedName>
    <definedName name="testen" localSheetId="10" hidden="1">#REF!</definedName>
    <definedName name="testen" localSheetId="14" hidden="1">#REF!</definedName>
    <definedName name="testen" localSheetId="7" hidden="1">#REF!</definedName>
    <definedName name="testen" localSheetId="6" hidden="1">#REF!</definedName>
    <definedName name="testen" hidden="1">#REF!</definedName>
    <definedName name="TillagNegKI" localSheetId="5">#REF!</definedName>
    <definedName name="TillagNegKI" localSheetId="2">#REF!</definedName>
    <definedName name="TillagNegKI" localSheetId="14">#REF!</definedName>
    <definedName name="TillagNegKI" localSheetId="7">#REF!</definedName>
    <definedName name="TillagNegKI" localSheetId="19">#REF!</definedName>
    <definedName name="TillagNegKI" localSheetId="20">#REF!</definedName>
    <definedName name="TillagNegKI" localSheetId="11">#REF!</definedName>
    <definedName name="TillagNegKI" localSheetId="6">#REF!</definedName>
    <definedName name="TillagNegKI">Skattesatser!$H$40</definedName>
    <definedName name="Topskat" localSheetId="5">#REF!</definedName>
    <definedName name="Topskat" localSheetId="2">#REF!</definedName>
    <definedName name="Topskat" localSheetId="14">#REF!</definedName>
    <definedName name="Topskat" localSheetId="7">#REF!</definedName>
    <definedName name="Topskat" localSheetId="19">#REF!</definedName>
    <definedName name="Topskat" localSheetId="20">#REF!</definedName>
    <definedName name="Topskat" localSheetId="11">#REF!</definedName>
    <definedName name="Topskat" localSheetId="6">#REF!</definedName>
    <definedName name="Topskat">Skattesatser!$H$43</definedName>
    <definedName name="TopSkatGranse" localSheetId="5">#REF!</definedName>
    <definedName name="TopSkatGranse" localSheetId="2">#REF!</definedName>
    <definedName name="TopSkatGranse" localSheetId="14">#REF!</definedName>
    <definedName name="TopSkatGranse" localSheetId="7">#REF!</definedName>
    <definedName name="TopSkatGranse" localSheetId="19">#REF!</definedName>
    <definedName name="TopSkatGranse" localSheetId="20">#REF!</definedName>
    <definedName name="TopSkatGranse" localSheetId="11">#REF!</definedName>
    <definedName name="TopSkatGranse" localSheetId="6">#REF!</definedName>
    <definedName name="TopSkatGranse">Skattesatser!$H$35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7" l="1"/>
  <c r="C15" i="2" l="1"/>
  <c r="C14" i="2"/>
  <c r="C13" i="2"/>
  <c r="C15" i="3"/>
  <c r="D14" i="3"/>
  <c r="C14" i="3"/>
  <c r="D13" i="3"/>
  <c r="C13" i="3"/>
  <c r="C24" i="2" l="1"/>
  <c r="J66" i="25" l="1"/>
  <c r="C10" i="20"/>
  <c r="C9" i="20"/>
  <c r="C12" i="20" s="1"/>
  <c r="C14" i="20" s="1"/>
  <c r="L64" i="25"/>
  <c r="K64" i="25"/>
  <c r="I63" i="25"/>
  <c r="I66" i="25" s="1"/>
  <c r="I58" i="25"/>
  <c r="I39" i="25"/>
  <c r="I35" i="25"/>
  <c r="H35" i="25"/>
  <c r="I24" i="25"/>
  <c r="H24" i="25"/>
  <c r="L19" i="25"/>
  <c r="I19" i="25"/>
  <c r="I18" i="25" s="1"/>
  <c r="H19" i="25"/>
  <c r="H18" i="25" s="1"/>
  <c r="R23" i="14"/>
  <c r="D6" i="6"/>
  <c r="E11" i="24"/>
  <c r="E15" i="24" s="1"/>
  <c r="F15" i="24" s="1"/>
  <c r="K5" i="24"/>
  <c r="N85" i="23"/>
  <c r="M85" i="23"/>
  <c r="L85" i="23"/>
  <c r="K85" i="23"/>
  <c r="J85" i="23"/>
  <c r="I85" i="23"/>
  <c r="H85" i="23"/>
  <c r="G85" i="23"/>
  <c r="F85" i="23"/>
  <c r="E85" i="23"/>
  <c r="D85" i="23"/>
  <c r="C85" i="23"/>
  <c r="B85" i="23"/>
  <c r="B80" i="23"/>
  <c r="N79" i="23"/>
  <c r="N78" i="23"/>
  <c r="C77" i="23"/>
  <c r="C80" i="23" s="1"/>
  <c r="M74" i="23"/>
  <c r="L74" i="23"/>
  <c r="K74" i="23"/>
  <c r="J74" i="23"/>
  <c r="I74" i="23"/>
  <c r="H74" i="23"/>
  <c r="G74" i="23"/>
  <c r="F74" i="23"/>
  <c r="E74" i="23"/>
  <c r="D74" i="23"/>
  <c r="C74" i="23"/>
  <c r="B74" i="23"/>
  <c r="N73" i="23"/>
  <c r="N72" i="23"/>
  <c r="N74" i="23" s="1"/>
  <c r="B69" i="23"/>
  <c r="C68" i="23"/>
  <c r="N67" i="23"/>
  <c r="C66" i="23"/>
  <c r="D66" i="23" s="1"/>
  <c r="E66" i="23" s="1"/>
  <c r="F66" i="23" s="1"/>
  <c r="G66" i="23" s="1"/>
  <c r="H66" i="23" s="1"/>
  <c r="I66" i="23" s="1"/>
  <c r="J66" i="23" s="1"/>
  <c r="K66" i="23" s="1"/>
  <c r="L66" i="23" s="1"/>
  <c r="M66" i="23" s="1"/>
  <c r="C65" i="23"/>
  <c r="D65" i="23" s="1"/>
  <c r="E65" i="23" s="1"/>
  <c r="F65" i="23" s="1"/>
  <c r="G65" i="23" s="1"/>
  <c r="H65" i="23" s="1"/>
  <c r="I65" i="23" s="1"/>
  <c r="J65" i="23" s="1"/>
  <c r="K65" i="23" s="1"/>
  <c r="L65" i="23" s="1"/>
  <c r="M65" i="23" s="1"/>
  <c r="C64" i="23"/>
  <c r="D64" i="23" s="1"/>
  <c r="B61" i="23"/>
  <c r="N60" i="23"/>
  <c r="C59" i="23"/>
  <c r="D59" i="23" s="1"/>
  <c r="E59" i="23" s="1"/>
  <c r="F59" i="23" s="1"/>
  <c r="G59" i="23" s="1"/>
  <c r="H59" i="23" s="1"/>
  <c r="I59" i="23" s="1"/>
  <c r="J59" i="23" s="1"/>
  <c r="K59" i="23" s="1"/>
  <c r="L59" i="23" s="1"/>
  <c r="M59" i="23" s="1"/>
  <c r="N58" i="23"/>
  <c r="N57" i="23"/>
  <c r="C56" i="23"/>
  <c r="C55" i="23"/>
  <c r="D55" i="23" s="1"/>
  <c r="E55" i="23" s="1"/>
  <c r="F55" i="23" s="1"/>
  <c r="G55" i="23" s="1"/>
  <c r="H55" i="23" s="1"/>
  <c r="I55" i="23" s="1"/>
  <c r="J55" i="23" s="1"/>
  <c r="K55" i="23" s="1"/>
  <c r="L55" i="23" s="1"/>
  <c r="M55" i="23" s="1"/>
  <c r="C54" i="23"/>
  <c r="C53" i="23"/>
  <c r="D53" i="23" s="1"/>
  <c r="E53" i="23" s="1"/>
  <c r="F53" i="23" s="1"/>
  <c r="G53" i="23" s="1"/>
  <c r="H53" i="23" s="1"/>
  <c r="I53" i="23" s="1"/>
  <c r="J53" i="23" s="1"/>
  <c r="K53" i="23" s="1"/>
  <c r="L53" i="23" s="1"/>
  <c r="M53" i="23" s="1"/>
  <c r="C52" i="23"/>
  <c r="B49" i="23"/>
  <c r="N48" i="23"/>
  <c r="C47" i="23"/>
  <c r="D47" i="23" s="1"/>
  <c r="E47" i="23" s="1"/>
  <c r="F47" i="23" s="1"/>
  <c r="G47" i="23" s="1"/>
  <c r="H47" i="23" s="1"/>
  <c r="I47" i="23" s="1"/>
  <c r="J47" i="23" s="1"/>
  <c r="K47" i="23" s="1"/>
  <c r="L47" i="23" s="1"/>
  <c r="M47" i="23" s="1"/>
  <c r="C46" i="23"/>
  <c r="D46" i="23" s="1"/>
  <c r="E46" i="23" s="1"/>
  <c r="F46" i="23" s="1"/>
  <c r="G46" i="23" s="1"/>
  <c r="H46" i="23" s="1"/>
  <c r="I46" i="23" s="1"/>
  <c r="J46" i="23" s="1"/>
  <c r="K46" i="23" s="1"/>
  <c r="L46" i="23" s="1"/>
  <c r="M46" i="23" s="1"/>
  <c r="C45" i="23"/>
  <c r="D45" i="23" s="1"/>
  <c r="E45" i="23" s="1"/>
  <c r="F45" i="23" s="1"/>
  <c r="G45" i="23" s="1"/>
  <c r="H45" i="23" s="1"/>
  <c r="I45" i="23" s="1"/>
  <c r="J45" i="23" s="1"/>
  <c r="K45" i="23" s="1"/>
  <c r="L45" i="23" s="1"/>
  <c r="M45" i="23" s="1"/>
  <c r="C44" i="23"/>
  <c r="C49" i="23" s="1"/>
  <c r="B41" i="23"/>
  <c r="N40" i="23"/>
  <c r="C39" i="23"/>
  <c r="B36" i="23"/>
  <c r="N35" i="23"/>
  <c r="C34" i="23"/>
  <c r="D34" i="23" s="1"/>
  <c r="E34" i="23" s="1"/>
  <c r="F34" i="23" s="1"/>
  <c r="G34" i="23" s="1"/>
  <c r="H34" i="23" s="1"/>
  <c r="I34" i="23" s="1"/>
  <c r="J34" i="23" s="1"/>
  <c r="K34" i="23" s="1"/>
  <c r="L34" i="23" s="1"/>
  <c r="M34" i="23" s="1"/>
  <c r="N33" i="23"/>
  <c r="C32" i="23"/>
  <c r="D32" i="23" s="1"/>
  <c r="N31" i="23"/>
  <c r="N30" i="23"/>
  <c r="B27" i="23"/>
  <c r="B82" i="23" s="1"/>
  <c r="N26" i="23"/>
  <c r="N25" i="23"/>
  <c r="N24" i="23"/>
  <c r="N23" i="23"/>
  <c r="C22" i="23"/>
  <c r="D22" i="23" s="1"/>
  <c r="E22" i="23" s="1"/>
  <c r="F22" i="23" s="1"/>
  <c r="G22" i="23" s="1"/>
  <c r="H22" i="23" s="1"/>
  <c r="I22" i="23" s="1"/>
  <c r="J22" i="23" s="1"/>
  <c r="K22" i="23" s="1"/>
  <c r="L22" i="23" s="1"/>
  <c r="M22" i="23" s="1"/>
  <c r="N21" i="23"/>
  <c r="N20" i="23"/>
  <c r="N19" i="23"/>
  <c r="N18" i="23"/>
  <c r="N17" i="23"/>
  <c r="C16" i="23"/>
  <c r="D16" i="23" s="1"/>
  <c r="C15" i="23"/>
  <c r="C27" i="23" s="1"/>
  <c r="N9" i="23"/>
  <c r="N8" i="23"/>
  <c r="E7" i="23"/>
  <c r="N6" i="23"/>
  <c r="E72" i="22"/>
  <c r="E71" i="22"/>
  <c r="C71" i="22"/>
  <c r="D71" i="22" s="1"/>
  <c r="D64" i="22"/>
  <c r="F63" i="22"/>
  <c r="E63" i="22"/>
  <c r="E64" i="22" s="1"/>
  <c r="G64" i="22" s="1"/>
  <c r="D63" i="22"/>
  <c r="D55" i="22"/>
  <c r="C55" i="22"/>
  <c r="C64" i="22" s="1"/>
  <c r="F54" i="22"/>
  <c r="E54" i="22"/>
  <c r="E55" i="22" s="1"/>
  <c r="G55" i="22" s="1"/>
  <c r="D54" i="22"/>
  <c r="C54" i="22"/>
  <c r="C63" i="22" s="1"/>
  <c r="D40" i="22"/>
  <c r="C40" i="22"/>
  <c r="D35" i="22"/>
  <c r="D79" i="22" s="1"/>
  <c r="C35" i="22"/>
  <c r="C80" i="22" s="1"/>
  <c r="D30" i="22"/>
  <c r="C30" i="22"/>
  <c r="AA29" i="22"/>
  <c r="AC28" i="22" s="1"/>
  <c r="D29" i="22"/>
  <c r="C29" i="22"/>
  <c r="K28" i="22"/>
  <c r="L28" i="22" s="1"/>
  <c r="I28" i="22"/>
  <c r="J28" i="22" s="1"/>
  <c r="K26" i="22"/>
  <c r="I26" i="22"/>
  <c r="D24" i="22"/>
  <c r="C24" i="22"/>
  <c r="D22" i="22"/>
  <c r="C22" i="22"/>
  <c r="I29" i="22" s="1"/>
  <c r="J29" i="22" s="1"/>
  <c r="J21" i="22"/>
  <c r="L21" i="22" s="1"/>
  <c r="C15" i="22"/>
  <c r="C72" i="22" s="1"/>
  <c r="F72" i="22" s="1"/>
  <c r="J20" i="22" s="1"/>
  <c r="L20" i="22" s="1"/>
  <c r="D14" i="22"/>
  <c r="C14" i="22"/>
  <c r="C13" i="22"/>
  <c r="J12" i="22"/>
  <c r="D12" i="22"/>
  <c r="D13" i="22" s="1"/>
  <c r="H9" i="22"/>
  <c r="G9" i="22"/>
  <c r="H8" i="22"/>
  <c r="G8" i="22"/>
  <c r="H7" i="22"/>
  <c r="G7" i="22"/>
  <c r="H6" i="22"/>
  <c r="G6" i="22"/>
  <c r="H5" i="22"/>
  <c r="G5" i="22"/>
  <c r="K2" i="22"/>
  <c r="I2" i="22"/>
  <c r="E64" i="21"/>
  <c r="E63" i="21"/>
  <c r="C63" i="21"/>
  <c r="D63" i="21" s="1"/>
  <c r="D55" i="21"/>
  <c r="C55" i="21"/>
  <c r="F54" i="21"/>
  <c r="E54" i="21"/>
  <c r="E55" i="21" s="1"/>
  <c r="G55" i="21" s="1"/>
  <c r="D54" i="21"/>
  <c r="C54" i="21"/>
  <c r="C40" i="21"/>
  <c r="C35" i="21"/>
  <c r="C71" i="21" s="1"/>
  <c r="C72" i="21" s="1"/>
  <c r="C30" i="21"/>
  <c r="C29" i="21"/>
  <c r="I28" i="21"/>
  <c r="J28" i="21" s="1"/>
  <c r="I26" i="21"/>
  <c r="C24" i="21"/>
  <c r="C22" i="21"/>
  <c r="J21" i="21"/>
  <c r="C15" i="21"/>
  <c r="C64" i="21" s="1"/>
  <c r="F64" i="21" s="1"/>
  <c r="J20" i="21" s="1"/>
  <c r="C14" i="21"/>
  <c r="G9" i="21" s="1"/>
  <c r="C13" i="21"/>
  <c r="J12" i="21"/>
  <c r="H9" i="21"/>
  <c r="H8" i="21"/>
  <c r="G8" i="21"/>
  <c r="H7" i="21"/>
  <c r="G7" i="21"/>
  <c r="H6" i="21"/>
  <c r="G6" i="21"/>
  <c r="H5" i="21"/>
  <c r="G5" i="21"/>
  <c r="I2" i="21"/>
  <c r="D21" i="20"/>
  <c r="C21" i="20" s="1"/>
  <c r="C20" i="20"/>
  <c r="C6" i="20"/>
  <c r="M41" i="18"/>
  <c r="J41" i="18"/>
  <c r="M38" i="18"/>
  <c r="M37" i="18"/>
  <c r="Q37" i="18" s="1"/>
  <c r="O41" i="18" s="1"/>
  <c r="N27" i="18"/>
  <c r="J9" i="18"/>
  <c r="H31" i="18" s="1"/>
  <c r="B5" i="18"/>
  <c r="D23" i="17"/>
  <c r="D24" i="17" s="1"/>
  <c r="D25" i="17" s="1"/>
  <c r="D21" i="17"/>
  <c r="J11" i="17"/>
  <c r="D10" i="17"/>
  <c r="D13" i="17" s="1"/>
  <c r="D15" i="17" s="1"/>
  <c r="D7" i="17"/>
  <c r="C10" i="16"/>
  <c r="I83" i="15"/>
  <c r="H81" i="15"/>
  <c r="H83" i="15" s="1"/>
  <c r="I74" i="15"/>
  <c r="H72" i="15"/>
  <c r="H74" i="15" s="1"/>
  <c r="I65" i="15"/>
  <c r="H63" i="15"/>
  <c r="H65" i="15" s="1"/>
  <c r="I56" i="15"/>
  <c r="H54" i="15"/>
  <c r="H56" i="15" s="1"/>
  <c r="C52" i="15"/>
  <c r="C54" i="15" s="1"/>
  <c r="C56" i="15" s="1"/>
  <c r="K38" i="15"/>
  <c r="I37" i="15"/>
  <c r="I38" i="15" s="1"/>
  <c r="K35" i="15"/>
  <c r="K36" i="15" s="1"/>
  <c r="I35" i="15"/>
  <c r="I36" i="15" s="1"/>
  <c r="D30" i="15"/>
  <c r="E30" i="15" s="1"/>
  <c r="D29" i="15"/>
  <c r="E29" i="15" s="1"/>
  <c r="D28" i="15"/>
  <c r="E28" i="15" s="1"/>
  <c r="D27" i="15"/>
  <c r="E27" i="15" s="1"/>
  <c r="D25" i="15"/>
  <c r="E25" i="15" s="1"/>
  <c r="D24" i="15"/>
  <c r="E24" i="15" s="1"/>
  <c r="P23" i="15"/>
  <c r="O23" i="15"/>
  <c r="D23" i="15"/>
  <c r="E23" i="15" s="1"/>
  <c r="P22" i="15"/>
  <c r="O22" i="15"/>
  <c r="D22" i="15"/>
  <c r="E22" i="15" s="1"/>
  <c r="P21" i="15"/>
  <c r="O21" i="15"/>
  <c r="D21" i="15"/>
  <c r="E21" i="15" s="1"/>
  <c r="P20" i="15"/>
  <c r="O20" i="15"/>
  <c r="R20" i="15" s="1"/>
  <c r="S20" i="15" s="1"/>
  <c r="D20" i="15"/>
  <c r="E20" i="15" s="1"/>
  <c r="P19" i="15"/>
  <c r="O19" i="15"/>
  <c r="D19" i="15"/>
  <c r="E19" i="15" s="1"/>
  <c r="E31" i="15" s="1"/>
  <c r="P18" i="15"/>
  <c r="O18" i="15"/>
  <c r="P17" i="15"/>
  <c r="O17" i="15"/>
  <c r="P13" i="15"/>
  <c r="O13" i="15"/>
  <c r="P12" i="15"/>
  <c r="O12" i="15"/>
  <c r="P11" i="15"/>
  <c r="O11" i="15"/>
  <c r="P10" i="15"/>
  <c r="O10" i="15"/>
  <c r="P9" i="15"/>
  <c r="O9" i="15"/>
  <c r="R9" i="15" s="1"/>
  <c r="T9" i="15" s="1"/>
  <c r="P8" i="15"/>
  <c r="O8" i="15"/>
  <c r="R24" i="14"/>
  <c r="S23" i="14"/>
  <c r="R21" i="14"/>
  <c r="Q18" i="14"/>
  <c r="R15" i="14"/>
  <c r="R14" i="14"/>
  <c r="R13" i="14"/>
  <c r="R22" i="14" s="1"/>
  <c r="H11" i="14"/>
  <c r="H12" i="14" s="1"/>
  <c r="H13" i="14" s="1"/>
  <c r="H14" i="14" s="1"/>
  <c r="H15" i="14" s="1"/>
  <c r="H16" i="14" s="1"/>
  <c r="H17" i="14" s="1"/>
  <c r="H18" i="14" s="1"/>
  <c r="H19" i="14" s="1"/>
  <c r="H20" i="14" s="1"/>
  <c r="H21" i="14" s="1"/>
  <c r="H22" i="14" s="1"/>
  <c r="H23" i="14" s="1"/>
  <c r="H24" i="14" s="1"/>
  <c r="H25" i="14" s="1"/>
  <c r="H26" i="14" s="1"/>
  <c r="H27" i="14" s="1"/>
  <c r="H28" i="14" s="1"/>
  <c r="H29" i="14" s="1"/>
  <c r="H30" i="14" s="1"/>
  <c r="H31" i="14" s="1"/>
  <c r="H32" i="14" s="1"/>
  <c r="H33" i="14" s="1"/>
  <c r="H34" i="14" s="1"/>
  <c r="H35" i="14" s="1"/>
  <c r="H36" i="14" s="1"/>
  <c r="H37" i="14" s="1"/>
  <c r="H38" i="14" s="1"/>
  <c r="H39" i="14" s="1"/>
  <c r="H40" i="14" s="1"/>
  <c r="H41" i="14" s="1"/>
  <c r="H42" i="14" s="1"/>
  <c r="H43" i="14" s="1"/>
  <c r="H44" i="14" s="1"/>
  <c r="H45" i="14" s="1"/>
  <c r="H46" i="14" s="1"/>
  <c r="H47" i="14" s="1"/>
  <c r="H48" i="14" s="1"/>
  <c r="H49" i="14" s="1"/>
  <c r="H50" i="14" s="1"/>
  <c r="H51" i="14" s="1"/>
  <c r="H52" i="14" s="1"/>
  <c r="H53" i="14" s="1"/>
  <c r="H54" i="14" s="1"/>
  <c r="H55" i="14" s="1"/>
  <c r="H56" i="14" s="1"/>
  <c r="H57" i="14" s="1"/>
  <c r="H58" i="14" s="1"/>
  <c r="H59" i="14" s="1"/>
  <c r="C11" i="14"/>
  <c r="C12" i="14" s="1"/>
  <c r="C13" i="14" s="1"/>
  <c r="C14" i="14" s="1"/>
  <c r="C15" i="14" s="1"/>
  <c r="C16" i="14" s="1"/>
  <c r="C17" i="14" s="1"/>
  <c r="C18" i="14" s="1"/>
  <c r="C19" i="14" s="1"/>
  <c r="C20" i="14" s="1"/>
  <c r="C21" i="14" s="1"/>
  <c r="C22" i="14" s="1"/>
  <c r="C23" i="14" s="1"/>
  <c r="C24" i="14" s="1"/>
  <c r="C25" i="14" s="1"/>
  <c r="C26" i="14" s="1"/>
  <c r="C27" i="14" s="1"/>
  <c r="C28" i="14" s="1"/>
  <c r="C29" i="14" s="1"/>
  <c r="C30" i="14" s="1"/>
  <c r="C31" i="14" s="1"/>
  <c r="C32" i="14" s="1"/>
  <c r="C33" i="14" s="1"/>
  <c r="C34" i="14" s="1"/>
  <c r="C35" i="14" s="1"/>
  <c r="C36" i="14" s="1"/>
  <c r="C37" i="14" s="1"/>
  <c r="C38" i="14" s="1"/>
  <c r="C39" i="14" s="1"/>
  <c r="C40" i="14" s="1"/>
  <c r="C41" i="14" s="1"/>
  <c r="C42" i="14" s="1"/>
  <c r="C43" i="14" s="1"/>
  <c r="C44" i="14" s="1"/>
  <c r="C45" i="14" s="1"/>
  <c r="C46" i="14" s="1"/>
  <c r="C47" i="14" s="1"/>
  <c r="C48" i="14" s="1"/>
  <c r="C49" i="14" s="1"/>
  <c r="C50" i="14" s="1"/>
  <c r="C51" i="14" s="1"/>
  <c r="C52" i="14" s="1"/>
  <c r="C53" i="14" s="1"/>
  <c r="C54" i="14" s="1"/>
  <c r="C55" i="14" s="1"/>
  <c r="C56" i="14" s="1"/>
  <c r="C57" i="14" s="1"/>
  <c r="C58" i="14" s="1"/>
  <c r="C59" i="14" s="1"/>
  <c r="B11" i="14"/>
  <c r="B12" i="14" s="1"/>
  <c r="G10" i="14"/>
  <c r="G11" i="14" s="1"/>
  <c r="G12" i="14" s="1"/>
  <c r="G13" i="14" s="1"/>
  <c r="G14" i="14" s="1"/>
  <c r="G15" i="14" s="1"/>
  <c r="G16" i="14" s="1"/>
  <c r="G17" i="14" s="1"/>
  <c r="G18" i="14" s="1"/>
  <c r="G19" i="14" s="1"/>
  <c r="G20" i="14" s="1"/>
  <c r="G21" i="14" s="1"/>
  <c r="G22" i="14" s="1"/>
  <c r="G23" i="14" s="1"/>
  <c r="G24" i="14" s="1"/>
  <c r="G25" i="14" s="1"/>
  <c r="G26" i="14" s="1"/>
  <c r="G27" i="14" s="1"/>
  <c r="G28" i="14" s="1"/>
  <c r="G29" i="14" s="1"/>
  <c r="G30" i="14" s="1"/>
  <c r="G31" i="14" s="1"/>
  <c r="G32" i="14" s="1"/>
  <c r="G33" i="14" s="1"/>
  <c r="G34" i="14" s="1"/>
  <c r="G35" i="14" s="1"/>
  <c r="G36" i="14" s="1"/>
  <c r="G37" i="14" s="1"/>
  <c r="G38" i="14" s="1"/>
  <c r="G39" i="14" s="1"/>
  <c r="G40" i="14" s="1"/>
  <c r="G41" i="14" s="1"/>
  <c r="G42" i="14" s="1"/>
  <c r="G43" i="14" s="1"/>
  <c r="G44" i="14" s="1"/>
  <c r="G45" i="14" s="1"/>
  <c r="G46" i="14" s="1"/>
  <c r="G47" i="14" s="1"/>
  <c r="G48" i="14" s="1"/>
  <c r="G49" i="14" s="1"/>
  <c r="G50" i="14" s="1"/>
  <c r="G51" i="14" s="1"/>
  <c r="G52" i="14" s="1"/>
  <c r="G53" i="14" s="1"/>
  <c r="G54" i="14" s="1"/>
  <c r="G55" i="14" s="1"/>
  <c r="G56" i="14" s="1"/>
  <c r="G57" i="14" s="1"/>
  <c r="G58" i="14" s="1"/>
  <c r="G59" i="14" s="1"/>
  <c r="C10" i="14"/>
  <c r="D10" i="14" s="1"/>
  <c r="E10" i="14" s="1"/>
  <c r="K8" i="14"/>
  <c r="K9" i="14" s="1"/>
  <c r="R25" i="14" s="1"/>
  <c r="F7" i="14"/>
  <c r="F8" i="14" s="1"/>
  <c r="E6" i="14"/>
  <c r="D2" i="14"/>
  <c r="E2" i="14" s="1"/>
  <c r="E14" i="13"/>
  <c r="E11" i="13"/>
  <c r="B3" i="13"/>
  <c r="H54" i="12"/>
  <c r="H39" i="12"/>
  <c r="H36" i="12"/>
  <c r="H37" i="12" s="1"/>
  <c r="H31" i="12"/>
  <c r="H10" i="12"/>
  <c r="H6" i="12"/>
  <c r="F2" i="12"/>
  <c r="H54" i="11"/>
  <c r="H39" i="11"/>
  <c r="H40" i="11" s="1"/>
  <c r="H36" i="11"/>
  <c r="H37" i="11" s="1"/>
  <c r="H31" i="11"/>
  <c r="H10" i="11"/>
  <c r="H6" i="11"/>
  <c r="F2" i="11"/>
  <c r="H14" i="11" s="1"/>
  <c r="N85" i="9"/>
  <c r="M85" i="9"/>
  <c r="L85" i="9"/>
  <c r="K85" i="9"/>
  <c r="J85" i="9"/>
  <c r="I85" i="9"/>
  <c r="H85" i="9"/>
  <c r="G85" i="9"/>
  <c r="F85" i="9"/>
  <c r="E85" i="9"/>
  <c r="D85" i="9"/>
  <c r="C85" i="9"/>
  <c r="B85" i="9"/>
  <c r="B80" i="9"/>
  <c r="N79" i="9"/>
  <c r="N78" i="9"/>
  <c r="C77" i="9"/>
  <c r="M74" i="9"/>
  <c r="L74" i="9"/>
  <c r="K74" i="9"/>
  <c r="J74" i="9"/>
  <c r="I74" i="9"/>
  <c r="H74" i="9"/>
  <c r="G74" i="9"/>
  <c r="F74" i="9"/>
  <c r="E74" i="9"/>
  <c r="D74" i="9"/>
  <c r="C74" i="9"/>
  <c r="B74" i="9"/>
  <c r="N73" i="9"/>
  <c r="N72" i="9"/>
  <c r="B69" i="9"/>
  <c r="C68" i="9"/>
  <c r="D68" i="9" s="1"/>
  <c r="E68" i="9" s="1"/>
  <c r="N67" i="9"/>
  <c r="C66" i="9"/>
  <c r="D66" i="9" s="1"/>
  <c r="E66" i="9" s="1"/>
  <c r="F66" i="9" s="1"/>
  <c r="C65" i="9"/>
  <c r="D65" i="9" s="1"/>
  <c r="E65" i="9" s="1"/>
  <c r="F65" i="9" s="1"/>
  <c r="G65" i="9" s="1"/>
  <c r="H65" i="9" s="1"/>
  <c r="I65" i="9" s="1"/>
  <c r="J65" i="9" s="1"/>
  <c r="K65" i="9" s="1"/>
  <c r="L65" i="9" s="1"/>
  <c r="M65" i="9" s="1"/>
  <c r="C64" i="9"/>
  <c r="B61" i="9"/>
  <c r="N60" i="9"/>
  <c r="C59" i="9"/>
  <c r="D59" i="9" s="1"/>
  <c r="E59" i="9" s="1"/>
  <c r="F59" i="9" s="1"/>
  <c r="G59" i="9" s="1"/>
  <c r="H59" i="9" s="1"/>
  <c r="I59" i="9" s="1"/>
  <c r="J59" i="9" s="1"/>
  <c r="K59" i="9" s="1"/>
  <c r="L59" i="9" s="1"/>
  <c r="M59" i="9" s="1"/>
  <c r="N58" i="9"/>
  <c r="N57" i="9"/>
  <c r="C56" i="9"/>
  <c r="D56" i="9" s="1"/>
  <c r="E56" i="9" s="1"/>
  <c r="F56" i="9" s="1"/>
  <c r="G56" i="9" s="1"/>
  <c r="H56" i="9" s="1"/>
  <c r="I56" i="9" s="1"/>
  <c r="J56" i="9" s="1"/>
  <c r="K56" i="9" s="1"/>
  <c r="L56" i="9" s="1"/>
  <c r="M56" i="9" s="1"/>
  <c r="C55" i="9"/>
  <c r="D55" i="9" s="1"/>
  <c r="E55" i="9" s="1"/>
  <c r="F55" i="9" s="1"/>
  <c r="G55" i="9" s="1"/>
  <c r="H55" i="9" s="1"/>
  <c r="I55" i="9" s="1"/>
  <c r="J55" i="9" s="1"/>
  <c r="K55" i="9" s="1"/>
  <c r="L55" i="9" s="1"/>
  <c r="M55" i="9" s="1"/>
  <c r="C54" i="9"/>
  <c r="D54" i="9" s="1"/>
  <c r="E54" i="9" s="1"/>
  <c r="F54" i="9" s="1"/>
  <c r="G54" i="9" s="1"/>
  <c r="H54" i="9" s="1"/>
  <c r="I54" i="9" s="1"/>
  <c r="J54" i="9" s="1"/>
  <c r="K54" i="9" s="1"/>
  <c r="L54" i="9" s="1"/>
  <c r="M54" i="9" s="1"/>
  <c r="C53" i="9"/>
  <c r="D53" i="9" s="1"/>
  <c r="E53" i="9" s="1"/>
  <c r="F53" i="9" s="1"/>
  <c r="G53" i="9" s="1"/>
  <c r="H53" i="9" s="1"/>
  <c r="I53" i="9" s="1"/>
  <c r="J53" i="9" s="1"/>
  <c r="K53" i="9" s="1"/>
  <c r="L53" i="9" s="1"/>
  <c r="M53" i="9" s="1"/>
  <c r="C52" i="9"/>
  <c r="N48" i="9"/>
  <c r="C47" i="9"/>
  <c r="D47" i="9" s="1"/>
  <c r="E47" i="9" s="1"/>
  <c r="F47" i="9" s="1"/>
  <c r="G47" i="9" s="1"/>
  <c r="H47" i="9" s="1"/>
  <c r="I47" i="9" s="1"/>
  <c r="J47" i="9" s="1"/>
  <c r="K47" i="9" s="1"/>
  <c r="L47" i="9" s="1"/>
  <c r="M47" i="9" s="1"/>
  <c r="C46" i="9"/>
  <c r="D46" i="9" s="1"/>
  <c r="E46" i="9" s="1"/>
  <c r="F46" i="9" s="1"/>
  <c r="G46" i="9" s="1"/>
  <c r="H46" i="9" s="1"/>
  <c r="I46" i="9" s="1"/>
  <c r="J46" i="9" s="1"/>
  <c r="K46" i="9" s="1"/>
  <c r="L46" i="9" s="1"/>
  <c r="M46" i="9" s="1"/>
  <c r="C44" i="9"/>
  <c r="D44" i="9" s="1"/>
  <c r="B41" i="9"/>
  <c r="N40" i="9"/>
  <c r="C39" i="9"/>
  <c r="B36" i="9"/>
  <c r="N35" i="9"/>
  <c r="C34" i="9"/>
  <c r="D34" i="9" s="1"/>
  <c r="E34" i="9" s="1"/>
  <c r="N33" i="9"/>
  <c r="C32" i="9"/>
  <c r="C36" i="9" s="1"/>
  <c r="N31" i="9"/>
  <c r="N30" i="9"/>
  <c r="C26" i="9"/>
  <c r="D26" i="9" s="1"/>
  <c r="E26" i="9" s="1"/>
  <c r="F26" i="9" s="1"/>
  <c r="G26" i="9" s="1"/>
  <c r="H26" i="9" s="1"/>
  <c r="I26" i="9" s="1"/>
  <c r="J26" i="9" s="1"/>
  <c r="K26" i="9" s="1"/>
  <c r="L26" i="9" s="1"/>
  <c r="M26" i="9" s="1"/>
  <c r="N25" i="9"/>
  <c r="C24" i="9"/>
  <c r="D24" i="9" s="1"/>
  <c r="N23" i="9"/>
  <c r="C22" i="9"/>
  <c r="N21" i="9"/>
  <c r="C20" i="9"/>
  <c r="D20" i="9" s="1"/>
  <c r="E20" i="9" s="1"/>
  <c r="F20" i="9" s="1"/>
  <c r="G20" i="9" s="1"/>
  <c r="H20" i="9" s="1"/>
  <c r="I20" i="9" s="1"/>
  <c r="J20" i="9" s="1"/>
  <c r="K20" i="9" s="1"/>
  <c r="L20" i="9" s="1"/>
  <c r="M20" i="9" s="1"/>
  <c r="N19" i="9"/>
  <c r="C18" i="9"/>
  <c r="D18" i="9" s="1"/>
  <c r="E18" i="9" s="1"/>
  <c r="F18" i="9" s="1"/>
  <c r="G18" i="9" s="1"/>
  <c r="H18" i="9" s="1"/>
  <c r="I18" i="9" s="1"/>
  <c r="J18" i="9" s="1"/>
  <c r="K18" i="9" s="1"/>
  <c r="L18" i="9" s="1"/>
  <c r="M18" i="9" s="1"/>
  <c r="N17" i="9"/>
  <c r="N9" i="9"/>
  <c r="N8" i="9"/>
  <c r="E7" i="9"/>
  <c r="N6" i="9"/>
  <c r="E14" i="7"/>
  <c r="F13" i="7"/>
  <c r="F11" i="7"/>
  <c r="E11" i="7"/>
  <c r="H11" i="7"/>
  <c r="G10" i="7"/>
  <c r="G11" i="7" s="1"/>
  <c r="E72" i="3"/>
  <c r="E71" i="3"/>
  <c r="C71" i="3"/>
  <c r="D71" i="3" s="1"/>
  <c r="D64" i="3"/>
  <c r="F63" i="3"/>
  <c r="E63" i="3"/>
  <c r="D63" i="3"/>
  <c r="D55" i="3"/>
  <c r="C55" i="3"/>
  <c r="C64" i="3" s="1"/>
  <c r="F54" i="3"/>
  <c r="E54" i="3"/>
  <c r="E55" i="3" s="1"/>
  <c r="G55" i="3" s="1"/>
  <c r="D54" i="3"/>
  <c r="C54" i="3"/>
  <c r="C63" i="3" s="1"/>
  <c r="D40" i="3"/>
  <c r="C40" i="3"/>
  <c r="D35" i="3"/>
  <c r="D79" i="3" s="1"/>
  <c r="C35" i="3"/>
  <c r="D30" i="3"/>
  <c r="C30" i="3"/>
  <c r="AA29" i="3"/>
  <c r="AC28" i="3" s="1"/>
  <c r="D29" i="3"/>
  <c r="C29" i="3"/>
  <c r="K28" i="3"/>
  <c r="L28" i="3" s="1"/>
  <c r="I28" i="3"/>
  <c r="J28" i="3" s="1"/>
  <c r="K26" i="3"/>
  <c r="I26" i="3"/>
  <c r="D24" i="3"/>
  <c r="C24" i="3"/>
  <c r="D22" i="3"/>
  <c r="C22" i="3"/>
  <c r="J21" i="3"/>
  <c r="L21" i="3" s="1"/>
  <c r="C72" i="3"/>
  <c r="F72" i="3" s="1"/>
  <c r="J20" i="3" s="1"/>
  <c r="L20" i="3" s="1"/>
  <c r="G9" i="3"/>
  <c r="G8" i="3"/>
  <c r="J12" i="3"/>
  <c r="D12" i="3"/>
  <c r="H9" i="3"/>
  <c r="H8" i="3"/>
  <c r="H7" i="3"/>
  <c r="G7" i="3"/>
  <c r="H6" i="3"/>
  <c r="G6" i="3"/>
  <c r="H5" i="3"/>
  <c r="G5" i="3"/>
  <c r="K2" i="3"/>
  <c r="I2" i="3"/>
  <c r="E64" i="2"/>
  <c r="E63" i="2"/>
  <c r="C63" i="2"/>
  <c r="D63" i="2" s="1"/>
  <c r="D55" i="2"/>
  <c r="C55" i="2"/>
  <c r="F54" i="2"/>
  <c r="E54" i="2"/>
  <c r="E55" i="2" s="1"/>
  <c r="G55" i="2" s="1"/>
  <c r="D54" i="2"/>
  <c r="C54" i="2"/>
  <c r="C40" i="2"/>
  <c r="C35" i="2"/>
  <c r="J12" i="2" s="1"/>
  <c r="C30" i="2"/>
  <c r="C29" i="2"/>
  <c r="I28" i="2"/>
  <c r="J28" i="2" s="1"/>
  <c r="I26" i="2"/>
  <c r="C22" i="2"/>
  <c r="C39" i="2" s="1"/>
  <c r="J21" i="2"/>
  <c r="C64" i="2"/>
  <c r="F64" i="2" s="1"/>
  <c r="J20" i="2" s="1"/>
  <c r="G9" i="2"/>
  <c r="G8" i="2"/>
  <c r="H9" i="2"/>
  <c r="H8" i="2"/>
  <c r="H7" i="2"/>
  <c r="G7" i="2"/>
  <c r="H6" i="2"/>
  <c r="G6" i="2"/>
  <c r="H5" i="2"/>
  <c r="G5" i="2"/>
  <c r="I2" i="2"/>
  <c r="J60" i="25" l="1"/>
  <c r="K60" i="25"/>
  <c r="L60" i="25"/>
  <c r="I27" i="25"/>
  <c r="I56" i="25"/>
  <c r="I68" i="25" s="1"/>
  <c r="K66" i="25"/>
  <c r="I57" i="25"/>
  <c r="H28" i="25"/>
  <c r="H27" i="25"/>
  <c r="H16" i="25"/>
  <c r="I28" i="25"/>
  <c r="I29" i="25"/>
  <c r="I16" i="25"/>
  <c r="J68" i="25"/>
  <c r="J71" i="25" s="1"/>
  <c r="I26" i="25"/>
  <c r="K68" i="25"/>
  <c r="H55" i="22"/>
  <c r="O25" i="15"/>
  <c r="O14" i="15"/>
  <c r="O27" i="15" s="1"/>
  <c r="P14" i="15"/>
  <c r="I29" i="2"/>
  <c r="J29" i="2" s="1"/>
  <c r="C25" i="2"/>
  <c r="C39" i="3"/>
  <c r="I29" i="3"/>
  <c r="J29" i="3" s="1"/>
  <c r="C25" i="3"/>
  <c r="C27" i="3" s="1"/>
  <c r="C31" i="3" s="1"/>
  <c r="E44" i="9"/>
  <c r="C45" i="9"/>
  <c r="B49" i="9"/>
  <c r="D52" i="9"/>
  <c r="C61" i="9"/>
  <c r="G66" i="9"/>
  <c r="N74" i="9"/>
  <c r="D77" i="9"/>
  <c r="C80" i="9"/>
  <c r="H20" i="11"/>
  <c r="H21" i="11" s="1"/>
  <c r="H28" i="11" s="1"/>
  <c r="H29" i="11" s="1"/>
  <c r="H32" i="11" s="1"/>
  <c r="H34" i="11" s="1"/>
  <c r="H16" i="11"/>
  <c r="H12" i="11"/>
  <c r="H13" i="11" s="1"/>
  <c r="R10" i="15"/>
  <c r="T10" i="15" s="1"/>
  <c r="R11" i="15"/>
  <c r="T11" i="15" s="1"/>
  <c r="R12" i="15"/>
  <c r="T12" i="15" s="1"/>
  <c r="R13" i="15"/>
  <c r="T13" i="15" s="1"/>
  <c r="P25" i="15"/>
  <c r="R25" i="15" s="1"/>
  <c r="R17" i="15"/>
  <c r="S17" i="15" s="1"/>
  <c r="R18" i="15"/>
  <c r="S18" i="15" s="1"/>
  <c r="S31" i="15" s="1"/>
  <c r="R19" i="15"/>
  <c r="S19" i="15" s="1"/>
  <c r="R21" i="15"/>
  <c r="S21" i="15" s="1"/>
  <c r="R22" i="15"/>
  <c r="S22" i="15" s="1"/>
  <c r="R23" i="15"/>
  <c r="S23" i="15" s="1"/>
  <c r="J56" i="15"/>
  <c r="J65" i="15"/>
  <c r="J74" i="15"/>
  <c r="J83" i="15"/>
  <c r="D17" i="17"/>
  <c r="D18" i="17" s="1"/>
  <c r="Q41" i="18"/>
  <c r="I29" i="21"/>
  <c r="C25" i="21"/>
  <c r="C37" i="21" s="1"/>
  <c r="F63" i="21"/>
  <c r="J19" i="21" s="1"/>
  <c r="H7" i="23"/>
  <c r="C41" i="23"/>
  <c r="D39" i="23"/>
  <c r="D41" i="23" s="1"/>
  <c r="C61" i="23"/>
  <c r="D52" i="23"/>
  <c r="E52" i="23" s="1"/>
  <c r="D54" i="23"/>
  <c r="D56" i="23"/>
  <c r="C39" i="22"/>
  <c r="E16" i="23"/>
  <c r="N22" i="23"/>
  <c r="C36" i="23"/>
  <c r="N66" i="23"/>
  <c r="F71" i="22"/>
  <c r="J19" i="22" s="1"/>
  <c r="L19" i="22" s="1"/>
  <c r="E32" i="23"/>
  <c r="D36" i="23"/>
  <c r="H55" i="21"/>
  <c r="F52" i="23"/>
  <c r="N65" i="23"/>
  <c r="D25" i="22"/>
  <c r="D38" i="22" s="1"/>
  <c r="D15" i="23"/>
  <c r="N53" i="23"/>
  <c r="N55" i="23"/>
  <c r="N34" i="23"/>
  <c r="N45" i="23"/>
  <c r="N46" i="23"/>
  <c r="N47" i="23"/>
  <c r="N59" i="23"/>
  <c r="D61" i="23"/>
  <c r="E39" i="23"/>
  <c r="E64" i="23"/>
  <c r="D68" i="23"/>
  <c r="E68" i="23" s="1"/>
  <c r="F68" i="23" s="1"/>
  <c r="G68" i="23" s="1"/>
  <c r="H68" i="23" s="1"/>
  <c r="I68" i="23" s="1"/>
  <c r="J68" i="23" s="1"/>
  <c r="K68" i="23" s="1"/>
  <c r="L68" i="23" s="1"/>
  <c r="M68" i="23" s="1"/>
  <c r="C69" i="23"/>
  <c r="D77" i="23"/>
  <c r="D44" i="23"/>
  <c r="D81" i="22"/>
  <c r="K13" i="22" s="1"/>
  <c r="C73" i="21"/>
  <c r="I13" i="21" s="1"/>
  <c r="D81" i="3"/>
  <c r="K13" i="3" s="1"/>
  <c r="H64" i="22"/>
  <c r="AD29" i="22"/>
  <c r="AC29" i="22"/>
  <c r="J29" i="21"/>
  <c r="K29" i="22"/>
  <c r="C39" i="21"/>
  <c r="C25" i="22"/>
  <c r="D39" i="22"/>
  <c r="C81" i="22"/>
  <c r="G54" i="21"/>
  <c r="H54" i="21" s="1"/>
  <c r="H56" i="21" s="1"/>
  <c r="C41" i="21" s="1"/>
  <c r="G54" i="22"/>
  <c r="H54" i="22" s="1"/>
  <c r="H56" i="22" s="1"/>
  <c r="C41" i="22" s="1"/>
  <c r="G63" i="22"/>
  <c r="H63" i="22" s="1"/>
  <c r="C79" i="22"/>
  <c r="N20" i="9"/>
  <c r="F68" i="9"/>
  <c r="G68" i="9" s="1"/>
  <c r="H68" i="9" s="1"/>
  <c r="I68" i="9" s="1"/>
  <c r="J68" i="9" s="1"/>
  <c r="K68" i="9" s="1"/>
  <c r="L68" i="9" s="1"/>
  <c r="M68" i="9" s="1"/>
  <c r="E24" i="9"/>
  <c r="F24" i="9" s="1"/>
  <c r="G24" i="9" s="1"/>
  <c r="H24" i="9" s="1"/>
  <c r="I24" i="9" s="1"/>
  <c r="J24" i="9" s="1"/>
  <c r="K24" i="9" s="1"/>
  <c r="L24" i="9" s="1"/>
  <c r="M24" i="9" s="1"/>
  <c r="N24" i="9"/>
  <c r="F34" i="9"/>
  <c r="G34" i="9" s="1"/>
  <c r="H34" i="9" s="1"/>
  <c r="I34" i="9" s="1"/>
  <c r="J34" i="9" s="1"/>
  <c r="K34" i="9" s="1"/>
  <c r="L34" i="9" s="1"/>
  <c r="M34" i="9" s="1"/>
  <c r="H44" i="11"/>
  <c r="H53" i="11"/>
  <c r="H46" i="11"/>
  <c r="H42" i="11"/>
  <c r="H43" i="11" s="1"/>
  <c r="H45" i="11" s="1"/>
  <c r="H47" i="11" s="1"/>
  <c r="N47" i="9"/>
  <c r="N54" i="9"/>
  <c r="N56" i="9"/>
  <c r="H15" i="11"/>
  <c r="H7" i="9"/>
  <c r="K7" i="9" s="1"/>
  <c r="N18" i="9"/>
  <c r="D22" i="9"/>
  <c r="E22" i="9" s="1"/>
  <c r="F22" i="9" s="1"/>
  <c r="G22" i="9" s="1"/>
  <c r="H22" i="9" s="1"/>
  <c r="I22" i="9" s="1"/>
  <c r="J22" i="9" s="1"/>
  <c r="K22" i="9" s="1"/>
  <c r="L22" i="9" s="1"/>
  <c r="M22" i="9" s="1"/>
  <c r="N26" i="9"/>
  <c r="C41" i="9"/>
  <c r="F44" i="9"/>
  <c r="N46" i="9"/>
  <c r="N65" i="9"/>
  <c r="G63" i="3"/>
  <c r="H63" i="3" s="1"/>
  <c r="D32" i="9"/>
  <c r="D39" i="9"/>
  <c r="N53" i="9"/>
  <c r="N55" i="9"/>
  <c r="C69" i="9"/>
  <c r="D64" i="9"/>
  <c r="D80" i="9"/>
  <c r="E77" i="9"/>
  <c r="H40" i="12"/>
  <c r="B8" i="13"/>
  <c r="E5" i="13"/>
  <c r="E52" i="9"/>
  <c r="D61" i="9"/>
  <c r="N59" i="9"/>
  <c r="H16" i="12"/>
  <c r="H12" i="12"/>
  <c r="H13" i="12" s="1"/>
  <c r="H20" i="12"/>
  <c r="H21" i="12" s="1"/>
  <c r="H14" i="12"/>
  <c r="B13" i="14"/>
  <c r="D11" i="14"/>
  <c r="E11" i="14" s="1"/>
  <c r="F10" i="14"/>
  <c r="R28" i="14"/>
  <c r="R29" i="14" s="1"/>
  <c r="R26" i="14"/>
  <c r="S32" i="15"/>
  <c r="J85" i="15"/>
  <c r="T29" i="15" s="1"/>
  <c r="H42" i="15" s="1"/>
  <c r="D27" i="17"/>
  <c r="K31" i="18"/>
  <c r="D20" i="20"/>
  <c r="D22" i="20"/>
  <c r="C22" i="20" s="1"/>
  <c r="C23" i="20" s="1"/>
  <c r="C16" i="20"/>
  <c r="C17" i="20" s="1"/>
  <c r="R8" i="15"/>
  <c r="T8" i="15" s="1"/>
  <c r="H21" i="18"/>
  <c r="M21" i="18" s="1"/>
  <c r="E31" i="18" s="1"/>
  <c r="C73" i="2"/>
  <c r="I13" i="2" s="1"/>
  <c r="H55" i="2"/>
  <c r="E64" i="3"/>
  <c r="G64" i="3" s="1"/>
  <c r="H64" i="3" s="1"/>
  <c r="F63" i="2"/>
  <c r="J19" i="2" s="1"/>
  <c r="D25" i="3"/>
  <c r="D27" i="3" s="1"/>
  <c r="D31" i="3" s="1"/>
  <c r="D77" i="3" s="1"/>
  <c r="H55" i="3"/>
  <c r="F71" i="3"/>
  <c r="J19" i="3" s="1"/>
  <c r="L19" i="3" s="1"/>
  <c r="F14" i="7"/>
  <c r="G13" i="7"/>
  <c r="AD29" i="3"/>
  <c r="AC29" i="3"/>
  <c r="C71" i="2"/>
  <c r="C72" i="2" s="1"/>
  <c r="K29" i="3"/>
  <c r="C80" i="3"/>
  <c r="D39" i="3"/>
  <c r="C81" i="3"/>
  <c r="G54" i="2"/>
  <c r="H54" i="2" s="1"/>
  <c r="G54" i="3"/>
  <c r="H54" i="3" s="1"/>
  <c r="H56" i="3" s="1"/>
  <c r="C41" i="3" s="1"/>
  <c r="C79" i="3"/>
  <c r="C27" i="2" l="1"/>
  <c r="C31" i="2" s="1"/>
  <c r="C68" i="2" s="1"/>
  <c r="C37" i="2"/>
  <c r="H26" i="25"/>
  <c r="J49" i="25"/>
  <c r="I60" i="25"/>
  <c r="I71" i="25" s="1"/>
  <c r="K71" i="25"/>
  <c r="L68" i="25"/>
  <c r="K49" i="25"/>
  <c r="K43" i="25"/>
  <c r="K52" i="25" s="1"/>
  <c r="I45" i="25"/>
  <c r="I49" i="25" s="1"/>
  <c r="C27" i="21"/>
  <c r="C31" i="21" s="1"/>
  <c r="I5" i="21" s="1"/>
  <c r="J5" i="21" s="1"/>
  <c r="C38" i="21"/>
  <c r="D37" i="22"/>
  <c r="D37" i="3"/>
  <c r="D38" i="3"/>
  <c r="C76" i="3"/>
  <c r="C83" i="3" s="1"/>
  <c r="C77" i="3"/>
  <c r="C38" i="3"/>
  <c r="D27" i="22"/>
  <c r="D31" i="22" s="1"/>
  <c r="D76" i="22" s="1"/>
  <c r="H56" i="2"/>
  <c r="C41" i="2" s="1"/>
  <c r="C37" i="3"/>
  <c r="L69" i="25"/>
  <c r="I41" i="25"/>
  <c r="I43" i="25" s="1"/>
  <c r="C38" i="2"/>
  <c r="P27" i="15"/>
  <c r="Q25" i="15" s="1"/>
  <c r="T31" i="15"/>
  <c r="T32" i="15" s="1"/>
  <c r="R14" i="15"/>
  <c r="K11" i="24"/>
  <c r="D23" i="20"/>
  <c r="R27" i="15"/>
  <c r="C43" i="21"/>
  <c r="C45" i="21" s="1"/>
  <c r="C82" i="23"/>
  <c r="F16" i="23"/>
  <c r="G16" i="23" s="1"/>
  <c r="H16" i="23" s="1"/>
  <c r="I16" i="23" s="1"/>
  <c r="J16" i="23" s="1"/>
  <c r="K16" i="23" s="1"/>
  <c r="L16" i="23" s="1"/>
  <c r="M16" i="23" s="1"/>
  <c r="N16" i="23"/>
  <c r="E56" i="23"/>
  <c r="F56" i="23" s="1"/>
  <c r="G56" i="23" s="1"/>
  <c r="H56" i="23" s="1"/>
  <c r="I56" i="23" s="1"/>
  <c r="J56" i="23" s="1"/>
  <c r="K56" i="23" s="1"/>
  <c r="L56" i="23" s="1"/>
  <c r="M56" i="23" s="1"/>
  <c r="N56" i="23"/>
  <c r="E54" i="23"/>
  <c r="K7" i="23"/>
  <c r="N7" i="23"/>
  <c r="H66" i="9"/>
  <c r="I66" i="9" s="1"/>
  <c r="J66" i="9" s="1"/>
  <c r="K66" i="9" s="1"/>
  <c r="L66" i="9" s="1"/>
  <c r="M66" i="9" s="1"/>
  <c r="N66" i="9"/>
  <c r="C49" i="9"/>
  <c r="D45" i="9"/>
  <c r="E69" i="23"/>
  <c r="F64" i="23"/>
  <c r="I14" i="21"/>
  <c r="E77" i="23"/>
  <c r="D80" i="23"/>
  <c r="E41" i="23"/>
  <c r="F39" i="23"/>
  <c r="N68" i="23"/>
  <c r="D69" i="23"/>
  <c r="F32" i="23"/>
  <c r="E36" i="23"/>
  <c r="E44" i="23"/>
  <c r="D49" i="23"/>
  <c r="D27" i="23"/>
  <c r="D82" i="23" s="1"/>
  <c r="E15" i="23"/>
  <c r="G52" i="23"/>
  <c r="H65" i="22"/>
  <c r="D41" i="22" s="1"/>
  <c r="D43" i="22" s="1"/>
  <c r="C68" i="21"/>
  <c r="C38" i="22"/>
  <c r="C27" i="22"/>
  <c r="C31" i="22" s="1"/>
  <c r="C37" i="22"/>
  <c r="C69" i="21"/>
  <c r="I14" i="22"/>
  <c r="I13" i="22"/>
  <c r="L29" i="22"/>
  <c r="D12" i="14"/>
  <c r="E12" i="14"/>
  <c r="F11" i="14"/>
  <c r="V32" i="15"/>
  <c r="H43" i="15" s="1"/>
  <c r="E3" i="13"/>
  <c r="K3" i="13"/>
  <c r="N22" i="9"/>
  <c r="N34" i="9"/>
  <c r="E80" i="9"/>
  <c r="F77" i="9"/>
  <c r="G44" i="9"/>
  <c r="I14" i="2"/>
  <c r="H28" i="12"/>
  <c r="H29" i="12" s="1"/>
  <c r="H32" i="12" s="1"/>
  <c r="H34" i="12" s="1"/>
  <c r="E32" i="9"/>
  <c r="D36" i="9"/>
  <c r="H51" i="11"/>
  <c r="H17" i="11"/>
  <c r="H52" i="11" s="1"/>
  <c r="N7" i="9"/>
  <c r="N68" i="9"/>
  <c r="H65" i="3"/>
  <c r="D41" i="3" s="1"/>
  <c r="D43" i="3" s="1"/>
  <c r="D45" i="3" s="1"/>
  <c r="O31" i="18"/>
  <c r="B14" i="14"/>
  <c r="H15" i="12"/>
  <c r="H17" i="12" s="1"/>
  <c r="E61" i="9"/>
  <c r="F52" i="9"/>
  <c r="E64" i="9"/>
  <c r="D69" i="9"/>
  <c r="D41" i="9"/>
  <c r="E39" i="9"/>
  <c r="G14" i="7"/>
  <c r="H13" i="7"/>
  <c r="H14" i="7" s="1"/>
  <c r="AB41" i="3"/>
  <c r="K6" i="3"/>
  <c r="L6" i="3" s="1"/>
  <c r="K5" i="3"/>
  <c r="L5" i="3" s="1"/>
  <c r="I14" i="3"/>
  <c r="I13" i="3"/>
  <c r="D76" i="3"/>
  <c r="L29" i="3"/>
  <c r="E22" i="13" l="1"/>
  <c r="E21" i="13"/>
  <c r="C43" i="2"/>
  <c r="C45" i="2" s="1"/>
  <c r="I8" i="2" s="1"/>
  <c r="J8" i="2" s="1"/>
  <c r="I52" i="25"/>
  <c r="I73" i="25" s="1"/>
  <c r="L66" i="25"/>
  <c r="L71" i="25" s="1"/>
  <c r="L73" i="25" s="1"/>
  <c r="J43" i="25"/>
  <c r="K73" i="25"/>
  <c r="C43" i="3"/>
  <c r="C45" i="3" s="1"/>
  <c r="C78" i="3"/>
  <c r="C82" i="3" s="1"/>
  <c r="C84" i="3" s="1"/>
  <c r="J14" i="3" s="1"/>
  <c r="C69" i="2"/>
  <c r="I5" i="2"/>
  <c r="J5" i="2" s="1"/>
  <c r="D45" i="22"/>
  <c r="AB29" i="22" s="1"/>
  <c r="K7" i="22" s="1"/>
  <c r="L7" i="22" s="1"/>
  <c r="I5" i="3"/>
  <c r="J5" i="3" s="1"/>
  <c r="D77" i="22"/>
  <c r="AB41" i="22" s="1"/>
  <c r="Q17" i="15"/>
  <c r="Q8" i="15"/>
  <c r="Q23" i="15"/>
  <c r="Q20" i="15"/>
  <c r="Q13" i="15"/>
  <c r="Q12" i="15"/>
  <c r="Q19" i="15"/>
  <c r="H41" i="15"/>
  <c r="H44" i="15" s="1"/>
  <c r="Q22" i="15"/>
  <c r="Q9" i="15"/>
  <c r="Q27" i="15"/>
  <c r="Q18" i="15"/>
  <c r="Q14" i="15"/>
  <c r="Q21" i="15"/>
  <c r="Q11" i="15"/>
  <c r="Q10" i="15"/>
  <c r="E45" i="9"/>
  <c r="D49" i="9"/>
  <c r="F54" i="23"/>
  <c r="E61" i="23"/>
  <c r="G64" i="23"/>
  <c r="F69" i="23"/>
  <c r="H52" i="23"/>
  <c r="F36" i="23"/>
  <c r="G32" i="23"/>
  <c r="G39" i="23"/>
  <c r="F41" i="23"/>
  <c r="F77" i="23"/>
  <c r="E80" i="23"/>
  <c r="F15" i="23"/>
  <c r="E27" i="23"/>
  <c r="E49" i="23"/>
  <c r="F44" i="23"/>
  <c r="C76" i="22"/>
  <c r="C77" i="22"/>
  <c r="C43" i="22"/>
  <c r="C45" i="22" s="1"/>
  <c r="I9" i="21"/>
  <c r="J9" i="21" s="1"/>
  <c r="I8" i="21"/>
  <c r="J8" i="21" s="1"/>
  <c r="I7" i="21"/>
  <c r="J7" i="21" s="1"/>
  <c r="D83" i="22"/>
  <c r="L13" i="22" s="1"/>
  <c r="D82" i="22"/>
  <c r="K6" i="22"/>
  <c r="L6" i="22" s="1"/>
  <c r="K5" i="22"/>
  <c r="L5" i="22" s="1"/>
  <c r="C70" i="21"/>
  <c r="C75" i="21"/>
  <c r="J13" i="21" s="1"/>
  <c r="E36" i="9"/>
  <c r="F32" i="9"/>
  <c r="G77" i="9"/>
  <c r="F80" i="9"/>
  <c r="F39" i="9"/>
  <c r="E41" i="9"/>
  <c r="F64" i="9"/>
  <c r="E69" i="9"/>
  <c r="H44" i="12"/>
  <c r="H42" i="12"/>
  <c r="H43" i="12" s="1"/>
  <c r="H46" i="12"/>
  <c r="F61" i="9"/>
  <c r="G52" i="9"/>
  <c r="H53" i="12"/>
  <c r="E16" i="13"/>
  <c r="E31" i="13" s="1"/>
  <c r="E32" i="13" s="1"/>
  <c r="H3" i="13"/>
  <c r="B6" i="13"/>
  <c r="B9" i="13" s="1"/>
  <c r="E6" i="13" s="1"/>
  <c r="E7" i="13" s="1"/>
  <c r="D13" i="14"/>
  <c r="E13" i="14" s="1"/>
  <c r="F12" i="14"/>
  <c r="B15" i="14"/>
  <c r="H44" i="9"/>
  <c r="C70" i="2"/>
  <c r="C75" i="2"/>
  <c r="J13" i="2" s="1"/>
  <c r="AB29" i="3"/>
  <c r="K7" i="3" s="1"/>
  <c r="L7" i="3" s="1"/>
  <c r="AB44" i="3"/>
  <c r="AB45" i="3"/>
  <c r="AB43" i="3"/>
  <c r="D83" i="3"/>
  <c r="L13" i="3" s="1"/>
  <c r="D82" i="3"/>
  <c r="I6" i="3"/>
  <c r="J6" i="3" s="1"/>
  <c r="J13" i="3"/>
  <c r="K333" i="13" l="1"/>
  <c r="K343" i="13"/>
  <c r="K353" i="13"/>
  <c r="K363" i="13"/>
  <c r="K252" i="13"/>
  <c r="K262" i="13"/>
  <c r="K272" i="13"/>
  <c r="K282" i="13"/>
  <c r="K292" i="13"/>
  <c r="K302" i="13"/>
  <c r="K312" i="13"/>
  <c r="K322" i="13"/>
  <c r="K124" i="13"/>
  <c r="K131" i="13"/>
  <c r="K141" i="13"/>
  <c r="K151" i="13"/>
  <c r="K161" i="13"/>
  <c r="K171" i="13"/>
  <c r="K181" i="13"/>
  <c r="K191" i="13"/>
  <c r="K201" i="13"/>
  <c r="K211" i="13"/>
  <c r="K221" i="13"/>
  <c r="K231" i="13"/>
  <c r="K241" i="13"/>
  <c r="K355" i="13"/>
  <c r="K247" i="13"/>
  <c r="K264" i="13"/>
  <c r="K284" i="13"/>
  <c r="K304" i="13"/>
  <c r="K324" i="13"/>
  <c r="K133" i="13"/>
  <c r="K153" i="13"/>
  <c r="K173" i="13"/>
  <c r="K193" i="13"/>
  <c r="K213" i="13"/>
  <c r="K233" i="13"/>
  <c r="K346" i="13"/>
  <c r="K275" i="13"/>
  <c r="K295" i="13"/>
  <c r="K325" i="13"/>
  <c r="K144" i="13"/>
  <c r="K174" i="13"/>
  <c r="K204" i="13"/>
  <c r="K234" i="13"/>
  <c r="K357" i="13"/>
  <c r="K276" i="13"/>
  <c r="K306" i="13"/>
  <c r="K125" i="13"/>
  <c r="K155" i="13"/>
  <c r="K175" i="13"/>
  <c r="K215" i="13"/>
  <c r="K245" i="13"/>
  <c r="K166" i="13"/>
  <c r="K206" i="13"/>
  <c r="K236" i="13"/>
  <c r="K339" i="13"/>
  <c r="K359" i="13"/>
  <c r="K268" i="13"/>
  <c r="K298" i="13"/>
  <c r="K328" i="13"/>
  <c r="K147" i="13"/>
  <c r="K207" i="13"/>
  <c r="K249" i="13"/>
  <c r="K309" i="13"/>
  <c r="K128" i="13"/>
  <c r="K178" i="13"/>
  <c r="K238" i="13"/>
  <c r="K334" i="13"/>
  <c r="K344" i="13"/>
  <c r="K354" i="13"/>
  <c r="K253" i="13"/>
  <c r="K263" i="13"/>
  <c r="K273" i="13"/>
  <c r="K283" i="13"/>
  <c r="K293" i="13"/>
  <c r="K303" i="13"/>
  <c r="K313" i="13"/>
  <c r="K323" i="13"/>
  <c r="K132" i="13"/>
  <c r="K142" i="13"/>
  <c r="K152" i="13"/>
  <c r="K162" i="13"/>
  <c r="K172" i="13"/>
  <c r="K182" i="13"/>
  <c r="K192" i="13"/>
  <c r="K202" i="13"/>
  <c r="K212" i="13"/>
  <c r="K222" i="13"/>
  <c r="K232" i="13"/>
  <c r="K242" i="13"/>
  <c r="K345" i="13"/>
  <c r="K254" i="13"/>
  <c r="K274" i="13"/>
  <c r="K294" i="13"/>
  <c r="K314" i="13"/>
  <c r="K143" i="13"/>
  <c r="K163" i="13"/>
  <c r="K183" i="13"/>
  <c r="K203" i="13"/>
  <c r="K223" i="13"/>
  <c r="K243" i="13"/>
  <c r="K356" i="13"/>
  <c r="K255" i="13"/>
  <c r="K265" i="13"/>
  <c r="K285" i="13"/>
  <c r="K305" i="13"/>
  <c r="K134" i="13"/>
  <c r="K164" i="13"/>
  <c r="K194" i="13"/>
  <c r="K224" i="13"/>
  <c r="K347" i="13"/>
  <c r="K266" i="13"/>
  <c r="K296" i="13"/>
  <c r="K326" i="13"/>
  <c r="K145" i="13"/>
  <c r="K185" i="13"/>
  <c r="K225" i="13"/>
  <c r="K146" i="13"/>
  <c r="K186" i="13"/>
  <c r="K216" i="13"/>
  <c r="K246" i="13"/>
  <c r="K331" i="13"/>
  <c r="K258" i="13"/>
  <c r="K288" i="13"/>
  <c r="K318" i="13"/>
  <c r="K137" i="13"/>
  <c r="K167" i="13"/>
  <c r="K237" i="13"/>
  <c r="K360" i="13"/>
  <c r="K299" i="13"/>
  <c r="K329" i="13"/>
  <c r="K168" i="13"/>
  <c r="K335" i="13"/>
  <c r="K227" i="13"/>
  <c r="K279" i="13"/>
  <c r="K148" i="13"/>
  <c r="K228" i="13"/>
  <c r="K336" i="13"/>
  <c r="K315" i="13"/>
  <c r="K187" i="13"/>
  <c r="K259" i="13"/>
  <c r="K188" i="13"/>
  <c r="K337" i="13"/>
  <c r="K195" i="13"/>
  <c r="K177" i="13"/>
  <c r="K269" i="13"/>
  <c r="K138" i="13"/>
  <c r="K218" i="13"/>
  <c r="K338" i="13"/>
  <c r="K348" i="13"/>
  <c r="K358" i="13"/>
  <c r="K257" i="13"/>
  <c r="K267" i="13"/>
  <c r="K277" i="13"/>
  <c r="K287" i="13"/>
  <c r="K297" i="13"/>
  <c r="K307" i="13"/>
  <c r="K317" i="13"/>
  <c r="K327" i="13"/>
  <c r="K126" i="13"/>
  <c r="K136" i="13"/>
  <c r="K176" i="13"/>
  <c r="K197" i="13"/>
  <c r="K350" i="13"/>
  <c r="K198" i="13"/>
  <c r="K349" i="13"/>
  <c r="K341" i="13"/>
  <c r="K351" i="13"/>
  <c r="K361" i="13"/>
  <c r="K250" i="13"/>
  <c r="K260" i="13"/>
  <c r="K270" i="13"/>
  <c r="K280" i="13"/>
  <c r="K290" i="13"/>
  <c r="K300" i="13"/>
  <c r="K310" i="13"/>
  <c r="K320" i="13"/>
  <c r="K330" i="13"/>
  <c r="K129" i="13"/>
  <c r="K139" i="13"/>
  <c r="K149" i="13"/>
  <c r="K159" i="13"/>
  <c r="K169" i="13"/>
  <c r="K179" i="13"/>
  <c r="K189" i="13"/>
  <c r="K199" i="13"/>
  <c r="K209" i="13"/>
  <c r="K219" i="13"/>
  <c r="K229" i="13"/>
  <c r="K239" i="13"/>
  <c r="K332" i="13"/>
  <c r="K342" i="13"/>
  <c r="K352" i="13"/>
  <c r="K362" i="13"/>
  <c r="K251" i="13"/>
  <c r="K261" i="13"/>
  <c r="K271" i="13"/>
  <c r="K281" i="13"/>
  <c r="K291" i="13"/>
  <c r="K301" i="13"/>
  <c r="K311" i="13"/>
  <c r="K321" i="13"/>
  <c r="K130" i="13"/>
  <c r="K140" i="13"/>
  <c r="K150" i="13"/>
  <c r="K160" i="13"/>
  <c r="K170" i="13"/>
  <c r="K180" i="13"/>
  <c r="K190" i="13"/>
  <c r="K200" i="13"/>
  <c r="K210" i="13"/>
  <c r="K220" i="13"/>
  <c r="K230" i="13"/>
  <c r="K240" i="13"/>
  <c r="K154" i="13"/>
  <c r="K184" i="13"/>
  <c r="K214" i="13"/>
  <c r="K244" i="13"/>
  <c r="K256" i="13"/>
  <c r="K286" i="13"/>
  <c r="K316" i="13"/>
  <c r="K135" i="13"/>
  <c r="K165" i="13"/>
  <c r="K205" i="13"/>
  <c r="K235" i="13"/>
  <c r="K156" i="13"/>
  <c r="K196" i="13"/>
  <c r="K226" i="13"/>
  <c r="K248" i="13"/>
  <c r="K278" i="13"/>
  <c r="K308" i="13"/>
  <c r="K127" i="13"/>
  <c r="K157" i="13"/>
  <c r="K217" i="13"/>
  <c r="K340" i="13"/>
  <c r="K289" i="13"/>
  <c r="K319" i="13"/>
  <c r="K158" i="13"/>
  <c r="K208" i="13"/>
  <c r="I7" i="2"/>
  <c r="J7" i="2" s="1"/>
  <c r="AB43" i="22"/>
  <c r="I9" i="2"/>
  <c r="J9" i="2" s="1"/>
  <c r="J52" i="25"/>
  <c r="J73" i="25" s="1"/>
  <c r="AB45" i="22"/>
  <c r="I9" i="22" s="1"/>
  <c r="J9" i="22" s="1"/>
  <c r="K8" i="22"/>
  <c r="L8" i="22" s="1"/>
  <c r="AB44" i="22"/>
  <c r="I8" i="22" s="1"/>
  <c r="J8" i="22" s="1"/>
  <c r="K9" i="22"/>
  <c r="L9" i="22" s="1"/>
  <c r="L10" i="22" s="1"/>
  <c r="L15" i="22" s="1"/>
  <c r="L18" i="22" s="1"/>
  <c r="L23" i="22" s="1"/>
  <c r="K30" i="22" s="1"/>
  <c r="G54" i="23"/>
  <c r="F61" i="23"/>
  <c r="F45" i="9"/>
  <c r="E49" i="9"/>
  <c r="G36" i="23"/>
  <c r="H32" i="23"/>
  <c r="G15" i="23"/>
  <c r="F27" i="23"/>
  <c r="F49" i="23"/>
  <c r="G44" i="23"/>
  <c r="E82" i="23"/>
  <c r="F80" i="23"/>
  <c r="G77" i="23"/>
  <c r="G41" i="23"/>
  <c r="H39" i="23"/>
  <c r="I52" i="23"/>
  <c r="G69" i="23"/>
  <c r="H64" i="23"/>
  <c r="I7" i="22"/>
  <c r="J7" i="22" s="1"/>
  <c r="I5" i="22"/>
  <c r="J5" i="22" s="1"/>
  <c r="C83" i="22"/>
  <c r="J13" i="22" s="1"/>
  <c r="C78" i="22"/>
  <c r="C74" i="21"/>
  <c r="C76" i="21" s="1"/>
  <c r="J14" i="21" s="1"/>
  <c r="I6" i="21"/>
  <c r="J6" i="21" s="1"/>
  <c r="J10" i="21" s="1"/>
  <c r="D14" i="14"/>
  <c r="E14" i="14" s="1"/>
  <c r="F13" i="14"/>
  <c r="L4" i="13"/>
  <c r="I4" i="13"/>
  <c r="K16" i="13"/>
  <c r="K8" i="13"/>
  <c r="K5" i="13"/>
  <c r="K7" i="13"/>
  <c r="K4" i="13"/>
  <c r="K30" i="13"/>
  <c r="K29" i="13"/>
  <c r="K28" i="13"/>
  <c r="K23" i="13"/>
  <c r="K22" i="13"/>
  <c r="K17" i="13"/>
  <c r="E17" i="13"/>
  <c r="K10" i="13"/>
  <c r="K9" i="13"/>
  <c r="K32" i="13"/>
  <c r="K12" i="13"/>
  <c r="K24" i="13"/>
  <c r="K6" i="13"/>
  <c r="K31" i="13"/>
  <c r="K18" i="13"/>
  <c r="K13" i="13"/>
  <c r="K11" i="13"/>
  <c r="K123" i="13"/>
  <c r="K119" i="13"/>
  <c r="K115" i="13"/>
  <c r="K111" i="13"/>
  <c r="K107" i="13"/>
  <c r="K103" i="13"/>
  <c r="K99" i="13"/>
  <c r="K95" i="13"/>
  <c r="K91" i="13"/>
  <c r="K87" i="13"/>
  <c r="K83" i="13"/>
  <c r="K79" i="13"/>
  <c r="K75" i="13"/>
  <c r="K71" i="13"/>
  <c r="K67" i="13"/>
  <c r="K63" i="13"/>
  <c r="K59" i="13"/>
  <c r="K55" i="13"/>
  <c r="K51" i="13"/>
  <c r="K47" i="13"/>
  <c r="K43" i="13"/>
  <c r="K39" i="13"/>
  <c r="K35" i="13"/>
  <c r="K20" i="13"/>
  <c r="K122" i="13"/>
  <c r="K118" i="13"/>
  <c r="K114" i="13"/>
  <c r="K110" i="13"/>
  <c r="K106" i="13"/>
  <c r="K102" i="13"/>
  <c r="K98" i="13"/>
  <c r="K94" i="13"/>
  <c r="K90" i="13"/>
  <c r="K86" i="13"/>
  <c r="K82" i="13"/>
  <c r="K78" i="13"/>
  <c r="K74" i="13"/>
  <c r="K70" i="13"/>
  <c r="K66" i="13"/>
  <c r="K62" i="13"/>
  <c r="K58" i="13"/>
  <c r="K54" i="13"/>
  <c r="K50" i="13"/>
  <c r="K46" i="13"/>
  <c r="K42" i="13"/>
  <c r="K38" i="13"/>
  <c r="K14" i="13"/>
  <c r="K25" i="13"/>
  <c r="K21" i="13"/>
  <c r="K121" i="13"/>
  <c r="K117" i="13"/>
  <c r="K113" i="13"/>
  <c r="K109" i="13"/>
  <c r="K105" i="13"/>
  <c r="K101" i="13"/>
  <c r="K97" i="13"/>
  <c r="K93" i="13"/>
  <c r="K89" i="13"/>
  <c r="K85" i="13"/>
  <c r="K81" i="13"/>
  <c r="K77" i="13"/>
  <c r="K73" i="13"/>
  <c r="K69" i="13"/>
  <c r="K65" i="13"/>
  <c r="K61" i="13"/>
  <c r="K57" i="13"/>
  <c r="K53" i="13"/>
  <c r="K49" i="13"/>
  <c r="K45" i="13"/>
  <c r="K41" i="13"/>
  <c r="K37" i="13"/>
  <c r="K15" i="13"/>
  <c r="K26" i="13"/>
  <c r="K27" i="13"/>
  <c r="K120" i="13"/>
  <c r="K116" i="13"/>
  <c r="K112" i="13"/>
  <c r="K108" i="13"/>
  <c r="K104" i="13"/>
  <c r="K100" i="13"/>
  <c r="K96" i="13"/>
  <c r="K92" i="13"/>
  <c r="K88" i="13"/>
  <c r="K84" i="13"/>
  <c r="K80" i="13"/>
  <c r="K76" i="13"/>
  <c r="K72" i="13"/>
  <c r="K68" i="13"/>
  <c r="K64" i="13"/>
  <c r="K60" i="13"/>
  <c r="K56" i="13"/>
  <c r="K52" i="13"/>
  <c r="K48" i="13"/>
  <c r="K44" i="13"/>
  <c r="K40" i="13"/>
  <c r="K36" i="13"/>
  <c r="K19" i="13"/>
  <c r="K33" i="13"/>
  <c r="K34" i="13"/>
  <c r="F69" i="9"/>
  <c r="G64" i="9"/>
  <c r="F36" i="9"/>
  <c r="G32" i="9"/>
  <c r="B16" i="14"/>
  <c r="V3" i="13"/>
  <c r="S3" i="13"/>
  <c r="H45" i="12"/>
  <c r="I44" i="9"/>
  <c r="H52" i="9"/>
  <c r="G61" i="9"/>
  <c r="G39" i="9"/>
  <c r="F41" i="9"/>
  <c r="H77" i="9"/>
  <c r="G80" i="9"/>
  <c r="K8" i="3"/>
  <c r="L8" i="3" s="1"/>
  <c r="I9" i="3"/>
  <c r="J9" i="3" s="1"/>
  <c r="I7" i="3"/>
  <c r="J7" i="3" s="1"/>
  <c r="I8" i="3"/>
  <c r="J8" i="3" s="1"/>
  <c r="C74" i="2"/>
  <c r="C76" i="2" s="1"/>
  <c r="J14" i="2" s="1"/>
  <c r="I6" i="2"/>
  <c r="J6" i="2" s="1"/>
  <c r="K9" i="3"/>
  <c r="L9" i="3" s="1"/>
  <c r="L10" i="3" l="1"/>
  <c r="L15" i="3" s="1"/>
  <c r="L18" i="3" s="1"/>
  <c r="L23" i="3" s="1"/>
  <c r="K30" i="3" s="1"/>
  <c r="L30" i="3" s="1"/>
  <c r="J10" i="2"/>
  <c r="J15" i="2" s="1"/>
  <c r="J18" i="2" s="1"/>
  <c r="J23" i="2" s="1"/>
  <c r="G45" i="9"/>
  <c r="F49" i="9"/>
  <c r="H54" i="23"/>
  <c r="G61" i="23"/>
  <c r="J52" i="23"/>
  <c r="G80" i="23"/>
  <c r="H77" i="23"/>
  <c r="H41" i="23"/>
  <c r="I39" i="23"/>
  <c r="F82" i="23"/>
  <c r="H69" i="23"/>
  <c r="I64" i="23"/>
  <c r="G49" i="23"/>
  <c r="H44" i="23"/>
  <c r="G27" i="23"/>
  <c r="G82" i="23" s="1"/>
  <c r="H15" i="23"/>
  <c r="I32" i="23"/>
  <c r="H36" i="23"/>
  <c r="C82" i="22"/>
  <c r="C84" i="22" s="1"/>
  <c r="J14" i="22" s="1"/>
  <c r="I6" i="22"/>
  <c r="J6" i="22" s="1"/>
  <c r="J10" i="22" s="1"/>
  <c r="J15" i="21"/>
  <c r="J18" i="21" s="1"/>
  <c r="J23" i="21" s="1"/>
  <c r="I30" i="21" s="1"/>
  <c r="L30" i="22"/>
  <c r="K31" i="22"/>
  <c r="L31" i="22" s="1"/>
  <c r="B5" i="9" s="1"/>
  <c r="D15" i="14"/>
  <c r="E15" i="14" s="1"/>
  <c r="F14" i="14"/>
  <c r="H80" i="9"/>
  <c r="I77" i="9"/>
  <c r="I52" i="9"/>
  <c r="H61" i="9"/>
  <c r="H47" i="12"/>
  <c r="H52" i="12" s="1"/>
  <c r="H51" i="12"/>
  <c r="S4" i="13"/>
  <c r="J4" i="13"/>
  <c r="H4" i="13" s="1"/>
  <c r="G69" i="9"/>
  <c r="H64" i="9"/>
  <c r="J10" i="3"/>
  <c r="J15" i="3" s="1"/>
  <c r="J18" i="3" s="1"/>
  <c r="J23" i="3" s="1"/>
  <c r="I30" i="3" s="1"/>
  <c r="I31" i="3" s="1"/>
  <c r="J31" i="3" s="1"/>
  <c r="G41" i="9"/>
  <c r="H39" i="9"/>
  <c r="J44" i="9"/>
  <c r="B17" i="14"/>
  <c r="H32" i="9"/>
  <c r="G36" i="9"/>
  <c r="K31" i="3" l="1"/>
  <c r="L31" i="3" s="1"/>
  <c r="B5" i="23" s="1"/>
  <c r="C5" i="23" s="1"/>
  <c r="D5" i="23" s="1"/>
  <c r="E5" i="23" s="1"/>
  <c r="F5" i="23" s="1"/>
  <c r="G5" i="23" s="1"/>
  <c r="H5" i="23" s="1"/>
  <c r="I5" i="23" s="1"/>
  <c r="J5" i="23" s="1"/>
  <c r="K5" i="23" s="1"/>
  <c r="L5" i="23" s="1"/>
  <c r="M5" i="23" s="1"/>
  <c r="I30" i="2"/>
  <c r="I31" i="2" s="1"/>
  <c r="J31" i="2" s="1"/>
  <c r="C4" i="23"/>
  <c r="I54" i="23"/>
  <c r="H61" i="23"/>
  <c r="H45" i="9"/>
  <c r="G49" i="9"/>
  <c r="C5" i="9"/>
  <c r="D5" i="9" s="1"/>
  <c r="E5" i="9" s="1"/>
  <c r="F5" i="9" s="1"/>
  <c r="G5" i="9" s="1"/>
  <c r="H5" i="9" s="1"/>
  <c r="I5" i="9" s="1"/>
  <c r="J5" i="9" s="1"/>
  <c r="K5" i="9" s="1"/>
  <c r="L5" i="9" s="1"/>
  <c r="M5" i="9" s="1"/>
  <c r="J32" i="23"/>
  <c r="I36" i="23"/>
  <c r="I44" i="23"/>
  <c r="H49" i="23"/>
  <c r="H27" i="23"/>
  <c r="I15" i="23"/>
  <c r="I77" i="23"/>
  <c r="H80" i="23"/>
  <c r="K52" i="23"/>
  <c r="I69" i="23"/>
  <c r="J64" i="23"/>
  <c r="I41" i="23"/>
  <c r="J39" i="23"/>
  <c r="J15" i="22"/>
  <c r="J18" i="22" s="1"/>
  <c r="J23" i="22" s="1"/>
  <c r="I30" i="22" s="1"/>
  <c r="J30" i="22" s="1"/>
  <c r="J30" i="3"/>
  <c r="J30" i="21"/>
  <c r="I31" i="21"/>
  <c r="J31" i="21" s="1"/>
  <c r="D16" i="14"/>
  <c r="E16" i="14" s="1"/>
  <c r="F15" i="14"/>
  <c r="I64" i="9"/>
  <c r="H69" i="9"/>
  <c r="L5" i="13"/>
  <c r="I5" i="13"/>
  <c r="J5" i="13" s="1"/>
  <c r="H5" i="13" s="1"/>
  <c r="B18" i="14"/>
  <c r="H41" i="9"/>
  <c r="I39" i="9"/>
  <c r="V4" i="13"/>
  <c r="T4" i="13"/>
  <c r="I61" i="9"/>
  <c r="J52" i="9"/>
  <c r="I80" i="9"/>
  <c r="J77" i="9"/>
  <c r="K44" i="9"/>
  <c r="H36" i="9"/>
  <c r="I32" i="9"/>
  <c r="B10" i="23" l="1"/>
  <c r="B86" i="23" s="1"/>
  <c r="B88" i="23" s="1"/>
  <c r="J30" i="2"/>
  <c r="N5" i="23"/>
  <c r="N5" i="9"/>
  <c r="H82" i="23"/>
  <c r="I45" i="9"/>
  <c r="H49" i="9"/>
  <c r="J54" i="23"/>
  <c r="I61" i="23"/>
  <c r="C10" i="23"/>
  <c r="C86" i="23" s="1"/>
  <c r="C88" i="23" s="1"/>
  <c r="D4" i="23"/>
  <c r="I31" i="22"/>
  <c r="J31" i="22" s="1"/>
  <c r="B4" i="9" s="1"/>
  <c r="B10" i="9" s="1"/>
  <c r="J77" i="23"/>
  <c r="I80" i="23"/>
  <c r="I27" i="23"/>
  <c r="J15" i="23"/>
  <c r="J36" i="23"/>
  <c r="K32" i="23"/>
  <c r="L52" i="23"/>
  <c r="K39" i="23"/>
  <c r="J41" i="23"/>
  <c r="K64" i="23"/>
  <c r="J69" i="23"/>
  <c r="I49" i="23"/>
  <c r="J44" i="23"/>
  <c r="I6" i="13"/>
  <c r="J6" i="13" s="1"/>
  <c r="H6" i="13" s="1"/>
  <c r="L6" i="13"/>
  <c r="D17" i="14"/>
  <c r="E17" i="14" s="1"/>
  <c r="F16" i="14"/>
  <c r="L44" i="9"/>
  <c r="B19" i="14"/>
  <c r="I36" i="9"/>
  <c r="J32" i="9"/>
  <c r="K77" i="9"/>
  <c r="J80" i="9"/>
  <c r="J39" i="9"/>
  <c r="I41" i="9"/>
  <c r="J64" i="9"/>
  <c r="I69" i="9"/>
  <c r="S5" i="13"/>
  <c r="J61" i="9"/>
  <c r="K52" i="9"/>
  <c r="S6" i="13" l="1"/>
  <c r="T6" i="13" s="1"/>
  <c r="D10" i="23"/>
  <c r="D86" i="23" s="1"/>
  <c r="D88" i="23" s="1"/>
  <c r="E4" i="23"/>
  <c r="K54" i="23"/>
  <c r="J61" i="23"/>
  <c r="J45" i="9"/>
  <c r="I49" i="9"/>
  <c r="C4" i="9"/>
  <c r="D4" i="9" s="1"/>
  <c r="K41" i="23"/>
  <c r="L39" i="23"/>
  <c r="K36" i="23"/>
  <c r="L32" i="23"/>
  <c r="J27" i="23"/>
  <c r="K15" i="23"/>
  <c r="J49" i="23"/>
  <c r="K44" i="23"/>
  <c r="I82" i="23"/>
  <c r="K69" i="23"/>
  <c r="L64" i="23"/>
  <c r="M52" i="23"/>
  <c r="J80" i="23"/>
  <c r="K77" i="23"/>
  <c r="D18" i="14"/>
  <c r="E18" i="14" s="1"/>
  <c r="F17" i="14"/>
  <c r="B20" i="14"/>
  <c r="L52" i="9"/>
  <c r="K61" i="9"/>
  <c r="J69" i="9"/>
  <c r="K64" i="9"/>
  <c r="L77" i="9"/>
  <c r="K80" i="9"/>
  <c r="M44" i="9"/>
  <c r="L7" i="13"/>
  <c r="I7" i="13"/>
  <c r="J7" i="13" s="1"/>
  <c r="H7" i="13" s="1"/>
  <c r="V5" i="13"/>
  <c r="T5" i="13"/>
  <c r="J36" i="9"/>
  <c r="K32" i="9"/>
  <c r="K39" i="9"/>
  <c r="J41" i="9"/>
  <c r="V6" i="13" l="1"/>
  <c r="C10" i="9"/>
  <c r="K45" i="9"/>
  <c r="J49" i="9"/>
  <c r="L54" i="23"/>
  <c r="K61" i="23"/>
  <c r="E10" i="23"/>
  <c r="E86" i="23" s="1"/>
  <c r="E88" i="23" s="1"/>
  <c r="F4" i="23"/>
  <c r="D10" i="9"/>
  <c r="E4" i="9"/>
  <c r="K80" i="23"/>
  <c r="L77" i="23"/>
  <c r="L69" i="23"/>
  <c r="M64" i="23"/>
  <c r="K49" i="23"/>
  <c r="L44" i="23"/>
  <c r="M32" i="23"/>
  <c r="L36" i="23"/>
  <c r="N52" i="23"/>
  <c r="K27" i="23"/>
  <c r="L15" i="23"/>
  <c r="L41" i="23"/>
  <c r="M39" i="23"/>
  <c r="J82" i="23"/>
  <c r="L8" i="13"/>
  <c r="I8" i="13"/>
  <c r="J8" i="13" s="1"/>
  <c r="H8" i="13" s="1"/>
  <c r="D19" i="14"/>
  <c r="E19" i="14" s="1"/>
  <c r="F18" i="14"/>
  <c r="L32" i="9"/>
  <c r="K36" i="9"/>
  <c r="B21" i="14"/>
  <c r="K41" i="9"/>
  <c r="L39" i="9"/>
  <c r="S7" i="13"/>
  <c r="L80" i="9"/>
  <c r="M77" i="9"/>
  <c r="N44" i="9"/>
  <c r="K69" i="9"/>
  <c r="L64" i="9"/>
  <c r="M52" i="9"/>
  <c r="L61" i="9"/>
  <c r="S8" i="13" l="1"/>
  <c r="F10" i="23"/>
  <c r="F86" i="23" s="1"/>
  <c r="F88" i="23" s="1"/>
  <c r="G4" i="23"/>
  <c r="M54" i="23"/>
  <c r="M61" i="23" s="1"/>
  <c r="N54" i="23"/>
  <c r="N61" i="23" s="1"/>
  <c r="L61" i="23"/>
  <c r="L45" i="9"/>
  <c r="K49" i="9"/>
  <c r="F4" i="9"/>
  <c r="E10" i="9"/>
  <c r="L27" i="23"/>
  <c r="M15" i="23"/>
  <c r="M36" i="23"/>
  <c r="N36" i="23" s="1"/>
  <c r="N32" i="23"/>
  <c r="M41" i="23"/>
  <c r="N41" i="23" s="1"/>
  <c r="N39" i="23"/>
  <c r="K82" i="23"/>
  <c r="M44" i="23"/>
  <c r="L49" i="23"/>
  <c r="M77" i="23"/>
  <c r="L80" i="23"/>
  <c r="M69" i="23"/>
  <c r="N64" i="23"/>
  <c r="N69" i="23" s="1"/>
  <c r="D20" i="14"/>
  <c r="E20" i="14" s="1"/>
  <c r="F19" i="14"/>
  <c r="I9" i="13"/>
  <c r="J9" i="13" s="1"/>
  <c r="H9" i="13" s="1"/>
  <c r="L9" i="13"/>
  <c r="M61" i="9"/>
  <c r="N52" i="9"/>
  <c r="N61" i="9" s="1"/>
  <c r="M32" i="9"/>
  <c r="L36" i="9"/>
  <c r="T7" i="13"/>
  <c r="B22" i="14"/>
  <c r="M64" i="9"/>
  <c r="L69" i="9"/>
  <c r="M80" i="9"/>
  <c r="N77" i="9"/>
  <c r="N80" i="9" s="1"/>
  <c r="L41" i="9"/>
  <c r="M39" i="9"/>
  <c r="V8" i="13"/>
  <c r="T8" i="13"/>
  <c r="S9" i="13" l="1"/>
  <c r="T9" i="13" s="1"/>
  <c r="L82" i="23"/>
  <c r="M45" i="9"/>
  <c r="M49" i="9" s="1"/>
  <c r="L49" i="9"/>
  <c r="N45" i="9"/>
  <c r="N49" i="9" s="1"/>
  <c r="G10" i="23"/>
  <c r="G86" i="23" s="1"/>
  <c r="G88" i="23" s="1"/>
  <c r="H4" i="23"/>
  <c r="F10" i="9"/>
  <c r="G4" i="9"/>
  <c r="M49" i="23"/>
  <c r="N44" i="23"/>
  <c r="N49" i="23" s="1"/>
  <c r="M80" i="23"/>
  <c r="N77" i="23"/>
  <c r="N80" i="23" s="1"/>
  <c r="M27" i="23"/>
  <c r="N15" i="23"/>
  <c r="N27" i="23" s="1"/>
  <c r="N82" i="23" s="1"/>
  <c r="I10" i="13"/>
  <c r="J10" i="13" s="1"/>
  <c r="H10" i="13" s="1"/>
  <c r="L10" i="13"/>
  <c r="D21" i="14"/>
  <c r="E21" i="14"/>
  <c r="F20" i="14"/>
  <c r="B23" i="14"/>
  <c r="V9" i="13"/>
  <c r="M69" i="9"/>
  <c r="N64" i="9"/>
  <c r="N69" i="9" s="1"/>
  <c r="M41" i="9"/>
  <c r="N41" i="9" s="1"/>
  <c r="N39" i="9"/>
  <c r="M36" i="9"/>
  <c r="N36" i="9" s="1"/>
  <c r="N32" i="9"/>
  <c r="S10" i="13" l="1"/>
  <c r="T10" i="13" s="1"/>
  <c r="H10" i="23"/>
  <c r="H86" i="23" s="1"/>
  <c r="H88" i="23" s="1"/>
  <c r="I4" i="23"/>
  <c r="G10" i="9"/>
  <c r="H4" i="9"/>
  <c r="M82" i="23"/>
  <c r="I11" i="13"/>
  <c r="J11" i="13" s="1"/>
  <c r="H11" i="13" s="1"/>
  <c r="L11" i="13"/>
  <c r="B24" i="14"/>
  <c r="D22" i="14"/>
  <c r="E22" i="14" s="1"/>
  <c r="F21" i="14"/>
  <c r="V10" i="13" l="1"/>
  <c r="S11" i="13"/>
  <c r="I10" i="23"/>
  <c r="J4" i="23"/>
  <c r="H10" i="9"/>
  <c r="I4" i="9"/>
  <c r="D23" i="14"/>
  <c r="E23" i="14" s="1"/>
  <c r="F22" i="14"/>
  <c r="I12" i="13"/>
  <c r="J12" i="13" s="1"/>
  <c r="H12" i="13" s="1"/>
  <c r="L12" i="13"/>
  <c r="B25" i="14"/>
  <c r="T11" i="13"/>
  <c r="V11" i="13"/>
  <c r="S12" i="13" l="1"/>
  <c r="V12" i="13" s="1"/>
  <c r="J10" i="23"/>
  <c r="J86" i="23" s="1"/>
  <c r="J88" i="23" s="1"/>
  <c r="K4" i="23"/>
  <c r="I86" i="23"/>
  <c r="I88" i="23" s="1"/>
  <c r="J4" i="9"/>
  <c r="I10" i="9"/>
  <c r="D24" i="14"/>
  <c r="E24" i="14"/>
  <c r="F23" i="14"/>
  <c r="B26" i="14"/>
  <c r="I13" i="13"/>
  <c r="J13" i="13" s="1"/>
  <c r="H13" i="13" s="1"/>
  <c r="L13" i="13"/>
  <c r="T12" i="13" l="1"/>
  <c r="S13" i="13"/>
  <c r="T13" i="13" s="1"/>
  <c r="K10" i="23"/>
  <c r="L4" i="23"/>
  <c r="K4" i="9"/>
  <c r="J10" i="9"/>
  <c r="L14" i="13"/>
  <c r="I14" i="13"/>
  <c r="J14" i="13" s="1"/>
  <c r="H14" i="13" s="1"/>
  <c r="V13" i="13"/>
  <c r="B27" i="14"/>
  <c r="D25" i="14"/>
  <c r="E25" i="14"/>
  <c r="F24" i="14"/>
  <c r="S14" i="13" l="1"/>
  <c r="L10" i="23"/>
  <c r="L86" i="23" s="1"/>
  <c r="L88" i="23" s="1"/>
  <c r="M4" i="23"/>
  <c r="K86" i="23"/>
  <c r="K88" i="23" s="1"/>
  <c r="L4" i="9"/>
  <c r="K10" i="9"/>
  <c r="L15" i="13"/>
  <c r="I15" i="13"/>
  <c r="J15" i="13" s="1"/>
  <c r="H15" i="13" s="1"/>
  <c r="D26" i="14"/>
  <c r="E26" i="14" s="1"/>
  <c r="F25" i="14"/>
  <c r="B28" i="14"/>
  <c r="V14" i="13"/>
  <c r="T14" i="13"/>
  <c r="E18" i="13"/>
  <c r="E19" i="13" l="1"/>
  <c r="E27" i="13" s="1"/>
  <c r="S15" i="13"/>
  <c r="M10" i="23"/>
  <c r="N4" i="23"/>
  <c r="L10" i="9"/>
  <c r="M4" i="9"/>
  <c r="M10" i="9" s="1"/>
  <c r="D27" i="14"/>
  <c r="E27" i="14" s="1"/>
  <c r="F26" i="14"/>
  <c r="L16" i="13"/>
  <c r="S16" i="13" s="1"/>
  <c r="I16" i="13"/>
  <c r="J16" i="13" s="1"/>
  <c r="H16" i="13" s="1"/>
  <c r="B29" i="14"/>
  <c r="V15" i="13"/>
  <c r="T15" i="13"/>
  <c r="E24" i="13"/>
  <c r="E28" i="13" l="1"/>
  <c r="E25" i="13"/>
  <c r="M86" i="23"/>
  <c r="M88" i="23" s="1"/>
  <c r="N10" i="23"/>
  <c r="N86" i="23" s="1"/>
  <c r="N87" i="23" s="1"/>
  <c r="N88" i="23" s="1"/>
  <c r="E4" i="10" s="1"/>
  <c r="N4" i="9"/>
  <c r="N10" i="9"/>
  <c r="I17" i="13"/>
  <c r="J17" i="13" s="1"/>
  <c r="H17" i="13" s="1"/>
  <c r="L17" i="13"/>
  <c r="S17" i="13" s="1"/>
  <c r="B30" i="14"/>
  <c r="V16" i="13"/>
  <c r="T16" i="13"/>
  <c r="D28" i="14"/>
  <c r="E28" i="14" s="1"/>
  <c r="F27" i="14"/>
  <c r="D29" i="14" l="1"/>
  <c r="E29" i="14" s="1"/>
  <c r="F28" i="14"/>
  <c r="T17" i="13"/>
  <c r="V17" i="13"/>
  <c r="B31" i="14"/>
  <c r="I18" i="13"/>
  <c r="J18" i="13" s="1"/>
  <c r="H18" i="13" s="1"/>
  <c r="L18" i="13"/>
  <c r="S18" i="13" s="1"/>
  <c r="L19" i="13" l="1"/>
  <c r="S19" i="13" s="1"/>
  <c r="I19" i="13"/>
  <c r="J19" i="13" s="1"/>
  <c r="H19" i="13" s="1"/>
  <c r="D30" i="14"/>
  <c r="E30" i="14"/>
  <c r="F29" i="14"/>
  <c r="B32" i="14"/>
  <c r="T18" i="13"/>
  <c r="V18" i="13"/>
  <c r="D31" i="14" l="1"/>
  <c r="E31" i="14" s="1"/>
  <c r="F30" i="14"/>
  <c r="B33" i="14"/>
  <c r="L20" i="13"/>
  <c r="S20" i="13" s="1"/>
  <c r="I20" i="13"/>
  <c r="J20" i="13" s="1"/>
  <c r="H20" i="13" s="1"/>
  <c r="V19" i="13"/>
  <c r="T19" i="13"/>
  <c r="L21" i="13" l="1"/>
  <c r="S21" i="13" s="1"/>
  <c r="I21" i="13"/>
  <c r="J21" i="13" s="1"/>
  <c r="H21" i="13" s="1"/>
  <c r="D32" i="14"/>
  <c r="E32" i="14" s="1"/>
  <c r="F31" i="14"/>
  <c r="B34" i="14"/>
  <c r="V20" i="13"/>
  <c r="T20" i="13"/>
  <c r="D33" i="14" l="1"/>
  <c r="E33" i="14" s="1"/>
  <c r="F32" i="14"/>
  <c r="I22" i="13"/>
  <c r="J22" i="13" s="1"/>
  <c r="H22" i="13" s="1"/>
  <c r="L22" i="13"/>
  <c r="S22" i="13" s="1"/>
  <c r="B35" i="14"/>
  <c r="V21" i="13"/>
  <c r="T21" i="13"/>
  <c r="I23" i="13" l="1"/>
  <c r="J23" i="13" s="1"/>
  <c r="H23" i="13" s="1"/>
  <c r="L23" i="13"/>
  <c r="S23" i="13" s="1"/>
  <c r="D34" i="14"/>
  <c r="E34" i="14" s="1"/>
  <c r="F33" i="14"/>
  <c r="B36" i="14"/>
  <c r="T22" i="13"/>
  <c r="V22" i="13"/>
  <c r="D35" i="14" l="1"/>
  <c r="E35" i="14"/>
  <c r="F34" i="14"/>
  <c r="I24" i="13"/>
  <c r="J24" i="13" s="1"/>
  <c r="H24" i="13" s="1"/>
  <c r="L24" i="13"/>
  <c r="S24" i="13" s="1"/>
  <c r="T23" i="13"/>
  <c r="V23" i="13"/>
  <c r="B37" i="14"/>
  <c r="L25" i="13" l="1"/>
  <c r="S25" i="13" s="1"/>
  <c r="I25" i="13"/>
  <c r="J25" i="13" s="1"/>
  <c r="H25" i="13" s="1"/>
  <c r="D36" i="14"/>
  <c r="E36" i="14" s="1"/>
  <c r="F35" i="14"/>
  <c r="B38" i="14"/>
  <c r="T24" i="13"/>
  <c r="V24" i="13"/>
  <c r="L26" i="13" l="1"/>
  <c r="S26" i="13" s="1"/>
  <c r="I26" i="13"/>
  <c r="J26" i="13" s="1"/>
  <c r="H26" i="13" s="1"/>
  <c r="D37" i="14"/>
  <c r="E37" i="14" s="1"/>
  <c r="F36" i="14"/>
  <c r="B39" i="14"/>
  <c r="V25" i="13"/>
  <c r="T25" i="13"/>
  <c r="D38" i="14" l="1"/>
  <c r="E38" i="14" s="1"/>
  <c r="F37" i="14"/>
  <c r="L27" i="13"/>
  <c r="S27" i="13" s="1"/>
  <c r="I27" i="13"/>
  <c r="J27" i="13" s="1"/>
  <c r="H27" i="13" s="1"/>
  <c r="B40" i="14"/>
  <c r="V26" i="13"/>
  <c r="T26" i="13"/>
  <c r="I28" i="13" l="1"/>
  <c r="J28" i="13" s="1"/>
  <c r="H28" i="13" s="1"/>
  <c r="L28" i="13"/>
  <c r="S28" i="13" s="1"/>
  <c r="D39" i="14"/>
  <c r="E39" i="14" s="1"/>
  <c r="F38" i="14"/>
  <c r="V27" i="13"/>
  <c r="T27" i="13"/>
  <c r="B41" i="14"/>
  <c r="D40" i="14" l="1"/>
  <c r="E40" i="14" s="1"/>
  <c r="F39" i="14"/>
  <c r="I29" i="13"/>
  <c r="J29" i="13" s="1"/>
  <c r="H29" i="13" s="1"/>
  <c r="L29" i="13"/>
  <c r="S29" i="13" s="1"/>
  <c r="T28" i="13"/>
  <c r="V28" i="13"/>
  <c r="B42" i="14"/>
  <c r="D41" i="14" l="1"/>
  <c r="E41" i="14" s="1"/>
  <c r="F40" i="14"/>
  <c r="B43" i="14"/>
  <c r="T29" i="13"/>
  <c r="V29" i="13"/>
  <c r="I30" i="13"/>
  <c r="J30" i="13" s="1"/>
  <c r="H30" i="13" s="1"/>
  <c r="L30" i="13"/>
  <c r="S30" i="13" s="1"/>
  <c r="I31" i="13" l="1"/>
  <c r="J31" i="13" s="1"/>
  <c r="H31" i="13" s="1"/>
  <c r="L31" i="13"/>
  <c r="S31" i="13" s="1"/>
  <c r="D42" i="14"/>
  <c r="E42" i="14" s="1"/>
  <c r="F41" i="14"/>
  <c r="B44" i="14"/>
  <c r="T30" i="13"/>
  <c r="V30" i="13"/>
  <c r="D43" i="14" l="1"/>
  <c r="E43" i="14" s="1"/>
  <c r="F42" i="14"/>
  <c r="I32" i="13"/>
  <c r="J32" i="13" s="1"/>
  <c r="H32" i="13" s="1"/>
  <c r="L32" i="13"/>
  <c r="S32" i="13" s="1"/>
  <c r="B45" i="14"/>
  <c r="T31" i="13"/>
  <c r="V31" i="13"/>
  <c r="T32" i="13" l="1"/>
  <c r="V32" i="13"/>
  <c r="I33" i="13"/>
  <c r="J33" i="13" s="1"/>
  <c r="H33" i="13" s="1"/>
  <c r="L33" i="13"/>
  <c r="S33" i="13" s="1"/>
  <c r="B46" i="14"/>
  <c r="D44" i="14"/>
  <c r="E44" i="14" s="1"/>
  <c r="F43" i="14"/>
  <c r="I34" i="13" l="1"/>
  <c r="J34" i="13" s="1"/>
  <c r="H34" i="13" s="1"/>
  <c r="L34" i="13"/>
  <c r="S34" i="13" s="1"/>
  <c r="T33" i="13"/>
  <c r="V33" i="13"/>
  <c r="B47" i="14"/>
  <c r="D45" i="14"/>
  <c r="E45" i="14" s="1"/>
  <c r="F44" i="14"/>
  <c r="D46" i="14" l="1"/>
  <c r="E46" i="14" s="1"/>
  <c r="F45" i="14"/>
  <c r="L35" i="13"/>
  <c r="S35" i="13" s="1"/>
  <c r="I35" i="13"/>
  <c r="J35" i="13" s="1"/>
  <c r="H35" i="13" s="1"/>
  <c r="B48" i="14"/>
  <c r="V34" i="13"/>
  <c r="T34" i="13"/>
  <c r="L36" i="13" l="1"/>
  <c r="S36" i="13" s="1"/>
  <c r="I36" i="13"/>
  <c r="J36" i="13" s="1"/>
  <c r="H36" i="13" s="1"/>
  <c r="D47" i="14"/>
  <c r="E47" i="14" s="1"/>
  <c r="F46" i="14"/>
  <c r="B49" i="14"/>
  <c r="V35" i="13"/>
  <c r="T35" i="13"/>
  <c r="D48" i="14" l="1"/>
  <c r="E48" i="14" s="1"/>
  <c r="F47" i="14"/>
  <c r="L37" i="13"/>
  <c r="S37" i="13" s="1"/>
  <c r="I37" i="13"/>
  <c r="J37" i="13" s="1"/>
  <c r="H37" i="13" s="1"/>
  <c r="B50" i="14"/>
  <c r="V36" i="13"/>
  <c r="T36" i="13"/>
  <c r="L38" i="13" l="1"/>
  <c r="S38" i="13" s="1"/>
  <c r="I38" i="13"/>
  <c r="J38" i="13" s="1"/>
  <c r="H38" i="13" s="1"/>
  <c r="D49" i="14"/>
  <c r="E49" i="14" s="1"/>
  <c r="F48" i="14"/>
  <c r="V37" i="13"/>
  <c r="T37" i="13"/>
  <c r="B51" i="14"/>
  <c r="L39" i="13" l="1"/>
  <c r="S39" i="13" s="1"/>
  <c r="I39" i="13"/>
  <c r="J39" i="13" s="1"/>
  <c r="H39" i="13" s="1"/>
  <c r="D50" i="14"/>
  <c r="E50" i="14" s="1"/>
  <c r="F49" i="14"/>
  <c r="B52" i="14"/>
  <c r="T38" i="13"/>
  <c r="V38" i="13"/>
  <c r="L40" i="13" l="1"/>
  <c r="S40" i="13" s="1"/>
  <c r="I40" i="13"/>
  <c r="J40" i="13" s="1"/>
  <c r="H40" i="13" s="1"/>
  <c r="D51" i="14"/>
  <c r="E51" i="14" s="1"/>
  <c r="F50" i="14"/>
  <c r="B53" i="14"/>
  <c r="T39" i="13"/>
  <c r="V39" i="13"/>
  <c r="L41" i="13" l="1"/>
  <c r="S41" i="13" s="1"/>
  <c r="I41" i="13"/>
  <c r="J41" i="13" s="1"/>
  <c r="H41" i="13" s="1"/>
  <c r="D52" i="14"/>
  <c r="E52" i="14" s="1"/>
  <c r="F51" i="14"/>
  <c r="B54" i="14"/>
  <c r="T40" i="13"/>
  <c r="V40" i="13"/>
  <c r="D53" i="14" l="1"/>
  <c r="E53" i="14" s="1"/>
  <c r="F52" i="14"/>
  <c r="L42" i="13"/>
  <c r="S42" i="13" s="1"/>
  <c r="I42" i="13"/>
  <c r="J42" i="13" s="1"/>
  <c r="H42" i="13" s="1"/>
  <c r="B55" i="14"/>
  <c r="T41" i="13"/>
  <c r="V41" i="13"/>
  <c r="L43" i="13" l="1"/>
  <c r="S43" i="13" s="1"/>
  <c r="I43" i="13"/>
  <c r="J43" i="13" s="1"/>
  <c r="H43" i="13" s="1"/>
  <c r="T42" i="13"/>
  <c r="V42" i="13"/>
  <c r="B56" i="14"/>
  <c r="D54" i="14"/>
  <c r="E54" i="14" s="1"/>
  <c r="F53" i="14"/>
  <c r="L44" i="13" l="1"/>
  <c r="S44" i="13" s="1"/>
  <c r="I44" i="13"/>
  <c r="J44" i="13" s="1"/>
  <c r="H44" i="13" s="1"/>
  <c r="B57" i="14"/>
  <c r="D55" i="14"/>
  <c r="E55" i="14" s="1"/>
  <c r="F54" i="14"/>
  <c r="T43" i="13"/>
  <c r="V43" i="13"/>
  <c r="D56" i="14" l="1"/>
  <c r="E56" i="14" s="1"/>
  <c r="F55" i="14"/>
  <c r="L45" i="13"/>
  <c r="S45" i="13" s="1"/>
  <c r="I45" i="13"/>
  <c r="J45" i="13" s="1"/>
  <c r="H45" i="13" s="1"/>
  <c r="B58" i="14"/>
  <c r="T44" i="13"/>
  <c r="V44" i="13"/>
  <c r="L46" i="13" l="1"/>
  <c r="S46" i="13" s="1"/>
  <c r="I46" i="13"/>
  <c r="J46" i="13" s="1"/>
  <c r="H46" i="13" s="1"/>
  <c r="D57" i="14"/>
  <c r="E57" i="14" s="1"/>
  <c r="F56" i="14"/>
  <c r="T45" i="13"/>
  <c r="V45" i="13"/>
  <c r="B59" i="14"/>
  <c r="L47" i="13" l="1"/>
  <c r="S47" i="13" s="1"/>
  <c r="I47" i="13"/>
  <c r="J47" i="13" s="1"/>
  <c r="H47" i="13" s="1"/>
  <c r="D58" i="14"/>
  <c r="E58" i="14" s="1"/>
  <c r="F57" i="14"/>
  <c r="T46" i="13"/>
  <c r="V46" i="13"/>
  <c r="D59" i="14" l="1"/>
  <c r="E59" i="14" s="1"/>
  <c r="F59" i="14" s="1"/>
  <c r="I9" i="14" s="1"/>
  <c r="I10" i="14" s="1"/>
  <c r="I11" i="14" s="1"/>
  <c r="I12" i="14" s="1"/>
  <c r="I13" i="14" s="1"/>
  <c r="I14" i="14" s="1"/>
  <c r="I15" i="14" s="1"/>
  <c r="I16" i="14" s="1"/>
  <c r="I17" i="14" s="1"/>
  <c r="I18" i="14" s="1"/>
  <c r="I19" i="14" s="1"/>
  <c r="I20" i="14" s="1"/>
  <c r="I21" i="14" s="1"/>
  <c r="I22" i="14" s="1"/>
  <c r="I23" i="14" s="1"/>
  <c r="I24" i="14" s="1"/>
  <c r="I25" i="14" s="1"/>
  <c r="I26" i="14" s="1"/>
  <c r="I27" i="14" s="1"/>
  <c r="I28" i="14" s="1"/>
  <c r="I29" i="14" s="1"/>
  <c r="I30" i="14" s="1"/>
  <c r="I31" i="14" s="1"/>
  <c r="I32" i="14" s="1"/>
  <c r="I33" i="14" s="1"/>
  <c r="I34" i="14" s="1"/>
  <c r="I35" i="14" s="1"/>
  <c r="I36" i="14" s="1"/>
  <c r="I37" i="14" s="1"/>
  <c r="I38" i="14" s="1"/>
  <c r="I39" i="14" s="1"/>
  <c r="I40" i="14" s="1"/>
  <c r="I41" i="14" s="1"/>
  <c r="I42" i="14" s="1"/>
  <c r="I43" i="14" s="1"/>
  <c r="I44" i="14" s="1"/>
  <c r="I45" i="14" s="1"/>
  <c r="I46" i="14" s="1"/>
  <c r="I47" i="14" s="1"/>
  <c r="I48" i="14" s="1"/>
  <c r="I49" i="14" s="1"/>
  <c r="I50" i="14" s="1"/>
  <c r="I51" i="14" s="1"/>
  <c r="I52" i="14" s="1"/>
  <c r="I53" i="14" s="1"/>
  <c r="I54" i="14" s="1"/>
  <c r="I55" i="14" s="1"/>
  <c r="I56" i="14" s="1"/>
  <c r="I57" i="14" s="1"/>
  <c r="I58" i="14" s="1"/>
  <c r="I59" i="14" s="1"/>
  <c r="F58" i="14"/>
  <c r="L48" i="13"/>
  <c r="S48" i="13" s="1"/>
  <c r="I48" i="13"/>
  <c r="J48" i="13" s="1"/>
  <c r="H48" i="13" s="1"/>
  <c r="T47" i="13"/>
  <c r="V47" i="13"/>
  <c r="L49" i="13" l="1"/>
  <c r="S49" i="13" s="1"/>
  <c r="I49" i="13"/>
  <c r="J49" i="13" s="1"/>
  <c r="H49" i="13" s="1"/>
  <c r="T48" i="13"/>
  <c r="V48" i="13"/>
  <c r="L50" i="13" l="1"/>
  <c r="S50" i="13" s="1"/>
  <c r="I50" i="13"/>
  <c r="J50" i="13" s="1"/>
  <c r="H50" i="13" s="1"/>
  <c r="T49" i="13"/>
  <c r="V49" i="13"/>
  <c r="L51" i="13" l="1"/>
  <c r="S51" i="13" s="1"/>
  <c r="I51" i="13"/>
  <c r="J51" i="13" s="1"/>
  <c r="H51" i="13" s="1"/>
  <c r="T50" i="13"/>
  <c r="V50" i="13"/>
  <c r="L52" i="13" l="1"/>
  <c r="S52" i="13" s="1"/>
  <c r="I52" i="13"/>
  <c r="J52" i="13" s="1"/>
  <c r="H52" i="13" s="1"/>
  <c r="T51" i="13"/>
  <c r="V51" i="13"/>
  <c r="L53" i="13" l="1"/>
  <c r="S53" i="13" s="1"/>
  <c r="I53" i="13"/>
  <c r="J53" i="13" s="1"/>
  <c r="H53" i="13" s="1"/>
  <c r="T52" i="13"/>
  <c r="V52" i="13"/>
  <c r="L54" i="13" l="1"/>
  <c r="S54" i="13" s="1"/>
  <c r="I54" i="13"/>
  <c r="J54" i="13" s="1"/>
  <c r="H54" i="13" s="1"/>
  <c r="T53" i="13"/>
  <c r="V53" i="13"/>
  <c r="I55" i="13" l="1"/>
  <c r="J55" i="13" s="1"/>
  <c r="H55" i="13" s="1"/>
  <c r="L55" i="13"/>
  <c r="S55" i="13" s="1"/>
  <c r="V54" i="13"/>
  <c r="T54" i="13"/>
  <c r="L56" i="13" l="1"/>
  <c r="S56" i="13" s="1"/>
  <c r="I56" i="13"/>
  <c r="J56" i="13" s="1"/>
  <c r="H56" i="13" s="1"/>
  <c r="V55" i="13"/>
  <c r="T55" i="13"/>
  <c r="I57" i="13" l="1"/>
  <c r="J57" i="13" s="1"/>
  <c r="H57" i="13" s="1"/>
  <c r="L57" i="13"/>
  <c r="S57" i="13" s="1"/>
  <c r="V56" i="13"/>
  <c r="T56" i="13"/>
  <c r="L58" i="13" l="1"/>
  <c r="S58" i="13" s="1"/>
  <c r="I58" i="13"/>
  <c r="J58" i="13" s="1"/>
  <c r="H58" i="13" s="1"/>
  <c r="V57" i="13"/>
  <c r="T57" i="13"/>
  <c r="L59" i="13" l="1"/>
  <c r="S59" i="13" s="1"/>
  <c r="I59" i="13"/>
  <c r="J59" i="13" s="1"/>
  <c r="H59" i="13" s="1"/>
  <c r="V58" i="13"/>
  <c r="T58" i="13"/>
  <c r="L60" i="13" l="1"/>
  <c r="S60" i="13" s="1"/>
  <c r="I60" i="13"/>
  <c r="J60" i="13" s="1"/>
  <c r="H60" i="13" s="1"/>
  <c r="V59" i="13"/>
  <c r="T59" i="13"/>
  <c r="L61" i="13" l="1"/>
  <c r="S61" i="13" s="1"/>
  <c r="I61" i="13"/>
  <c r="J61" i="13" s="1"/>
  <c r="H61" i="13" s="1"/>
  <c r="V60" i="13"/>
  <c r="T60" i="13"/>
  <c r="L62" i="13" l="1"/>
  <c r="S62" i="13" s="1"/>
  <c r="I62" i="13"/>
  <c r="J62" i="13" s="1"/>
  <c r="H62" i="13" s="1"/>
  <c r="V61" i="13"/>
  <c r="T61" i="13"/>
  <c r="L63" i="13" l="1"/>
  <c r="S63" i="13" s="1"/>
  <c r="I63" i="13"/>
  <c r="J63" i="13" s="1"/>
  <c r="H63" i="13" s="1"/>
  <c r="V62" i="13"/>
  <c r="T62" i="13"/>
  <c r="L64" i="13" l="1"/>
  <c r="S64" i="13" s="1"/>
  <c r="I64" i="13"/>
  <c r="J64" i="13" s="1"/>
  <c r="H64" i="13" s="1"/>
  <c r="V63" i="13"/>
  <c r="T63" i="13"/>
  <c r="L65" i="13" l="1"/>
  <c r="S65" i="13" s="1"/>
  <c r="I65" i="13"/>
  <c r="J65" i="13" s="1"/>
  <c r="H65" i="13" s="1"/>
  <c r="V64" i="13"/>
  <c r="T64" i="13"/>
  <c r="L66" i="13" l="1"/>
  <c r="S66" i="13" s="1"/>
  <c r="I66" i="13"/>
  <c r="J66" i="13" s="1"/>
  <c r="H66" i="13" s="1"/>
  <c r="V65" i="13"/>
  <c r="T65" i="13"/>
  <c r="L67" i="13" l="1"/>
  <c r="S67" i="13" s="1"/>
  <c r="I67" i="13"/>
  <c r="J67" i="13" s="1"/>
  <c r="H67" i="13" s="1"/>
  <c r="V66" i="13"/>
  <c r="T66" i="13"/>
  <c r="L68" i="13" l="1"/>
  <c r="S68" i="13" s="1"/>
  <c r="I68" i="13"/>
  <c r="J68" i="13" s="1"/>
  <c r="H68" i="13" s="1"/>
  <c r="V67" i="13"/>
  <c r="T67" i="13"/>
  <c r="L69" i="13" l="1"/>
  <c r="S69" i="13" s="1"/>
  <c r="I69" i="13"/>
  <c r="J69" i="13" s="1"/>
  <c r="H69" i="13" s="1"/>
  <c r="V68" i="13"/>
  <c r="T68" i="13"/>
  <c r="L70" i="13" l="1"/>
  <c r="S70" i="13" s="1"/>
  <c r="I70" i="13"/>
  <c r="J70" i="13" s="1"/>
  <c r="H70" i="13" s="1"/>
  <c r="V69" i="13"/>
  <c r="T69" i="13"/>
  <c r="L71" i="13" l="1"/>
  <c r="S71" i="13" s="1"/>
  <c r="I71" i="13"/>
  <c r="J71" i="13" s="1"/>
  <c r="H71" i="13" s="1"/>
  <c r="V70" i="13"/>
  <c r="T70" i="13"/>
  <c r="L72" i="13" l="1"/>
  <c r="S72" i="13" s="1"/>
  <c r="I72" i="13"/>
  <c r="J72" i="13" s="1"/>
  <c r="H72" i="13" s="1"/>
  <c r="V71" i="13"/>
  <c r="T71" i="13"/>
  <c r="L73" i="13" l="1"/>
  <c r="S73" i="13" s="1"/>
  <c r="I73" i="13"/>
  <c r="J73" i="13" s="1"/>
  <c r="H73" i="13" s="1"/>
  <c r="V72" i="13"/>
  <c r="T72" i="13"/>
  <c r="L74" i="13" l="1"/>
  <c r="S74" i="13" s="1"/>
  <c r="I74" i="13"/>
  <c r="J74" i="13" s="1"/>
  <c r="H74" i="13" s="1"/>
  <c r="V73" i="13"/>
  <c r="T73" i="13"/>
  <c r="L75" i="13" l="1"/>
  <c r="S75" i="13" s="1"/>
  <c r="I75" i="13"/>
  <c r="J75" i="13" s="1"/>
  <c r="H75" i="13" s="1"/>
  <c r="V74" i="13"/>
  <c r="T74" i="13"/>
  <c r="L76" i="13" l="1"/>
  <c r="S76" i="13" s="1"/>
  <c r="I76" i="13"/>
  <c r="J76" i="13" s="1"/>
  <c r="H76" i="13" s="1"/>
  <c r="V75" i="13"/>
  <c r="T75" i="13"/>
  <c r="L77" i="13" l="1"/>
  <c r="S77" i="13" s="1"/>
  <c r="I77" i="13"/>
  <c r="J77" i="13" s="1"/>
  <c r="H77" i="13" s="1"/>
  <c r="V76" i="13"/>
  <c r="T76" i="13"/>
  <c r="L78" i="13" l="1"/>
  <c r="S78" i="13" s="1"/>
  <c r="I78" i="13"/>
  <c r="J78" i="13" s="1"/>
  <c r="H78" i="13" s="1"/>
  <c r="V77" i="13"/>
  <c r="T77" i="13"/>
  <c r="L79" i="13" l="1"/>
  <c r="S79" i="13" s="1"/>
  <c r="I79" i="13"/>
  <c r="J79" i="13" s="1"/>
  <c r="H79" i="13" s="1"/>
  <c r="V78" i="13"/>
  <c r="T78" i="13"/>
  <c r="L80" i="13" l="1"/>
  <c r="S80" i="13" s="1"/>
  <c r="I80" i="13"/>
  <c r="J80" i="13" s="1"/>
  <c r="H80" i="13" s="1"/>
  <c r="V79" i="13"/>
  <c r="T79" i="13"/>
  <c r="L81" i="13" l="1"/>
  <c r="S81" i="13" s="1"/>
  <c r="I81" i="13"/>
  <c r="J81" i="13" s="1"/>
  <c r="H81" i="13" s="1"/>
  <c r="V80" i="13"/>
  <c r="T80" i="13"/>
  <c r="L82" i="13" l="1"/>
  <c r="S82" i="13" s="1"/>
  <c r="I82" i="13"/>
  <c r="J82" i="13" s="1"/>
  <c r="H82" i="13" s="1"/>
  <c r="V81" i="13"/>
  <c r="T81" i="13"/>
  <c r="L83" i="13" l="1"/>
  <c r="S83" i="13" s="1"/>
  <c r="I83" i="13"/>
  <c r="J83" i="13" s="1"/>
  <c r="H83" i="13" s="1"/>
  <c r="V82" i="13"/>
  <c r="T82" i="13"/>
  <c r="L84" i="13" l="1"/>
  <c r="S84" i="13" s="1"/>
  <c r="I84" i="13"/>
  <c r="J84" i="13" s="1"/>
  <c r="H84" i="13" s="1"/>
  <c r="V83" i="13"/>
  <c r="T83" i="13"/>
  <c r="L85" i="13" l="1"/>
  <c r="S85" i="13" s="1"/>
  <c r="I85" i="13"/>
  <c r="J85" i="13" s="1"/>
  <c r="H85" i="13" s="1"/>
  <c r="V84" i="13"/>
  <c r="T84" i="13"/>
  <c r="L86" i="13" l="1"/>
  <c r="S86" i="13" s="1"/>
  <c r="I86" i="13"/>
  <c r="J86" i="13" s="1"/>
  <c r="H86" i="13" s="1"/>
  <c r="V85" i="13"/>
  <c r="T85" i="13"/>
  <c r="L87" i="13" l="1"/>
  <c r="S87" i="13" s="1"/>
  <c r="I87" i="13"/>
  <c r="J87" i="13" s="1"/>
  <c r="H87" i="13" s="1"/>
  <c r="V86" i="13"/>
  <c r="T86" i="13"/>
  <c r="L88" i="13" l="1"/>
  <c r="S88" i="13" s="1"/>
  <c r="I88" i="13"/>
  <c r="J88" i="13" s="1"/>
  <c r="H88" i="13" s="1"/>
  <c r="V87" i="13"/>
  <c r="T87" i="13"/>
  <c r="L89" i="13" l="1"/>
  <c r="S89" i="13" s="1"/>
  <c r="I89" i="13"/>
  <c r="J89" i="13" s="1"/>
  <c r="H89" i="13" s="1"/>
  <c r="V88" i="13"/>
  <c r="T88" i="13"/>
  <c r="L90" i="13" l="1"/>
  <c r="S90" i="13" s="1"/>
  <c r="I90" i="13"/>
  <c r="J90" i="13" s="1"/>
  <c r="H90" i="13" s="1"/>
  <c r="V89" i="13"/>
  <c r="T89" i="13"/>
  <c r="L91" i="13" l="1"/>
  <c r="S91" i="13" s="1"/>
  <c r="I91" i="13"/>
  <c r="J91" i="13" s="1"/>
  <c r="H91" i="13" s="1"/>
  <c r="V90" i="13"/>
  <c r="T90" i="13"/>
  <c r="L92" i="13" l="1"/>
  <c r="S92" i="13" s="1"/>
  <c r="I92" i="13"/>
  <c r="J92" i="13" s="1"/>
  <c r="H92" i="13" s="1"/>
  <c r="V91" i="13"/>
  <c r="T91" i="13"/>
  <c r="L93" i="13" l="1"/>
  <c r="S93" i="13" s="1"/>
  <c r="I93" i="13"/>
  <c r="J93" i="13" s="1"/>
  <c r="H93" i="13" s="1"/>
  <c r="V92" i="13"/>
  <c r="T92" i="13"/>
  <c r="L94" i="13" l="1"/>
  <c r="S94" i="13" s="1"/>
  <c r="I94" i="13"/>
  <c r="J94" i="13" s="1"/>
  <c r="H94" i="13" s="1"/>
  <c r="V93" i="13"/>
  <c r="T93" i="13"/>
  <c r="L95" i="13" l="1"/>
  <c r="S95" i="13" s="1"/>
  <c r="I95" i="13"/>
  <c r="J95" i="13" s="1"/>
  <c r="H95" i="13" s="1"/>
  <c r="V94" i="13"/>
  <c r="T94" i="13"/>
  <c r="L96" i="13" l="1"/>
  <c r="S96" i="13" s="1"/>
  <c r="I96" i="13"/>
  <c r="J96" i="13" s="1"/>
  <c r="H96" i="13" s="1"/>
  <c r="V95" i="13"/>
  <c r="T95" i="13"/>
  <c r="L97" i="13" l="1"/>
  <c r="S97" i="13" s="1"/>
  <c r="I97" i="13"/>
  <c r="J97" i="13" s="1"/>
  <c r="H97" i="13" s="1"/>
  <c r="V96" i="13"/>
  <c r="T96" i="13"/>
  <c r="L98" i="13" l="1"/>
  <c r="S98" i="13" s="1"/>
  <c r="I98" i="13"/>
  <c r="J98" i="13" s="1"/>
  <c r="H98" i="13" s="1"/>
  <c r="V97" i="13"/>
  <c r="T97" i="13"/>
  <c r="L99" i="13" l="1"/>
  <c r="S99" i="13" s="1"/>
  <c r="I99" i="13"/>
  <c r="J99" i="13" s="1"/>
  <c r="H99" i="13" s="1"/>
  <c r="V98" i="13"/>
  <c r="T98" i="13"/>
  <c r="L100" i="13" l="1"/>
  <c r="S100" i="13" s="1"/>
  <c r="I100" i="13"/>
  <c r="J100" i="13" s="1"/>
  <c r="H100" i="13" s="1"/>
  <c r="V99" i="13"/>
  <c r="T99" i="13"/>
  <c r="L101" i="13" l="1"/>
  <c r="S101" i="13" s="1"/>
  <c r="I101" i="13"/>
  <c r="J101" i="13" s="1"/>
  <c r="H101" i="13" s="1"/>
  <c r="V100" i="13"/>
  <c r="T100" i="13"/>
  <c r="L102" i="13" l="1"/>
  <c r="S102" i="13" s="1"/>
  <c r="I102" i="13"/>
  <c r="J102" i="13" s="1"/>
  <c r="H102" i="13" s="1"/>
  <c r="V101" i="13"/>
  <c r="T101" i="13"/>
  <c r="L103" i="13" l="1"/>
  <c r="S103" i="13" s="1"/>
  <c r="I103" i="13"/>
  <c r="J103" i="13" s="1"/>
  <c r="H103" i="13" s="1"/>
  <c r="V102" i="13"/>
  <c r="T102" i="13"/>
  <c r="L104" i="13" l="1"/>
  <c r="S104" i="13" s="1"/>
  <c r="I104" i="13"/>
  <c r="J104" i="13" s="1"/>
  <c r="H104" i="13" s="1"/>
  <c r="V103" i="13"/>
  <c r="T103" i="13"/>
  <c r="L105" i="13" l="1"/>
  <c r="S105" i="13" s="1"/>
  <c r="I105" i="13"/>
  <c r="J105" i="13" s="1"/>
  <c r="H105" i="13" s="1"/>
  <c r="V104" i="13"/>
  <c r="T104" i="13"/>
  <c r="L106" i="13" l="1"/>
  <c r="S106" i="13" s="1"/>
  <c r="I106" i="13"/>
  <c r="J106" i="13" s="1"/>
  <c r="H106" i="13" s="1"/>
  <c r="V105" i="13"/>
  <c r="T105" i="13"/>
  <c r="L107" i="13" l="1"/>
  <c r="S107" i="13" s="1"/>
  <c r="I107" i="13"/>
  <c r="J107" i="13" s="1"/>
  <c r="H107" i="13" s="1"/>
  <c r="V106" i="13"/>
  <c r="T106" i="13"/>
  <c r="L108" i="13" l="1"/>
  <c r="S108" i="13" s="1"/>
  <c r="I108" i="13"/>
  <c r="J108" i="13" s="1"/>
  <c r="H108" i="13" s="1"/>
  <c r="V107" i="13"/>
  <c r="T107" i="13"/>
  <c r="L109" i="13" l="1"/>
  <c r="S109" i="13" s="1"/>
  <c r="I109" i="13"/>
  <c r="J109" i="13" s="1"/>
  <c r="H109" i="13" s="1"/>
  <c r="V108" i="13"/>
  <c r="T108" i="13"/>
  <c r="L110" i="13" l="1"/>
  <c r="S110" i="13" s="1"/>
  <c r="I110" i="13"/>
  <c r="J110" i="13" s="1"/>
  <c r="H110" i="13" s="1"/>
  <c r="V109" i="13"/>
  <c r="T109" i="13"/>
  <c r="L111" i="13" l="1"/>
  <c r="S111" i="13" s="1"/>
  <c r="I111" i="13"/>
  <c r="J111" i="13" s="1"/>
  <c r="H111" i="13" s="1"/>
  <c r="V110" i="13"/>
  <c r="T110" i="13"/>
  <c r="L112" i="13" l="1"/>
  <c r="S112" i="13" s="1"/>
  <c r="I112" i="13"/>
  <c r="J112" i="13" s="1"/>
  <c r="H112" i="13" s="1"/>
  <c r="V111" i="13"/>
  <c r="T111" i="13"/>
  <c r="L113" i="13" l="1"/>
  <c r="S113" i="13" s="1"/>
  <c r="I113" i="13"/>
  <c r="J113" i="13" s="1"/>
  <c r="H113" i="13" s="1"/>
  <c r="V112" i="13"/>
  <c r="T112" i="13"/>
  <c r="L114" i="13" l="1"/>
  <c r="S114" i="13" s="1"/>
  <c r="I114" i="13"/>
  <c r="J114" i="13" s="1"/>
  <c r="H114" i="13" s="1"/>
  <c r="V113" i="13"/>
  <c r="T113" i="13"/>
  <c r="L115" i="13" l="1"/>
  <c r="S115" i="13" s="1"/>
  <c r="I115" i="13"/>
  <c r="J115" i="13" s="1"/>
  <c r="H115" i="13" s="1"/>
  <c r="V114" i="13"/>
  <c r="T114" i="13"/>
  <c r="L116" i="13" l="1"/>
  <c r="S116" i="13" s="1"/>
  <c r="I116" i="13"/>
  <c r="J116" i="13" s="1"/>
  <c r="H116" i="13" s="1"/>
  <c r="V115" i="13"/>
  <c r="T115" i="13"/>
  <c r="L117" i="13" l="1"/>
  <c r="S117" i="13" s="1"/>
  <c r="I117" i="13"/>
  <c r="J117" i="13" s="1"/>
  <c r="H117" i="13" s="1"/>
  <c r="V116" i="13"/>
  <c r="T116" i="13"/>
  <c r="L118" i="13" l="1"/>
  <c r="S118" i="13" s="1"/>
  <c r="I118" i="13"/>
  <c r="J118" i="13" s="1"/>
  <c r="H118" i="13" s="1"/>
  <c r="V117" i="13"/>
  <c r="T117" i="13"/>
  <c r="L119" i="13" l="1"/>
  <c r="S119" i="13" s="1"/>
  <c r="I119" i="13"/>
  <c r="J119" i="13" s="1"/>
  <c r="H119" i="13" s="1"/>
  <c r="V118" i="13"/>
  <c r="T118" i="13"/>
  <c r="L120" i="13" l="1"/>
  <c r="S120" i="13" s="1"/>
  <c r="I120" i="13"/>
  <c r="J120" i="13" s="1"/>
  <c r="H120" i="13" s="1"/>
  <c r="V119" i="13"/>
  <c r="T119" i="13"/>
  <c r="L121" i="13" l="1"/>
  <c r="S121" i="13" s="1"/>
  <c r="I121" i="13"/>
  <c r="J121" i="13" s="1"/>
  <c r="H121" i="13" s="1"/>
  <c r="V120" i="13"/>
  <c r="T120" i="13"/>
  <c r="L122" i="13" l="1"/>
  <c r="S122" i="13" s="1"/>
  <c r="I122" i="13"/>
  <c r="J122" i="13" s="1"/>
  <c r="H122" i="13" s="1"/>
  <c r="V121" i="13"/>
  <c r="T121" i="13"/>
  <c r="L123" i="13" l="1"/>
  <c r="S123" i="13" s="1"/>
  <c r="I123" i="13"/>
  <c r="J123" i="13" s="1"/>
  <c r="H123" i="13" s="1"/>
  <c r="V122" i="13"/>
  <c r="T122" i="13"/>
  <c r="L124" i="13" l="1"/>
  <c r="S124" i="13" s="1"/>
  <c r="I124" i="13"/>
  <c r="J124" i="13" s="1"/>
  <c r="H124" i="13" s="1"/>
  <c r="V123" i="13"/>
  <c r="T123" i="13"/>
  <c r="D20" i="6"/>
  <c r="D21" i="6" s="1"/>
  <c r="L125" i="13" l="1"/>
  <c r="S125" i="13" s="1"/>
  <c r="I125" i="13"/>
  <c r="J125" i="13" s="1"/>
  <c r="H125" i="13" s="1"/>
  <c r="T124" i="13"/>
  <c r="D12" i="6"/>
  <c r="D14" i="6" s="1"/>
  <c r="E23" i="24" s="1"/>
  <c r="D19" i="6"/>
  <c r="I126" i="13" l="1"/>
  <c r="J126" i="13" s="1"/>
  <c r="H126" i="13" s="1"/>
  <c r="L126" i="13"/>
  <c r="S126" i="13" s="1"/>
  <c r="T126" i="13" s="1"/>
  <c r="T125" i="13"/>
  <c r="D16" i="6"/>
  <c r="K10" i="24" s="1"/>
  <c r="D22" i="6"/>
  <c r="B16" i="9" s="1"/>
  <c r="I127" i="13" l="1"/>
  <c r="J127" i="13" s="1"/>
  <c r="H127" i="13" s="1"/>
  <c r="L127" i="13"/>
  <c r="S127" i="13" s="1"/>
  <c r="T127" i="13" s="1"/>
  <c r="D24" i="6"/>
  <c r="D25" i="6" s="1"/>
  <c r="C16" i="9"/>
  <c r="L128" i="13" l="1"/>
  <c r="S128" i="13" s="1"/>
  <c r="I128" i="13"/>
  <c r="J128" i="13" s="1"/>
  <c r="H128" i="13" s="1"/>
  <c r="D16" i="9"/>
  <c r="I129" i="13" l="1"/>
  <c r="J129" i="13" s="1"/>
  <c r="H129" i="13" s="1"/>
  <c r="L129" i="13"/>
  <c r="S129" i="13" s="1"/>
  <c r="T129" i="13" s="1"/>
  <c r="T128" i="13"/>
  <c r="E16" i="9"/>
  <c r="I130" i="13" l="1"/>
  <c r="J130" i="13" s="1"/>
  <c r="H130" i="13" s="1"/>
  <c r="L130" i="13"/>
  <c r="S130" i="13" s="1"/>
  <c r="T130" i="13" s="1"/>
  <c r="F16" i="9"/>
  <c r="L131" i="13" l="1"/>
  <c r="S131" i="13" s="1"/>
  <c r="I131" i="13"/>
  <c r="J131" i="13" s="1"/>
  <c r="H131" i="13" s="1"/>
  <c r="G16" i="9"/>
  <c r="L132" i="13" l="1"/>
  <c r="S132" i="13" s="1"/>
  <c r="I132" i="13"/>
  <c r="J132" i="13" s="1"/>
  <c r="H132" i="13" s="1"/>
  <c r="T131" i="13"/>
  <c r="H16" i="9"/>
  <c r="I133" i="13" l="1"/>
  <c r="J133" i="13" s="1"/>
  <c r="H133" i="13" s="1"/>
  <c r="L133" i="13"/>
  <c r="S133" i="13" s="1"/>
  <c r="T133" i="13" s="1"/>
  <c r="T132" i="13"/>
  <c r="I16" i="9"/>
  <c r="I134" i="13" l="1"/>
  <c r="J134" i="13" s="1"/>
  <c r="H134" i="13" s="1"/>
  <c r="L134" i="13"/>
  <c r="S134" i="13" s="1"/>
  <c r="T134" i="13" s="1"/>
  <c r="J16" i="9"/>
  <c r="L135" i="13" l="1"/>
  <c r="S135" i="13" s="1"/>
  <c r="I135" i="13"/>
  <c r="J135" i="13" s="1"/>
  <c r="H135" i="13" s="1"/>
  <c r="K16" i="9"/>
  <c r="I136" i="13" l="1"/>
  <c r="J136" i="13" s="1"/>
  <c r="H136" i="13" s="1"/>
  <c r="L136" i="13"/>
  <c r="S136" i="13" s="1"/>
  <c r="T136" i="13" s="1"/>
  <c r="T135" i="13"/>
  <c r="L16" i="9"/>
  <c r="I137" i="13" l="1"/>
  <c r="J137" i="13" s="1"/>
  <c r="H137" i="13" s="1"/>
  <c r="L137" i="13"/>
  <c r="S137" i="13" s="1"/>
  <c r="T137" i="13" s="1"/>
  <c r="M16" i="9"/>
  <c r="L138" i="13" l="1"/>
  <c r="S138" i="13" s="1"/>
  <c r="I138" i="13"/>
  <c r="J138" i="13" s="1"/>
  <c r="H138" i="13" s="1"/>
  <c r="N16" i="9"/>
  <c r="B3" i="7"/>
  <c r="E17" i="24"/>
  <c r="L139" i="13" l="1"/>
  <c r="S139" i="13" s="1"/>
  <c r="I139" i="13"/>
  <c r="J139" i="13" s="1"/>
  <c r="H139" i="13" s="1"/>
  <c r="T138" i="13"/>
  <c r="F5" i="7"/>
  <c r="B3" i="8" s="1"/>
  <c r="B8" i="7"/>
  <c r="E5" i="7"/>
  <c r="E3" i="7" s="1"/>
  <c r="H5" i="7"/>
  <c r="H3" i="7" s="1"/>
  <c r="F17" i="24"/>
  <c r="F18" i="24" s="1"/>
  <c r="F3" i="7"/>
  <c r="F16" i="7"/>
  <c r="G5" i="7"/>
  <c r="E18" i="7" a="1"/>
  <c r="F18" i="7" a="1"/>
  <c r="E18" i="7" l="1"/>
  <c r="B6" i="7"/>
  <c r="F18" i="7"/>
  <c r="O6" i="10"/>
  <c r="F21" i="7"/>
  <c r="I140" i="13"/>
  <c r="J140" i="13" s="1"/>
  <c r="H140" i="13" s="1"/>
  <c r="L140" i="13"/>
  <c r="S140" i="13" s="1"/>
  <c r="T139" i="13"/>
  <c r="O4" i="10"/>
  <c r="H16" i="7"/>
  <c r="H17" i="7" s="1"/>
  <c r="E16" i="7"/>
  <c r="E17" i="7" s="1"/>
  <c r="H18" i="7"/>
  <c r="B9" i="7"/>
  <c r="E21" i="7"/>
  <c r="E22" i="7"/>
  <c r="C4" i="8"/>
  <c r="F4" i="8"/>
  <c r="G3" i="7"/>
  <c r="E123" i="8"/>
  <c r="E121" i="8"/>
  <c r="E119" i="8"/>
  <c r="E117" i="8"/>
  <c r="E115" i="8"/>
  <c r="E113" i="8"/>
  <c r="E111" i="8"/>
  <c r="E109" i="8"/>
  <c r="E107" i="8"/>
  <c r="E105" i="8"/>
  <c r="E103" i="8"/>
  <c r="E101" i="8"/>
  <c r="E99" i="8"/>
  <c r="E97" i="8"/>
  <c r="E95" i="8"/>
  <c r="E93" i="8"/>
  <c r="E91" i="8"/>
  <c r="E89" i="8"/>
  <c r="E87" i="8"/>
  <c r="E85" i="8"/>
  <c r="E83" i="8"/>
  <c r="E81" i="8"/>
  <c r="E79" i="8"/>
  <c r="E77" i="8"/>
  <c r="E75" i="8"/>
  <c r="E73" i="8"/>
  <c r="E71" i="8"/>
  <c r="E69" i="8"/>
  <c r="E67" i="8"/>
  <c r="E122" i="8"/>
  <c r="E120" i="8"/>
  <c r="E118" i="8"/>
  <c r="E116" i="8"/>
  <c r="E114" i="8"/>
  <c r="E112" i="8"/>
  <c r="E110" i="8"/>
  <c r="E108" i="8"/>
  <c r="E106" i="8"/>
  <c r="E104" i="8"/>
  <c r="E102" i="8"/>
  <c r="E100" i="8"/>
  <c r="E98" i="8"/>
  <c r="E96" i="8"/>
  <c r="E94" i="8"/>
  <c r="E92" i="8"/>
  <c r="E90" i="8"/>
  <c r="E88" i="8"/>
  <c r="E86" i="8"/>
  <c r="E84" i="8"/>
  <c r="E82" i="8"/>
  <c r="E80" i="8"/>
  <c r="E78" i="8"/>
  <c r="E76" i="8"/>
  <c r="E74" i="8"/>
  <c r="E72" i="8"/>
  <c r="E70" i="8"/>
  <c r="E68" i="8"/>
  <c r="E65" i="8"/>
  <c r="E63" i="8"/>
  <c r="E61" i="8"/>
  <c r="E59" i="8"/>
  <c r="E57" i="8"/>
  <c r="E55" i="8"/>
  <c r="E53" i="8"/>
  <c r="E51" i="8"/>
  <c r="E49" i="8"/>
  <c r="E47" i="8"/>
  <c r="E45" i="8"/>
  <c r="E43" i="8"/>
  <c r="E41" i="8"/>
  <c r="E39" i="8"/>
  <c r="E37" i="8"/>
  <c r="E35" i="8"/>
  <c r="E33" i="8"/>
  <c r="E31" i="8"/>
  <c r="E29" i="8"/>
  <c r="E27" i="8"/>
  <c r="E25" i="8"/>
  <c r="E23" i="8"/>
  <c r="E66" i="8"/>
  <c r="E58" i="8"/>
  <c r="E50" i="8"/>
  <c r="E42" i="8"/>
  <c r="E34" i="8"/>
  <c r="E10" i="8"/>
  <c r="E7" i="8"/>
  <c r="E6" i="8"/>
  <c r="E5" i="8"/>
  <c r="E62" i="8"/>
  <c r="E54" i="8"/>
  <c r="E38" i="8"/>
  <c r="E12" i="8"/>
  <c r="E60" i="8"/>
  <c r="E52" i="8"/>
  <c r="E44" i="8"/>
  <c r="E36" i="8"/>
  <c r="E28" i="8"/>
  <c r="E26" i="8"/>
  <c r="E21" i="8"/>
  <c r="E19" i="8"/>
  <c r="E17" i="8"/>
  <c r="E15" i="8"/>
  <c r="E11" i="8"/>
  <c r="F17" i="7"/>
  <c r="E46" i="8"/>
  <c r="E30" i="8"/>
  <c r="E24" i="8"/>
  <c r="E64" i="8"/>
  <c r="E56" i="8"/>
  <c r="E48" i="8"/>
  <c r="E40" i="8"/>
  <c r="E32" i="8"/>
  <c r="E22" i="8"/>
  <c r="E20" i="8"/>
  <c r="E18" i="8"/>
  <c r="E16" i="8"/>
  <c r="E14" i="8"/>
  <c r="E13" i="8"/>
  <c r="E9" i="8"/>
  <c r="E8" i="8"/>
  <c r="E4" i="8"/>
  <c r="T140" i="13" l="1"/>
  <c r="I141" i="13"/>
  <c r="J141" i="13" s="1"/>
  <c r="H141" i="13" s="1"/>
  <c r="L141" i="13"/>
  <c r="S141" i="13" s="1"/>
  <c r="H19" i="7"/>
  <c r="H27" i="7" s="1"/>
  <c r="H21" i="7"/>
  <c r="E6" i="7"/>
  <c r="F6" i="7" s="1"/>
  <c r="E19" i="7"/>
  <c r="E24" i="7" s="1"/>
  <c r="E25" i="7" s="1"/>
  <c r="E22" i="24"/>
  <c r="E25" i="24" s="1"/>
  <c r="D4" i="8"/>
  <c r="B4" i="8" s="1"/>
  <c r="G4" i="8"/>
  <c r="G16" i="7"/>
  <c r="G17" i="7" s="1"/>
  <c r="G18" i="7"/>
  <c r="T141" i="13" l="1"/>
  <c r="L142" i="13"/>
  <c r="S142" i="13" s="1"/>
  <c r="I142" i="13"/>
  <c r="J142" i="13" s="1"/>
  <c r="H142" i="13" s="1"/>
  <c r="H24" i="7"/>
  <c r="H25" i="7" s="1"/>
  <c r="E28" i="7"/>
  <c r="E7" i="7"/>
  <c r="K9" i="24" s="1"/>
  <c r="K13" i="24" s="1"/>
  <c r="K16" i="24" s="1"/>
  <c r="E27" i="7"/>
  <c r="G19" i="7"/>
  <c r="G21" i="7"/>
  <c r="C5" i="8"/>
  <c r="F5" i="8"/>
  <c r="G6" i="7"/>
  <c r="F7" i="7"/>
  <c r="B15" i="9" l="1"/>
  <c r="C15" i="9" s="1"/>
  <c r="T142" i="13"/>
  <c r="I143" i="13"/>
  <c r="J143" i="13" s="1"/>
  <c r="H143" i="13" s="1"/>
  <c r="L143" i="13"/>
  <c r="S143" i="13" s="1"/>
  <c r="H28" i="7"/>
  <c r="G5" i="8"/>
  <c r="H6" i="7"/>
  <c r="H7" i="7" s="1"/>
  <c r="G7" i="7"/>
  <c r="D5" i="8"/>
  <c r="B5" i="8" s="1"/>
  <c r="G24" i="7"/>
  <c r="G27" i="7"/>
  <c r="T143" i="13" l="1"/>
  <c r="B27" i="9"/>
  <c r="B82" i="9" s="1"/>
  <c r="B86" i="9" s="1"/>
  <c r="B88" i="9" s="1"/>
  <c r="D15" i="9"/>
  <c r="D27" i="9" s="1"/>
  <c r="D82" i="9" s="1"/>
  <c r="D86" i="9" s="1"/>
  <c r="D88" i="9" s="1"/>
  <c r="C27" i="9"/>
  <c r="C82" i="9" s="1"/>
  <c r="C86" i="9" s="1"/>
  <c r="C88" i="9" s="1"/>
  <c r="I144" i="13"/>
  <c r="J144" i="13" s="1"/>
  <c r="H144" i="13" s="1"/>
  <c r="L144" i="13"/>
  <c r="S144" i="13" s="1"/>
  <c r="C6" i="8"/>
  <c r="F6" i="8"/>
  <c r="G28" i="7"/>
  <c r="G25" i="7"/>
  <c r="T144" i="13" l="1"/>
  <c r="E15" i="9"/>
  <c r="F15" i="9" s="1"/>
  <c r="L145" i="13"/>
  <c r="S145" i="13" s="1"/>
  <c r="I145" i="13"/>
  <c r="J145" i="13" s="1"/>
  <c r="H145" i="13" s="1"/>
  <c r="G6" i="8"/>
  <c r="D6" i="8"/>
  <c r="B6" i="8" s="1"/>
  <c r="E27" i="9" l="1"/>
  <c r="E82" i="9" s="1"/>
  <c r="E86" i="9" s="1"/>
  <c r="E88" i="9" s="1"/>
  <c r="L146" i="13"/>
  <c r="S146" i="13" s="1"/>
  <c r="I146" i="13"/>
  <c r="J146" i="13" s="1"/>
  <c r="H146" i="13" s="1"/>
  <c r="T145" i="13"/>
  <c r="C7" i="8"/>
  <c r="F7" i="8"/>
  <c r="F27" i="9"/>
  <c r="F82" i="9" s="1"/>
  <c r="F86" i="9" s="1"/>
  <c r="F88" i="9" s="1"/>
  <c r="G15" i="9"/>
  <c r="I147" i="13" l="1"/>
  <c r="J147" i="13" s="1"/>
  <c r="H147" i="13" s="1"/>
  <c r="L147" i="13"/>
  <c r="S147" i="13" s="1"/>
  <c r="T146" i="13"/>
  <c r="D7" i="8"/>
  <c r="B7" i="8" s="1"/>
  <c r="F22" i="7"/>
  <c r="H15" i="9"/>
  <c r="G27" i="9"/>
  <c r="G82" i="9" s="1"/>
  <c r="G86" i="9" s="1"/>
  <c r="G88" i="9" s="1"/>
  <c r="G7" i="8"/>
  <c r="F19" i="7"/>
  <c r="T147" i="13" l="1"/>
  <c r="L148" i="13"/>
  <c r="S148" i="13" s="1"/>
  <c r="I148" i="13"/>
  <c r="J148" i="13" s="1"/>
  <c r="H148" i="13" s="1"/>
  <c r="I15" i="9"/>
  <c r="H27" i="9"/>
  <c r="H82" i="9" s="1"/>
  <c r="H86" i="9" s="1"/>
  <c r="H88" i="9" s="1"/>
  <c r="F27" i="7"/>
  <c r="F24" i="7"/>
  <c r="F8" i="8"/>
  <c r="G8" i="8" s="1"/>
  <c r="C8" i="8"/>
  <c r="D8" i="8" s="1"/>
  <c r="B8" i="8" s="1"/>
  <c r="I149" i="13" l="1"/>
  <c r="J149" i="13" s="1"/>
  <c r="H149" i="13" s="1"/>
  <c r="L149" i="13"/>
  <c r="S149" i="13" s="1"/>
  <c r="T148" i="13"/>
  <c r="C9" i="8"/>
  <c r="D9" i="8" s="1"/>
  <c r="B9" i="8" s="1"/>
  <c r="F9" i="8"/>
  <c r="G9" i="8" s="1"/>
  <c r="F25" i="7"/>
  <c r="F28" i="7"/>
  <c r="J15" i="9"/>
  <c r="I27" i="9"/>
  <c r="I82" i="9" s="1"/>
  <c r="I86" i="9" s="1"/>
  <c r="I88" i="9" s="1"/>
  <c r="T149" i="13" l="1"/>
  <c r="I150" i="13"/>
  <c r="J150" i="13" s="1"/>
  <c r="H150" i="13" s="1"/>
  <c r="L150" i="13"/>
  <c r="S150" i="13" s="1"/>
  <c r="K15" i="9"/>
  <c r="J27" i="9"/>
  <c r="J82" i="9" s="1"/>
  <c r="J86" i="9" s="1"/>
  <c r="J88" i="9" s="1"/>
  <c r="F10" i="8"/>
  <c r="G10" i="8" s="1"/>
  <c r="C10" i="8"/>
  <c r="D10" i="8" s="1"/>
  <c r="B10" i="8" s="1"/>
  <c r="T150" i="13" l="1"/>
  <c r="I151" i="13"/>
  <c r="J151" i="13" s="1"/>
  <c r="H151" i="13" s="1"/>
  <c r="L151" i="13"/>
  <c r="S151" i="13" s="1"/>
  <c r="C11" i="8"/>
  <c r="D11" i="8" s="1"/>
  <c r="B11" i="8" s="1"/>
  <c r="F11" i="8"/>
  <c r="G11" i="8" s="1"/>
  <c r="L15" i="9"/>
  <c r="K27" i="9"/>
  <c r="K82" i="9" s="1"/>
  <c r="K86" i="9" s="1"/>
  <c r="K88" i="9" s="1"/>
  <c r="T151" i="13" l="1"/>
  <c r="L152" i="13"/>
  <c r="S152" i="13" s="1"/>
  <c r="I152" i="13"/>
  <c r="J152" i="13" s="1"/>
  <c r="H152" i="13" s="1"/>
  <c r="C12" i="8"/>
  <c r="D12" i="8" s="1"/>
  <c r="B12" i="8" s="1"/>
  <c r="F12" i="8"/>
  <c r="G12" i="8" s="1"/>
  <c r="L27" i="9"/>
  <c r="L82" i="9" s="1"/>
  <c r="L86" i="9" s="1"/>
  <c r="L88" i="9" s="1"/>
  <c r="M15" i="9"/>
  <c r="I153" i="13" l="1"/>
  <c r="J153" i="13" s="1"/>
  <c r="H153" i="13" s="1"/>
  <c r="L153" i="13"/>
  <c r="S153" i="13" s="1"/>
  <c r="T152" i="13"/>
  <c r="M27" i="9"/>
  <c r="M82" i="9" s="1"/>
  <c r="M86" i="9" s="1"/>
  <c r="M88" i="9" s="1"/>
  <c r="N15" i="9"/>
  <c r="N27" i="9" s="1"/>
  <c r="N82" i="9" s="1"/>
  <c r="N86" i="9" s="1"/>
  <c r="N87" i="9" s="1"/>
  <c r="N88" i="9" s="1"/>
  <c r="E5" i="10" s="1"/>
  <c r="C13" i="8"/>
  <c r="D13" i="8" s="1"/>
  <c r="B13" i="8" s="1"/>
  <c r="F13" i="8"/>
  <c r="G13" i="8" s="1"/>
  <c r="T153" i="13" l="1"/>
  <c r="I154" i="13"/>
  <c r="J154" i="13" s="1"/>
  <c r="H154" i="13" s="1"/>
  <c r="L154" i="13"/>
  <c r="S154" i="13" s="1"/>
  <c r="E8" i="10"/>
  <c r="E7" i="10"/>
  <c r="E6" i="10"/>
  <c r="C14" i="8"/>
  <c r="D14" i="8" s="1"/>
  <c r="B14" i="8" s="1"/>
  <c r="F14" i="8"/>
  <c r="G14" i="8" s="1"/>
  <c r="T154" i="13" l="1"/>
  <c r="I155" i="13"/>
  <c r="J155" i="13" s="1"/>
  <c r="H155" i="13" s="1"/>
  <c r="L155" i="13"/>
  <c r="S155" i="13" s="1"/>
  <c r="C15" i="8"/>
  <c r="D15" i="8" s="1"/>
  <c r="B15" i="8" s="1"/>
  <c r="F15" i="8"/>
  <c r="G15" i="8" s="1"/>
  <c r="T155" i="13" l="1"/>
  <c r="I156" i="13"/>
  <c r="J156" i="13" s="1"/>
  <c r="H156" i="13" s="1"/>
  <c r="L156" i="13"/>
  <c r="S156" i="13" s="1"/>
  <c r="F16" i="8"/>
  <c r="G16" i="8" s="1"/>
  <c r="C16" i="8"/>
  <c r="D16" i="8" s="1"/>
  <c r="B16" i="8" s="1"/>
  <c r="T156" i="13" l="1"/>
  <c r="I157" i="13"/>
  <c r="J157" i="13" s="1"/>
  <c r="H157" i="13" s="1"/>
  <c r="L157" i="13"/>
  <c r="S157" i="13" s="1"/>
  <c r="C17" i="8"/>
  <c r="D17" i="8" s="1"/>
  <c r="B17" i="8" s="1"/>
  <c r="F17" i="8"/>
  <c r="G17" i="8" s="1"/>
  <c r="T157" i="13" l="1"/>
  <c r="L158" i="13"/>
  <c r="S158" i="13" s="1"/>
  <c r="I158" i="13"/>
  <c r="J158" i="13" s="1"/>
  <c r="H158" i="13" s="1"/>
  <c r="F18" i="8"/>
  <c r="G18" i="8" s="1"/>
  <c r="C18" i="8"/>
  <c r="D18" i="8" s="1"/>
  <c r="B18" i="8" s="1"/>
  <c r="I159" i="13" l="1"/>
  <c r="J159" i="13" s="1"/>
  <c r="H159" i="13" s="1"/>
  <c r="L159" i="13"/>
  <c r="S159" i="13" s="1"/>
  <c r="T158" i="13"/>
  <c r="C19" i="8"/>
  <c r="D19" i="8" s="1"/>
  <c r="B19" i="8" s="1"/>
  <c r="F19" i="8"/>
  <c r="G19" i="8" s="1"/>
  <c r="T159" i="13" l="1"/>
  <c r="L160" i="13"/>
  <c r="S160" i="13" s="1"/>
  <c r="I160" i="13"/>
  <c r="J160" i="13" s="1"/>
  <c r="H160" i="13" s="1"/>
  <c r="F20" i="8"/>
  <c r="G20" i="8" s="1"/>
  <c r="C20" i="8"/>
  <c r="D20" i="8" s="1"/>
  <c r="B20" i="8" s="1"/>
  <c r="L161" i="13" l="1"/>
  <c r="S161" i="13" s="1"/>
  <c r="I161" i="13"/>
  <c r="J161" i="13" s="1"/>
  <c r="H161" i="13" s="1"/>
  <c r="T160" i="13"/>
  <c r="F21" i="8"/>
  <c r="G21" i="8" s="1"/>
  <c r="C21" i="8"/>
  <c r="D21" i="8" s="1"/>
  <c r="B21" i="8" s="1"/>
  <c r="I162" i="13" l="1"/>
  <c r="J162" i="13" s="1"/>
  <c r="H162" i="13" s="1"/>
  <c r="L162" i="13"/>
  <c r="S162" i="13" s="1"/>
  <c r="T161" i="13"/>
  <c r="F22" i="8"/>
  <c r="G22" i="8" s="1"/>
  <c r="C22" i="8"/>
  <c r="D22" i="8" s="1"/>
  <c r="B22" i="8" s="1"/>
  <c r="T162" i="13" l="1"/>
  <c r="L163" i="13"/>
  <c r="S163" i="13" s="1"/>
  <c r="I163" i="13"/>
  <c r="J163" i="13" s="1"/>
  <c r="H163" i="13" s="1"/>
  <c r="C23" i="8"/>
  <c r="D23" i="8" s="1"/>
  <c r="B23" i="8" s="1"/>
  <c r="F23" i="8"/>
  <c r="G23" i="8" s="1"/>
  <c r="I164" i="13" l="1"/>
  <c r="J164" i="13" s="1"/>
  <c r="H164" i="13" s="1"/>
  <c r="L164" i="13"/>
  <c r="S164" i="13" s="1"/>
  <c r="T163" i="13"/>
  <c r="C24" i="8"/>
  <c r="D24" i="8" s="1"/>
  <c r="B24" i="8" s="1"/>
  <c r="F24" i="8"/>
  <c r="G24" i="8" s="1"/>
  <c r="T164" i="13" l="1"/>
  <c r="L165" i="13"/>
  <c r="S165" i="13" s="1"/>
  <c r="I165" i="13"/>
  <c r="J165" i="13" s="1"/>
  <c r="H165" i="13" s="1"/>
  <c r="F25" i="8"/>
  <c r="G25" i="8" s="1"/>
  <c r="C25" i="8"/>
  <c r="D25" i="8" s="1"/>
  <c r="B25" i="8" s="1"/>
  <c r="L166" i="13" l="1"/>
  <c r="S166" i="13" s="1"/>
  <c r="I166" i="13"/>
  <c r="J166" i="13" s="1"/>
  <c r="H166" i="13" s="1"/>
  <c r="T165" i="13"/>
  <c r="F26" i="8"/>
  <c r="G26" i="8" s="1"/>
  <c r="C26" i="8"/>
  <c r="D26" i="8" s="1"/>
  <c r="B26" i="8" s="1"/>
  <c r="L167" i="13" l="1"/>
  <c r="S167" i="13" s="1"/>
  <c r="I167" i="13"/>
  <c r="J167" i="13" s="1"/>
  <c r="H167" i="13" s="1"/>
  <c r="T166" i="13"/>
  <c r="F27" i="8"/>
  <c r="G27" i="8" s="1"/>
  <c r="C27" i="8"/>
  <c r="D27" i="8" s="1"/>
  <c r="B27" i="8" s="1"/>
  <c r="T167" i="13" l="1"/>
  <c r="L168" i="13"/>
  <c r="S168" i="13" s="1"/>
  <c r="I168" i="13"/>
  <c r="J168" i="13" s="1"/>
  <c r="H168" i="13" s="1"/>
  <c r="C28" i="8"/>
  <c r="D28" i="8" s="1"/>
  <c r="B28" i="8" s="1"/>
  <c r="F28" i="8"/>
  <c r="G28" i="8" s="1"/>
  <c r="L169" i="13" l="1"/>
  <c r="S169" i="13" s="1"/>
  <c r="I169" i="13"/>
  <c r="J169" i="13" s="1"/>
  <c r="H169" i="13" s="1"/>
  <c r="T168" i="13"/>
  <c r="C29" i="8"/>
  <c r="D29" i="8" s="1"/>
  <c r="B29" i="8" s="1"/>
  <c r="F29" i="8"/>
  <c r="G29" i="8" s="1"/>
  <c r="I170" i="13" l="1"/>
  <c r="J170" i="13" s="1"/>
  <c r="H170" i="13" s="1"/>
  <c r="L170" i="13"/>
  <c r="S170" i="13" s="1"/>
  <c r="T169" i="13"/>
  <c r="F30" i="8"/>
  <c r="G30" i="8" s="1"/>
  <c r="C30" i="8"/>
  <c r="D30" i="8" s="1"/>
  <c r="B30" i="8" s="1"/>
  <c r="T170" i="13" l="1"/>
  <c r="I171" i="13"/>
  <c r="J171" i="13" s="1"/>
  <c r="L171" i="13"/>
  <c r="S171" i="13" s="1"/>
  <c r="H171" i="13"/>
  <c r="F31" i="8"/>
  <c r="G31" i="8" s="1"/>
  <c r="C31" i="8"/>
  <c r="D31" i="8" s="1"/>
  <c r="B31" i="8" s="1"/>
  <c r="T171" i="13" l="1"/>
  <c r="I172" i="13"/>
  <c r="J172" i="13" s="1"/>
  <c r="H172" i="13" s="1"/>
  <c r="L172" i="13"/>
  <c r="S172" i="13" s="1"/>
  <c r="T172" i="13" s="1"/>
  <c r="C32" i="8"/>
  <c r="D32" i="8" s="1"/>
  <c r="B32" i="8" s="1"/>
  <c r="F32" i="8"/>
  <c r="G32" i="8" s="1"/>
  <c r="I173" i="13" l="1"/>
  <c r="J173" i="13" s="1"/>
  <c r="H173" i="13" s="1"/>
  <c r="L173" i="13"/>
  <c r="S173" i="13" s="1"/>
  <c r="T173" i="13" s="1"/>
  <c r="C33" i="8"/>
  <c r="D33" i="8" s="1"/>
  <c r="B33" i="8" s="1"/>
  <c r="F33" i="8"/>
  <c r="G33" i="8" s="1"/>
  <c r="I174" i="13" l="1"/>
  <c r="J174" i="13" s="1"/>
  <c r="H174" i="13" s="1"/>
  <c r="L174" i="13"/>
  <c r="S174" i="13" s="1"/>
  <c r="T174" i="13" s="1"/>
  <c r="F34" i="8"/>
  <c r="G34" i="8" s="1"/>
  <c r="C34" i="8"/>
  <c r="D34" i="8" s="1"/>
  <c r="B34" i="8" s="1"/>
  <c r="L175" i="13" l="1"/>
  <c r="S175" i="13" s="1"/>
  <c r="I175" i="13"/>
  <c r="J175" i="13" s="1"/>
  <c r="H175" i="13" s="1"/>
  <c r="C35" i="8"/>
  <c r="D35" i="8" s="1"/>
  <c r="B35" i="8" s="1"/>
  <c r="F35" i="8"/>
  <c r="G35" i="8" s="1"/>
  <c r="T175" i="13" l="1"/>
  <c r="I176" i="13"/>
  <c r="J176" i="13" s="1"/>
  <c r="H176" i="13" s="1"/>
  <c r="L176" i="13"/>
  <c r="S176" i="13" s="1"/>
  <c r="T176" i="13" s="1"/>
  <c r="F36" i="8"/>
  <c r="G36" i="8" s="1"/>
  <c r="C36" i="8"/>
  <c r="D36" i="8" s="1"/>
  <c r="B36" i="8" s="1"/>
  <c r="I177" i="13" l="1"/>
  <c r="J177" i="13" s="1"/>
  <c r="H177" i="13" s="1"/>
  <c r="L177" i="13"/>
  <c r="S177" i="13" s="1"/>
  <c r="T177" i="13" s="1"/>
  <c r="F37" i="8"/>
  <c r="G37" i="8" s="1"/>
  <c r="C37" i="8"/>
  <c r="D37" i="8" s="1"/>
  <c r="B37" i="8" s="1"/>
  <c r="L178" i="13" l="1"/>
  <c r="S178" i="13" s="1"/>
  <c r="I178" i="13"/>
  <c r="J178" i="13" s="1"/>
  <c r="H178" i="13" s="1"/>
  <c r="C38" i="8"/>
  <c r="D38" i="8" s="1"/>
  <c r="B38" i="8" s="1"/>
  <c r="F38" i="8"/>
  <c r="G38" i="8" s="1"/>
  <c r="I179" i="13" l="1"/>
  <c r="J179" i="13" s="1"/>
  <c r="H179" i="13" s="1"/>
  <c r="L179" i="13"/>
  <c r="S179" i="13" s="1"/>
  <c r="T179" i="13" s="1"/>
  <c r="T178" i="13"/>
  <c r="C39" i="8"/>
  <c r="D39" i="8" s="1"/>
  <c r="B39" i="8" s="1"/>
  <c r="F39" i="8"/>
  <c r="G39" i="8" s="1"/>
  <c r="L180" i="13" l="1"/>
  <c r="S180" i="13" s="1"/>
  <c r="I180" i="13"/>
  <c r="J180" i="13" s="1"/>
  <c r="H180" i="13" s="1"/>
  <c r="F40" i="8"/>
  <c r="G40" i="8" s="1"/>
  <c r="C40" i="8"/>
  <c r="D40" i="8" s="1"/>
  <c r="B40" i="8" s="1"/>
  <c r="I181" i="13" l="1"/>
  <c r="J181" i="13" s="1"/>
  <c r="L181" i="13"/>
  <c r="S181" i="13" s="1"/>
  <c r="T181" i="13" s="1"/>
  <c r="H181" i="13"/>
  <c r="T180" i="13"/>
  <c r="F41" i="8"/>
  <c r="G41" i="8" s="1"/>
  <c r="C41" i="8"/>
  <c r="D41" i="8" s="1"/>
  <c r="B41" i="8" s="1"/>
  <c r="L182" i="13" l="1"/>
  <c r="S182" i="13" s="1"/>
  <c r="I182" i="13"/>
  <c r="J182" i="13" s="1"/>
  <c r="H182" i="13" s="1"/>
  <c r="C42" i="8"/>
  <c r="D42" i="8" s="1"/>
  <c r="B42" i="8" s="1"/>
  <c r="F42" i="8"/>
  <c r="G42" i="8" s="1"/>
  <c r="L183" i="13" l="1"/>
  <c r="S183" i="13" s="1"/>
  <c r="I183" i="13"/>
  <c r="J183" i="13" s="1"/>
  <c r="H183" i="13" s="1"/>
  <c r="T182" i="13"/>
  <c r="C43" i="8"/>
  <c r="D43" i="8" s="1"/>
  <c r="B43" i="8" s="1"/>
  <c r="F43" i="8"/>
  <c r="G43" i="8" s="1"/>
  <c r="I184" i="13" l="1"/>
  <c r="J184" i="13" s="1"/>
  <c r="H184" i="13" s="1"/>
  <c r="L184" i="13"/>
  <c r="S184" i="13" s="1"/>
  <c r="T184" i="13" s="1"/>
  <c r="T183" i="13"/>
  <c r="F44" i="8"/>
  <c r="G44" i="8" s="1"/>
  <c r="C44" i="8"/>
  <c r="D44" i="8" s="1"/>
  <c r="B44" i="8" s="1"/>
  <c r="L185" i="13" l="1"/>
  <c r="S185" i="13" s="1"/>
  <c r="I185" i="13"/>
  <c r="J185" i="13" s="1"/>
  <c r="H185" i="13" s="1"/>
  <c r="C45" i="8"/>
  <c r="D45" i="8" s="1"/>
  <c r="B45" i="8" s="1"/>
  <c r="F45" i="8"/>
  <c r="G45" i="8" s="1"/>
  <c r="L186" i="13" l="1"/>
  <c r="S186" i="13" s="1"/>
  <c r="I186" i="13"/>
  <c r="J186" i="13" s="1"/>
  <c r="H186" i="13" s="1"/>
  <c r="T185" i="13"/>
  <c r="C46" i="8"/>
  <c r="D46" i="8" s="1"/>
  <c r="B46" i="8" s="1"/>
  <c r="F46" i="8"/>
  <c r="G46" i="8" s="1"/>
  <c r="T186" i="13" l="1"/>
  <c r="I187" i="13"/>
  <c r="J187" i="13" s="1"/>
  <c r="H187" i="13" s="1"/>
  <c r="L187" i="13"/>
  <c r="S187" i="13" s="1"/>
  <c r="C47" i="8"/>
  <c r="D47" i="8" s="1"/>
  <c r="B47" i="8" s="1"/>
  <c r="F47" i="8"/>
  <c r="G47" i="8" s="1"/>
  <c r="T187" i="13" l="1"/>
  <c r="L188" i="13"/>
  <c r="S188" i="13" s="1"/>
  <c r="I188" i="13"/>
  <c r="J188" i="13" s="1"/>
  <c r="H188" i="13" s="1"/>
  <c r="F48" i="8"/>
  <c r="G48" i="8" s="1"/>
  <c r="C48" i="8"/>
  <c r="D48" i="8" s="1"/>
  <c r="B48" i="8" s="1"/>
  <c r="L189" i="13" l="1"/>
  <c r="S189" i="13" s="1"/>
  <c r="I189" i="13"/>
  <c r="J189" i="13" s="1"/>
  <c r="H189" i="13" s="1"/>
  <c r="T188" i="13"/>
  <c r="F49" i="8"/>
  <c r="G49" i="8" s="1"/>
  <c r="C49" i="8"/>
  <c r="D49" i="8" s="1"/>
  <c r="B49" i="8" s="1"/>
  <c r="I190" i="13" l="1"/>
  <c r="J190" i="13" s="1"/>
  <c r="H190" i="13" s="1"/>
  <c r="L190" i="13"/>
  <c r="S190" i="13" s="1"/>
  <c r="T190" i="13" s="1"/>
  <c r="T189" i="13"/>
  <c r="F50" i="8"/>
  <c r="G50" i="8" s="1"/>
  <c r="C50" i="8"/>
  <c r="D50" i="8" s="1"/>
  <c r="B50" i="8" s="1"/>
  <c r="I191" i="13" l="1"/>
  <c r="J191" i="13" s="1"/>
  <c r="H191" i="13" s="1"/>
  <c r="L191" i="13"/>
  <c r="S191" i="13" s="1"/>
  <c r="T191" i="13" s="1"/>
  <c r="F51" i="8"/>
  <c r="G51" i="8" s="1"/>
  <c r="C51" i="8"/>
  <c r="D51" i="8" s="1"/>
  <c r="B51" i="8" s="1"/>
  <c r="L192" i="13" l="1"/>
  <c r="S192" i="13" s="1"/>
  <c r="I192" i="13"/>
  <c r="J192" i="13" s="1"/>
  <c r="H192" i="13" s="1"/>
  <c r="C52" i="8"/>
  <c r="D52" i="8" s="1"/>
  <c r="B52" i="8" s="1"/>
  <c r="F52" i="8"/>
  <c r="G52" i="8" s="1"/>
  <c r="I193" i="13" l="1"/>
  <c r="J193" i="13" s="1"/>
  <c r="H193" i="13" s="1"/>
  <c r="L193" i="13"/>
  <c r="S193" i="13" s="1"/>
  <c r="T193" i="13" s="1"/>
  <c r="T192" i="13"/>
  <c r="F53" i="8"/>
  <c r="G53" i="8" s="1"/>
  <c r="C53" i="8"/>
  <c r="D53" i="8" s="1"/>
  <c r="B53" i="8" s="1"/>
  <c r="I194" i="13" l="1"/>
  <c r="J194" i="13" s="1"/>
  <c r="H194" i="13" s="1"/>
  <c r="L194" i="13"/>
  <c r="S194" i="13" s="1"/>
  <c r="F54" i="8"/>
  <c r="G54" i="8" s="1"/>
  <c r="C54" i="8"/>
  <c r="D54" i="8" s="1"/>
  <c r="B54" i="8" s="1"/>
  <c r="T194" i="13" l="1"/>
  <c r="I195" i="13"/>
  <c r="J195" i="13" s="1"/>
  <c r="H195" i="13" s="1"/>
  <c r="L195" i="13"/>
  <c r="S195" i="13" s="1"/>
  <c r="T195" i="13" s="1"/>
  <c r="F55" i="8"/>
  <c r="G55" i="8" s="1"/>
  <c r="C55" i="8"/>
  <c r="D55" i="8" s="1"/>
  <c r="B55" i="8" s="1"/>
  <c r="L196" i="13" l="1"/>
  <c r="S196" i="13" s="1"/>
  <c r="I196" i="13"/>
  <c r="J196" i="13" s="1"/>
  <c r="H196" i="13" s="1"/>
  <c r="C56" i="8"/>
  <c r="D56" i="8" s="1"/>
  <c r="B56" i="8" s="1"/>
  <c r="F56" i="8"/>
  <c r="G56" i="8" s="1"/>
  <c r="L197" i="13" l="1"/>
  <c r="S197" i="13" s="1"/>
  <c r="I197" i="13"/>
  <c r="J197" i="13" s="1"/>
  <c r="H197" i="13" s="1"/>
  <c r="T196" i="13"/>
  <c r="F57" i="8"/>
  <c r="G57" i="8" s="1"/>
  <c r="C57" i="8"/>
  <c r="D57" i="8" s="1"/>
  <c r="B57" i="8" s="1"/>
  <c r="L198" i="13" l="1"/>
  <c r="S198" i="13" s="1"/>
  <c r="I198" i="13"/>
  <c r="J198" i="13" s="1"/>
  <c r="H198" i="13" s="1"/>
  <c r="T197" i="13"/>
  <c r="C58" i="8"/>
  <c r="D58" i="8" s="1"/>
  <c r="B58" i="8" s="1"/>
  <c r="F58" i="8"/>
  <c r="G58" i="8" s="1"/>
  <c r="T198" i="13" l="1"/>
  <c r="L199" i="13"/>
  <c r="S199" i="13" s="1"/>
  <c r="I199" i="13"/>
  <c r="J199" i="13" s="1"/>
  <c r="H199" i="13" s="1"/>
  <c r="C59" i="8"/>
  <c r="D59" i="8" s="1"/>
  <c r="B59" i="8" s="1"/>
  <c r="F59" i="8"/>
  <c r="G59" i="8" s="1"/>
  <c r="L200" i="13" l="1"/>
  <c r="S200" i="13" s="1"/>
  <c r="I200" i="13"/>
  <c r="J200" i="13" s="1"/>
  <c r="H200" i="13" s="1"/>
  <c r="T199" i="13"/>
  <c r="C60" i="8"/>
  <c r="D60" i="8" s="1"/>
  <c r="B60" i="8" s="1"/>
  <c r="F60" i="8"/>
  <c r="G60" i="8" s="1"/>
  <c r="L201" i="13" l="1"/>
  <c r="S201" i="13" s="1"/>
  <c r="I201" i="13"/>
  <c r="J201" i="13" s="1"/>
  <c r="H201" i="13" s="1"/>
  <c r="T200" i="13"/>
  <c r="C61" i="8"/>
  <c r="D61" i="8" s="1"/>
  <c r="B61" i="8" s="1"/>
  <c r="F61" i="8"/>
  <c r="G61" i="8" s="1"/>
  <c r="I202" i="13" l="1"/>
  <c r="J202" i="13" s="1"/>
  <c r="H202" i="13" s="1"/>
  <c r="L202" i="13"/>
  <c r="S202" i="13" s="1"/>
  <c r="T201" i="13"/>
  <c r="F62" i="8"/>
  <c r="G62" i="8" s="1"/>
  <c r="C62" i="8"/>
  <c r="D62" i="8" s="1"/>
  <c r="B62" i="8" s="1"/>
  <c r="T202" i="13" l="1"/>
  <c r="I203" i="13"/>
  <c r="J203" i="13" s="1"/>
  <c r="H203" i="13" s="1"/>
  <c r="L203" i="13"/>
  <c r="S203" i="13" s="1"/>
  <c r="T203" i="13" s="1"/>
  <c r="F63" i="8"/>
  <c r="G63" i="8" s="1"/>
  <c r="C63" i="8"/>
  <c r="D63" i="8" s="1"/>
  <c r="B63" i="8" s="1"/>
  <c r="I204" i="13" l="1"/>
  <c r="J204" i="13" s="1"/>
  <c r="H204" i="13" s="1"/>
  <c r="L204" i="13"/>
  <c r="S204" i="13" s="1"/>
  <c r="C64" i="8"/>
  <c r="D64" i="8" s="1"/>
  <c r="B64" i="8" s="1"/>
  <c r="F64" i="8"/>
  <c r="G64" i="8" s="1"/>
  <c r="L205" i="13" l="1"/>
  <c r="S205" i="13" s="1"/>
  <c r="I205" i="13"/>
  <c r="J205" i="13" s="1"/>
  <c r="H205" i="13" s="1"/>
  <c r="T204" i="13"/>
  <c r="C65" i="8"/>
  <c r="D65" i="8" s="1"/>
  <c r="B65" i="8" s="1"/>
  <c r="F65" i="8"/>
  <c r="G65" i="8" s="1"/>
  <c r="L206" i="13" l="1"/>
  <c r="S206" i="13" s="1"/>
  <c r="I206" i="13"/>
  <c r="J206" i="13" s="1"/>
  <c r="H206" i="13" s="1"/>
  <c r="T205" i="13"/>
  <c r="C66" i="8"/>
  <c r="D66" i="8" s="1"/>
  <c r="B66" i="8" s="1"/>
  <c r="F66" i="8"/>
  <c r="G66" i="8" s="1"/>
  <c r="I207" i="13" l="1"/>
  <c r="J207" i="13" s="1"/>
  <c r="H207" i="13" s="1"/>
  <c r="L207" i="13"/>
  <c r="S207" i="13" s="1"/>
  <c r="T206" i="13"/>
  <c r="C67" i="8"/>
  <c r="D67" i="8" s="1"/>
  <c r="B67" i="8" s="1"/>
  <c r="F67" i="8"/>
  <c r="G67" i="8" s="1"/>
  <c r="T207" i="13" l="1"/>
  <c r="L208" i="13"/>
  <c r="S208" i="13" s="1"/>
  <c r="I208" i="13"/>
  <c r="J208" i="13" s="1"/>
  <c r="H208" i="13" s="1"/>
  <c r="C68" i="8"/>
  <c r="D68" i="8" s="1"/>
  <c r="B68" i="8" s="1"/>
  <c r="F68" i="8"/>
  <c r="G68" i="8" s="1"/>
  <c r="L209" i="13" l="1"/>
  <c r="S209" i="13" s="1"/>
  <c r="I209" i="13"/>
  <c r="J209" i="13" s="1"/>
  <c r="H209" i="13" s="1"/>
  <c r="T208" i="13"/>
  <c r="F69" i="8"/>
  <c r="G69" i="8" s="1"/>
  <c r="C69" i="8"/>
  <c r="D69" i="8" s="1"/>
  <c r="B69" i="8" s="1"/>
  <c r="I210" i="13" l="1"/>
  <c r="J210" i="13" s="1"/>
  <c r="H210" i="13" s="1"/>
  <c r="L210" i="13"/>
  <c r="S210" i="13" s="1"/>
  <c r="T210" i="13" s="1"/>
  <c r="T209" i="13"/>
  <c r="F70" i="8"/>
  <c r="G70" i="8" s="1"/>
  <c r="C70" i="8"/>
  <c r="D70" i="8" s="1"/>
  <c r="B70" i="8" s="1"/>
  <c r="I211" i="13" l="1"/>
  <c r="J211" i="13" s="1"/>
  <c r="H211" i="13" s="1"/>
  <c r="L211" i="13"/>
  <c r="S211" i="13" s="1"/>
  <c r="F71" i="8"/>
  <c r="G71" i="8" s="1"/>
  <c r="C71" i="8"/>
  <c r="D71" i="8" s="1"/>
  <c r="B71" i="8" s="1"/>
  <c r="L212" i="13" l="1"/>
  <c r="S212" i="13" s="1"/>
  <c r="I212" i="13"/>
  <c r="J212" i="13" s="1"/>
  <c r="H212" i="13" s="1"/>
  <c r="T211" i="13"/>
  <c r="C72" i="8"/>
  <c r="D72" i="8" s="1"/>
  <c r="B72" i="8" s="1"/>
  <c r="F72" i="8"/>
  <c r="G72" i="8" s="1"/>
  <c r="I213" i="13" l="1"/>
  <c r="J213" i="13" s="1"/>
  <c r="H213" i="13" s="1"/>
  <c r="L213" i="13"/>
  <c r="S213" i="13" s="1"/>
  <c r="T213" i="13" s="1"/>
  <c r="T212" i="13"/>
  <c r="F73" i="8"/>
  <c r="G73" i="8" s="1"/>
  <c r="C73" i="8"/>
  <c r="D73" i="8" s="1"/>
  <c r="B73" i="8" s="1"/>
  <c r="I214" i="13" l="1"/>
  <c r="J214" i="13" s="1"/>
  <c r="H214" i="13" s="1"/>
  <c r="L214" i="13"/>
  <c r="S214" i="13" s="1"/>
  <c r="C74" i="8"/>
  <c r="D74" i="8" s="1"/>
  <c r="B74" i="8" s="1"/>
  <c r="F74" i="8"/>
  <c r="G74" i="8" s="1"/>
  <c r="T214" i="13" l="1"/>
  <c r="I215" i="13"/>
  <c r="J215" i="13" s="1"/>
  <c r="H215" i="13" s="1"/>
  <c r="L215" i="13"/>
  <c r="S215" i="13" s="1"/>
  <c r="T215" i="13" s="1"/>
  <c r="C75" i="8"/>
  <c r="D75" i="8" s="1"/>
  <c r="B75" i="8" s="1"/>
  <c r="F75" i="8"/>
  <c r="G75" i="8" s="1"/>
  <c r="I216" i="13" l="1"/>
  <c r="J216" i="13" s="1"/>
  <c r="H216" i="13" s="1"/>
  <c r="L216" i="13"/>
  <c r="S216" i="13" s="1"/>
  <c r="F76" i="8"/>
  <c r="G76" i="8" s="1"/>
  <c r="C76" i="8"/>
  <c r="D76" i="8" s="1"/>
  <c r="B76" i="8" s="1"/>
  <c r="T216" i="13" l="1"/>
  <c r="L217" i="13"/>
  <c r="S217" i="13" s="1"/>
  <c r="I217" i="13"/>
  <c r="J217" i="13" s="1"/>
  <c r="H217" i="13" s="1"/>
  <c r="C77" i="8"/>
  <c r="D77" i="8" s="1"/>
  <c r="B77" i="8" s="1"/>
  <c r="F77" i="8"/>
  <c r="G77" i="8" s="1"/>
  <c r="I218" i="13" l="1"/>
  <c r="J218" i="13" s="1"/>
  <c r="H218" i="13" s="1"/>
  <c r="L218" i="13"/>
  <c r="S218" i="13" s="1"/>
  <c r="T218" i="13" s="1"/>
  <c r="T217" i="13"/>
  <c r="F78" i="8"/>
  <c r="G78" i="8" s="1"/>
  <c r="C78" i="8"/>
  <c r="D78" i="8" s="1"/>
  <c r="B78" i="8" s="1"/>
  <c r="I219" i="13" l="1"/>
  <c r="J219" i="13" s="1"/>
  <c r="H219" i="13" s="1"/>
  <c r="L219" i="13"/>
  <c r="S219" i="13" s="1"/>
  <c r="T219" i="13" s="1"/>
  <c r="F79" i="8"/>
  <c r="G79" i="8" s="1"/>
  <c r="C79" i="8"/>
  <c r="D79" i="8" s="1"/>
  <c r="B79" i="8" s="1"/>
  <c r="I220" i="13" l="1"/>
  <c r="J220" i="13" s="1"/>
  <c r="H220" i="13" s="1"/>
  <c r="L220" i="13"/>
  <c r="S220" i="13" s="1"/>
  <c r="T220" i="13" s="1"/>
  <c r="F80" i="8"/>
  <c r="G80" i="8" s="1"/>
  <c r="C80" i="8"/>
  <c r="D80" i="8" s="1"/>
  <c r="B80" i="8" s="1"/>
  <c r="L221" i="13" l="1"/>
  <c r="S221" i="13" s="1"/>
  <c r="I221" i="13"/>
  <c r="J221" i="13" s="1"/>
  <c r="H221" i="13" s="1"/>
  <c r="F81" i="8"/>
  <c r="G81" i="8" s="1"/>
  <c r="C81" i="8"/>
  <c r="D81" i="8" s="1"/>
  <c r="B81" i="8" s="1"/>
  <c r="I222" i="13" l="1"/>
  <c r="J222" i="13" s="1"/>
  <c r="H222" i="13" s="1"/>
  <c r="L222" i="13"/>
  <c r="S222" i="13" s="1"/>
  <c r="T222" i="13" s="1"/>
  <c r="T221" i="13"/>
  <c r="F82" i="8"/>
  <c r="G82" i="8" s="1"/>
  <c r="C82" i="8"/>
  <c r="D82" i="8" s="1"/>
  <c r="B82" i="8" s="1"/>
  <c r="L223" i="13" l="1"/>
  <c r="S223" i="13" s="1"/>
  <c r="I223" i="13"/>
  <c r="J223" i="13" s="1"/>
  <c r="H223" i="13" s="1"/>
  <c r="F83" i="8"/>
  <c r="G83" i="8" s="1"/>
  <c r="C83" i="8"/>
  <c r="D83" i="8" s="1"/>
  <c r="B83" i="8" s="1"/>
  <c r="T223" i="13" l="1"/>
  <c r="L224" i="13"/>
  <c r="S224" i="13" s="1"/>
  <c r="I224" i="13"/>
  <c r="J224" i="13" s="1"/>
  <c r="H224" i="13" s="1"/>
  <c r="F84" i="8"/>
  <c r="G84" i="8" s="1"/>
  <c r="C84" i="8"/>
  <c r="D84" i="8" s="1"/>
  <c r="B84" i="8" s="1"/>
  <c r="L225" i="13" l="1"/>
  <c r="S225" i="13" s="1"/>
  <c r="I225" i="13"/>
  <c r="J225" i="13" s="1"/>
  <c r="H225" i="13" s="1"/>
  <c r="T224" i="13"/>
  <c r="F85" i="8"/>
  <c r="G85" i="8" s="1"/>
  <c r="C85" i="8"/>
  <c r="D85" i="8" s="1"/>
  <c r="B85" i="8" s="1"/>
  <c r="T225" i="13" l="1"/>
  <c r="I226" i="13"/>
  <c r="J226" i="13" s="1"/>
  <c r="H226" i="13" s="1"/>
  <c r="L226" i="13"/>
  <c r="S226" i="13" s="1"/>
  <c r="C86" i="8"/>
  <c r="D86" i="8" s="1"/>
  <c r="B86" i="8" s="1"/>
  <c r="F86" i="8"/>
  <c r="G86" i="8" s="1"/>
  <c r="T226" i="13" l="1"/>
  <c r="I227" i="13"/>
  <c r="J227" i="13" s="1"/>
  <c r="H227" i="13" s="1"/>
  <c r="L227" i="13"/>
  <c r="S227" i="13" s="1"/>
  <c r="T227" i="13" s="1"/>
  <c r="C87" i="8"/>
  <c r="D87" i="8" s="1"/>
  <c r="B87" i="8" s="1"/>
  <c r="F87" i="8"/>
  <c r="G87" i="8" s="1"/>
  <c r="L228" i="13" l="1"/>
  <c r="S228" i="13" s="1"/>
  <c r="I228" i="13"/>
  <c r="J228" i="13" s="1"/>
  <c r="H228" i="13" s="1"/>
  <c r="F88" i="8"/>
  <c r="G88" i="8" s="1"/>
  <c r="C88" i="8"/>
  <c r="D88" i="8" s="1"/>
  <c r="B88" i="8" s="1"/>
  <c r="L229" i="13" l="1"/>
  <c r="S229" i="13" s="1"/>
  <c r="I229" i="13"/>
  <c r="J229" i="13" s="1"/>
  <c r="H229" i="13" s="1"/>
  <c r="T228" i="13"/>
  <c r="C89" i="8"/>
  <c r="D89" i="8" s="1"/>
  <c r="B89" i="8" s="1"/>
  <c r="F89" i="8"/>
  <c r="G89" i="8" s="1"/>
  <c r="I230" i="13" l="1"/>
  <c r="J230" i="13" s="1"/>
  <c r="H230" i="13" s="1"/>
  <c r="L230" i="13"/>
  <c r="S230" i="13" s="1"/>
  <c r="T230" i="13" s="1"/>
  <c r="T229" i="13"/>
  <c r="F90" i="8"/>
  <c r="G90" i="8" s="1"/>
  <c r="C90" i="8"/>
  <c r="D90" i="8" s="1"/>
  <c r="B90" i="8" s="1"/>
  <c r="I231" i="13" l="1"/>
  <c r="J231" i="13" s="1"/>
  <c r="H231" i="13" s="1"/>
  <c r="L231" i="13"/>
  <c r="S231" i="13" s="1"/>
  <c r="C91" i="8"/>
  <c r="D91" i="8" s="1"/>
  <c r="B91" i="8" s="1"/>
  <c r="F91" i="8"/>
  <c r="G91" i="8" s="1"/>
  <c r="T231" i="13" l="1"/>
  <c r="L232" i="13"/>
  <c r="S232" i="13" s="1"/>
  <c r="I232" i="13"/>
  <c r="J232" i="13" s="1"/>
  <c r="H232" i="13" s="1"/>
  <c r="C92" i="8"/>
  <c r="D92" i="8" s="1"/>
  <c r="B92" i="8" s="1"/>
  <c r="F92" i="8"/>
  <c r="G92" i="8" s="1"/>
  <c r="I233" i="13" l="1"/>
  <c r="J233" i="13" s="1"/>
  <c r="H233" i="13" s="1"/>
  <c r="L233" i="13"/>
  <c r="S233" i="13" s="1"/>
  <c r="T232" i="13"/>
  <c r="F93" i="8"/>
  <c r="G93" i="8" s="1"/>
  <c r="C93" i="8"/>
  <c r="D93" i="8" s="1"/>
  <c r="B93" i="8" s="1"/>
  <c r="T233" i="13" l="1"/>
  <c r="I234" i="13"/>
  <c r="J234" i="13" s="1"/>
  <c r="H234" i="13" s="1"/>
  <c r="L234" i="13"/>
  <c r="S234" i="13" s="1"/>
  <c r="C94" i="8"/>
  <c r="D94" i="8" s="1"/>
  <c r="B94" i="8" s="1"/>
  <c r="F94" i="8"/>
  <c r="G94" i="8" s="1"/>
  <c r="T234" i="13" l="1"/>
  <c r="L235" i="13"/>
  <c r="S235" i="13" s="1"/>
  <c r="I235" i="13"/>
  <c r="J235" i="13" s="1"/>
  <c r="H235" i="13" s="1"/>
  <c r="F95" i="8"/>
  <c r="G95" i="8" s="1"/>
  <c r="C95" i="8"/>
  <c r="D95" i="8" s="1"/>
  <c r="B95" i="8" s="1"/>
  <c r="T235" i="13" l="1"/>
  <c r="L236" i="13"/>
  <c r="S236" i="13" s="1"/>
  <c r="I236" i="13"/>
  <c r="J236" i="13" s="1"/>
  <c r="H236" i="13" s="1"/>
  <c r="C96" i="8"/>
  <c r="D96" i="8" s="1"/>
  <c r="B96" i="8" s="1"/>
  <c r="F96" i="8"/>
  <c r="G96" i="8" s="1"/>
  <c r="I237" i="13" l="1"/>
  <c r="J237" i="13" s="1"/>
  <c r="H237" i="13" s="1"/>
  <c r="L237" i="13"/>
  <c r="S237" i="13" s="1"/>
  <c r="T237" i="13" s="1"/>
  <c r="T236" i="13"/>
  <c r="C97" i="8"/>
  <c r="D97" i="8" s="1"/>
  <c r="B97" i="8" s="1"/>
  <c r="F97" i="8"/>
  <c r="G97" i="8" s="1"/>
  <c r="L238" i="13" l="1"/>
  <c r="S238" i="13" s="1"/>
  <c r="I238" i="13"/>
  <c r="J238" i="13" s="1"/>
  <c r="H238" i="13" s="1"/>
  <c r="F98" i="8"/>
  <c r="G98" i="8" s="1"/>
  <c r="C98" i="8"/>
  <c r="D98" i="8" s="1"/>
  <c r="B98" i="8" s="1"/>
  <c r="T238" i="13" l="1"/>
  <c r="I239" i="13"/>
  <c r="J239" i="13" s="1"/>
  <c r="H239" i="13" s="1"/>
  <c r="L239" i="13"/>
  <c r="S239" i="13" s="1"/>
  <c r="F99" i="8"/>
  <c r="G99" i="8" s="1"/>
  <c r="C99" i="8"/>
  <c r="D99" i="8" s="1"/>
  <c r="B99" i="8" s="1"/>
  <c r="T239" i="13" l="1"/>
  <c r="I240" i="13"/>
  <c r="J240" i="13" s="1"/>
  <c r="H240" i="13" s="1"/>
  <c r="L240" i="13"/>
  <c r="S240" i="13" s="1"/>
  <c r="T240" i="13" s="1"/>
  <c r="F100" i="8"/>
  <c r="G100" i="8" s="1"/>
  <c r="C100" i="8"/>
  <c r="D100" i="8" s="1"/>
  <c r="B100" i="8" s="1"/>
  <c r="I241" i="13" l="1"/>
  <c r="J241" i="13" s="1"/>
  <c r="H241" i="13" s="1"/>
  <c r="L241" i="13"/>
  <c r="S241" i="13" s="1"/>
  <c r="F101" i="8"/>
  <c r="G101" i="8" s="1"/>
  <c r="C101" i="8"/>
  <c r="D101" i="8" s="1"/>
  <c r="B101" i="8" s="1"/>
  <c r="T241" i="13" l="1"/>
  <c r="L242" i="13"/>
  <c r="S242" i="13" s="1"/>
  <c r="I242" i="13"/>
  <c r="J242" i="13" s="1"/>
  <c r="H242" i="13" s="1"/>
  <c r="C102" i="8"/>
  <c r="D102" i="8" s="1"/>
  <c r="B102" i="8" s="1"/>
  <c r="F102" i="8"/>
  <c r="G102" i="8" s="1"/>
  <c r="T242" i="13" l="1"/>
  <c r="L243" i="13"/>
  <c r="S243" i="13" s="1"/>
  <c r="I243" i="13"/>
  <c r="J243" i="13" s="1"/>
  <c r="H243" i="13" s="1"/>
  <c r="F103" i="8"/>
  <c r="G103" i="8" s="1"/>
  <c r="C103" i="8"/>
  <c r="D103" i="8" s="1"/>
  <c r="B103" i="8" s="1"/>
  <c r="T243" i="13" l="1"/>
  <c r="I244" i="13"/>
  <c r="J244" i="13" s="1"/>
  <c r="H244" i="13" s="1"/>
  <c r="L244" i="13"/>
  <c r="S244" i="13" s="1"/>
  <c r="T244" i="13" s="1"/>
  <c r="F104" i="8"/>
  <c r="G104" i="8" s="1"/>
  <c r="C104" i="8"/>
  <c r="D104" i="8" s="1"/>
  <c r="B104" i="8" s="1"/>
  <c r="L245" i="13" l="1"/>
  <c r="S245" i="13" s="1"/>
  <c r="I245" i="13"/>
  <c r="J245" i="13" s="1"/>
  <c r="H245" i="13" s="1"/>
  <c r="F105" i="8"/>
  <c r="G105" i="8" s="1"/>
  <c r="C105" i="8"/>
  <c r="D105" i="8" s="1"/>
  <c r="B105" i="8" s="1"/>
  <c r="L246" i="13" l="1"/>
  <c r="S246" i="13" s="1"/>
  <c r="I246" i="13"/>
  <c r="J246" i="13" s="1"/>
  <c r="H246" i="13" s="1"/>
  <c r="T245" i="13"/>
  <c r="F106" i="8"/>
  <c r="G106" i="8" s="1"/>
  <c r="C106" i="8"/>
  <c r="D106" i="8" s="1"/>
  <c r="B106" i="8" s="1"/>
  <c r="L247" i="13" l="1"/>
  <c r="S247" i="13" s="1"/>
  <c r="I247" i="13"/>
  <c r="J247" i="13" s="1"/>
  <c r="H247" i="13" s="1"/>
  <c r="T246" i="13"/>
  <c r="C107" i="8"/>
  <c r="D107" i="8" s="1"/>
  <c r="B107" i="8" s="1"/>
  <c r="F107" i="8"/>
  <c r="G107" i="8" s="1"/>
  <c r="I248" i="13" l="1"/>
  <c r="J248" i="13" s="1"/>
  <c r="L248" i="13"/>
  <c r="S248" i="13" s="1"/>
  <c r="T248" i="13" s="1"/>
  <c r="H248" i="13"/>
  <c r="T247" i="13"/>
  <c r="F108" i="8"/>
  <c r="G108" i="8" s="1"/>
  <c r="C108" i="8"/>
  <c r="D108" i="8" s="1"/>
  <c r="B108" i="8" s="1"/>
  <c r="L249" i="13" l="1"/>
  <c r="S249" i="13" s="1"/>
  <c r="I249" i="13"/>
  <c r="J249" i="13" s="1"/>
  <c r="H249" i="13" s="1"/>
  <c r="C109" i="8"/>
  <c r="D109" i="8" s="1"/>
  <c r="B109" i="8" s="1"/>
  <c r="F109" i="8"/>
  <c r="G109" i="8" s="1"/>
  <c r="I250" i="13" l="1"/>
  <c r="J250" i="13" s="1"/>
  <c r="H250" i="13" s="1"/>
  <c r="L250" i="13"/>
  <c r="S250" i="13" s="1"/>
  <c r="T250" i="13" s="1"/>
  <c r="T249" i="13"/>
  <c r="C110" i="8"/>
  <c r="D110" i="8" s="1"/>
  <c r="B110" i="8" s="1"/>
  <c r="F110" i="8"/>
  <c r="G110" i="8" s="1"/>
  <c r="L251" i="13" l="1"/>
  <c r="S251" i="13" s="1"/>
  <c r="I251" i="13"/>
  <c r="J251" i="13" s="1"/>
  <c r="H251" i="13" s="1"/>
  <c r="C111" i="8"/>
  <c r="D111" i="8" s="1"/>
  <c r="B111" i="8" s="1"/>
  <c r="F111" i="8"/>
  <c r="G111" i="8" s="1"/>
  <c r="T251" i="13" l="1"/>
  <c r="I252" i="13"/>
  <c r="J252" i="13" s="1"/>
  <c r="H252" i="13" s="1"/>
  <c r="L252" i="13"/>
  <c r="S252" i="13" s="1"/>
  <c r="T252" i="13" s="1"/>
  <c r="F112" i="8"/>
  <c r="G112" i="8" s="1"/>
  <c r="C112" i="8"/>
  <c r="D112" i="8" s="1"/>
  <c r="B112" i="8" s="1"/>
  <c r="L253" i="13" l="1"/>
  <c r="S253" i="13" s="1"/>
  <c r="I253" i="13"/>
  <c r="J253" i="13" s="1"/>
  <c r="H253" i="13" s="1"/>
  <c r="F113" i="8"/>
  <c r="G113" i="8" s="1"/>
  <c r="C113" i="8"/>
  <c r="D113" i="8" s="1"/>
  <c r="B113" i="8" s="1"/>
  <c r="L254" i="13" l="1"/>
  <c r="S254" i="13" s="1"/>
  <c r="I254" i="13"/>
  <c r="J254" i="13" s="1"/>
  <c r="H254" i="13" s="1"/>
  <c r="T253" i="13"/>
  <c r="F114" i="8"/>
  <c r="G114" i="8" s="1"/>
  <c r="C114" i="8"/>
  <c r="D114" i="8" s="1"/>
  <c r="B114" i="8" s="1"/>
  <c r="T254" i="13" l="1"/>
  <c r="L255" i="13"/>
  <c r="S255" i="13" s="1"/>
  <c r="I255" i="13"/>
  <c r="J255" i="13" s="1"/>
  <c r="H255" i="13" s="1"/>
  <c r="F115" i="8"/>
  <c r="G115" i="8" s="1"/>
  <c r="C115" i="8"/>
  <c r="D115" i="8" s="1"/>
  <c r="B115" i="8" s="1"/>
  <c r="I256" i="13" l="1"/>
  <c r="J256" i="13" s="1"/>
  <c r="H256" i="13" s="1"/>
  <c r="L256" i="13"/>
  <c r="S256" i="13" s="1"/>
  <c r="T256" i="13" s="1"/>
  <c r="T255" i="13"/>
  <c r="C116" i="8"/>
  <c r="D116" i="8" s="1"/>
  <c r="B116" i="8" s="1"/>
  <c r="F116" i="8"/>
  <c r="G116" i="8" s="1"/>
  <c r="I257" i="13" l="1"/>
  <c r="J257" i="13" s="1"/>
  <c r="H257" i="13" s="1"/>
  <c r="L257" i="13"/>
  <c r="S257" i="13" s="1"/>
  <c r="F117" i="8"/>
  <c r="G117" i="8" s="1"/>
  <c r="C117" i="8"/>
  <c r="D117" i="8" s="1"/>
  <c r="B117" i="8" s="1"/>
  <c r="T257" i="13" l="1"/>
  <c r="L258" i="13"/>
  <c r="S258" i="13" s="1"/>
  <c r="I258" i="13"/>
  <c r="J258" i="13" s="1"/>
  <c r="H258" i="13" s="1"/>
  <c r="C118" i="8"/>
  <c r="D118" i="8" s="1"/>
  <c r="B118" i="8" s="1"/>
  <c r="F118" i="8"/>
  <c r="G118" i="8" s="1"/>
  <c r="T258" i="13" l="1"/>
  <c r="I259" i="13"/>
  <c r="J259" i="13" s="1"/>
  <c r="H259" i="13" s="1"/>
  <c r="L259" i="13"/>
  <c r="S259" i="13" s="1"/>
  <c r="C119" i="8"/>
  <c r="D119" i="8" s="1"/>
  <c r="B119" i="8" s="1"/>
  <c r="F119" i="8"/>
  <c r="G119" i="8" s="1"/>
  <c r="T259" i="13" l="1"/>
  <c r="I260" i="13"/>
  <c r="J260" i="13" s="1"/>
  <c r="H260" i="13" s="1"/>
  <c r="L260" i="13"/>
  <c r="S260" i="13" s="1"/>
  <c r="T260" i="13" s="1"/>
  <c r="C120" i="8"/>
  <c r="D120" i="8" s="1"/>
  <c r="B120" i="8" s="1"/>
  <c r="F120" i="8"/>
  <c r="G120" i="8" s="1"/>
  <c r="L261" i="13" l="1"/>
  <c r="S261" i="13" s="1"/>
  <c r="I261" i="13"/>
  <c r="J261" i="13" s="1"/>
  <c r="H261" i="13" s="1"/>
  <c r="F121" i="8"/>
  <c r="G121" i="8" s="1"/>
  <c r="C121" i="8"/>
  <c r="D121" i="8" s="1"/>
  <c r="B121" i="8" s="1"/>
  <c r="T261" i="13" l="1"/>
  <c r="I262" i="13"/>
  <c r="J262" i="13" s="1"/>
  <c r="H262" i="13" s="1"/>
  <c r="L262" i="13"/>
  <c r="S262" i="13" s="1"/>
  <c r="T262" i="13" s="1"/>
  <c r="F122" i="8"/>
  <c r="G122" i="8" s="1"/>
  <c r="C122" i="8"/>
  <c r="D122" i="8" s="1"/>
  <c r="B122" i="8" s="1"/>
  <c r="I263" i="13" l="1"/>
  <c r="J263" i="13" s="1"/>
  <c r="H263" i="13" s="1"/>
  <c r="L263" i="13"/>
  <c r="S263" i="13" s="1"/>
  <c r="T263" i="13" s="1"/>
  <c r="C123" i="8"/>
  <c r="D123" i="8" s="1"/>
  <c r="B123" i="8" s="1"/>
  <c r="F123" i="8"/>
  <c r="G123" i="8" s="1"/>
  <c r="I264" i="13" l="1"/>
  <c r="J264" i="13" s="1"/>
  <c r="L264" i="13"/>
  <c r="S264" i="13" s="1"/>
  <c r="T264" i="13" s="1"/>
  <c r="H264" i="13"/>
  <c r="L265" i="13" l="1"/>
  <c r="S265" i="13" s="1"/>
  <c r="I265" i="13"/>
  <c r="J265" i="13" s="1"/>
  <c r="H265" i="13" s="1"/>
  <c r="I266" i="13" l="1"/>
  <c r="J266" i="13" s="1"/>
  <c r="H266" i="13" s="1"/>
  <c r="L266" i="13"/>
  <c r="S266" i="13" s="1"/>
  <c r="T266" i="13" s="1"/>
  <c r="T265" i="13"/>
  <c r="I267" i="13" l="1"/>
  <c r="J267" i="13" s="1"/>
  <c r="H267" i="13" s="1"/>
  <c r="L267" i="13"/>
  <c r="S267" i="13" s="1"/>
  <c r="T267" i="13" l="1"/>
  <c r="L268" i="13"/>
  <c r="S268" i="13" s="1"/>
  <c r="I268" i="13"/>
  <c r="J268" i="13" s="1"/>
  <c r="H268" i="13" s="1"/>
  <c r="I269" i="13" l="1"/>
  <c r="J269" i="13" s="1"/>
  <c r="H269" i="13" s="1"/>
  <c r="L269" i="13"/>
  <c r="S269" i="13" s="1"/>
  <c r="T269" i="13" s="1"/>
  <c r="T268" i="13"/>
  <c r="I270" i="13" l="1"/>
  <c r="J270" i="13" s="1"/>
  <c r="H270" i="13" s="1"/>
  <c r="L270" i="13"/>
  <c r="S270" i="13" s="1"/>
  <c r="T270" i="13" s="1"/>
  <c r="L271" i="13" l="1"/>
  <c r="S271" i="13" s="1"/>
  <c r="I271" i="13"/>
  <c r="J271" i="13" s="1"/>
  <c r="H271" i="13" s="1"/>
  <c r="L272" i="13" l="1"/>
  <c r="S272" i="13" s="1"/>
  <c r="I272" i="13"/>
  <c r="J272" i="13" s="1"/>
  <c r="H272" i="13" s="1"/>
  <c r="T271" i="13"/>
  <c r="I273" i="13" l="1"/>
  <c r="J273" i="13" s="1"/>
  <c r="H273" i="13" s="1"/>
  <c r="L273" i="13"/>
  <c r="S273" i="13" s="1"/>
  <c r="T272" i="13"/>
  <c r="T273" i="13" l="1"/>
  <c r="I274" i="13"/>
  <c r="J274" i="13" s="1"/>
  <c r="H274" i="13" s="1"/>
  <c r="L274" i="13"/>
  <c r="S274" i="13" s="1"/>
  <c r="T274" i="13" s="1"/>
  <c r="L275" i="13" l="1"/>
  <c r="S275" i="13" s="1"/>
  <c r="I275" i="13"/>
  <c r="J275" i="13" s="1"/>
  <c r="H275" i="13" s="1"/>
  <c r="I276" i="13" l="1"/>
  <c r="J276" i="13" s="1"/>
  <c r="H276" i="13" s="1"/>
  <c r="L276" i="13"/>
  <c r="S276" i="13" s="1"/>
  <c r="T275" i="13"/>
  <c r="T276" i="13" l="1"/>
  <c r="I277" i="13"/>
  <c r="J277" i="13" s="1"/>
  <c r="H277" i="13" s="1"/>
  <c r="L277" i="13"/>
  <c r="S277" i="13" s="1"/>
  <c r="T277" i="13" s="1"/>
  <c r="L278" i="13" l="1"/>
  <c r="S278" i="13" s="1"/>
  <c r="I278" i="13"/>
  <c r="J278" i="13" s="1"/>
  <c r="H278" i="13" s="1"/>
  <c r="I279" i="13" l="1"/>
  <c r="J279" i="13" s="1"/>
  <c r="H279" i="13" s="1"/>
  <c r="L279" i="13"/>
  <c r="S279" i="13" s="1"/>
  <c r="T279" i="13" s="1"/>
  <c r="T278" i="13"/>
  <c r="I280" i="13" l="1"/>
  <c r="J280" i="13" s="1"/>
  <c r="H280" i="13" s="1"/>
  <c r="L280" i="13"/>
  <c r="S280" i="13" s="1"/>
  <c r="T280" i="13" s="1"/>
  <c r="L281" i="13" l="1"/>
  <c r="S281" i="13" s="1"/>
  <c r="I281" i="13"/>
  <c r="J281" i="13" s="1"/>
  <c r="H281" i="13" s="1"/>
  <c r="L282" i="13" l="1"/>
  <c r="S282" i="13" s="1"/>
  <c r="I282" i="13"/>
  <c r="J282" i="13" s="1"/>
  <c r="H282" i="13" s="1"/>
  <c r="T281" i="13"/>
  <c r="L283" i="13" l="1"/>
  <c r="S283" i="13" s="1"/>
  <c r="I283" i="13"/>
  <c r="J283" i="13" s="1"/>
  <c r="H283" i="13" s="1"/>
  <c r="T282" i="13"/>
  <c r="I284" i="13" l="1"/>
  <c r="J284" i="13" s="1"/>
  <c r="H284" i="13" s="1"/>
  <c r="L284" i="13"/>
  <c r="S284" i="13" s="1"/>
  <c r="T284" i="13" s="1"/>
  <c r="T283" i="13"/>
  <c r="I285" i="13" l="1"/>
  <c r="J285" i="13" s="1"/>
  <c r="H285" i="13" s="1"/>
  <c r="L285" i="13"/>
  <c r="S285" i="13" s="1"/>
  <c r="T285" i="13" s="1"/>
  <c r="L286" i="13" l="1"/>
  <c r="S286" i="13" s="1"/>
  <c r="I286" i="13"/>
  <c r="J286" i="13" s="1"/>
  <c r="H286" i="13" s="1"/>
  <c r="T286" i="13" l="1"/>
  <c r="L287" i="13"/>
  <c r="S287" i="13" s="1"/>
  <c r="I287" i="13"/>
  <c r="J287" i="13" s="1"/>
  <c r="H287" i="13" s="1"/>
  <c r="I288" i="13" l="1"/>
  <c r="J288" i="13" s="1"/>
  <c r="H288" i="13" s="1"/>
  <c r="L288" i="13"/>
  <c r="S288" i="13" s="1"/>
  <c r="T288" i="13" s="1"/>
  <c r="T287" i="13"/>
  <c r="I289" i="13" l="1"/>
  <c r="J289" i="13" s="1"/>
  <c r="H289" i="13" s="1"/>
  <c r="L289" i="13"/>
  <c r="S289" i="13" s="1"/>
  <c r="T289" i="13" s="1"/>
  <c r="L290" i="13" l="1"/>
  <c r="S290" i="13" s="1"/>
  <c r="I290" i="13"/>
  <c r="J290" i="13" s="1"/>
  <c r="H290" i="13" s="1"/>
  <c r="L291" i="13" l="1"/>
  <c r="S291" i="13" s="1"/>
  <c r="I291" i="13"/>
  <c r="J291" i="13" s="1"/>
  <c r="H291" i="13" s="1"/>
  <c r="T290" i="13"/>
  <c r="I292" i="13" l="1"/>
  <c r="J292" i="13" s="1"/>
  <c r="H292" i="13" s="1"/>
  <c r="L292" i="13"/>
  <c r="S292" i="13" s="1"/>
  <c r="T292" i="13" s="1"/>
  <c r="T291" i="13"/>
  <c r="L293" i="13" l="1"/>
  <c r="S293" i="13" s="1"/>
  <c r="I293" i="13"/>
  <c r="J293" i="13" s="1"/>
  <c r="H293" i="13" s="1"/>
  <c r="T293" i="13" l="1"/>
  <c r="L294" i="13"/>
  <c r="S294" i="13" s="1"/>
  <c r="I294" i="13"/>
  <c r="J294" i="13" s="1"/>
  <c r="H294" i="13" s="1"/>
  <c r="L295" i="13" l="1"/>
  <c r="S295" i="13" s="1"/>
  <c r="I295" i="13"/>
  <c r="J295" i="13" s="1"/>
  <c r="H295" i="13" s="1"/>
  <c r="T294" i="13"/>
  <c r="T295" i="13" l="1"/>
  <c r="I296" i="13"/>
  <c r="J296" i="13" s="1"/>
  <c r="H296" i="13" s="1"/>
  <c r="L296" i="13"/>
  <c r="S296" i="13" s="1"/>
  <c r="T296" i="13" s="1"/>
  <c r="L297" i="13" l="1"/>
  <c r="S297" i="13" s="1"/>
  <c r="I297" i="13"/>
  <c r="J297" i="13" s="1"/>
  <c r="H297" i="13" s="1"/>
  <c r="T297" i="13" l="1"/>
  <c r="L298" i="13"/>
  <c r="S298" i="13" s="1"/>
  <c r="I298" i="13"/>
  <c r="J298" i="13" s="1"/>
  <c r="H298" i="13" s="1"/>
  <c r="I299" i="13" l="1"/>
  <c r="J299" i="13" s="1"/>
  <c r="H299" i="13" s="1"/>
  <c r="L299" i="13"/>
  <c r="S299" i="13" s="1"/>
  <c r="T299" i="13" s="1"/>
  <c r="T298" i="13"/>
  <c r="I300" i="13" l="1"/>
  <c r="J300" i="13" s="1"/>
  <c r="H300" i="13" s="1"/>
  <c r="L300" i="13"/>
  <c r="S300" i="13" s="1"/>
  <c r="T300" i="13" l="1"/>
  <c r="I301" i="13"/>
  <c r="J301" i="13" s="1"/>
  <c r="H301" i="13" s="1"/>
  <c r="L301" i="13"/>
  <c r="S301" i="13" s="1"/>
  <c r="T301" i="13" s="1"/>
  <c r="I302" i="13" l="1"/>
  <c r="J302" i="13" s="1"/>
  <c r="H302" i="13" s="1"/>
  <c r="L302" i="13"/>
  <c r="S302" i="13" s="1"/>
  <c r="T302" i="13" s="1"/>
  <c r="L303" i="13" l="1"/>
  <c r="S303" i="13" s="1"/>
  <c r="I303" i="13"/>
  <c r="J303" i="13" s="1"/>
  <c r="H303" i="13" s="1"/>
  <c r="L304" i="13" l="1"/>
  <c r="S304" i="13" s="1"/>
  <c r="I304" i="13"/>
  <c r="J304" i="13" s="1"/>
  <c r="H304" i="13" s="1"/>
  <c r="T303" i="13"/>
  <c r="L305" i="13" l="1"/>
  <c r="S305" i="13" s="1"/>
  <c r="I305" i="13"/>
  <c r="J305" i="13" s="1"/>
  <c r="H305" i="13" s="1"/>
  <c r="T304" i="13"/>
  <c r="T305" i="13" l="1"/>
  <c r="L306" i="13"/>
  <c r="S306" i="13" s="1"/>
  <c r="I306" i="13"/>
  <c r="J306" i="13" s="1"/>
  <c r="H306" i="13" s="1"/>
  <c r="I307" i="13" l="1"/>
  <c r="J307" i="13" s="1"/>
  <c r="H307" i="13" s="1"/>
  <c r="L307" i="13"/>
  <c r="S307" i="13" s="1"/>
  <c r="T307" i="13" s="1"/>
  <c r="T306" i="13"/>
  <c r="I308" i="13" l="1"/>
  <c r="J308" i="13" s="1"/>
  <c r="H308" i="13" s="1"/>
  <c r="L308" i="13"/>
  <c r="S308" i="13" s="1"/>
  <c r="T308" i="13" l="1"/>
  <c r="I309" i="13"/>
  <c r="J309" i="13" s="1"/>
  <c r="H309" i="13" s="1"/>
  <c r="L309" i="13"/>
  <c r="S309" i="13" s="1"/>
  <c r="T309" i="13" s="1"/>
  <c r="I310" i="13" l="1"/>
  <c r="J310" i="13" s="1"/>
  <c r="H310" i="13" s="1"/>
  <c r="L310" i="13"/>
  <c r="S310" i="13" s="1"/>
  <c r="T310" i="13" s="1"/>
  <c r="I311" i="13" l="1"/>
  <c r="J311" i="13" s="1"/>
  <c r="H311" i="13" s="1"/>
  <c r="L311" i="13"/>
  <c r="S311" i="13" s="1"/>
  <c r="T311" i="13" l="1"/>
  <c r="I312" i="13"/>
  <c r="J312" i="13" s="1"/>
  <c r="H312" i="13" s="1"/>
  <c r="L312" i="13"/>
  <c r="S312" i="13" s="1"/>
  <c r="T312" i="13" s="1"/>
  <c r="I313" i="13" l="1"/>
  <c r="J313" i="13" s="1"/>
  <c r="H313" i="13" s="1"/>
  <c r="L313" i="13"/>
  <c r="S313" i="13" s="1"/>
  <c r="T313" i="13" s="1"/>
  <c r="I314" i="13" l="1"/>
  <c r="J314" i="13" s="1"/>
  <c r="H314" i="13" s="1"/>
  <c r="L314" i="13"/>
  <c r="S314" i="13" s="1"/>
  <c r="T314" i="13" s="1"/>
  <c r="I315" i="13" l="1"/>
  <c r="J315" i="13" s="1"/>
  <c r="H315" i="13" s="1"/>
  <c r="L315" i="13"/>
  <c r="S315" i="13" s="1"/>
  <c r="T315" i="13" s="1"/>
  <c r="L316" i="13" l="1"/>
  <c r="S316" i="13" s="1"/>
  <c r="I316" i="13"/>
  <c r="J316" i="13" s="1"/>
  <c r="H316" i="13" s="1"/>
  <c r="T316" i="13" l="1"/>
  <c r="L317" i="13"/>
  <c r="S317" i="13" s="1"/>
  <c r="I317" i="13"/>
  <c r="J317" i="13" s="1"/>
  <c r="H317" i="13" s="1"/>
  <c r="I318" i="13" l="1"/>
  <c r="J318" i="13" s="1"/>
  <c r="H318" i="13" s="1"/>
  <c r="L318" i="13"/>
  <c r="S318" i="13" s="1"/>
  <c r="T318" i="13" s="1"/>
  <c r="T317" i="13"/>
  <c r="L319" i="13" l="1"/>
  <c r="S319" i="13" s="1"/>
  <c r="I319" i="13"/>
  <c r="J319" i="13" s="1"/>
  <c r="H319" i="13" s="1"/>
  <c r="T319" i="13" l="1"/>
  <c r="L320" i="13"/>
  <c r="S320" i="13" s="1"/>
  <c r="I320" i="13"/>
  <c r="J320" i="13" s="1"/>
  <c r="H320" i="13" s="1"/>
  <c r="I321" i="13" l="1"/>
  <c r="J321" i="13" s="1"/>
  <c r="H321" i="13" s="1"/>
  <c r="L321" i="13"/>
  <c r="S321" i="13" s="1"/>
  <c r="T321" i="13" s="1"/>
  <c r="T320" i="13"/>
  <c r="I322" i="13" l="1"/>
  <c r="J322" i="13" s="1"/>
  <c r="H322" i="13" s="1"/>
  <c r="L322" i="13"/>
  <c r="S322" i="13" s="1"/>
  <c r="T322" i="13" s="1"/>
  <c r="L323" i="13" l="1"/>
  <c r="S323" i="13" s="1"/>
  <c r="I323" i="13"/>
  <c r="J323" i="13" s="1"/>
  <c r="H323" i="13" s="1"/>
  <c r="T323" i="13" l="1"/>
  <c r="L324" i="13"/>
  <c r="S324" i="13" s="1"/>
  <c r="I324" i="13"/>
  <c r="J324" i="13" s="1"/>
  <c r="H324" i="13" s="1"/>
  <c r="L325" i="13" l="1"/>
  <c r="S325" i="13" s="1"/>
  <c r="I325" i="13"/>
  <c r="J325" i="13" s="1"/>
  <c r="H325" i="13" s="1"/>
  <c r="T324" i="13"/>
  <c r="I326" i="13" l="1"/>
  <c r="J326" i="13" s="1"/>
  <c r="H326" i="13" s="1"/>
  <c r="L326" i="13"/>
  <c r="S326" i="13" s="1"/>
  <c r="T325" i="13"/>
  <c r="T326" i="13" l="1"/>
  <c r="I327" i="13"/>
  <c r="J327" i="13" s="1"/>
  <c r="H327" i="13" s="1"/>
  <c r="L327" i="13"/>
  <c r="S327" i="13" s="1"/>
  <c r="T327" i="13" l="1"/>
  <c r="L328" i="13"/>
  <c r="S328" i="13" s="1"/>
  <c r="I328" i="13"/>
  <c r="J328" i="13" s="1"/>
  <c r="H328" i="13" s="1"/>
  <c r="L329" i="13" l="1"/>
  <c r="S329" i="13" s="1"/>
  <c r="I329" i="13"/>
  <c r="J329" i="13" s="1"/>
  <c r="H329" i="13" s="1"/>
  <c r="T328" i="13"/>
  <c r="I330" i="13" l="1"/>
  <c r="J330" i="13" s="1"/>
  <c r="H330" i="13" s="1"/>
  <c r="L330" i="13"/>
  <c r="S330" i="13" s="1"/>
  <c r="T330" i="13" s="1"/>
  <c r="T329" i="13"/>
  <c r="I331" i="13" l="1"/>
  <c r="J331" i="13" s="1"/>
  <c r="H331" i="13" s="1"/>
  <c r="L331" i="13"/>
  <c r="S331" i="13" s="1"/>
  <c r="T331" i="13" s="1"/>
  <c r="L332" i="13" l="1"/>
  <c r="S332" i="13" s="1"/>
  <c r="I332" i="13"/>
  <c r="J332" i="13" s="1"/>
  <c r="H332" i="13" s="1"/>
  <c r="T332" i="13" l="1"/>
  <c r="L333" i="13"/>
  <c r="S333" i="13" s="1"/>
  <c r="I333" i="13"/>
  <c r="J333" i="13" s="1"/>
  <c r="H333" i="13" s="1"/>
  <c r="T333" i="13" l="1"/>
  <c r="L334" i="13"/>
  <c r="S334" i="13" s="1"/>
  <c r="I334" i="13"/>
  <c r="J334" i="13" s="1"/>
  <c r="H334" i="13" s="1"/>
  <c r="T334" i="13" l="1"/>
  <c r="L335" i="13"/>
  <c r="S335" i="13" s="1"/>
  <c r="I335" i="13"/>
  <c r="J335" i="13" s="1"/>
  <c r="H335" i="13" s="1"/>
  <c r="T335" i="13" l="1"/>
  <c r="I336" i="13"/>
  <c r="J336" i="13" s="1"/>
  <c r="H336" i="13" s="1"/>
  <c r="L336" i="13"/>
  <c r="S336" i="13" s="1"/>
  <c r="T336" i="13" s="1"/>
  <c r="I337" i="13" l="1"/>
  <c r="J337" i="13" s="1"/>
  <c r="H337" i="13" s="1"/>
  <c r="L337" i="13"/>
  <c r="S337" i="13" s="1"/>
  <c r="T337" i="13" l="1"/>
  <c r="L338" i="13"/>
  <c r="S338" i="13" s="1"/>
  <c r="I338" i="13"/>
  <c r="J338" i="13" s="1"/>
  <c r="H338" i="13" s="1"/>
  <c r="L339" i="13" l="1"/>
  <c r="S339" i="13" s="1"/>
  <c r="I339" i="13"/>
  <c r="J339" i="13" s="1"/>
  <c r="H339" i="13" s="1"/>
  <c r="T338" i="13"/>
  <c r="L340" i="13" l="1"/>
  <c r="S340" i="13" s="1"/>
  <c r="I340" i="13"/>
  <c r="J340" i="13" s="1"/>
  <c r="H340" i="13" s="1"/>
  <c r="T339" i="13"/>
  <c r="I341" i="13" l="1"/>
  <c r="J341" i="13" s="1"/>
  <c r="H341" i="13" s="1"/>
  <c r="L341" i="13"/>
  <c r="S341" i="13" s="1"/>
  <c r="T341" i="13" s="1"/>
  <c r="T340" i="13"/>
  <c r="I342" i="13" l="1"/>
  <c r="J342" i="13" s="1"/>
  <c r="H342" i="13" s="1"/>
  <c r="L342" i="13"/>
  <c r="S342" i="13" s="1"/>
  <c r="T342" i="13" s="1"/>
  <c r="I343" i="13" l="1"/>
  <c r="J343" i="13" s="1"/>
  <c r="H343" i="13" s="1"/>
  <c r="L343" i="13"/>
  <c r="S343" i="13" s="1"/>
  <c r="T343" i="13" s="1"/>
  <c r="L344" i="13" l="1"/>
  <c r="S344" i="13" s="1"/>
  <c r="I344" i="13"/>
  <c r="J344" i="13" s="1"/>
  <c r="H344" i="13" s="1"/>
  <c r="I345" i="13" l="1"/>
  <c r="J345" i="13" s="1"/>
  <c r="H345" i="13" s="1"/>
  <c r="L345" i="13"/>
  <c r="S345" i="13" s="1"/>
  <c r="T345" i="13" s="1"/>
  <c r="T344" i="13"/>
  <c r="I346" i="13" l="1"/>
  <c r="J346" i="13" s="1"/>
  <c r="H346" i="13" s="1"/>
  <c r="L346" i="13"/>
  <c r="S346" i="13" s="1"/>
  <c r="T346" i="13" l="1"/>
  <c r="L347" i="13"/>
  <c r="S347" i="13" s="1"/>
  <c r="I347" i="13"/>
  <c r="J347" i="13" s="1"/>
  <c r="H347" i="13" s="1"/>
  <c r="I348" i="13" l="1"/>
  <c r="J348" i="13" s="1"/>
  <c r="H348" i="13" s="1"/>
  <c r="L348" i="13"/>
  <c r="S348" i="13" s="1"/>
  <c r="T348" i="13" s="1"/>
  <c r="T347" i="13"/>
  <c r="L349" i="13" l="1"/>
  <c r="S349" i="13" s="1"/>
  <c r="I349" i="13"/>
  <c r="J349" i="13" s="1"/>
  <c r="H349" i="13" s="1"/>
  <c r="I350" i="13" l="1"/>
  <c r="J350" i="13" s="1"/>
  <c r="H350" i="13" s="1"/>
  <c r="L350" i="13"/>
  <c r="S350" i="13" s="1"/>
  <c r="T350" i="13" s="1"/>
  <c r="T349" i="13"/>
  <c r="I351" i="13" l="1"/>
  <c r="J351" i="13" s="1"/>
  <c r="H351" i="13" s="1"/>
  <c r="L351" i="13"/>
  <c r="S351" i="13" s="1"/>
  <c r="T351" i="13" s="1"/>
  <c r="I352" i="13" l="1"/>
  <c r="J352" i="13" s="1"/>
  <c r="H352" i="13" s="1"/>
  <c r="L352" i="13"/>
  <c r="S352" i="13" s="1"/>
  <c r="T352" i="13" s="1"/>
  <c r="I353" i="13" l="1"/>
  <c r="J353" i="13" s="1"/>
  <c r="H353" i="13" s="1"/>
  <c r="L353" i="13"/>
  <c r="S353" i="13" s="1"/>
  <c r="T353" i="13" l="1"/>
  <c r="L354" i="13"/>
  <c r="S354" i="13" s="1"/>
  <c r="I354" i="13"/>
  <c r="J354" i="13" s="1"/>
  <c r="H354" i="13" s="1"/>
  <c r="I355" i="13" l="1"/>
  <c r="J355" i="13" s="1"/>
  <c r="H355" i="13" s="1"/>
  <c r="L355" i="13"/>
  <c r="S355" i="13" s="1"/>
  <c r="T355" i="13" s="1"/>
  <c r="T354" i="13"/>
  <c r="I356" i="13" l="1"/>
  <c r="J356" i="13" s="1"/>
  <c r="H356" i="13" s="1"/>
  <c r="L356" i="13"/>
  <c r="S356" i="13" s="1"/>
  <c r="T356" i="13" s="1"/>
  <c r="L357" i="13" l="1"/>
  <c r="S357" i="13" s="1"/>
  <c r="I357" i="13"/>
  <c r="J357" i="13" s="1"/>
  <c r="H357" i="13" s="1"/>
  <c r="I358" i="13" l="1"/>
  <c r="J358" i="13" s="1"/>
  <c r="H358" i="13" s="1"/>
  <c r="L358" i="13"/>
  <c r="S358" i="13" s="1"/>
  <c r="T358" i="13" s="1"/>
  <c r="T357" i="13"/>
  <c r="L359" i="13" l="1"/>
  <c r="S359" i="13" s="1"/>
  <c r="I359" i="13"/>
  <c r="J359" i="13" s="1"/>
  <c r="H359" i="13" s="1"/>
  <c r="T359" i="13" l="1"/>
  <c r="I360" i="13"/>
  <c r="J360" i="13" s="1"/>
  <c r="H360" i="13" s="1"/>
  <c r="L360" i="13"/>
  <c r="S360" i="13" s="1"/>
  <c r="T360" i="13" l="1"/>
  <c r="I361" i="13"/>
  <c r="J361" i="13" s="1"/>
  <c r="H361" i="13" s="1"/>
  <c r="L361" i="13"/>
  <c r="S361" i="13" s="1"/>
  <c r="T361" i="13" s="1"/>
  <c r="I362" i="13" l="1"/>
  <c r="J362" i="13" s="1"/>
  <c r="H362" i="13" s="1"/>
  <c r="L362" i="13"/>
  <c r="S362" i="13" s="1"/>
  <c r="T362" i="13" s="1"/>
  <c r="L363" i="13" l="1"/>
  <c r="S363" i="13" s="1"/>
  <c r="E34" i="13" s="1"/>
  <c r="E35" i="13" s="1"/>
  <c r="I363" i="13"/>
  <c r="J363" i="13" s="1"/>
  <c r="H363" i="13" s="1"/>
  <c r="T363" i="1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<sst xmlns="http://schemas.openxmlformats.org/spreadsheetml/2006/main" count="1498" uniqueCount="787">
  <si>
    <t>Skatteberegningsprogram - enlig</t>
  </si>
  <si>
    <t>År 2025</t>
  </si>
  <si>
    <t>Person</t>
  </si>
  <si>
    <t>Privat indskud på ratepension (og ophørende livrente)</t>
  </si>
  <si>
    <t>Beregnings-grundlag</t>
  </si>
  <si>
    <t>Beregnet skat</t>
  </si>
  <si>
    <t>Privat indskud på livrente</t>
  </si>
  <si>
    <t>Beregning af skat</t>
  </si>
  <si>
    <t>Procent</t>
  </si>
  <si>
    <t>Fradrag</t>
  </si>
  <si>
    <t>Alder</t>
  </si>
  <si>
    <t>Bundskat</t>
  </si>
  <si>
    <t>Har fri telefon (ja/nej)</t>
  </si>
  <si>
    <t>nej</t>
  </si>
  <si>
    <t>Topskat</t>
  </si>
  <si>
    <t>Fagforening</t>
  </si>
  <si>
    <t>Sundhedsbidrag</t>
  </si>
  <si>
    <t>A-kasse og efterløn</t>
  </si>
  <si>
    <t>Kommuneskat</t>
  </si>
  <si>
    <t>Antal km til arbejde (tur/retur)</t>
  </si>
  <si>
    <t>Kirkeskat</t>
  </si>
  <si>
    <t>Antal arbejdsdage</t>
  </si>
  <si>
    <t>Medlem af Folkekirken (ja/nej)</t>
  </si>
  <si>
    <t>Vælg Kommune</t>
  </si>
  <si>
    <t>Albertslund</t>
  </si>
  <si>
    <t>Evt skattetillæg af neg. KI under 50.000</t>
  </si>
  <si>
    <t>Kommuneskattesats</t>
  </si>
  <si>
    <t>Evt. nedslag i topskatten (lønindkomst)</t>
  </si>
  <si>
    <t>Kirkeskattesats</t>
  </si>
  <si>
    <t>Evt. nedslag i topskatten (kapitalindkomst)</t>
  </si>
  <si>
    <t>Grundskyldssats</t>
  </si>
  <si>
    <t>Ejendomsværdi (offentlig)</t>
  </si>
  <si>
    <t>Grundværdi (offentlig)</t>
  </si>
  <si>
    <r>
      <t>Evt skatterabat (</t>
    </r>
    <r>
      <rPr>
        <i/>
        <sz val="10"/>
        <rFont val="Arial"/>
        <family val="2"/>
      </rPr>
      <t>bolig købt før 1.jan.2024</t>
    </r>
    <r>
      <rPr>
        <sz val="10"/>
        <rFont val="Arial"/>
        <family val="2"/>
      </rPr>
      <t>)</t>
    </r>
  </si>
  <si>
    <t>Indkomstskat i alt (incl. AM-bidrag)</t>
  </si>
  <si>
    <t>Ejendomsværdiskat</t>
  </si>
  <si>
    <r>
      <t>Lønindkomst    (</t>
    </r>
    <r>
      <rPr>
        <b/>
        <i/>
        <sz val="8"/>
        <rFont val="Arial"/>
        <family val="2"/>
      </rPr>
      <t>efter evt. ATP</t>
    </r>
    <r>
      <rPr>
        <b/>
        <sz val="10"/>
        <rFont val="Arial"/>
        <family val="2"/>
      </rPr>
      <t>)</t>
    </r>
  </si>
  <si>
    <t>Grundskyld</t>
  </si>
  <si>
    <r>
      <t xml:space="preserve">  arbejdsgiverpensionsordning %   (</t>
    </r>
    <r>
      <rPr>
        <i/>
        <sz val="8"/>
        <rFont val="Arial"/>
        <family val="2"/>
      </rPr>
      <t>kun eget indskud</t>
    </r>
    <r>
      <rPr>
        <sz val="10"/>
        <rFont val="Arial"/>
        <family val="2"/>
      </rPr>
      <t>)</t>
    </r>
  </si>
  <si>
    <t>Skatterabat</t>
  </si>
  <si>
    <r>
      <t>- arbejdsgiverpensionsordning DKK   (</t>
    </r>
    <r>
      <rPr>
        <i/>
        <sz val="8"/>
        <rFont val="Arial"/>
        <family val="2"/>
      </rPr>
      <t>kun eget indskud</t>
    </r>
    <r>
      <rPr>
        <sz val="10"/>
        <rFont val="Arial"/>
        <family val="2"/>
      </rPr>
      <t>)</t>
    </r>
  </si>
  <si>
    <t>+ anden AM-pligtig indkomst</t>
  </si>
  <si>
    <t>Skat i alt</t>
  </si>
  <si>
    <t>+ fri telefon</t>
  </si>
  <si>
    <t>= Beregningsgrundlag for AM-bidrag</t>
  </si>
  <si>
    <t>Udbetalt efter skat</t>
  </si>
  <si>
    <t>- AM-bidrag</t>
  </si>
  <si>
    <t>Pr. år</t>
  </si>
  <si>
    <t>Pr. måned</t>
  </si>
  <si>
    <r>
      <t>+ Ikke AM-pligtig indkomst (</t>
    </r>
    <r>
      <rPr>
        <i/>
        <sz val="9"/>
        <rFont val="Arial"/>
        <family val="2"/>
      </rPr>
      <t>SU, dagpenge, pension etc.</t>
    </r>
    <r>
      <rPr>
        <sz val="10"/>
        <rFont val="Arial"/>
        <family val="2"/>
      </rPr>
      <t>)</t>
    </r>
  </si>
  <si>
    <t>Lønindkomst</t>
  </si>
  <si>
    <r>
      <t>- Eget indskud på ratepension    (</t>
    </r>
    <r>
      <rPr>
        <b/>
        <i/>
        <sz val="8"/>
        <rFont val="Arial"/>
        <family val="2"/>
      </rPr>
      <t>husk</t>
    </r>
    <r>
      <rPr>
        <i/>
        <sz val="8"/>
        <rFont val="Arial"/>
        <family val="2"/>
      </rPr>
      <t xml:space="preserve"> også at indtaste i budget</t>
    </r>
    <r>
      <rPr>
        <sz val="10"/>
        <rFont val="Arial"/>
        <family val="2"/>
      </rPr>
      <t>)</t>
    </r>
  </si>
  <si>
    <t>- arbejdsgiver pensionsordning</t>
  </si>
  <si>
    <r>
      <t>- Eget indskud på livrente    (</t>
    </r>
    <r>
      <rPr>
        <b/>
        <i/>
        <sz val="8"/>
        <rFont val="Arial"/>
        <family val="2"/>
      </rPr>
      <t>husk</t>
    </r>
    <r>
      <rPr>
        <i/>
        <sz val="8"/>
        <rFont val="Arial"/>
        <family val="2"/>
      </rPr>
      <t xml:space="preserve"> også at indtaste i budget</t>
    </r>
    <r>
      <rPr>
        <sz val="10"/>
        <rFont val="Arial"/>
        <family val="2"/>
      </rPr>
      <t>)</t>
    </r>
  </si>
  <si>
    <t>- skat</t>
  </si>
  <si>
    <t>= Personlig indkomst (PI)</t>
  </si>
  <si>
    <t>+ Renteindtægter</t>
  </si>
  <si>
    <t>-  Renteudgfter</t>
  </si>
  <si>
    <t>+ Kapitalindkomst (KI)  i alt</t>
  </si>
  <si>
    <t>Beskæftigelsesfradrag</t>
  </si>
  <si>
    <t>Jobfradrag</t>
  </si>
  <si>
    <t>Ekstra pensionsfradrag</t>
  </si>
  <si>
    <t>Fagforening, A-kasse og efterløn</t>
  </si>
  <si>
    <t>Befordring</t>
  </si>
  <si>
    <t>Andre ligningsmæssige fradrag</t>
  </si>
  <si>
    <t>- Ligningsmæssige fradrag i alt</t>
  </si>
  <si>
    <t>= Skattepligtig indkomst (SI)</t>
  </si>
  <si>
    <t>BEREGNINGSOMRÅDE (INDTAST IKKE NOGET)</t>
  </si>
  <si>
    <t>Person1</t>
  </si>
  <si>
    <t>sats</t>
  </si>
  <si>
    <t>dage</t>
  </si>
  <si>
    <t>km/dag</t>
  </si>
  <si>
    <t>min.</t>
  </si>
  <si>
    <t>frad./dag</t>
  </si>
  <si>
    <t>fradrag i alt</t>
  </si>
  <si>
    <t xml:space="preserve"> </t>
  </si>
  <si>
    <t>Befordring for km under standardgrænse</t>
  </si>
  <si>
    <t>Befordring for km over standardgrænse</t>
  </si>
  <si>
    <t>Samlet befordringsfradrag</t>
  </si>
  <si>
    <t>Evt. forhøjelser skal laves manuelt</t>
  </si>
  <si>
    <t>Ejendomsskatter</t>
  </si>
  <si>
    <t>Sats</t>
  </si>
  <si>
    <t>Høj sats</t>
  </si>
  <si>
    <t>Ejendomsværdi</t>
  </si>
  <si>
    <t>I alt</t>
  </si>
  <si>
    <t>Mellemregninger</t>
  </si>
  <si>
    <t>Person 1</t>
  </si>
  <si>
    <t>Værdi af personlig indkomst</t>
  </si>
  <si>
    <t>Værdi af personlig indkomst plus positiv kapitalindkomst</t>
  </si>
  <si>
    <t>Værdi af PI plus KI &gt; min grænse</t>
  </si>
  <si>
    <t>Positiv kapitalindkomst</t>
  </si>
  <si>
    <t>Positiv kapitalindkomst over min grænse</t>
  </si>
  <si>
    <t>Sum af skatteprocenter</t>
  </si>
  <si>
    <t>Topskatteberegningsgrundlag</t>
  </si>
  <si>
    <t xml:space="preserve"> - andel som vedrører lønindkomst</t>
  </si>
  <si>
    <t xml:space="preserve"> - andel som vedrører kapitalindkomst</t>
  </si>
  <si>
    <t>Skatteberegningsprogram - par</t>
  </si>
  <si>
    <t>Person 1, er den med højest indkomst</t>
  </si>
  <si>
    <t>Person 2</t>
  </si>
  <si>
    <t>Uudnyttet</t>
  </si>
  <si>
    <t>Udligning af KI til brug for bundskat</t>
  </si>
  <si>
    <t>KI</t>
  </si>
  <si>
    <t>P1</t>
  </si>
  <si>
    <t>P2</t>
  </si>
  <si>
    <t>person 2</t>
  </si>
  <si>
    <t xml:space="preserve">fradrag </t>
  </si>
  <si>
    <t>Person2</t>
  </si>
  <si>
    <t>Positiv kapitalindkomst over fælles min grænse</t>
  </si>
  <si>
    <t>Privatbudget - Par</t>
  </si>
  <si>
    <t>Indtægter</t>
  </si>
  <si>
    <t>jan</t>
  </si>
  <si>
    <t>feb</t>
  </si>
  <si>
    <t>mar</t>
  </si>
  <si>
    <t>apr</t>
  </si>
  <si>
    <t>maj</t>
  </si>
  <si>
    <t xml:space="preserve">juni </t>
  </si>
  <si>
    <t>juli</t>
  </si>
  <si>
    <t>aug</t>
  </si>
  <si>
    <t>sept</t>
  </si>
  <si>
    <t>okt</t>
  </si>
  <si>
    <t>nov</t>
  </si>
  <si>
    <t>dec</t>
  </si>
  <si>
    <t>TOTAL</t>
  </si>
  <si>
    <t>Løn, efter skat</t>
  </si>
  <si>
    <t>Renter/udbytte</t>
  </si>
  <si>
    <t>Børne- og ungeydelse</t>
  </si>
  <si>
    <t>Børnebidrag</t>
  </si>
  <si>
    <t>Børnetilskud</t>
  </si>
  <si>
    <t>Indtægter i alt</t>
  </si>
  <si>
    <t>Udgifter</t>
  </si>
  <si>
    <t>Bolig</t>
  </si>
  <si>
    <t>Husleje</t>
  </si>
  <si>
    <t>Banklån, ydelse efter skat</t>
  </si>
  <si>
    <t>Renovation</t>
  </si>
  <si>
    <t>Varme</t>
  </si>
  <si>
    <t>Elektricitet</t>
  </si>
  <si>
    <t>Vand</t>
  </si>
  <si>
    <t>Fællesudgifter</t>
  </si>
  <si>
    <t>Grundejerforening</t>
  </si>
  <si>
    <t>Vedligeholdelse</t>
  </si>
  <si>
    <t>Hus forsikring</t>
  </si>
  <si>
    <t>Diverse</t>
  </si>
  <si>
    <t>Bolig i alt</t>
  </si>
  <si>
    <t xml:space="preserve">Bil </t>
  </si>
  <si>
    <t>Forsikring</t>
  </si>
  <si>
    <t>Vægtafgift</t>
  </si>
  <si>
    <t>Benzin</t>
  </si>
  <si>
    <t>FDM</t>
  </si>
  <si>
    <t xml:space="preserve">Billån </t>
  </si>
  <si>
    <t>Vedligehold/reparation</t>
  </si>
  <si>
    <t>Biludgifter i alt</t>
  </si>
  <si>
    <t>Transport øvrig</t>
  </si>
  <si>
    <t>Offentlig transport</t>
  </si>
  <si>
    <t>Transport i alt</t>
  </si>
  <si>
    <t>Kommunikation/TV</t>
  </si>
  <si>
    <t>Fastnettelefon</t>
  </si>
  <si>
    <t>Mobiltelefon</t>
  </si>
  <si>
    <t>Internet</t>
  </si>
  <si>
    <t>Hybridnet/kabel-TV</t>
  </si>
  <si>
    <t xml:space="preserve">Kommun./TV i alt </t>
  </si>
  <si>
    <t>Forsikringer</t>
  </si>
  <si>
    <t>A-kasse</t>
  </si>
  <si>
    <t>Familieforsikring</t>
  </si>
  <si>
    <t>Ulykkesforsikring</t>
  </si>
  <si>
    <t>Sygeforsikring Danmark</t>
  </si>
  <si>
    <t>Receptpligtig medecin</t>
  </si>
  <si>
    <t>Forsikringer i alt</t>
  </si>
  <si>
    <t>Børneudgifter</t>
  </si>
  <si>
    <t>SFO</t>
  </si>
  <si>
    <t>Vuggestue/børnehave</t>
  </si>
  <si>
    <t>Transport</t>
  </si>
  <si>
    <t>Skoleudgifter</t>
  </si>
  <si>
    <t>Børneudgifter i alt</t>
  </si>
  <si>
    <t>Gældsforpligtelser</t>
  </si>
  <si>
    <t>[indsæt kreditor)</t>
  </si>
  <si>
    <t>Forpligtelser i alt</t>
  </si>
  <si>
    <t>Andet</t>
  </si>
  <si>
    <t>Diverse i alt</t>
  </si>
  <si>
    <t>Udgifter i alt</t>
  </si>
  <si>
    <t>Oversigt</t>
  </si>
  <si>
    <t>Overskud/underskud</t>
  </si>
  <si>
    <t>Årligt rådighedsbeløb</t>
  </si>
  <si>
    <t>Månedligt rådighedsbeløb</t>
  </si>
  <si>
    <t>Hvordan skal boligen finansieres?</t>
  </si>
  <si>
    <t>Hvordan anvendes pengene?</t>
  </si>
  <si>
    <t>Kontantpris på boligen</t>
  </si>
  <si>
    <t>kr.</t>
  </si>
  <si>
    <t>Sælger skal have</t>
  </si>
  <si>
    <t>Hvor kommer pengene fra:</t>
  </si>
  <si>
    <r>
      <t xml:space="preserve">Realkreditlån, </t>
    </r>
    <r>
      <rPr>
        <sz val="12"/>
        <color rgb="FFFF0000"/>
        <rFont val="Verdana"/>
        <family val="2"/>
      </rPr>
      <t>maks. 80%</t>
    </r>
  </si>
  <si>
    <t>Hvad kommer kunden med</t>
  </si>
  <si>
    <t>Provenu fra realkreditlån</t>
  </si>
  <si>
    <r>
      <t xml:space="preserve">Tinglysning - Låneomkostninger, realkredit er </t>
    </r>
    <r>
      <rPr>
        <b/>
        <u/>
        <sz val="12"/>
        <color rgb="FFFF0000"/>
        <rFont val="Verdana"/>
        <family val="2"/>
      </rPr>
      <t>trukket fra</t>
    </r>
  </si>
  <si>
    <t xml:space="preserve"> - op af "lommen penge":</t>
  </si>
  <si>
    <t>Provenu fra banklån</t>
  </si>
  <si>
    <r>
      <t xml:space="preserve">Tinglysning - Låneomkostninger, banklån er </t>
    </r>
    <r>
      <rPr>
        <b/>
        <u/>
        <sz val="12"/>
        <color rgb="FFFF0000"/>
        <rFont val="Verdana"/>
        <family val="2"/>
      </rPr>
      <t>trukket fra</t>
    </r>
  </si>
  <si>
    <t>Skøde</t>
  </si>
  <si>
    <t>Egne midler</t>
  </si>
  <si>
    <t>Advokat, anslået</t>
  </si>
  <si>
    <t>Halv ejerskifteforsikring</t>
  </si>
  <si>
    <t>Flytteomkostninger/renovering og andet</t>
  </si>
  <si>
    <r>
      <t xml:space="preserve">Egen udbetaling, </t>
    </r>
    <r>
      <rPr>
        <sz val="12"/>
        <color rgb="FFFF0000"/>
        <rFont val="Verdana"/>
        <family val="2"/>
      </rPr>
      <t>min. 5%</t>
    </r>
  </si>
  <si>
    <t>Mangler</t>
  </si>
  <si>
    <t>Skal altid være 0</t>
  </si>
  <si>
    <r>
      <t xml:space="preserve">Restfinansiering </t>
    </r>
    <r>
      <rPr>
        <sz val="12"/>
        <color rgb="FFFF0000"/>
        <rFont val="Verdana"/>
        <family val="2"/>
      </rPr>
      <t>(minus = overskud)</t>
    </r>
  </si>
  <si>
    <t>Banklån inkl. omkostninger</t>
  </si>
  <si>
    <t>Låneomkostninger</t>
  </si>
  <si>
    <t>Tinglysning - Låneomkostninger, realkredit</t>
  </si>
  <si>
    <t>Tinglysning - Låneomkostninger, banklån</t>
  </si>
  <si>
    <t>Låneomkostninger i alt</t>
  </si>
  <si>
    <t>Fremgangsmåde:</t>
  </si>
  <si>
    <t>1) Start altid med at udfylde rente og kurs i fanebladet "Realkreditfinansiering" og rente i "Banklån"</t>
  </si>
  <si>
    <t>2) Slet altid E8 og K18 inden start</t>
  </si>
  <si>
    <t>2) Indtast boligens kontantpris (E5)</t>
  </si>
  <si>
    <t>3) Indtast hvor mange penge kunden kommer med (E9)</t>
  </si>
  <si>
    <t>4) Indtast ejerskifteforsikring (E13) og flytteomkostninger m.m. (E14)</t>
  </si>
  <si>
    <t>Er restfinansiering (E17) nu under 80%:</t>
  </si>
  <si>
    <t>Er restfinansiering (E17) nu over 80%:</t>
  </si>
  <si>
    <t>1) Indtast realkreditlånet (E8) med det beløb som fremgår af E17</t>
  </si>
  <si>
    <t>1) Indtast realkreditlånet (E8) som 80% af kontantprisen</t>
  </si>
  <si>
    <t>2) Lav en målsøgning så "Mangler" (K16) bliver 0 ved ændring af celle E8</t>
  </si>
  <si>
    <t>2) Lav en målsøgning så "Mangler" (K16) bliver 0 ved ændring af celle K18</t>
  </si>
  <si>
    <r>
      <rPr>
        <b/>
        <sz val="14"/>
        <color rgb="FFFF0000"/>
        <rFont val="Verdana"/>
        <family val="2"/>
      </rPr>
      <t xml:space="preserve">Hvis </t>
    </r>
    <r>
      <rPr>
        <b/>
        <sz val="14"/>
        <color theme="1"/>
        <rFont val="Verdana"/>
        <family val="2"/>
      </rPr>
      <t>realkreditlånet (E8) bliver mere end 80%:</t>
    </r>
  </si>
  <si>
    <t>1) Gå til "Er restfinansiering (E17) nu over 80%"</t>
  </si>
  <si>
    <t xml:space="preserve">Banklån til finasiering af boligen </t>
  </si>
  <si>
    <t>Lånets størrelse (hovedstol)</t>
  </si>
  <si>
    <t>jf. ark "Hvordan finansieres huset…"</t>
  </si>
  <si>
    <t>Løbetid,år</t>
  </si>
  <si>
    <t>en bolig kan godt finansieres over 30 år</t>
  </si>
  <si>
    <t>Antal terminer pr år</t>
  </si>
  <si>
    <t>Rente pr år</t>
  </si>
  <si>
    <t>(tjek rentesatsen på bankernes hjemmesider under bank boliglån - det er ikke et realkreditlån)</t>
  </si>
  <si>
    <t>Etableringsomkostninger:</t>
  </si>
  <si>
    <t>Tinglysning af pant</t>
  </si>
  <si>
    <t>Bankens etableringsomk.</t>
  </si>
  <si>
    <t>(nordea's dokumentgebyr og vurderingsgebyr)</t>
  </si>
  <si>
    <t>Etableringsomkostninger i alt</t>
  </si>
  <si>
    <t>Provenu (hvad får jeg i hånden)</t>
  </si>
  <si>
    <t>Ydelse pr termin før skat</t>
  </si>
  <si>
    <t>Renteudgifter år 1</t>
  </si>
  <si>
    <t>Skattefar betaler 1/3 af renteudgifterne</t>
  </si>
  <si>
    <t>Ydelse pr. termin efter skat</t>
  </si>
  <si>
    <t>= Den der anvendes i budgettet, medmindre du skriver renteudgiften ind i skattebegningen</t>
  </si>
  <si>
    <t>Omkostninger i procent pr termin</t>
  </si>
  <si>
    <t>ÅOP</t>
  </si>
  <si>
    <t>Lånetype</t>
  </si>
  <si>
    <t>Fastforrentet med afdrag</t>
  </si>
  <si>
    <t>Rentetilpasning med afdrag F5</t>
  </si>
  <si>
    <t>Rentetilpasning uden afdrag F1</t>
  </si>
  <si>
    <t>Husets pris</t>
  </si>
  <si>
    <t>Belåningsgrad (max.80%)</t>
  </si>
  <si>
    <t>Lånebeløb</t>
  </si>
  <si>
    <t>Obligationshovedstol</t>
  </si>
  <si>
    <t>kurs på obligation</t>
  </si>
  <si>
    <t>Låneomkostninger ved optagelse af realkreditlån:</t>
  </si>
  <si>
    <t>Kursværdi</t>
  </si>
  <si>
    <t xml:space="preserve"> - lånekostninger</t>
  </si>
  <si>
    <t>Etableringsomkostninger Realkreditinstitut</t>
  </si>
  <si>
    <t>Låneprovenu (det jeg får i hånden)</t>
  </si>
  <si>
    <t>Kurtage/kursskæring, 0,2 pct.</t>
  </si>
  <si>
    <t>Pålydende rente</t>
  </si>
  <si>
    <t>Bidragssats</t>
  </si>
  <si>
    <t>Rente + bidragssats</t>
  </si>
  <si>
    <t>Løbetid, år</t>
  </si>
  <si>
    <t>Terminer pr. år</t>
  </si>
  <si>
    <t>Antal terminer i alt</t>
  </si>
  <si>
    <t>Ydelse pr. termin</t>
  </si>
  <si>
    <t>Ydelse pr. år</t>
  </si>
  <si>
    <t>Bidrag 1.år</t>
  </si>
  <si>
    <t>Bruttoydelse 1.år</t>
  </si>
  <si>
    <t>Akkumuleret rente 1.år</t>
  </si>
  <si>
    <t>Afdrag på gæld 1.år</t>
  </si>
  <si>
    <t>Nettoydelse 1.år</t>
  </si>
  <si>
    <t>Nettoydelse pr. termin (1.år)</t>
  </si>
  <si>
    <t>Bruttoydelse pr. måned (gnsn)</t>
  </si>
  <si>
    <t>Nettoydelse pr. måned (gnsn)</t>
  </si>
  <si>
    <t>Termin</t>
  </si>
  <si>
    <t>Restgæld</t>
  </si>
  <si>
    <t>Rente</t>
  </si>
  <si>
    <t>Afdrag</t>
  </si>
  <si>
    <t>Ydelse</t>
  </si>
  <si>
    <t>Bidrag</t>
  </si>
  <si>
    <t>Brutto-    ydelse</t>
  </si>
  <si>
    <t>Realkreditlån, ydelse efter skat</t>
  </si>
  <si>
    <t>Hvis der ikke er realkreditlån skrives nul</t>
  </si>
  <si>
    <t>Hvis der ikke er banklån skrives nul</t>
  </si>
  <si>
    <t>Ejerudgift</t>
  </si>
  <si>
    <t>[Indsæt kreditor)</t>
  </si>
  <si>
    <t xml:space="preserve">Rådighedsbeløb før og efter køb </t>
  </si>
  <si>
    <t>Gældsfaktor ved køb</t>
  </si>
  <si>
    <t>Rådighedsbeløb før køb af hus</t>
  </si>
  <si>
    <t>Gældsfaktor v/enlig</t>
  </si>
  <si>
    <r>
      <t xml:space="preserve">Rådighedsbeløb fastforrrentet  </t>
    </r>
    <r>
      <rPr>
        <b/>
        <sz val="14"/>
        <color rgb="FFFF0000"/>
        <rFont val="Calibri"/>
        <family val="2"/>
        <scheme val="minor"/>
      </rPr>
      <t>MED</t>
    </r>
    <r>
      <rPr>
        <b/>
        <sz val="14"/>
        <color theme="1"/>
        <rFont val="Calibri"/>
        <family val="2"/>
        <scheme val="minor"/>
      </rPr>
      <t xml:space="preserve"> afdrag</t>
    </r>
  </si>
  <si>
    <r>
      <t xml:space="preserve">Rådighedsbeløb F5 </t>
    </r>
    <r>
      <rPr>
        <b/>
        <sz val="14"/>
        <color rgb="FFFF0000"/>
        <rFont val="Calibri"/>
        <family val="2"/>
        <scheme val="minor"/>
      </rPr>
      <t>MED</t>
    </r>
    <r>
      <rPr>
        <b/>
        <sz val="14"/>
        <color theme="1"/>
        <rFont val="Calibri"/>
        <family val="2"/>
        <scheme val="minor"/>
      </rPr>
      <t xml:space="preserve"> afdrag</t>
    </r>
  </si>
  <si>
    <t>Gældsfaktor v/par</t>
  </si>
  <si>
    <r>
      <t xml:space="preserve">Rådighedsbeløb fastforrentet </t>
    </r>
    <r>
      <rPr>
        <b/>
        <sz val="14"/>
        <color rgb="FFFF0000"/>
        <rFont val="Calibri"/>
        <family val="2"/>
        <scheme val="minor"/>
      </rPr>
      <t>UDEN</t>
    </r>
    <r>
      <rPr>
        <b/>
        <sz val="14"/>
        <color theme="1"/>
        <rFont val="Calibri"/>
        <family val="2"/>
        <scheme val="minor"/>
      </rPr>
      <t xml:space="preserve"> afdrag</t>
    </r>
  </si>
  <si>
    <r>
      <t xml:space="preserve">Rådighedsbeløb F1 </t>
    </r>
    <r>
      <rPr>
        <b/>
        <sz val="14"/>
        <color rgb="FFFF0000"/>
        <rFont val="Calibri"/>
        <family val="2"/>
        <scheme val="minor"/>
      </rPr>
      <t>UDEN</t>
    </r>
    <r>
      <rPr>
        <b/>
        <sz val="14"/>
        <color theme="1"/>
        <rFont val="Calibri"/>
        <family val="2"/>
        <scheme val="minor"/>
      </rPr>
      <t xml:space="preserve"> afdrag</t>
    </r>
  </si>
  <si>
    <t>Hvilket lån skal jeg vælge?</t>
  </si>
  <si>
    <t>De skal kreditvurderes ud fra et fastforrentet realkreditlån MED afdrag!</t>
  </si>
  <si>
    <r>
      <t xml:space="preserve">De kan </t>
    </r>
    <r>
      <rPr>
        <b/>
        <sz val="14"/>
        <color rgb="FFFF0000"/>
        <rFont val="Calibri"/>
        <family val="2"/>
        <scheme val="minor"/>
      </rPr>
      <t>IKKE</t>
    </r>
    <r>
      <rPr>
        <b/>
        <sz val="14"/>
        <rFont val="Arial"/>
        <family val="2"/>
      </rPr>
      <t xml:space="preserve"> blive kreditvurderet udfra andre realkreditlån!!!</t>
    </r>
  </si>
  <si>
    <t xml:space="preserve">Vælger de efter den kreditvurdering at tage et andet lån skal </t>
  </si>
  <si>
    <t>de rådgives omkring fordele/ulemper vedr. fast vs. flex og afdrag vs. uden afdrag</t>
  </si>
  <si>
    <t>Afdragsfrihed på realkreditlånet kan være hensigtsmæssigt, hvis de har et dyrt banklån også</t>
  </si>
  <si>
    <t>Der er "frit valg" af realkreditlån hvis gældsfaktor er under 4 eller belåningsgrad er under 60%</t>
  </si>
  <si>
    <t>NEDKONVERTERING</t>
  </si>
  <si>
    <t>Nuværende lån optaget for</t>
  </si>
  <si>
    <t>år siden</t>
  </si>
  <si>
    <t>Du må ikke skrive her</t>
  </si>
  <si>
    <t>Hovedstol (oprindelig)</t>
  </si>
  <si>
    <t>Pålydende rente+bidrag</t>
  </si>
  <si>
    <t>Kurs i dag</t>
  </si>
  <si>
    <t>Kursen bliver ikke brugt i beregningen her øverst, men den siger noget om hvorvidt vi skal indfri til markedskurs eller kurs 100 ved konverterbar obligationer</t>
  </si>
  <si>
    <t>Løbetid (oprindelig)</t>
  </si>
  <si>
    <t>Ydelse i år</t>
  </si>
  <si>
    <t>Bidrag i år</t>
  </si>
  <si>
    <t>Bruttoydelse i år</t>
  </si>
  <si>
    <t>Akkumuleret rente i år</t>
  </si>
  <si>
    <t>Nettoydelse i år</t>
  </si>
  <si>
    <t>Antal år hvor der er afdraget på lånet</t>
  </si>
  <si>
    <t>Afdrag på lånet "so far"</t>
  </si>
  <si>
    <t>Obligationsrestgæld</t>
  </si>
  <si>
    <t>Skal de konvertere:</t>
  </si>
  <si>
    <t>Kunden kan nedkonvertere til et ? pct. konverterbart obligationslån</t>
  </si>
  <si>
    <r>
      <t xml:space="preserve"> =&gt; eksisterende høj rente lån indfries til kurs 100 da det er KONVERTERBART. </t>
    </r>
    <r>
      <rPr>
        <b/>
        <sz val="11"/>
        <color theme="1"/>
        <rFont val="Calibri"/>
        <family val="2"/>
        <scheme val="minor"/>
      </rPr>
      <t>NEDkonvertering</t>
    </r>
  </si>
  <si>
    <t>Eksisterende  lån:</t>
  </si>
  <si>
    <t>Obligationsrestgæld på eksisterende lån</t>
  </si>
  <si>
    <t>Indfries til kurs 100(konverterbare oblig.)</t>
  </si>
  <si>
    <t>Nyt lån:</t>
  </si>
  <si>
    <t>Låneomkostninger i forbindelse med konvertering</t>
  </si>
  <si>
    <t>Oven i låneomkostningerne kan du lægge en evt. belåning af friværdi, hvis der fx skal lånes til en bil eller sommerhus m.m. Husk max 80% realkreditlån i alt.</t>
  </si>
  <si>
    <t>Lånebehov</t>
  </si>
  <si>
    <t>Kurs på nyt lån</t>
  </si>
  <si>
    <t>Ny hovedstol</t>
  </si>
  <si>
    <t>Antal terminer pr. år</t>
  </si>
  <si>
    <r>
      <rPr>
        <b/>
        <sz val="16"/>
        <color rgb="FF000000"/>
        <rFont val="Calibri"/>
        <family val="2"/>
      </rPr>
      <t xml:space="preserve">Ydelsesbesparelse </t>
    </r>
    <r>
      <rPr>
        <b/>
        <sz val="16"/>
        <color rgb="FFFF0000"/>
        <rFont val="Calibri"/>
        <family val="2"/>
      </rPr>
      <t>FØR</t>
    </r>
    <r>
      <rPr>
        <b/>
        <sz val="16"/>
        <color rgb="FF000000"/>
        <rFont val="Calibri"/>
        <family val="2"/>
      </rPr>
      <t xml:space="preserve"> skat pr termin (kvartal)</t>
    </r>
  </si>
  <si>
    <r>
      <rPr>
        <b/>
        <sz val="16"/>
        <color rgb="FF000000"/>
        <rFont val="Calibri"/>
        <family val="2"/>
      </rPr>
      <t xml:space="preserve">Ydelsesbesparelse </t>
    </r>
    <r>
      <rPr>
        <b/>
        <sz val="16"/>
        <color rgb="FFFF0000"/>
        <rFont val="Calibri"/>
        <family val="2"/>
      </rPr>
      <t>EFTER</t>
    </r>
    <r>
      <rPr>
        <b/>
        <sz val="16"/>
        <color rgb="FF000000"/>
        <rFont val="Calibri"/>
        <family val="2"/>
      </rPr>
      <t xml:space="preserve"> skat pr termin (kvartal)</t>
    </r>
  </si>
  <si>
    <t>Stigning i restgælden</t>
  </si>
  <si>
    <t>Stigning i løbetid (år)</t>
  </si>
  <si>
    <t xml:space="preserve">Konklusion: Kunden skal nedkonvertere da ydelsen på lånet falder </t>
  </si>
  <si>
    <t>mærkbart også selv om obligationsgælden stiger pga. låneomkostninger og kurstab</t>
  </si>
  <si>
    <t>OPKONVERTERING</t>
  </si>
  <si>
    <t>Kunden  kan OPkonvertere til et ? pct. konverterbart obligationslån</t>
  </si>
  <si>
    <t xml:space="preserve"> =&gt; eksisterende lavrente-lån indfries til nuværende markedskurs</t>
  </si>
  <si>
    <t>Indfries til aktuelle markedskurs</t>
  </si>
  <si>
    <t>Oven i låneomkostningerne kan du lægge en evt. belåning af friværdi, hvis der fx skal lånes til en bil, indfries gæld eller køb af sommerhus m.m. Husk max 80% realkreditlån i alt.</t>
  </si>
  <si>
    <r>
      <rPr>
        <b/>
        <sz val="16"/>
        <color rgb="FF000000"/>
        <rFont val="Calibri"/>
        <family val="2"/>
      </rPr>
      <t xml:space="preserve">Ydelsesstigning </t>
    </r>
    <r>
      <rPr>
        <b/>
        <sz val="16"/>
        <color rgb="FFFF0000"/>
        <rFont val="Calibri"/>
        <family val="2"/>
      </rPr>
      <t>FØR</t>
    </r>
    <r>
      <rPr>
        <b/>
        <sz val="16"/>
        <color rgb="FF000000"/>
        <rFont val="Calibri"/>
        <family val="2"/>
      </rPr>
      <t xml:space="preserve"> skat pr termin (kvartal)</t>
    </r>
  </si>
  <si>
    <r>
      <rPr>
        <b/>
        <sz val="16"/>
        <color rgb="FF000000"/>
        <rFont val="Calibri"/>
        <family val="2"/>
      </rPr>
      <t xml:space="preserve">Ydelsesstigning </t>
    </r>
    <r>
      <rPr>
        <b/>
        <sz val="16"/>
        <color rgb="FFFF0000"/>
        <rFont val="Calibri"/>
        <family val="2"/>
      </rPr>
      <t>EFTER</t>
    </r>
    <r>
      <rPr>
        <b/>
        <sz val="16"/>
        <color rgb="FF000000"/>
        <rFont val="Calibri"/>
        <family val="2"/>
      </rPr>
      <t xml:space="preserve"> skat pr termin (kvartal)</t>
    </r>
  </si>
  <si>
    <t>(hvis "ydelsesstigningen" er i minus, er der tale om en besparelse)</t>
  </si>
  <si>
    <t>Fald i restgælden</t>
  </si>
  <si>
    <t>Konklusion: Kunden skal opkonvertere da ydelsen på lånet stiger lidt</t>
  </si>
  <si>
    <t>men obligationsgælden falder markant. De skal naturligvis tro at renten på et senere tidspunkt falder igen</t>
  </si>
  <si>
    <t>således at de kan nedkonvertere igen og dermed få ydelsen ned!</t>
  </si>
  <si>
    <t>Termin 
(4= 1 år)</t>
  </si>
  <si>
    <t>Netto-   ydelse</t>
  </si>
  <si>
    <t>Ydelse inkl.</t>
  </si>
  <si>
    <t xml:space="preserve">Ydelse </t>
  </si>
  <si>
    <t>80 pct. belåning</t>
  </si>
  <si>
    <t>Hvis du kender restgælden i dag:</t>
  </si>
  <si>
    <t>NB! Hvis du skal beregne restgælden på et eksisterende lån efter et antal terminer/år, skal restgælden på lånet i dag sættes ind i feltet "Kursværdi" og kursen skal sættes til 100. Låneomkostningerne skal sættes til 0 kr da der jo ikke er tale om oprettelse af et nyt lån ved fx hus køb. HUSK AT SKRIVE RESTLØBETIDEN PÅ LÅNET. FX HVIS LÅNET HAR LØBET I 4 ÅR SKRIVES 26 ÅR.</t>
  </si>
  <si>
    <t>Hvis du kender den oprindelige hovedstol og hvor lang tid lånet har løbet:</t>
  </si>
  <si>
    <t>Så sætter du bare den oprindelige hoved stol ind i feltet "Kursværdi" og kursen skal sættes til 100 og låneomkostninger til 0. Så kan du se hvad restgælden er i dag ud for hvor mange terminer der er løbet på lånet indtil i dag. Og du kan se restgælden i fremtiden.</t>
  </si>
  <si>
    <t>Hvis der er tale om et helt nyt lån der skal hjemtages ifm boligkøb:</t>
  </si>
  <si>
    <t>Så må du ikke skrive i feltet "Kursværdi", men i stedet taste huset pris ind. Så beregner skabelonen selv de 80% belåning som sættes ind i feltet "Kursværdi". Låneomkostningerne skal også beregnes og sættes ind i feltet "låneomkostninger". HUSK at finde kursen på det nye lån som sættes ind.</t>
  </si>
  <si>
    <t>Effektiv rente (obligation) pr. termin</t>
  </si>
  <si>
    <t>Effektiv rente (obligation) pr. år</t>
  </si>
  <si>
    <t>ÅOP pr. termin</t>
  </si>
  <si>
    <t>ÅOP pr. år</t>
  </si>
  <si>
    <t>NETTOYDELSEN PR. TERMIN FREMGÅR AF KOLONNE T</t>
  </si>
  <si>
    <t>Skriv i de gule felter</t>
  </si>
  <si>
    <t>Lånets størrelse (hovedstolen)</t>
  </si>
  <si>
    <t>jf. J11 og D15</t>
  </si>
  <si>
    <t>vi "sjusser os frem"</t>
  </si>
  <si>
    <t>Rente pr år, (pålydende/nominel)</t>
  </si>
  <si>
    <t>4,5%-7,75% (var, mulighed for afdragsfirhed) - 7%-12% (fast op til 10 år) Løbetid op ti 30 år / Nordea</t>
  </si>
  <si>
    <t>Effektiv rente pr. år</t>
  </si>
  <si>
    <t>Andelspris</t>
  </si>
  <si>
    <t>Staten, tinglysning</t>
  </si>
  <si>
    <t xml:space="preserve"> - opsparing</t>
  </si>
  <si>
    <t>Pengeinstitut, etablering</t>
  </si>
  <si>
    <t>anslået</t>
  </si>
  <si>
    <t xml:space="preserve">Lånebehov </t>
  </si>
  <si>
    <t>som passer meget godt med lånebehov + flyttemand og maling, jf. J11</t>
  </si>
  <si>
    <t>Omkostninger i procent pr. termin</t>
  </si>
  <si>
    <t>Ydelse pr. termin før skat</t>
  </si>
  <si>
    <t>Skattefar betaler 1/3</t>
  </si>
  <si>
    <t>Skattebesparelse pr. termin</t>
  </si>
  <si>
    <t>SKRIV KUN I DE GULE FELTER (medmindre man gør det bevidst)</t>
  </si>
  <si>
    <t>Beregn fordelingstal</t>
  </si>
  <si>
    <t>=</t>
  </si>
  <si>
    <t>(Opr.  bolig indskud)</t>
  </si>
  <si>
    <t xml:space="preserve">eller </t>
  </si>
  <si>
    <t>Bolig KVM</t>
  </si>
  <si>
    <t>Brug en af de tre forholdstal</t>
  </si>
  <si>
    <t>(Opr.  samlede indskud)</t>
  </si>
  <si>
    <t>Samlede KVM</t>
  </si>
  <si>
    <t>Eller det forholdstal som står i salgsopstillingen</t>
  </si>
  <si>
    <t>Andelsboligens andel af andelsforeningen (fordelingstal)</t>
  </si>
  <si>
    <t>Fordelingstal bruges bl.a til at opgøre den enkeltes andelshavers andel af:</t>
  </si>
  <si>
    <t>1) Foreningens gæld og formue, 2) andel af den samlede husleje</t>
  </si>
  <si>
    <t>Beregn andelsværdi og maksimalpris</t>
  </si>
  <si>
    <t>Ejendommens samlede værdi + øvrige aktiver</t>
  </si>
  <si>
    <t>Forbedringer på boligen</t>
  </si>
  <si>
    <t>Heraf øvrige aktiver (hvis det er oplyst)</t>
  </si>
  <si>
    <t>Foreningens samlede gæld</t>
  </si>
  <si>
    <t>Boligens andelsværdi</t>
  </si>
  <si>
    <t>Maksimalpris</t>
  </si>
  <si>
    <t>Maksimalpris er det du højst må sælge boligen for</t>
  </si>
  <si>
    <t>(Ejendommens samlede værdi + øvrige aktiver - foreningens samlede gæld * fordelingstal)</t>
  </si>
  <si>
    <t>Boligens andelsværdi + forbedringer</t>
  </si>
  <si>
    <t>Beregn teknisk pris</t>
  </si>
  <si>
    <t>Teknisk pris</t>
  </si>
  <si>
    <t>Købspris = maksimal pris
minus evt afslag</t>
  </si>
  <si>
    <t>+</t>
  </si>
  <si>
    <t>Boligens andel af foreningens gæld</t>
  </si>
  <si>
    <t>-</t>
  </si>
  <si>
    <t>Boligens andel af øvrige aktiver</t>
  </si>
  <si>
    <t>=&gt;</t>
  </si>
  <si>
    <t>Evt. afslag:</t>
  </si>
  <si>
    <t>Bruges til at beregne udbetalingen på 5% af den tekniske pris</t>
  </si>
  <si>
    <t>Bruges også til at sammenligne andelsboligen med en ejerlejligheds kontant pris.</t>
  </si>
  <si>
    <t>Andelsværdi beregnet ud fra andelskronen (bare en anden måde at gøre det på)</t>
  </si>
  <si>
    <t>Andelskrone</t>
  </si>
  <si>
    <t>Ejendommensværdi + øvrige aktiver - foreningens gæld</t>
  </si>
  <si>
    <t>Andelskronen er et udtryk for værdien pr. kvm. eller pr. oprindeligt indskudt krone</t>
  </si>
  <si>
    <r>
      <rPr>
        <b/>
        <sz val="10"/>
        <color rgb="FF000000"/>
        <rFont val="Arial"/>
        <family val="2"/>
      </rPr>
      <t>Opr. Samlet indskud</t>
    </r>
    <r>
      <rPr>
        <sz val="10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eller</t>
    </r>
    <r>
      <rPr>
        <sz val="10"/>
        <color rgb="FF000000"/>
        <rFont val="Arial"/>
        <family val="2"/>
      </rPr>
      <t xml:space="preserve"> </t>
    </r>
    <r>
      <rPr>
        <b/>
        <sz val="10"/>
        <color rgb="FF000000"/>
        <rFont val="Arial"/>
        <family val="2"/>
      </rPr>
      <t>Samlede KVM</t>
    </r>
  </si>
  <si>
    <r>
      <t xml:space="preserve">Opr. bolig Indskud </t>
    </r>
    <r>
      <rPr>
        <i/>
        <sz val="10"/>
        <color rgb="FF000000"/>
        <rFont val="Arial"/>
        <family val="2"/>
      </rPr>
      <t xml:space="preserve">eller </t>
    </r>
    <r>
      <rPr>
        <b/>
        <sz val="10"/>
        <color rgb="FF000000"/>
        <rFont val="Arial"/>
        <family val="2"/>
      </rPr>
      <t>bolig kvm.</t>
    </r>
  </si>
  <si>
    <t>*</t>
  </si>
  <si>
    <t>Forudsætninger:</t>
  </si>
  <si>
    <t>Hvis der vælges et lån med afdrag skal afdraget også forstås som en indtægt, da det er opsparing i boligen.</t>
  </si>
  <si>
    <t>Hvis man også skal låne til banklånet (15%) så bliver udgifterne større. Også her kan renterne kun trækkes fra i kapitalindkomsten.</t>
  </si>
  <si>
    <t xml:space="preserve"> - Begge forældre betaler topskat</t>
  </si>
  <si>
    <t>Brug evt følgende beregner til beregning af lån med både banklån og realkreditlån</t>
  </si>
  <si>
    <t>http://boligregner.dk/beregn</t>
  </si>
  <si>
    <t xml:space="preserve"> - Forældrenes samlede renteudgifter inkl. forældrekøb er &lt; 100.000</t>
  </si>
  <si>
    <t xml:space="preserve"> - Familien er ikke medlem af folkekirken</t>
  </si>
  <si>
    <t xml:space="preserve"> -  Forældrene forudsættes at have til udbetaling/banklån og papirpenge svarende til 20% </t>
  </si>
  <si>
    <t>Der må kun skrives i de gule felter</t>
  </si>
  <si>
    <t>Finansieringen</t>
  </si>
  <si>
    <t>Barnet:</t>
  </si>
  <si>
    <t>Udeboende SU</t>
  </si>
  <si>
    <t>Hjemme SU</t>
  </si>
  <si>
    <t>Uden afdrag</t>
  </si>
  <si>
    <t>Med afdrag</t>
  </si>
  <si>
    <r>
      <rPr>
        <sz val="11"/>
        <color rgb="FFFF0000"/>
        <rFont val="Calibri"/>
        <family val="2"/>
        <scheme val="minor"/>
      </rPr>
      <t>Mer SU</t>
    </r>
    <r>
      <rPr>
        <sz val="11"/>
        <color rgb="FF000000"/>
        <rFont val="Calibri"/>
        <family val="2"/>
        <scheme val="minor"/>
      </rPr>
      <t xml:space="preserve"> for udeboende pr år:</t>
    </r>
  </si>
  <si>
    <t>Lejlighedens pris</t>
  </si>
  <si>
    <t>Forventet boligstøtte pr år:</t>
  </si>
  <si>
    <t>15% af markedshuslejen</t>
  </si>
  <si>
    <t>Beregn boligstøtte</t>
  </si>
  <si>
    <t>Udbetaling 20%</t>
  </si>
  <si>
    <t>Papirpenge</t>
  </si>
  <si>
    <t>Besparelse transport pr år :</t>
  </si>
  <si>
    <t>Tog kort: 663,00</t>
  </si>
  <si>
    <t>Hovedstol</t>
  </si>
  <si>
    <t>Realkredit 80%</t>
  </si>
  <si>
    <t>Marginalskatteprocent for PI</t>
  </si>
  <si>
    <t>Betaler ikke AM-bidrag som SU-modtager</t>
  </si>
  <si>
    <t xml:space="preserve">Realkreditlån, 30 år </t>
  </si>
  <si>
    <t>Kurs</t>
  </si>
  <si>
    <t>Rentesats</t>
  </si>
  <si>
    <t>Terminer</t>
  </si>
  <si>
    <t>Forældrene:</t>
  </si>
  <si>
    <t>Terminer i alt</t>
  </si>
  <si>
    <t>incl AM-bidrag</t>
  </si>
  <si>
    <t>Årlig ydelse</t>
  </si>
  <si>
    <t>Fradrag i renteudgifter</t>
  </si>
  <si>
    <t>Årlig rente</t>
  </si>
  <si>
    <t>Årlig bidrag</t>
  </si>
  <si>
    <t>Årlig afdrag</t>
  </si>
  <si>
    <t>Markedshuslejen (årligt)</t>
  </si>
  <si>
    <t>Ejerudgifter (årligt)</t>
  </si>
  <si>
    <t xml:space="preserve"> - heraf ejendomsværdiskat</t>
  </si>
  <si>
    <t>Man betaler ikke ejendomsværdiskat v/forældrekøb</t>
  </si>
  <si>
    <t>Udgifter eksl ejendsværdiskat</t>
  </si>
  <si>
    <t>Forældrekøb eller køber selv</t>
  </si>
  <si>
    <t>Forældrekøb
Virksomheds-
skatteordning*)
u/afdrag</t>
  </si>
  <si>
    <t>Forældrekøb
Personskatte-
ordning u/afdrag 
(løsning A)</t>
  </si>
  <si>
    <t xml:space="preserve">Forældrekøb
Personskatte-
ordning m/afdrag 
</t>
  </si>
  <si>
    <t>Barnet køber
 selv u/afdrag*)
(løsning B)</t>
  </si>
  <si>
    <t>Forældre (ændringerne i forældrenes økonomi):</t>
  </si>
  <si>
    <t>Samlede Indtægter</t>
  </si>
  <si>
    <t>Hvad får forældrene ind af penge</t>
  </si>
  <si>
    <t>Samlede Udgifter</t>
  </si>
  <si>
    <t>Hvad skal forældrene betale</t>
  </si>
  <si>
    <t>Netto udgift</t>
  </si>
  <si>
    <t>Her regner vi ud hvad det koster forældrene</t>
  </si>
  <si>
    <t>Ændring i PI (Personlig indkomst)</t>
  </si>
  <si>
    <t>Hvor meget ændrer den personlige indkomst sig</t>
  </si>
  <si>
    <t>Ændring i KI (Kapital indkomst)</t>
  </si>
  <si>
    <t>Hvor meget ændrer kapitalindkomsten sig</t>
  </si>
  <si>
    <t>Merskat (minus betyder sparet skat)</t>
  </si>
  <si>
    <t>Her regner vi ud hvad de sparer i skat</t>
  </si>
  <si>
    <t>fratræk evt afdrag på lån (=opsparing i bolig)</t>
  </si>
  <si>
    <t>Her gør vi udgifterne lavere, da afdrag på lån svarer til opsparing i boligen</t>
  </si>
  <si>
    <t>Netto udgift efter skat</t>
  </si>
  <si>
    <t>Barnet (ændringerne i barnets økonomi):</t>
  </si>
  <si>
    <t>Indtægter:</t>
  </si>
  <si>
    <t xml:space="preserve"> - Mer SU</t>
  </si>
  <si>
    <t>Forskellen på udeboende og hjemmeboende</t>
  </si>
  <si>
    <t xml:space="preserve"> - Boligsikring/støtte</t>
  </si>
  <si>
    <t xml:space="preserve"> - Sparet transport</t>
  </si>
  <si>
    <t xml:space="preserve"> - husleje</t>
  </si>
  <si>
    <t xml:space="preserve"> køber man selv betaler man også ejemdomsværdiskat</t>
  </si>
  <si>
    <t xml:space="preserve"> - forbrugsudgifter</t>
  </si>
  <si>
    <t>Skat af mer SU</t>
  </si>
  <si>
    <t>Skattefradrag renteudgifter + bidrag</t>
  </si>
  <si>
    <t>Netto indtægt efter skat</t>
  </si>
  <si>
    <t>Familiens samlede påvirkning på økonomien</t>
  </si>
  <si>
    <t>*Er ikke relevant</t>
  </si>
  <si>
    <t>* får udbetaling og papirpenge som "gave" - fx nul procent anfordringsfrit familielån (dvs 20%+papirpenge)</t>
  </si>
  <si>
    <t>pr 1. jan 2021</t>
  </si>
  <si>
    <t>Hvis barnet ikke kan kreditvurderes til realkreditlånet kan forældrene enten kautionere elle stå som meddebitor på realkreditlånet i stedet for kaution. Afdrag på lånet kan ske med afgiftsfrie gave fra forældrene</t>
  </si>
  <si>
    <t>Man kan også oprette et anfordringsfrit familielån til barnet til køb af hele lejligheden kontant- så er der ingen renteudgifter</t>
  </si>
  <si>
    <t>Herudover skal huskes:</t>
  </si>
  <si>
    <t>Afdrag på lånet kan tilbagebetales med de skattefrie gaver man må give sit barn - så er der ingen afdrag</t>
  </si>
  <si>
    <t xml:space="preserve"> - der kan også fratrækkes op til 25% af huslejen i istandssættelsesudifter i de første 3 år.</t>
  </si>
  <si>
    <t xml:space="preserve"> - der er mulighed for både tab/gevinst ved efterfølgende salg af lejlighed.</t>
  </si>
  <si>
    <t>Investering (Skriv kun i de gule felter)</t>
  </si>
  <si>
    <t>100000 kr</t>
  </si>
  <si>
    <t>Link til Nasdaq (obligationer):</t>
  </si>
  <si>
    <t>https://www.nasdaqomxnordic.com/obligationer/danmark/?languageId=5</t>
  </si>
  <si>
    <t>Hvis DKK skriv 1</t>
  </si>
  <si>
    <t>Skriv navn på obligationerne</t>
  </si>
  <si>
    <t>Købskurs</t>
  </si>
  <si>
    <t>Salgskurs</t>
  </si>
  <si>
    <t>Antal</t>
  </si>
  <si>
    <t>Valutakurs køb</t>
  </si>
  <si>
    <t>Valutakurs salg</t>
  </si>
  <si>
    <t>Købssum</t>
  </si>
  <si>
    <t>Salgssum</t>
  </si>
  <si>
    <t>Fordeling</t>
  </si>
  <si>
    <t>Gevinst/tab</t>
  </si>
  <si>
    <t>Aktieindkomst</t>
  </si>
  <si>
    <t>Kapitalindkomst</t>
  </si>
  <si>
    <t>Disk.faktor</t>
  </si>
  <si>
    <t>NV</t>
  </si>
  <si>
    <t>Obligationer i alt</t>
  </si>
  <si>
    <t>Skriv navn på aktierne</t>
  </si>
  <si>
    <r>
      <t>y</t>
    </r>
    <r>
      <rPr>
        <b/>
        <vertAlign val="subscript"/>
        <sz val="10"/>
        <rFont val="Arial"/>
        <family val="2"/>
      </rPr>
      <t>t</t>
    </r>
  </si>
  <si>
    <r>
      <t>d</t>
    </r>
    <r>
      <rPr>
        <b/>
        <vertAlign val="subscript"/>
        <sz val="10"/>
        <rFont val="Arial"/>
        <family val="2"/>
      </rPr>
      <t>t</t>
    </r>
  </si>
  <si>
    <r>
      <t>y</t>
    </r>
    <r>
      <rPr>
        <b/>
        <vertAlign val="subscript"/>
        <sz val="10"/>
        <rFont val="Arial"/>
        <family val="2"/>
      </rPr>
      <t>t</t>
    </r>
    <r>
      <rPr>
        <b/>
        <sz val="10"/>
        <rFont val="Arial"/>
        <family val="2"/>
      </rPr>
      <t>*(1+i)</t>
    </r>
    <r>
      <rPr>
        <b/>
        <vertAlign val="superscript"/>
        <sz val="10"/>
        <rFont val="Arial"/>
        <family val="2"/>
      </rPr>
      <t>-t</t>
    </r>
  </si>
  <si>
    <t xml:space="preserve">  </t>
  </si>
  <si>
    <t>Aktier i alt</t>
  </si>
  <si>
    <t>Samlet portefølje</t>
  </si>
  <si>
    <t>Vedhængende rente</t>
  </si>
  <si>
    <t>∑</t>
  </si>
  <si>
    <t>Skattegrundlag</t>
  </si>
  <si>
    <t>Skattebetaling</t>
  </si>
  <si>
    <t>SKAT</t>
  </si>
  <si>
    <t>SATS</t>
  </si>
  <si>
    <t>Grænse ægtepar</t>
  </si>
  <si>
    <t>Skat ægtepar</t>
  </si>
  <si>
    <t>Grænse single</t>
  </si>
  <si>
    <t>Skat single</t>
  </si>
  <si>
    <t>Kapitalindkomst under grænsen</t>
  </si>
  <si>
    <t>Kapitalindkomst over grænsen hvis man også er topskatte betaler. Ellers 37%</t>
  </si>
  <si>
    <t>Aktieindkomst under grænsen</t>
  </si>
  <si>
    <t>Aktieindkomst over grænsen</t>
  </si>
  <si>
    <t>"I hånden"</t>
  </si>
  <si>
    <t xml:space="preserve"> + vedhængende rente</t>
  </si>
  <si>
    <t xml:space="preserve"> - skat</t>
  </si>
  <si>
    <t xml:space="preserve"> I hånden efter skat"</t>
  </si>
  <si>
    <t>Vedhængende renter:</t>
  </si>
  <si>
    <t>Husk at gange rente betalingen med valutakursen hvis det er udenlandske obligationer</t>
  </si>
  <si>
    <t>Obligationens navn</t>
  </si>
  <si>
    <t>Angiv kuponrente men IKKE i procent</t>
  </si>
  <si>
    <t>fx 3</t>
  </si>
  <si>
    <t xml:space="preserve">Valør </t>
  </si>
  <si>
    <t>skriv dags dato</t>
  </si>
  <si>
    <t>Forringe termin</t>
  </si>
  <si>
    <t>skriv hvornår der senest blev tilskrevet renter</t>
  </si>
  <si>
    <t>Dage</t>
  </si>
  <si>
    <t>Antal obligationer</t>
  </si>
  <si>
    <t>Rente betaling</t>
  </si>
  <si>
    <t>Obligationens nvan</t>
  </si>
  <si>
    <t>Valør</t>
  </si>
  <si>
    <t>Forrige termin</t>
  </si>
  <si>
    <t>Samlet vedhængende rente</t>
  </si>
  <si>
    <t>Formue fordelt ud på år</t>
  </si>
  <si>
    <t>Formue i alt</t>
  </si>
  <si>
    <t>Inv.rente efter skat</t>
  </si>
  <si>
    <t>(hvad kan jeg få i afkast om året)</t>
  </si>
  <si>
    <t>Antal år</t>
  </si>
  <si>
    <t>(hvor mange år skal jeg leve af min forme)</t>
  </si>
  <si>
    <t>Penge tilbage efter perioden</t>
  </si>
  <si>
    <t>(hvor mange penge skal der stå tilbage på kontoen til sidst - f.eks. til arvinger eller lign.)</t>
  </si>
  <si>
    <t>Hvor meget kan jeg leve for pr. år</t>
  </si>
  <si>
    <t>indbetaling før omk.</t>
  </si>
  <si>
    <t>pr. mdr</t>
  </si>
  <si>
    <t>helårlig rentetilskrivning i opsparingsperioden</t>
  </si>
  <si>
    <t>helårlig rentetilskrivning</t>
  </si>
  <si>
    <t>indbetaling efter omk.</t>
  </si>
  <si>
    <t>nuv. pensionsformue</t>
  </si>
  <si>
    <t>I udbetalingsperioden</t>
  </si>
  <si>
    <t>inflation</t>
  </si>
  <si>
    <t>til forrentning i antal år</t>
  </si>
  <si>
    <t>Friværdi i bolig bør også indgå i det samlede overblik</t>
  </si>
  <si>
    <t>afkast</t>
  </si>
  <si>
    <t>friværdi + anden formue</t>
  </si>
  <si>
    <t>Omkostninger =Forsikringer, adm &amp; AMB udgør i gns. Ca 20 % af indbetalingerne</t>
  </si>
  <si>
    <t>pal skat</t>
  </si>
  <si>
    <t xml:space="preserve">FV af pensionsformue </t>
  </si>
  <si>
    <t>Anden formue (kapitalpension, værdipapir, frie midler osv)</t>
  </si>
  <si>
    <t>NV af pensionsformue</t>
  </si>
  <si>
    <t>tidspunkt</t>
  </si>
  <si>
    <t>udbetaling</t>
  </si>
  <si>
    <t>pensionsformue</t>
  </si>
  <si>
    <t>netto</t>
  </si>
  <si>
    <t>Husk at skrive ind hvad du mener er afkastprocenten og inflationsprocenten. Både under indb og udb perioderne</t>
  </si>
  <si>
    <t>primo</t>
  </si>
  <si>
    <t>årlig indbetaling</t>
  </si>
  <si>
    <t>ultimo</t>
  </si>
  <si>
    <t>nutidsværdi</t>
  </si>
  <si>
    <t>brutto ***</t>
  </si>
  <si>
    <t>Målsøgning findes under :DATA-Hvad hvis- analyse</t>
  </si>
  <si>
    <t>Folkepension 2025</t>
  </si>
  <si>
    <t>pr. år</t>
  </si>
  <si>
    <t>What if analyse kan også laves på indbetalingerne</t>
  </si>
  <si>
    <t>Grundbeløb</t>
  </si>
  <si>
    <t>samt alle de gule felter (husk ingen formler)</t>
  </si>
  <si>
    <t>tillæg enlig</t>
  </si>
  <si>
    <t>tillæg par</t>
  </si>
  <si>
    <t>ATP</t>
  </si>
  <si>
    <t>Max udbetaling</t>
  </si>
  <si>
    <t>Årsløn før skat</t>
  </si>
  <si>
    <t>75%/80% af løn</t>
  </si>
  <si>
    <t>Folkepension</t>
  </si>
  <si>
    <t>juster så det passer</t>
  </si>
  <si>
    <t>Atp</t>
  </si>
  <si>
    <t>Forventet udb. Pension</t>
  </si>
  <si>
    <t>evt. pensionsinfo</t>
  </si>
  <si>
    <t>Friværdi + anden formue</t>
  </si>
  <si>
    <t>Mangler hvert år</t>
  </si>
  <si>
    <t>Udbetalt pr. år</t>
  </si>
  <si>
    <t>Udbetalt i %</t>
  </si>
  <si>
    <t xml:space="preserve">Antag at pensionsalderes efter 2030 fortsat er 68 år </t>
  </si>
  <si>
    <t>Dette er en meget forenklet billede af folkepensionsalderen -  vi har bestemt at det kun er disse I skal kende​</t>
  </si>
  <si>
    <t>Kilde: https://star.dk/ydelser/pension-og-efterloen/folkepension-og-foertidspension/folkepension/folkepensionsalderen-nu-og-fremover/​</t>
  </si>
  <si>
    <t>I vores beregning forudsætter vi at der ikke kan opnås tillæg til folkepensionen.</t>
  </si>
  <si>
    <t>Og ja, man skal vurdere om der skal være omkostninger på 1,45 pct. eller 1,5 pct. og 1.825 kr. eller 1.850 kr., jf. slide 16 i powerpoint Præsentation "Udlån og kreditvurdering"</t>
  </si>
  <si>
    <t>Pr. termin</t>
  </si>
  <si>
    <t>Pr.år</t>
  </si>
  <si>
    <t/>
  </si>
  <si>
    <t>Kommuneskattesatser 2025</t>
  </si>
  <si>
    <t>Arbejdsmarkedsbidrag</t>
  </si>
  <si>
    <t>Befordringsfradrag høje sats</t>
  </si>
  <si>
    <t>Kommunenavn</t>
  </si>
  <si>
    <t>Kommune</t>
  </si>
  <si>
    <t>Kirke</t>
  </si>
  <si>
    <t>Grundskyld (promille)</t>
  </si>
  <si>
    <t>Befordringsfradrag min km for høj sats</t>
  </si>
  <si>
    <t>Befordringsfradrag max km for høj sats</t>
  </si>
  <si>
    <t>Allerød</t>
  </si>
  <si>
    <t>Befordringsfradrag lave sats</t>
  </si>
  <si>
    <t>Assens</t>
  </si>
  <si>
    <t>Befordringsfradrag Indtægtsgrænse for forhøjet  (før AM-bidrag)</t>
  </si>
  <si>
    <t>Ballerup</t>
  </si>
  <si>
    <t>Beskæftigelsesfradrag (%)</t>
  </si>
  <si>
    <t>Billund</t>
  </si>
  <si>
    <t>Beskæftigelsesfradrag (max)</t>
  </si>
  <si>
    <t>Bornholm</t>
  </si>
  <si>
    <t>Brøndby</t>
  </si>
  <si>
    <t>Ejendomsværdiskat - lave sats</t>
  </si>
  <si>
    <t>Brønderslev</t>
  </si>
  <si>
    <t>Ejendomsværdiskat - høje sats</t>
  </si>
  <si>
    <t>Dragør</t>
  </si>
  <si>
    <t>Ejendomsværdiskat - skillegrænse</t>
  </si>
  <si>
    <t>Egedal</t>
  </si>
  <si>
    <t>Ekstra pensionsfradrag (%)</t>
  </si>
  <si>
    <t>Esbjerg</t>
  </si>
  <si>
    <t>Ekstra pensionsfradrag (max)</t>
  </si>
  <si>
    <t>Fanø</t>
  </si>
  <si>
    <t>Ekstra pensionsfradrag (%) Senior</t>
  </si>
  <si>
    <t>Favrskov</t>
  </si>
  <si>
    <t>Ekstra pensionsfradrag (max) Senior</t>
  </si>
  <si>
    <t>Faxe</t>
  </si>
  <si>
    <t>Fagforening Max</t>
  </si>
  <si>
    <t>Fredensborg</t>
  </si>
  <si>
    <t>Firmabil grænse</t>
  </si>
  <si>
    <t>Fredericia</t>
  </si>
  <si>
    <t>Firmabil lave sats</t>
  </si>
  <si>
    <t>Frederiksberg</t>
  </si>
  <si>
    <t>Firmabil høje sats</t>
  </si>
  <si>
    <t>Frederikshavn</t>
  </si>
  <si>
    <t>Forsigtighedssats (Ejendomsskatter)</t>
  </si>
  <si>
    <t>Frederikssund</t>
  </si>
  <si>
    <t>Fri telefon</t>
  </si>
  <si>
    <t>Furesø</t>
  </si>
  <si>
    <t>Grøn check</t>
  </si>
  <si>
    <t>Faaborg-Midtfyn</t>
  </si>
  <si>
    <t>Grøn check modregning Start</t>
  </si>
  <si>
    <t>Gentofte</t>
  </si>
  <si>
    <t>Grøn check modregning Slut</t>
  </si>
  <si>
    <t>Gladsaxe</t>
  </si>
  <si>
    <t>Grøn check modregning Sats</t>
  </si>
  <si>
    <t>Glostrup</t>
  </si>
  <si>
    <t>Jobfradrag (%)</t>
  </si>
  <si>
    <t>Greve</t>
  </si>
  <si>
    <t>Jobfradraggrænse</t>
  </si>
  <si>
    <t>Gribskov</t>
  </si>
  <si>
    <t>Jobfradrag (max)</t>
  </si>
  <si>
    <t>Guldborgsund</t>
  </si>
  <si>
    <t>Kapitalindkomstgrænse til Topskat Par</t>
  </si>
  <si>
    <t>Haderslev</t>
  </si>
  <si>
    <t>Kapitalindkomstgrænse til Topskat Enlig</t>
  </si>
  <si>
    <t>Halsnæs</t>
  </si>
  <si>
    <t>Personfradrag</t>
  </si>
  <si>
    <t>Hedensted</t>
  </si>
  <si>
    <t>Personfradrag topskat</t>
  </si>
  <si>
    <t>Helsingør</t>
  </si>
  <si>
    <t>Ratepension Max indskud</t>
  </si>
  <si>
    <t>Herlev</t>
  </si>
  <si>
    <t>Skrå Skatteloft - personlig indkomst</t>
  </si>
  <si>
    <t>Herning</t>
  </si>
  <si>
    <t>Skrå Skatteloft - kapitalindkomst</t>
  </si>
  <si>
    <t>Hillerød</t>
  </si>
  <si>
    <t>Hjørring</t>
  </si>
  <si>
    <t>Tillæg for negativ kapitalindkomst procent</t>
  </si>
  <si>
    <t>Holbæk</t>
  </si>
  <si>
    <t>Tillæg for negativ kapitalindkomst grænse par</t>
  </si>
  <si>
    <t>Holstebro</t>
  </si>
  <si>
    <t>Tillæg for negativ kapitalindkomst grænse enlig</t>
  </si>
  <si>
    <t>Horsens</t>
  </si>
  <si>
    <t>Hvidovre</t>
  </si>
  <si>
    <t>Høje-Taastrup</t>
  </si>
  <si>
    <t>Hørsholm</t>
  </si>
  <si>
    <t>Ikast-Brande</t>
  </si>
  <si>
    <t>Ishøj</t>
  </si>
  <si>
    <t>Jammerbugt</t>
  </si>
  <si>
    <t>Kalundborg</t>
  </si>
  <si>
    <t>Kerteminde</t>
  </si>
  <si>
    <t>Kolding</t>
  </si>
  <si>
    <t>København</t>
  </si>
  <si>
    <t>Køge</t>
  </si>
  <si>
    <t>Langeland</t>
  </si>
  <si>
    <t>Lejre</t>
  </si>
  <si>
    <t>Lemvig</t>
  </si>
  <si>
    <t>Lolland</t>
  </si>
  <si>
    <t>Lyngby-Taarbæk</t>
  </si>
  <si>
    <t>Læsø</t>
  </si>
  <si>
    <t>Mariagerfjord</t>
  </si>
  <si>
    <t>Middelfart</t>
  </si>
  <si>
    <t>Morsø</t>
  </si>
  <si>
    <t>Norddjurs</t>
  </si>
  <si>
    <t>Nordfyns</t>
  </si>
  <si>
    <t>Nyborg</t>
  </si>
  <si>
    <t>Næstved</t>
  </si>
  <si>
    <t>Odder</t>
  </si>
  <si>
    <t>Odense</t>
  </si>
  <si>
    <t>Odsherred</t>
  </si>
  <si>
    <t>Randers</t>
  </si>
  <si>
    <t>Rebild</t>
  </si>
  <si>
    <t>Ringkøbing-Skjern</t>
  </si>
  <si>
    <t>Ringsted</t>
  </si>
  <si>
    <t>Roskilde</t>
  </si>
  <si>
    <t>Rudersdal</t>
  </si>
  <si>
    <t>Rødovre</t>
  </si>
  <si>
    <t>Samsø</t>
  </si>
  <si>
    <t>Silkeborg</t>
  </si>
  <si>
    <t>Skanderborg</t>
  </si>
  <si>
    <t>Skive</t>
  </si>
  <si>
    <t>Slagelse</t>
  </si>
  <si>
    <t>Solrød</t>
  </si>
  <si>
    <t>Sorø</t>
  </si>
  <si>
    <t>Stevns</t>
  </si>
  <si>
    <t>Struer</t>
  </si>
  <si>
    <t>Svendborg</t>
  </si>
  <si>
    <t>Syddjurs</t>
  </si>
  <si>
    <t>Sønderborg</t>
  </si>
  <si>
    <t>Thisted</t>
  </si>
  <si>
    <t>Tønder</t>
  </si>
  <si>
    <t>Tårnby</t>
  </si>
  <si>
    <t>Vallensbæk</t>
  </si>
  <si>
    <t>Varde</t>
  </si>
  <si>
    <t>Vejen</t>
  </si>
  <si>
    <t>Vejle</t>
  </si>
  <si>
    <t>Vesthimmerland</t>
  </si>
  <si>
    <t>Viborg</t>
  </si>
  <si>
    <t>Vordingborg</t>
  </si>
  <si>
    <t>Ærø</t>
  </si>
  <si>
    <t>Aabenraa</t>
  </si>
  <si>
    <t>Aalborg</t>
  </si>
  <si>
    <t>Aarhus</t>
  </si>
  <si>
    <t>ja</t>
  </si>
  <si>
    <t>BG 1</t>
  </si>
  <si>
    <t>BG 2</t>
  </si>
  <si>
    <t>BG 3</t>
  </si>
  <si>
    <t>Fastforrentet 10 års afdragsfrihed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</si>
</sst>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8" formatCode="#,##0.00\ &quot;kr.&quot;;[Red]\-#,##0.00\ &quot;kr.&quot;"/>
    <numFmt numFmtId="164" formatCode="&quot;kr.&quot;#,##0.00_);[Red]\(&quot;kr.&quot;#,##0.00\)"/>
    <numFmt numFmtId="165" formatCode="_(* #,##0.00_);_(* \(#,##0.00\);_(* &quot;-&quot;??_);_(@_)"/>
    <numFmt numFmtId="166" formatCode="#,##0.0"/>
    <numFmt numFmtId="167" formatCode="&quot;kr&quot;\ #,##0.00"/>
    <numFmt numFmtId="168" formatCode="0.0%"/>
    <numFmt numFmtId="169" formatCode="0.0000"/>
    <numFmt numFmtId="170" formatCode="_(* #,##0_);_(* \(#,##0\);_(* &quot;-&quot;??_);_(@_)"/>
    <numFmt numFmtId="171" formatCode="0.0000%"/>
    <numFmt numFmtId="172" formatCode="_(* #,##0.0_);_(* \(#,##0.0\);_(* &quot;-&quot;??_);_(@_)"/>
    <numFmt numFmtId="173" formatCode="_ * #,##0.00_ ;_ * \-#,##0.00_ ;_ * &quot;-&quot;??_ ;_ @_ "/>
    <numFmt numFmtId="174" formatCode="_ * #,##0_ ;_ * \-#,##0_ ;_ * &quot;-&quot;??_ ;_ @_ "/>
    <numFmt numFmtId="175" formatCode="&quot;kr.&quot;\ #,##0;[Red]&quot;kr.&quot;\ \-#,##0"/>
    <numFmt numFmtId="176" formatCode="0.000%"/>
    <numFmt numFmtId="177" formatCode="_-* #,##0.00\ _k_r_._-;\-* #,##0.00\ _k_r_._-;_-* &quot;-&quot;??\ _k_r_._-;_-@_-"/>
    <numFmt numFmtId="178" formatCode="_ * #,##0.0_ ;_ * \-#,##0.0_ ;_ * &quot;-&quot;??_ ;_ @_ "/>
    <numFmt numFmtId="179" formatCode="&quot;kr&quot;\ #,##0.00;[Red]&quot;kr&quot;\ \-#,##0.00"/>
    <numFmt numFmtId="180" formatCode="&quot;kr.&quot;\ #,##0.00;[Red]&quot;kr.&quot;\ \-#,##0.00"/>
    <numFmt numFmtId="181" formatCode="0.000"/>
    <numFmt numFmtId="182" formatCode="_(* #,##0.000_);_(* \(#,##0.000\);_(* &quot;-&quot;??_);_(@_)"/>
    <numFmt numFmtId="183" formatCode="_(* #,##0.000_);_(* \(#,##0.000\);_(* &quot;-&quot;???_);_(@_)"/>
    <numFmt numFmtId="184" formatCode="#,##0_ ;\-#,##0\ "/>
    <numFmt numFmtId="185" formatCode="#,##0.00\ &quot;kr.&quot;"/>
    <numFmt numFmtId="186" formatCode="_-* #,##0\ _k_r_._-;\-* #,##0\ _k_r_._-;_-* &quot;-&quot;??\ _k_r_._-;_-@_-"/>
  </numFmts>
  <fonts count="106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4"/>
      <name val="Arial"/>
      <family val="2"/>
    </font>
    <font>
      <b/>
      <i/>
      <sz val="10"/>
      <name val="Arial"/>
      <family val="2"/>
    </font>
    <font>
      <b/>
      <sz val="10"/>
      <color rgb="FF0000FF"/>
      <name val="Arial"/>
      <family val="2"/>
    </font>
    <font>
      <sz val="10"/>
      <color indexed="12"/>
      <name val="Arial"/>
      <family val="2"/>
    </font>
    <font>
      <b/>
      <sz val="9"/>
      <name val="Arial"/>
      <family val="2"/>
    </font>
    <font>
      <b/>
      <sz val="9"/>
      <color rgb="FFFF0000"/>
      <name val="Arial"/>
      <family val="2"/>
    </font>
    <font>
      <b/>
      <sz val="10"/>
      <color indexed="10"/>
      <name val="Arial"/>
      <family val="2"/>
    </font>
    <font>
      <sz val="10"/>
      <color rgb="FF0000FF"/>
      <name val="Arial"/>
      <family val="2"/>
    </font>
    <font>
      <sz val="9"/>
      <name val="Arial"/>
      <family val="2"/>
    </font>
    <font>
      <sz val="10"/>
      <color indexed="12"/>
      <name val="MS Sans Serif"/>
      <family val="2"/>
    </font>
    <font>
      <i/>
      <sz val="10"/>
      <name val="Arial"/>
      <family val="2"/>
    </font>
    <font>
      <sz val="10"/>
      <color indexed="10"/>
      <name val="Arial"/>
      <family val="2"/>
    </font>
    <font>
      <b/>
      <sz val="11"/>
      <color indexed="10"/>
      <name val="Arial"/>
      <family val="2"/>
    </font>
    <font>
      <b/>
      <i/>
      <sz val="8"/>
      <name val="Arial"/>
      <family val="2"/>
    </font>
    <font>
      <i/>
      <sz val="8"/>
      <name val="Arial"/>
      <family val="2"/>
    </font>
    <font>
      <b/>
      <sz val="12"/>
      <color indexed="10"/>
      <name val="Arial"/>
      <family val="2"/>
    </font>
    <font>
      <b/>
      <sz val="10"/>
      <color indexed="8"/>
      <name val="Arial"/>
      <family val="2"/>
    </font>
    <font>
      <b/>
      <sz val="9"/>
      <color indexed="10"/>
      <name val="Arial"/>
      <family val="2"/>
    </font>
    <font>
      <i/>
      <sz val="9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2"/>
      <color rgb="FF0000FF"/>
      <name val="Arial"/>
      <family val="2"/>
    </font>
    <font>
      <sz val="12"/>
      <color indexed="10"/>
      <name val="Arial"/>
      <family val="2"/>
    </font>
    <font>
      <b/>
      <sz val="10"/>
      <color rgb="FFFF0000"/>
      <name val="Arial"/>
      <family val="2"/>
    </font>
    <font>
      <sz val="18"/>
      <color rgb="FFFF0000"/>
      <name val="Arial"/>
      <family val="2"/>
    </font>
    <font>
      <sz val="12"/>
      <color rgb="FF14143C"/>
      <name val="Arial"/>
      <family val="2"/>
    </font>
    <font>
      <sz val="10"/>
      <color rgb="FF14143C"/>
      <name val="Arial"/>
      <family val="2"/>
    </font>
    <font>
      <sz val="10"/>
      <color rgb="FFFF0000"/>
      <name val="Arial"/>
      <family val="2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6"/>
      <name val="Calibri"/>
      <family val="2"/>
      <scheme val="minor"/>
    </font>
    <font>
      <sz val="14"/>
      <color theme="1"/>
      <name val="Calibri"/>
      <family val="2"/>
      <scheme val="minor"/>
    </font>
    <font>
      <u val="singleAccounting"/>
      <sz val="14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indexed="8"/>
      <name val="Verdana"/>
      <family val="2"/>
    </font>
    <font>
      <sz val="16"/>
      <color indexed="8"/>
      <name val="Verdana"/>
      <family val="2"/>
    </font>
    <font>
      <sz val="10"/>
      <color indexed="8"/>
      <name val="Verdana"/>
      <family val="2"/>
    </font>
    <font>
      <b/>
      <sz val="12"/>
      <color indexed="8"/>
      <name val="Verdana"/>
      <family val="2"/>
    </font>
    <font>
      <b/>
      <sz val="10"/>
      <color indexed="8"/>
      <name val="Verdana"/>
      <family val="2"/>
    </font>
    <font>
      <b/>
      <sz val="9"/>
      <color indexed="8"/>
      <name val="Verdana"/>
      <family val="2"/>
    </font>
    <font>
      <sz val="9"/>
      <color indexed="8"/>
      <name val="Verdana"/>
      <family val="2"/>
    </font>
    <font>
      <sz val="10"/>
      <color rgb="FFFF0000"/>
      <name val="Verdana"/>
      <family val="2"/>
    </font>
    <font>
      <b/>
      <sz val="20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rgb="FF000000"/>
      <name val="Calibri"/>
      <family val="2"/>
    </font>
    <font>
      <b/>
      <sz val="16"/>
      <color rgb="FFFF000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sz val="12"/>
      <color rgb="FFFF0000"/>
      <name val="Calibri"/>
      <family val="2"/>
    </font>
    <font>
      <b/>
      <sz val="12"/>
      <name val="Calibri"/>
      <family val="2"/>
      <scheme val="minor"/>
    </font>
    <font>
      <b/>
      <sz val="11"/>
      <color rgb="FF000000"/>
      <name val="Calibri"/>
      <family val="2"/>
    </font>
    <font>
      <b/>
      <sz val="12"/>
      <name val="Calibri"/>
      <family val="2"/>
    </font>
    <font>
      <u/>
      <sz val="10"/>
      <color theme="10"/>
      <name val="Arial"/>
      <family val="2"/>
    </font>
    <font>
      <b/>
      <sz val="16"/>
      <name val="Arial"/>
      <family val="2"/>
    </font>
    <font>
      <sz val="24"/>
      <color rgb="FFFF0000"/>
      <name val="Arial"/>
      <family val="2"/>
    </font>
    <font>
      <u/>
      <sz val="11"/>
      <color theme="10"/>
      <name val="Calibri"/>
      <family val="2"/>
      <scheme val="minor"/>
    </font>
    <font>
      <b/>
      <vertAlign val="subscript"/>
      <sz val="10"/>
      <name val="Arial"/>
      <family val="2"/>
    </font>
    <font>
      <b/>
      <vertAlign val="superscript"/>
      <sz val="10"/>
      <name val="Arial"/>
      <family val="2"/>
    </font>
    <font>
      <b/>
      <sz val="10"/>
      <color indexed="12"/>
      <name val="Arial"/>
      <family val="2"/>
    </font>
    <font>
      <b/>
      <sz val="12"/>
      <color rgb="FFFF000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i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8"/>
      <color rgb="FF000000"/>
      <name val="Arial"/>
      <family val="2"/>
    </font>
    <font>
      <sz val="8"/>
      <name val="Arial"/>
      <family val="2"/>
    </font>
    <font>
      <i/>
      <sz val="10"/>
      <color rgb="FF000000"/>
      <name val="Arial"/>
      <family val="2"/>
    </font>
    <font>
      <b/>
      <u/>
      <sz val="11"/>
      <color theme="1"/>
      <name val="Calibri"/>
      <family val="2"/>
      <scheme val="minor"/>
    </font>
    <font>
      <sz val="11"/>
      <color rgb="FF444444"/>
      <name val="Calibri"/>
      <family val="2"/>
      <charset val="1"/>
    </font>
    <font>
      <sz val="12"/>
      <color theme="1"/>
      <name val="Verdana"/>
      <family val="2"/>
    </font>
    <font>
      <b/>
      <sz val="16"/>
      <color theme="1"/>
      <name val="Verdana"/>
      <family val="2"/>
    </font>
    <font>
      <sz val="12"/>
      <color rgb="FFFF0000"/>
      <name val="Verdana"/>
      <family val="2"/>
    </font>
    <font>
      <b/>
      <sz val="14"/>
      <color theme="1"/>
      <name val="Verdana"/>
      <family val="2"/>
    </font>
    <font>
      <sz val="14"/>
      <color theme="1"/>
      <name val="Verdana"/>
      <family val="2"/>
    </font>
    <font>
      <sz val="14"/>
      <color rgb="FFFF0000"/>
      <name val="Verdana"/>
      <family val="2"/>
    </font>
    <font>
      <b/>
      <u/>
      <sz val="14"/>
      <color rgb="FFFF0000"/>
      <name val="Verdana"/>
      <family val="2"/>
    </font>
    <font>
      <u/>
      <sz val="14"/>
      <color rgb="FFFF0000"/>
      <name val="Verdana"/>
      <family val="2"/>
    </font>
    <font>
      <b/>
      <sz val="14"/>
      <color rgb="FFFF0000"/>
      <name val="Verdana"/>
      <family val="2"/>
    </font>
    <font>
      <b/>
      <u/>
      <sz val="12"/>
      <color rgb="FFFF0000"/>
      <name val="Verdana"/>
      <family val="2"/>
    </font>
    <font>
      <u/>
      <sz val="12"/>
      <color theme="1"/>
      <name val="Verdana"/>
      <family val="2"/>
    </font>
    <font>
      <sz val="11"/>
      <color rgb="FF00000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1"/>
      <color rgb="FFFF0000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24"/>
      </patternFill>
    </fill>
    <fill>
      <patternFill patternType="solid">
        <fgColor indexed="9"/>
        <bgColor indexed="24"/>
      </patternFill>
    </fill>
    <fill>
      <patternFill patternType="solid">
        <fgColor indexed="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rgb="FF000000"/>
      </patternFill>
    </fill>
  </fills>
  <borders count="7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rgb="FFE5E5E5"/>
      </right>
      <top style="medium">
        <color indexed="64"/>
      </top>
      <bottom/>
      <diagonal/>
    </border>
    <border>
      <left/>
      <right style="medium">
        <color rgb="FFE5E5E5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 style="thin">
        <color indexed="23"/>
      </left>
      <right/>
      <top style="thin">
        <color indexed="23"/>
      </top>
      <bottom style="thin">
        <color indexed="9"/>
      </bottom>
      <diagonal/>
    </border>
    <border>
      <left/>
      <right/>
      <top style="thin">
        <color indexed="23"/>
      </top>
      <bottom style="thin">
        <color indexed="9"/>
      </bottom>
      <diagonal/>
    </border>
    <border>
      <left/>
      <right style="thin">
        <color indexed="8"/>
      </right>
      <top style="thin">
        <color indexed="23"/>
      </top>
      <bottom style="thin">
        <color indexed="9"/>
      </bottom>
      <diagonal/>
    </border>
    <border>
      <left/>
      <right style="thin">
        <color indexed="8"/>
      </right>
      <top/>
      <bottom/>
      <diagonal/>
    </border>
    <border>
      <left style="thin">
        <color indexed="55"/>
      </left>
      <right/>
      <top style="thin">
        <color indexed="55"/>
      </top>
      <bottom style="thin">
        <color indexed="9"/>
      </bottom>
      <diagonal/>
    </border>
    <border>
      <left/>
      <right/>
      <top style="thin">
        <color indexed="55"/>
      </top>
      <bottom style="thin">
        <color indexed="9"/>
      </bottom>
      <diagonal/>
    </border>
    <border>
      <left/>
      <right style="thin">
        <color indexed="8"/>
      </right>
      <top style="thin">
        <color indexed="55"/>
      </top>
      <bottom style="thin">
        <color indexed="9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23"/>
      </top>
      <bottom style="thin">
        <color indexed="9"/>
      </bottom>
      <diagonal/>
    </border>
    <border>
      <left/>
      <right style="thin">
        <color indexed="64"/>
      </right>
      <top style="thin">
        <color indexed="55"/>
      </top>
      <bottom style="thin">
        <color indexed="9"/>
      </bottom>
      <diagonal/>
    </border>
    <border>
      <left style="thin">
        <color indexed="55"/>
      </left>
      <right/>
      <top style="thin">
        <color indexed="55"/>
      </top>
      <bottom/>
      <diagonal/>
    </border>
    <border>
      <left/>
      <right/>
      <top style="thin">
        <color indexed="55"/>
      </top>
      <bottom/>
      <diagonal/>
    </border>
    <border>
      <left/>
      <right style="thin">
        <color indexed="64"/>
      </right>
      <top style="thin">
        <color indexed="55"/>
      </top>
      <bottom/>
      <diagonal/>
    </border>
    <border>
      <left/>
      <right/>
      <top style="thin">
        <color indexed="9"/>
      </top>
      <bottom style="thin">
        <color indexed="55"/>
      </bottom>
      <diagonal/>
    </border>
    <border>
      <left/>
      <right style="thin">
        <color indexed="64"/>
      </right>
      <top style="thin">
        <color indexed="9"/>
      </top>
      <bottom style="thin">
        <color indexed="55"/>
      </bottom>
      <diagonal/>
    </border>
    <border>
      <left/>
      <right/>
      <top style="thin">
        <color indexed="9"/>
      </top>
      <bottom/>
      <diagonal/>
    </border>
    <border>
      <left/>
      <right style="thin">
        <color indexed="63"/>
      </right>
      <top style="thin">
        <color indexed="55"/>
      </top>
      <bottom style="thin">
        <color indexed="9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indexed="64"/>
      </bottom>
      <diagonal/>
    </border>
  </borders>
  <cellStyleXfs count="26">
    <xf numFmtId="0" fontId="0" fillId="0" borderId="0"/>
    <xf numFmtId="0" fontId="4" fillId="0" borderId="0"/>
    <xf numFmtId="165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4" fillId="0" borderId="0"/>
    <xf numFmtId="17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173" fontId="34" fillId="0" borderId="0" applyFont="0" applyFill="0" applyBorder="0" applyAlignment="0" applyProtection="0"/>
    <xf numFmtId="165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173" fontId="34" fillId="0" borderId="0" applyFont="0" applyFill="0" applyBorder="0" applyAlignment="0" applyProtection="0"/>
    <xf numFmtId="0" fontId="34" fillId="0" borderId="0"/>
    <xf numFmtId="17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71" fillId="0" borderId="0" applyNumberFormat="0" applyFill="0" applyBorder="0" applyAlignment="0" applyProtection="0"/>
    <xf numFmtId="165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4" fillId="0" borderId="0"/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38">
    <xf numFmtId="0" fontId="0" fillId="0" borderId="0" xfId="0"/>
    <xf numFmtId="0" fontId="5" fillId="0" borderId="0" xfId="1" applyFont="1" applyAlignment="1">
      <alignment horizontal="right"/>
    </xf>
    <xf numFmtId="3" fontId="6" fillId="0" borderId="0" xfId="1" applyNumberFormat="1" applyFont="1"/>
    <xf numFmtId="3" fontId="6" fillId="0" borderId="1" xfId="1" applyNumberFormat="1" applyFont="1" applyBorder="1" applyAlignment="1">
      <alignment horizontal="center"/>
    </xf>
    <xf numFmtId="3" fontId="4" fillId="0" borderId="0" xfId="1" applyNumberFormat="1"/>
    <xf numFmtId="0" fontId="4" fillId="0" borderId="0" xfId="1"/>
    <xf numFmtId="3" fontId="7" fillId="0" borderId="0" xfId="1" applyNumberFormat="1" applyFont="1" applyAlignment="1">
      <alignment horizontal="center"/>
    </xf>
    <xf numFmtId="3" fontId="5" fillId="2" borderId="2" xfId="1" applyNumberFormat="1" applyFont="1" applyFill="1" applyBorder="1" applyAlignment="1">
      <alignment horizontal="center"/>
    </xf>
    <xf numFmtId="3" fontId="5" fillId="0" borderId="0" xfId="1" applyNumberFormat="1" applyFont="1" applyAlignment="1">
      <alignment horizontal="center"/>
    </xf>
    <xf numFmtId="3" fontId="5" fillId="0" borderId="0" xfId="1" applyNumberFormat="1" applyFont="1"/>
    <xf numFmtId="0" fontId="4" fillId="0" borderId="2" xfId="1" applyBorder="1"/>
    <xf numFmtId="3" fontId="9" fillId="4" borderId="2" xfId="2" applyNumberFormat="1" applyFont="1" applyFill="1" applyBorder="1"/>
    <xf numFmtId="3" fontId="9" fillId="0" borderId="0" xfId="2" applyNumberFormat="1" applyFont="1" applyFill="1" applyBorder="1"/>
    <xf numFmtId="0" fontId="4" fillId="3" borderId="3" xfId="1" applyFill="1" applyBorder="1"/>
    <xf numFmtId="0" fontId="5" fillId="3" borderId="3" xfId="1" applyFont="1" applyFill="1" applyBorder="1" applyAlignment="1">
      <alignment horizontal="center"/>
    </xf>
    <xf numFmtId="0" fontId="5" fillId="3" borderId="4" xfId="1" applyFont="1" applyFill="1" applyBorder="1" applyAlignment="1">
      <alignment horizontal="center"/>
    </xf>
    <xf numFmtId="0" fontId="4" fillId="0" borderId="7" xfId="1" applyBorder="1"/>
    <xf numFmtId="3" fontId="9" fillId="4" borderId="7" xfId="2" applyNumberFormat="1" applyFont="1" applyFill="1" applyBorder="1"/>
    <xf numFmtId="0" fontId="5" fillId="3" borderId="8" xfId="1" applyFont="1" applyFill="1" applyBorder="1"/>
    <xf numFmtId="0" fontId="10" fillId="3" borderId="8" xfId="1" applyFont="1" applyFill="1" applyBorder="1" applyAlignment="1">
      <alignment horizontal="center"/>
    </xf>
    <xf numFmtId="3" fontId="10" fillId="3" borderId="9" xfId="1" quotePrefix="1" applyNumberFormat="1" applyFont="1" applyFill="1" applyBorder="1" applyAlignment="1">
      <alignment horizontal="center"/>
    </xf>
    <xf numFmtId="3" fontId="9" fillId="0" borderId="0" xfId="2" applyNumberFormat="1" applyFont="1" applyFill="1" applyBorder="1" applyAlignment="1">
      <alignment horizontal="right"/>
    </xf>
    <xf numFmtId="10" fontId="9" fillId="0" borderId="10" xfId="3" applyNumberFormat="1" applyFont="1" applyFill="1" applyBorder="1"/>
    <xf numFmtId="3" fontId="9" fillId="0" borderId="4" xfId="2" applyNumberFormat="1" applyFont="1" applyBorder="1"/>
    <xf numFmtId="3" fontId="4" fillId="0" borderId="3" xfId="1" applyNumberFormat="1" applyBorder="1"/>
    <xf numFmtId="3" fontId="5" fillId="0" borderId="4" xfId="1" applyNumberFormat="1" applyFont="1" applyBorder="1"/>
    <xf numFmtId="3" fontId="9" fillId="4" borderId="7" xfId="2" applyNumberFormat="1" applyFont="1" applyFill="1" applyBorder="1" applyAlignment="1">
      <alignment horizontal="right"/>
    </xf>
    <xf numFmtId="10" fontId="9" fillId="0" borderId="0" xfId="3" applyNumberFormat="1" applyFont="1" applyFill="1" applyBorder="1"/>
    <xf numFmtId="3" fontId="9" fillId="0" borderId="6" xfId="2" applyNumberFormat="1" applyFont="1" applyBorder="1"/>
    <xf numFmtId="3" fontId="4" fillId="0" borderId="5" xfId="1" applyNumberFormat="1" applyBorder="1"/>
    <xf numFmtId="3" fontId="5" fillId="0" borderId="6" xfId="1" applyNumberFormat="1" applyFont="1" applyBorder="1"/>
    <xf numFmtId="166" fontId="9" fillId="0" borderId="0" xfId="2" applyNumberFormat="1" applyFont="1" applyFill="1" applyBorder="1"/>
    <xf numFmtId="0" fontId="4" fillId="0" borderId="7" xfId="1" applyBorder="1" applyAlignment="1">
      <alignment horizontal="left"/>
    </xf>
    <xf numFmtId="166" fontId="9" fillId="4" borderId="7" xfId="2" applyNumberFormat="1" applyFont="1" applyFill="1" applyBorder="1"/>
    <xf numFmtId="0" fontId="4" fillId="0" borderId="11" xfId="1" applyBorder="1"/>
    <xf numFmtId="10" fontId="9" fillId="0" borderId="12" xfId="3" applyNumberFormat="1" applyFont="1" applyBorder="1"/>
    <xf numFmtId="3" fontId="4" fillId="0" borderId="12" xfId="1" applyNumberFormat="1" applyBorder="1"/>
    <xf numFmtId="3" fontId="4" fillId="0" borderId="11" xfId="1" applyNumberFormat="1" applyBorder="1"/>
    <xf numFmtId="3" fontId="5" fillId="0" borderId="13" xfId="1" applyNumberFormat="1" applyFont="1" applyBorder="1"/>
    <xf numFmtId="0" fontId="10" fillId="0" borderId="3" xfId="1" applyFont="1" applyBorder="1" applyAlignment="1">
      <alignment horizontal="center"/>
    </xf>
    <xf numFmtId="0" fontId="4" fillId="0" borderId="4" xfId="1" applyBorder="1"/>
    <xf numFmtId="0" fontId="10" fillId="0" borderId="0" xfId="1" applyFont="1" applyAlignment="1">
      <alignment horizontal="center"/>
    </xf>
    <xf numFmtId="14" fontId="4" fillId="0" borderId="0" xfId="1" applyNumberFormat="1"/>
    <xf numFmtId="0" fontId="4" fillId="0" borderId="14" xfId="1" applyBorder="1"/>
    <xf numFmtId="3" fontId="9" fillId="4" borderId="14" xfId="2" applyNumberFormat="1" applyFont="1" applyFill="1" applyBorder="1" applyAlignment="1">
      <alignment horizontal="right"/>
    </xf>
    <xf numFmtId="0" fontId="4" fillId="0" borderId="5" xfId="1" quotePrefix="1" applyBorder="1" applyAlignment="1">
      <alignment horizontal="left"/>
    </xf>
    <xf numFmtId="3" fontId="12" fillId="0" borderId="6" xfId="1" applyNumberFormat="1" applyFont="1" applyBorder="1"/>
    <xf numFmtId="10" fontId="9" fillId="5" borderId="7" xfId="3" applyNumberFormat="1" applyFont="1" applyFill="1" applyBorder="1"/>
    <xf numFmtId="0" fontId="4" fillId="0" borderId="5" xfId="1" applyBorder="1"/>
    <xf numFmtId="10" fontId="13" fillId="0" borderId="5" xfId="1" applyNumberFormat="1" applyFont="1" applyBorder="1"/>
    <xf numFmtId="10" fontId="13" fillId="0" borderId="0" xfId="1" applyNumberFormat="1" applyFont="1"/>
    <xf numFmtId="4" fontId="12" fillId="0" borderId="0" xfId="1" applyNumberFormat="1" applyFont="1"/>
    <xf numFmtId="3" fontId="5" fillId="0" borderId="0" xfId="1" applyNumberFormat="1" applyFont="1" applyAlignment="1">
      <alignment horizontal="right"/>
    </xf>
    <xf numFmtId="3" fontId="14" fillId="0" borderId="0" xfId="1" applyNumberFormat="1" applyFont="1" applyAlignment="1">
      <alignment horizontal="right"/>
    </xf>
    <xf numFmtId="0" fontId="4" fillId="0" borderId="0" xfId="1" applyAlignment="1">
      <alignment horizontal="right"/>
    </xf>
    <xf numFmtId="9" fontId="4" fillId="0" borderId="0" xfId="1" applyNumberFormat="1" applyAlignment="1">
      <alignment horizontal="right"/>
    </xf>
    <xf numFmtId="3" fontId="15" fillId="0" borderId="5" xfId="2" applyNumberFormat="1" applyFont="1" applyBorder="1"/>
    <xf numFmtId="0" fontId="4" fillId="0" borderId="3" xfId="1" applyBorder="1"/>
    <xf numFmtId="10" fontId="4" fillId="0" borderId="0" xfId="1" applyNumberFormat="1"/>
    <xf numFmtId="3" fontId="4" fillId="0" borderId="6" xfId="1" applyNumberFormat="1" applyBorder="1"/>
    <xf numFmtId="0" fontId="4" fillId="0" borderId="3" xfId="1" applyBorder="1" applyAlignment="1">
      <alignment horizontal="left"/>
    </xf>
    <xf numFmtId="0" fontId="4" fillId="0" borderId="10" xfId="1" applyBorder="1" applyAlignment="1">
      <alignment horizontal="right"/>
    </xf>
    <xf numFmtId="0" fontId="4" fillId="0" borderId="3" xfId="1" applyBorder="1" applyAlignment="1">
      <alignment horizontal="right"/>
    </xf>
    <xf numFmtId="0" fontId="4" fillId="0" borderId="8" xfId="1" applyBorder="1"/>
    <xf numFmtId="3" fontId="9" fillId="4" borderId="14" xfId="2" applyNumberFormat="1" applyFont="1" applyFill="1" applyBorder="1"/>
    <xf numFmtId="0" fontId="4" fillId="0" borderId="5" xfId="1" applyBorder="1" applyAlignment="1">
      <alignment horizontal="right"/>
    </xf>
    <xf numFmtId="0" fontId="12" fillId="0" borderId="0" xfId="1" applyFont="1" applyAlignment="1">
      <alignment horizontal="right"/>
    </xf>
    <xf numFmtId="0" fontId="17" fillId="0" borderId="0" xfId="1" applyFont="1"/>
    <xf numFmtId="3" fontId="18" fillId="0" borderId="0" xfId="2" applyNumberFormat="1" applyFont="1" applyFill="1" applyBorder="1"/>
    <xf numFmtId="0" fontId="4" fillId="0" borderId="5" xfId="1" applyBorder="1" applyAlignment="1">
      <alignment horizontal="left"/>
    </xf>
    <xf numFmtId="0" fontId="17" fillId="0" borderId="5" xfId="1" applyFont="1" applyBorder="1"/>
    <xf numFmtId="0" fontId="5" fillId="0" borderId="3" xfId="1" applyFont="1" applyBorder="1" applyAlignment="1">
      <alignment horizontal="left"/>
    </xf>
    <xf numFmtId="3" fontId="14" fillId="4" borderId="2" xfId="1" applyNumberFormat="1" applyFont="1" applyFill="1" applyBorder="1" applyAlignment="1">
      <alignment horizontal="right"/>
    </xf>
    <xf numFmtId="0" fontId="12" fillId="0" borderId="0" xfId="1" applyFont="1"/>
    <xf numFmtId="3" fontId="12" fillId="0" borderId="0" xfId="1" applyNumberFormat="1" applyFont="1"/>
    <xf numFmtId="9" fontId="4" fillId="4" borderId="7" xfId="1" applyNumberFormat="1" applyFill="1" applyBorder="1" applyAlignment="1">
      <alignment horizontal="right"/>
    </xf>
    <xf numFmtId="3" fontId="14" fillId="5" borderId="7" xfId="1" applyNumberFormat="1" applyFont="1" applyFill="1" applyBorder="1" applyAlignment="1">
      <alignment horizontal="right"/>
    </xf>
    <xf numFmtId="3" fontId="14" fillId="4" borderId="7" xfId="1" applyNumberFormat="1" applyFont="1" applyFill="1" applyBorder="1" applyAlignment="1">
      <alignment horizontal="right"/>
    </xf>
    <xf numFmtId="0" fontId="21" fillId="3" borderId="11" xfId="1" applyFont="1" applyFill="1" applyBorder="1"/>
    <xf numFmtId="3" fontId="4" fillId="3" borderId="12" xfId="1" applyNumberFormat="1" applyFill="1" applyBorder="1"/>
    <xf numFmtId="0" fontId="4" fillId="3" borderId="11" xfId="1" applyFill="1" applyBorder="1"/>
    <xf numFmtId="3" fontId="21" fillId="3" borderId="13" xfId="1" applyNumberFormat="1" applyFont="1" applyFill="1" applyBorder="1"/>
    <xf numFmtId="3" fontId="21" fillId="0" borderId="0" xfId="1" applyNumberFormat="1" applyFont="1"/>
    <xf numFmtId="0" fontId="4" fillId="0" borderId="8" xfId="1" quotePrefix="1" applyBorder="1" applyAlignment="1">
      <alignment horizontal="left"/>
    </xf>
    <xf numFmtId="3" fontId="14" fillId="0" borderId="14" xfId="1" applyNumberFormat="1" applyFont="1" applyBorder="1" applyAlignment="1">
      <alignment horizontal="right"/>
    </xf>
    <xf numFmtId="2" fontId="12" fillId="0" borderId="0" xfId="1" applyNumberFormat="1" applyFont="1" applyAlignment="1">
      <alignment horizontal="right"/>
    </xf>
    <xf numFmtId="0" fontId="12" fillId="0" borderId="15" xfId="1" quotePrefix="1" applyFont="1" applyBorder="1" applyAlignment="1">
      <alignment horizontal="left"/>
    </xf>
    <xf numFmtId="3" fontId="18" fillId="0" borderId="16" xfId="2" applyNumberFormat="1" applyFont="1" applyBorder="1"/>
    <xf numFmtId="0" fontId="12" fillId="0" borderId="5" xfId="1" quotePrefix="1" applyFont="1" applyBorder="1" applyAlignment="1">
      <alignment horizontal="left"/>
    </xf>
    <xf numFmtId="0" fontId="12" fillId="0" borderId="7" xfId="1" applyFont="1" applyBorder="1"/>
    <xf numFmtId="3" fontId="4" fillId="0" borderId="7" xfId="1" applyNumberFormat="1" applyBorder="1"/>
    <xf numFmtId="0" fontId="23" fillId="3" borderId="5" xfId="1" applyFont="1" applyFill="1" applyBorder="1" applyAlignment="1">
      <alignment horizontal="center"/>
    </xf>
    <xf numFmtId="3" fontId="23" fillId="3" borderId="6" xfId="1" applyNumberFormat="1" applyFont="1" applyFill="1" applyBorder="1" applyAlignment="1">
      <alignment horizontal="center"/>
    </xf>
    <xf numFmtId="0" fontId="23" fillId="0" borderId="0" xfId="1" applyFont="1" applyAlignment="1">
      <alignment horizontal="center"/>
    </xf>
    <xf numFmtId="3" fontId="23" fillId="0" borderId="0" xfId="1" applyNumberFormat="1" applyFont="1" applyAlignment="1">
      <alignment horizontal="center"/>
    </xf>
    <xf numFmtId="0" fontId="25" fillId="0" borderId="3" xfId="1" applyFont="1" applyBorder="1"/>
    <xf numFmtId="3" fontId="4" fillId="0" borderId="10" xfId="1" applyNumberFormat="1" applyBorder="1"/>
    <xf numFmtId="3" fontId="4" fillId="0" borderId="4" xfId="1" applyNumberFormat="1" applyBorder="1"/>
    <xf numFmtId="0" fontId="25" fillId="0" borderId="5" xfId="1" quotePrefix="1" applyFont="1" applyBorder="1"/>
    <xf numFmtId="3" fontId="12" fillId="0" borderId="0" xfId="2" applyNumberFormat="1" applyFont="1" applyFill="1" applyBorder="1"/>
    <xf numFmtId="10" fontId="4" fillId="0" borderId="0" xfId="3" applyNumberFormat="1" applyFont="1"/>
    <xf numFmtId="3" fontId="18" fillId="0" borderId="17" xfId="2" applyNumberFormat="1" applyFont="1" applyBorder="1"/>
    <xf numFmtId="0" fontId="26" fillId="3" borderId="11" xfId="1" applyFont="1" applyFill="1" applyBorder="1"/>
    <xf numFmtId="3" fontId="4" fillId="3" borderId="13" xfId="1" applyNumberFormat="1" applyFill="1" applyBorder="1"/>
    <xf numFmtId="3" fontId="27" fillId="6" borderId="11" xfId="1" applyNumberFormat="1" applyFont="1" applyFill="1" applyBorder="1"/>
    <xf numFmtId="3" fontId="27" fillId="6" borderId="13" xfId="1" applyNumberFormat="1" applyFont="1" applyFill="1" applyBorder="1"/>
    <xf numFmtId="3" fontId="27" fillId="0" borderId="0" xfId="1" applyNumberFormat="1" applyFont="1"/>
    <xf numFmtId="3" fontId="5" fillId="0" borderId="0" xfId="1" applyNumberFormat="1" applyFont="1" applyAlignment="1">
      <alignment horizontal="left"/>
    </xf>
    <xf numFmtId="0" fontId="4" fillId="0" borderId="5" xfId="1" quotePrefix="1" applyBorder="1"/>
    <xf numFmtId="3" fontId="12" fillId="0" borderId="7" xfId="2" applyNumberFormat="1" applyFont="1" applyBorder="1"/>
    <xf numFmtId="3" fontId="21" fillId="0" borderId="0" xfId="2" applyNumberFormat="1" applyFont="1" applyFill="1" applyBorder="1"/>
    <xf numFmtId="3" fontId="17" fillId="0" borderId="0" xfId="1" applyNumberFormat="1" applyFont="1"/>
    <xf numFmtId="0" fontId="5" fillId="0" borderId="5" xfId="1" quotePrefix="1" applyFont="1" applyBorder="1" applyAlignment="1">
      <alignment horizontal="left"/>
    </xf>
    <xf numFmtId="3" fontId="5" fillId="0" borderId="7" xfId="1" applyNumberFormat="1" applyFont="1" applyBorder="1"/>
    <xf numFmtId="0" fontId="12" fillId="0" borderId="11" xfId="1" quotePrefix="1" applyFont="1" applyBorder="1" applyAlignment="1">
      <alignment horizontal="left"/>
    </xf>
    <xf numFmtId="3" fontId="21" fillId="0" borderId="18" xfId="2" applyNumberFormat="1" applyFont="1" applyBorder="1"/>
    <xf numFmtId="0" fontId="5" fillId="3" borderId="18" xfId="1" applyFont="1" applyFill="1" applyBorder="1"/>
    <xf numFmtId="3" fontId="4" fillId="0" borderId="0" xfId="1" quotePrefix="1" applyNumberFormat="1" applyAlignment="1">
      <alignment horizontal="center"/>
    </xf>
    <xf numFmtId="3" fontId="5" fillId="2" borderId="18" xfId="1" applyNumberFormat="1" applyFont="1" applyFill="1" applyBorder="1" applyAlignment="1">
      <alignment horizontal="center"/>
    </xf>
    <xf numFmtId="0" fontId="4" fillId="3" borderId="10" xfId="1" applyFill="1" applyBorder="1" applyAlignment="1">
      <alignment horizontal="right"/>
    </xf>
    <xf numFmtId="0" fontId="4" fillId="3" borderId="10" xfId="1" quotePrefix="1" applyFill="1" applyBorder="1" applyAlignment="1">
      <alignment horizontal="right"/>
    </xf>
    <xf numFmtId="3" fontId="4" fillId="3" borderId="10" xfId="1" quotePrefix="1" applyNumberFormat="1" applyFill="1" applyBorder="1" applyAlignment="1">
      <alignment horizontal="right"/>
    </xf>
    <xf numFmtId="3" fontId="4" fillId="3" borderId="4" xfId="1" applyNumberFormat="1" applyFill="1" applyBorder="1" applyAlignment="1">
      <alignment horizontal="right"/>
    </xf>
    <xf numFmtId="0" fontId="4" fillId="3" borderId="5" xfId="1" applyFill="1" applyBorder="1"/>
    <xf numFmtId="167" fontId="15" fillId="3" borderId="0" xfId="1" applyNumberFormat="1" applyFont="1" applyFill="1"/>
    <xf numFmtId="3" fontId="15" fillId="3" borderId="0" xfId="2" applyNumberFormat="1" applyFont="1" applyFill="1" applyBorder="1"/>
    <xf numFmtId="166" fontId="15" fillId="3" borderId="0" xfId="2" applyNumberFormat="1" applyFont="1" applyFill="1" applyBorder="1"/>
    <xf numFmtId="166" fontId="4" fillId="3" borderId="0" xfId="1" applyNumberFormat="1" applyFill="1"/>
    <xf numFmtId="3" fontId="4" fillId="3" borderId="6" xfId="1" applyNumberFormat="1" applyFill="1" applyBorder="1"/>
    <xf numFmtId="0" fontId="5" fillId="3" borderId="5" xfId="1" applyFont="1" applyFill="1" applyBorder="1"/>
    <xf numFmtId="3" fontId="4" fillId="3" borderId="0" xfId="1" applyNumberFormat="1" applyFill="1"/>
    <xf numFmtId="0" fontId="21" fillId="0" borderId="0" xfId="1" applyFont="1" applyAlignment="1">
      <alignment horizontal="right"/>
    </xf>
    <xf numFmtId="0" fontId="4" fillId="3" borderId="8" xfId="1" quotePrefix="1" applyFill="1" applyBorder="1"/>
    <xf numFmtId="168" fontId="15" fillId="3" borderId="1" xfId="3" applyNumberFormat="1" applyFont="1" applyFill="1" applyBorder="1"/>
    <xf numFmtId="3" fontId="4" fillId="3" borderId="1" xfId="1" applyNumberFormat="1" applyFill="1" applyBorder="1"/>
    <xf numFmtId="3" fontId="15" fillId="3" borderId="1" xfId="2" applyNumberFormat="1" applyFont="1" applyFill="1" applyBorder="1"/>
    <xf numFmtId="3" fontId="4" fillId="3" borderId="9" xfId="1" applyNumberFormat="1" applyFill="1" applyBorder="1"/>
    <xf numFmtId="0" fontId="28" fillId="0" borderId="0" xfId="1" applyFont="1"/>
    <xf numFmtId="3" fontId="28" fillId="0" borderId="0" xfId="1" applyNumberFormat="1" applyFont="1"/>
    <xf numFmtId="167" fontId="15" fillId="0" borderId="0" xfId="1" applyNumberFormat="1" applyFont="1"/>
    <xf numFmtId="3" fontId="15" fillId="0" borderId="0" xfId="2" applyNumberFormat="1" applyFont="1"/>
    <xf numFmtId="0" fontId="5" fillId="3" borderId="3" xfId="1" applyFont="1" applyFill="1" applyBorder="1"/>
    <xf numFmtId="0" fontId="4" fillId="3" borderId="10" xfId="1" applyFill="1" applyBorder="1" applyAlignment="1">
      <alignment horizontal="center"/>
    </xf>
    <xf numFmtId="3" fontId="4" fillId="3" borderId="4" xfId="1" applyNumberFormat="1" applyFill="1" applyBorder="1" applyAlignment="1">
      <alignment horizontal="center"/>
    </xf>
    <xf numFmtId="10" fontId="15" fillId="3" borderId="0" xfId="3" applyNumberFormat="1" applyFont="1" applyFill="1" applyBorder="1" applyAlignment="1">
      <alignment horizontal="center"/>
    </xf>
    <xf numFmtId="3" fontId="15" fillId="3" borderId="0" xfId="2" applyNumberFormat="1" applyFont="1" applyFill="1" applyBorder="1" applyAlignment="1">
      <alignment horizontal="center"/>
    </xf>
    <xf numFmtId="3" fontId="4" fillId="3" borderId="6" xfId="1" applyNumberFormat="1" applyFill="1" applyBorder="1" applyAlignment="1">
      <alignment horizontal="center"/>
    </xf>
    <xf numFmtId="0" fontId="4" fillId="3" borderId="8" xfId="1" applyFill="1" applyBorder="1"/>
    <xf numFmtId="10" fontId="15" fillId="3" borderId="1" xfId="3" applyNumberFormat="1" applyFont="1" applyFill="1" applyBorder="1" applyAlignment="1">
      <alignment horizontal="center"/>
    </xf>
    <xf numFmtId="3" fontId="15" fillId="3" borderId="1" xfId="2" applyNumberFormat="1" applyFont="1" applyFill="1" applyBorder="1" applyAlignment="1">
      <alignment horizontal="center"/>
    </xf>
    <xf numFmtId="3" fontId="4" fillId="3" borderId="9" xfId="1" applyNumberFormat="1" applyFill="1" applyBorder="1" applyAlignment="1">
      <alignment horizontal="center"/>
    </xf>
    <xf numFmtId="0" fontId="5" fillId="0" borderId="0" xfId="1" applyFont="1"/>
    <xf numFmtId="0" fontId="4" fillId="3" borderId="3" xfId="1" applyFill="1" applyBorder="1" applyAlignment="1">
      <alignment horizontal="left"/>
    </xf>
    <xf numFmtId="3" fontId="4" fillId="3" borderId="2" xfId="1" applyNumberFormat="1" applyFill="1" applyBorder="1"/>
    <xf numFmtId="0" fontId="4" fillId="3" borderId="5" xfId="1" applyFill="1" applyBorder="1" applyAlignment="1">
      <alignment horizontal="left"/>
    </xf>
    <xf numFmtId="3" fontId="4" fillId="3" borderId="7" xfId="1" applyNumberFormat="1" applyFill="1" applyBorder="1"/>
    <xf numFmtId="169" fontId="4" fillId="0" borderId="0" xfId="1" applyNumberFormat="1"/>
    <xf numFmtId="10" fontId="4" fillId="3" borderId="7" xfId="1" applyNumberFormat="1" applyFill="1" applyBorder="1"/>
    <xf numFmtId="0" fontId="4" fillId="3" borderId="5" xfId="1" quotePrefix="1" applyFill="1" applyBorder="1" applyAlignment="1">
      <alignment horizontal="left"/>
    </xf>
    <xf numFmtId="0" fontId="4" fillId="3" borderId="8" xfId="1" quotePrefix="1" applyFill="1" applyBorder="1" applyAlignment="1">
      <alignment horizontal="left"/>
    </xf>
    <xf numFmtId="3" fontId="4" fillId="3" borderId="14" xfId="1" applyNumberFormat="1" applyFill="1" applyBorder="1"/>
    <xf numFmtId="3" fontId="7" fillId="7" borderId="0" xfId="1" applyNumberFormat="1" applyFont="1" applyFill="1" applyAlignment="1">
      <alignment horizontal="center"/>
    </xf>
    <xf numFmtId="3" fontId="5" fillId="2" borderId="4" xfId="1" applyNumberFormat="1" applyFont="1" applyFill="1" applyBorder="1" applyAlignment="1">
      <alignment horizontal="center"/>
    </xf>
    <xf numFmtId="3" fontId="9" fillId="4" borderId="4" xfId="2" applyNumberFormat="1" applyFont="1" applyFill="1" applyBorder="1"/>
    <xf numFmtId="3" fontId="9" fillId="4" borderId="6" xfId="2" applyNumberFormat="1" applyFont="1" applyFill="1" applyBorder="1"/>
    <xf numFmtId="3" fontId="9" fillId="4" borderId="6" xfId="2" applyNumberFormat="1" applyFont="1" applyFill="1" applyBorder="1" applyAlignment="1">
      <alignment horizontal="right"/>
    </xf>
    <xf numFmtId="166" fontId="9" fillId="4" borderId="6" xfId="2" applyNumberFormat="1" applyFont="1" applyFill="1" applyBorder="1"/>
    <xf numFmtId="0" fontId="4" fillId="0" borderId="6" xfId="1" applyBorder="1"/>
    <xf numFmtId="10" fontId="9" fillId="5" borderId="2" xfId="3" applyNumberFormat="1" applyFont="1" applyFill="1" applyBorder="1"/>
    <xf numFmtId="10" fontId="9" fillId="5" borderId="14" xfId="3" applyNumberFormat="1" applyFont="1" applyFill="1" applyBorder="1"/>
    <xf numFmtId="10" fontId="9" fillId="8" borderId="14" xfId="3" applyNumberFormat="1" applyFont="1" applyFill="1" applyBorder="1"/>
    <xf numFmtId="3" fontId="9" fillId="8" borderId="7" xfId="2" applyNumberFormat="1" applyFont="1" applyFill="1" applyBorder="1"/>
    <xf numFmtId="10" fontId="4" fillId="0" borderId="6" xfId="1" applyNumberFormat="1" applyBorder="1"/>
    <xf numFmtId="3" fontId="9" fillId="8" borderId="14" xfId="2" applyNumberFormat="1" applyFont="1" applyFill="1" applyBorder="1"/>
    <xf numFmtId="3" fontId="14" fillId="4" borderId="4" xfId="1" applyNumberFormat="1" applyFont="1" applyFill="1" applyBorder="1" applyAlignment="1">
      <alignment horizontal="right"/>
    </xf>
    <xf numFmtId="9" fontId="4" fillId="4" borderId="6" xfId="1" applyNumberFormat="1" applyFill="1" applyBorder="1" applyAlignment="1">
      <alignment horizontal="right"/>
    </xf>
    <xf numFmtId="3" fontId="14" fillId="5" borderId="6" xfId="1" applyNumberFormat="1" applyFont="1" applyFill="1" applyBorder="1" applyAlignment="1">
      <alignment horizontal="right"/>
    </xf>
    <xf numFmtId="3" fontId="14" fillId="4" borderId="6" xfId="1" applyNumberFormat="1" applyFont="1" applyFill="1" applyBorder="1" applyAlignment="1">
      <alignment horizontal="right"/>
    </xf>
    <xf numFmtId="3" fontId="14" fillId="0" borderId="9" xfId="1" applyNumberFormat="1" applyFont="1" applyBorder="1" applyAlignment="1">
      <alignment horizontal="right"/>
    </xf>
    <xf numFmtId="0" fontId="12" fillId="0" borderId="6" xfId="1" applyFont="1" applyBorder="1"/>
    <xf numFmtId="0" fontId="5" fillId="3" borderId="2" xfId="1" applyFont="1" applyFill="1" applyBorder="1" applyAlignment="1">
      <alignment horizontal="center"/>
    </xf>
    <xf numFmtId="0" fontId="5" fillId="3" borderId="7" xfId="1" applyFont="1" applyFill="1" applyBorder="1" applyAlignment="1">
      <alignment horizontal="center"/>
    </xf>
    <xf numFmtId="3" fontId="29" fillId="0" borderId="18" xfId="1" applyNumberFormat="1" applyFont="1" applyBorder="1"/>
    <xf numFmtId="170" fontId="0" fillId="0" borderId="14" xfId="2" applyNumberFormat="1" applyFont="1" applyBorder="1"/>
    <xf numFmtId="10" fontId="0" fillId="0" borderId="0" xfId="3" applyNumberFormat="1" applyFont="1"/>
    <xf numFmtId="3" fontId="18" fillId="0" borderId="19" xfId="2" applyNumberFormat="1" applyFont="1" applyBorder="1"/>
    <xf numFmtId="3" fontId="12" fillId="0" borderId="6" xfId="2" applyNumberFormat="1" applyFont="1" applyBorder="1"/>
    <xf numFmtId="170" fontId="0" fillId="0" borderId="7" xfId="2" applyNumberFormat="1" applyFont="1" applyBorder="1"/>
    <xf numFmtId="170" fontId="4" fillId="3" borderId="7" xfId="2" applyNumberFormat="1" applyFont="1" applyFill="1" applyBorder="1"/>
    <xf numFmtId="3" fontId="21" fillId="0" borderId="13" xfId="2" applyNumberFormat="1" applyFont="1" applyBorder="1"/>
    <xf numFmtId="171" fontId="0" fillId="0" borderId="0" xfId="3" applyNumberFormat="1" applyFont="1"/>
    <xf numFmtId="3" fontId="5" fillId="2" borderId="13" xfId="1" applyNumberFormat="1" applyFont="1" applyFill="1" applyBorder="1" applyAlignment="1">
      <alignment horizontal="center"/>
    </xf>
    <xf numFmtId="3" fontId="4" fillId="3" borderId="4" xfId="1" applyNumberFormat="1" applyFill="1" applyBorder="1"/>
    <xf numFmtId="3" fontId="4" fillId="9" borderId="6" xfId="1" applyNumberFormat="1" applyFill="1" applyBorder="1"/>
    <xf numFmtId="10" fontId="4" fillId="3" borderId="6" xfId="1" applyNumberFormat="1" applyFill="1" applyBorder="1"/>
    <xf numFmtId="3" fontId="4" fillId="9" borderId="9" xfId="1" applyNumberFormat="1" applyFill="1" applyBorder="1"/>
    <xf numFmtId="172" fontId="0" fillId="0" borderId="0" xfId="2" applyNumberFormat="1" applyFont="1"/>
    <xf numFmtId="10" fontId="9" fillId="3" borderId="4" xfId="3" applyNumberFormat="1" applyFont="1" applyFill="1" applyBorder="1"/>
    <xf numFmtId="0" fontId="31" fillId="0" borderId="0" xfId="1" applyFont="1" applyAlignment="1">
      <alignment vertical="center" wrapText="1"/>
    </xf>
    <xf numFmtId="165" fontId="13" fillId="3" borderId="6" xfId="2" applyFont="1" applyFill="1" applyBorder="1"/>
    <xf numFmtId="0" fontId="32" fillId="10" borderId="20" xfId="1" applyFont="1" applyFill="1" applyBorder="1" applyAlignment="1">
      <alignment horizontal="left" vertical="top" wrapText="1"/>
    </xf>
    <xf numFmtId="0" fontId="32" fillId="10" borderId="21" xfId="1" applyFont="1" applyFill="1" applyBorder="1" applyAlignment="1">
      <alignment horizontal="left" vertical="top" wrapText="1"/>
    </xf>
    <xf numFmtId="172" fontId="32" fillId="10" borderId="4" xfId="2" applyNumberFormat="1" applyFont="1" applyFill="1" applyBorder="1" applyAlignment="1">
      <alignment horizontal="left" vertical="top" wrapText="1"/>
    </xf>
    <xf numFmtId="170" fontId="13" fillId="3" borderId="6" xfId="2" applyNumberFormat="1" applyFont="1" applyFill="1" applyBorder="1"/>
    <xf numFmtId="172" fontId="4" fillId="0" borderId="6" xfId="2" applyNumberFormat="1" applyFont="1" applyFill="1" applyBorder="1"/>
    <xf numFmtId="3" fontId="9" fillId="3" borderId="6" xfId="2" applyNumberFormat="1" applyFont="1" applyFill="1" applyBorder="1"/>
    <xf numFmtId="10" fontId="9" fillId="3" borderId="6" xfId="3" applyNumberFormat="1" applyFont="1" applyFill="1" applyBorder="1"/>
    <xf numFmtId="10" fontId="4" fillId="3" borderId="5" xfId="3" applyNumberFormat="1" applyFont="1" applyFill="1" applyBorder="1" applyAlignment="1">
      <alignment horizontal="left"/>
    </xf>
    <xf numFmtId="10" fontId="13" fillId="3" borderId="6" xfId="3" applyNumberFormat="1" applyFont="1" applyFill="1" applyBorder="1"/>
    <xf numFmtId="3" fontId="13" fillId="3" borderId="6" xfId="2" applyNumberFormat="1" applyFont="1" applyFill="1" applyBorder="1"/>
    <xf numFmtId="9" fontId="9" fillId="3" borderId="6" xfId="3" applyFont="1" applyFill="1" applyBorder="1"/>
    <xf numFmtId="3" fontId="33" fillId="3" borderId="6" xfId="2" applyNumberFormat="1" applyFont="1" applyFill="1" applyBorder="1"/>
    <xf numFmtId="168" fontId="33" fillId="3" borderId="6" xfId="3" applyNumberFormat="1" applyFont="1" applyFill="1" applyBorder="1"/>
    <xf numFmtId="3" fontId="4" fillId="3" borderId="5" xfId="1" applyNumberFormat="1" applyFill="1" applyBorder="1" applyAlignment="1">
      <alignment horizontal="left"/>
    </xf>
    <xf numFmtId="3" fontId="13" fillId="3" borderId="6" xfId="1" applyNumberFormat="1" applyFont="1" applyFill="1" applyBorder="1"/>
    <xf numFmtId="9" fontId="13" fillId="3" borderId="6" xfId="3" applyFont="1" applyFill="1" applyBorder="1"/>
    <xf numFmtId="9" fontId="9" fillId="3" borderId="9" xfId="3" applyFont="1" applyFill="1" applyBorder="1"/>
    <xf numFmtId="0" fontId="4" fillId="0" borderId="1" xfId="1" applyBorder="1"/>
    <xf numFmtId="172" fontId="4" fillId="0" borderId="9" xfId="2" applyNumberFormat="1" applyFont="1" applyFill="1" applyBorder="1"/>
    <xf numFmtId="0" fontId="34" fillId="0" borderId="0" xfId="4"/>
    <xf numFmtId="0" fontId="36" fillId="0" borderId="0" xfId="4" applyFont="1"/>
    <xf numFmtId="0" fontId="34" fillId="0" borderId="0" xfId="4" quotePrefix="1"/>
    <xf numFmtId="0" fontId="41" fillId="0" borderId="0" xfId="4" applyFont="1"/>
    <xf numFmtId="0" fontId="42" fillId="0" borderId="0" xfId="4" applyFont="1"/>
    <xf numFmtId="174" fontId="42" fillId="0" borderId="0" xfId="5" applyNumberFormat="1" applyFont="1"/>
    <xf numFmtId="168" fontId="42" fillId="0" borderId="0" xfId="4" applyNumberFormat="1" applyFont="1"/>
    <xf numFmtId="0" fontId="37" fillId="0" borderId="0" xfId="4" applyFont="1"/>
    <xf numFmtId="174" fontId="42" fillId="0" borderId="0" xfId="4" applyNumberFormat="1" applyFont="1"/>
    <xf numFmtId="174" fontId="43" fillId="0" borderId="0" xfId="5" applyNumberFormat="1" applyFont="1"/>
    <xf numFmtId="175" fontId="42" fillId="0" borderId="0" xfId="4" applyNumberFormat="1" applyFont="1"/>
    <xf numFmtId="0" fontId="42" fillId="2" borderId="0" xfId="4" applyFont="1" applyFill="1"/>
    <xf numFmtId="175" fontId="42" fillId="2" borderId="0" xfId="4" applyNumberFormat="1" applyFont="1" applyFill="1"/>
    <xf numFmtId="0" fontId="42" fillId="0" borderId="0" xfId="4" quotePrefix="1" applyFont="1"/>
    <xf numFmtId="176" fontId="34" fillId="0" borderId="0" xfId="4" applyNumberFormat="1"/>
    <xf numFmtId="0" fontId="39" fillId="2" borderId="0" xfId="4" applyFont="1" applyFill="1"/>
    <xf numFmtId="10" fontId="39" fillId="2" borderId="0" xfId="6" applyNumberFormat="1" applyFont="1" applyFill="1"/>
    <xf numFmtId="0" fontId="34" fillId="0" borderId="0" xfId="7"/>
    <xf numFmtId="0" fontId="36" fillId="0" borderId="0" xfId="7" applyFont="1"/>
    <xf numFmtId="174" fontId="0" fillId="4" borderId="0" xfId="8" applyNumberFormat="1" applyFont="1" applyFill="1"/>
    <xf numFmtId="0" fontId="36" fillId="0" borderId="0" xfId="7" applyFont="1" applyAlignment="1">
      <alignment horizontal="center"/>
    </xf>
    <xf numFmtId="0" fontId="44" fillId="0" borderId="0" xfId="7" applyFont="1"/>
    <xf numFmtId="174" fontId="34" fillId="0" borderId="0" xfId="7" applyNumberFormat="1"/>
    <xf numFmtId="9" fontId="34" fillId="4" borderId="0" xfId="7" applyNumberFormat="1" applyFill="1" applyAlignment="1">
      <alignment horizontal="center"/>
    </xf>
    <xf numFmtId="0" fontId="3" fillId="0" borderId="2" xfId="7" applyFont="1" applyBorder="1"/>
    <xf numFmtId="174" fontId="1" fillId="0" borderId="7" xfId="8" applyNumberFormat="1" applyFont="1" applyBorder="1"/>
    <xf numFmtId="174" fontId="1" fillId="0" borderId="6" xfId="9" applyNumberFormat="1" applyFont="1" applyBorder="1"/>
    <xf numFmtId="174" fontId="0" fillId="0" borderId="0" xfId="8" applyNumberFormat="1" applyFont="1"/>
    <xf numFmtId="0" fontId="1" fillId="0" borderId="7" xfId="7" applyFont="1" applyBorder="1"/>
    <xf numFmtId="2" fontId="1" fillId="4" borderId="7" xfId="7" applyNumberFormat="1" applyFont="1" applyFill="1" applyBorder="1"/>
    <xf numFmtId="2" fontId="1" fillId="5" borderId="7" xfId="7" applyNumberFormat="1" applyFont="1" applyFill="1" applyBorder="1"/>
    <xf numFmtId="2" fontId="1" fillId="5" borderId="6" xfId="7" applyNumberFormat="1" applyFont="1" applyFill="1" applyBorder="1"/>
    <xf numFmtId="0" fontId="3" fillId="0" borderId="7" xfId="7" applyFont="1" applyBorder="1"/>
    <xf numFmtId="174" fontId="1" fillId="0" borderId="7" xfId="7" applyNumberFormat="1" applyFont="1" applyBorder="1"/>
    <xf numFmtId="174" fontId="1" fillId="0" borderId="6" xfId="7" applyNumberFormat="1" applyFont="1" applyBorder="1"/>
    <xf numFmtId="173" fontId="34" fillId="0" borderId="0" xfId="7" applyNumberFormat="1"/>
    <xf numFmtId="0" fontId="1" fillId="0" borderId="7" xfId="7" quotePrefix="1" applyFont="1" applyBorder="1"/>
    <xf numFmtId="173" fontId="0" fillId="0" borderId="0" xfId="8" applyFont="1"/>
    <xf numFmtId="177" fontId="36" fillId="0" borderId="0" xfId="7" applyNumberFormat="1" applyFont="1"/>
    <xf numFmtId="174" fontId="34" fillId="0" borderId="22" xfId="7" applyNumberFormat="1" applyBorder="1"/>
    <xf numFmtId="0" fontId="1" fillId="0" borderId="6" xfId="7" applyFont="1" applyBorder="1"/>
    <xf numFmtId="174" fontId="36" fillId="0" borderId="0" xfId="7" applyNumberFormat="1" applyFont="1"/>
    <xf numFmtId="10" fontId="1" fillId="4" borderId="7" xfId="7" applyNumberFormat="1" applyFont="1" applyFill="1" applyBorder="1"/>
    <xf numFmtId="10" fontId="1" fillId="4" borderId="7" xfId="10" applyNumberFormat="1" applyFont="1" applyFill="1" applyBorder="1"/>
    <xf numFmtId="10" fontId="1" fillId="4" borderId="6" xfId="7" applyNumberFormat="1" applyFont="1" applyFill="1" applyBorder="1"/>
    <xf numFmtId="10" fontId="0" fillId="0" borderId="0" xfId="11" applyNumberFormat="1" applyFont="1"/>
    <xf numFmtId="10" fontId="1" fillId="0" borderId="7" xfId="7" applyNumberFormat="1" applyFont="1" applyBorder="1"/>
    <xf numFmtId="10" fontId="1" fillId="0" borderId="7" xfId="10" applyNumberFormat="1" applyFont="1" applyBorder="1"/>
    <xf numFmtId="10" fontId="1" fillId="0" borderId="6" xfId="7" applyNumberFormat="1" applyFont="1" applyBorder="1"/>
    <xf numFmtId="0" fontId="1" fillId="4" borderId="7" xfId="7" applyFont="1" applyFill="1" applyBorder="1"/>
    <xf numFmtId="0" fontId="1" fillId="4" borderId="6" xfId="7" applyFont="1" applyFill="1" applyBorder="1"/>
    <xf numFmtId="10" fontId="34" fillId="0" borderId="0" xfId="7" applyNumberFormat="1"/>
    <xf numFmtId="0" fontId="1" fillId="0" borderId="2" xfId="7" applyFont="1" applyBorder="1"/>
    <xf numFmtId="174" fontId="1" fillId="0" borderId="2" xfId="8" applyNumberFormat="1" applyFont="1" applyBorder="1"/>
    <xf numFmtId="174" fontId="1" fillId="0" borderId="4" xfId="9" applyNumberFormat="1" applyFont="1" applyBorder="1"/>
    <xf numFmtId="177" fontId="34" fillId="0" borderId="0" xfId="7" applyNumberFormat="1"/>
    <xf numFmtId="0" fontId="44" fillId="0" borderId="7" xfId="7" applyFont="1" applyBorder="1"/>
    <xf numFmtId="174" fontId="3" fillId="0" borderId="7" xfId="8" applyNumberFormat="1" applyFont="1" applyBorder="1"/>
    <xf numFmtId="174" fontId="3" fillId="0" borderId="6" xfId="9" applyNumberFormat="1" applyFont="1" applyBorder="1"/>
    <xf numFmtId="174" fontId="39" fillId="0" borderId="0" xfId="8" applyNumberFormat="1" applyFont="1"/>
    <xf numFmtId="0" fontId="39" fillId="0" borderId="0" xfId="7" applyFont="1"/>
    <xf numFmtId="178" fontId="39" fillId="0" borderId="0" xfId="8" applyNumberFormat="1" applyFont="1"/>
    <xf numFmtId="10" fontId="0" fillId="0" borderId="0" xfId="8" applyNumberFormat="1" applyFont="1"/>
    <xf numFmtId="0" fontId="44" fillId="0" borderId="14" xfId="7" applyFont="1" applyBorder="1"/>
    <xf numFmtId="174" fontId="44" fillId="0" borderId="14" xfId="8" applyNumberFormat="1" applyFont="1" applyBorder="1"/>
    <xf numFmtId="174" fontId="44" fillId="0" borderId="9" xfId="9" applyNumberFormat="1" applyFont="1" applyBorder="1"/>
    <xf numFmtId="10" fontId="36" fillId="0" borderId="0" xfId="11" applyNumberFormat="1" applyFont="1"/>
    <xf numFmtId="0" fontId="40" fillId="0" borderId="0" xfId="7" applyFont="1"/>
    <xf numFmtId="174" fontId="40" fillId="0" borderId="0" xfId="8" applyNumberFormat="1" applyFont="1" applyAlignment="1">
      <alignment horizontal="right"/>
    </xf>
    <xf numFmtId="174" fontId="40" fillId="0" borderId="5" xfId="8" applyNumberFormat="1" applyFont="1" applyBorder="1"/>
    <xf numFmtId="174" fontId="40" fillId="0" borderId="0" xfId="8" applyNumberFormat="1" applyFont="1"/>
    <xf numFmtId="0" fontId="34" fillId="0" borderId="0" xfId="7" applyAlignment="1">
      <alignment horizontal="right"/>
    </xf>
    <xf numFmtId="3" fontId="46" fillId="11" borderId="0" xfId="1" applyNumberFormat="1" applyFont="1" applyFill="1"/>
    <xf numFmtId="3" fontId="47" fillId="11" borderId="0" xfId="1" applyNumberFormat="1" applyFont="1" applyFill="1"/>
    <xf numFmtId="3" fontId="48" fillId="11" borderId="0" xfId="1" applyNumberFormat="1" applyFont="1" applyFill="1"/>
    <xf numFmtId="3" fontId="48" fillId="11" borderId="22" xfId="1" applyNumberFormat="1" applyFont="1" applyFill="1" applyBorder="1"/>
    <xf numFmtId="3" fontId="49" fillId="12" borderId="23" xfId="1" applyNumberFormat="1" applyFont="1" applyFill="1" applyBorder="1"/>
    <xf numFmtId="3" fontId="50" fillId="12" borderId="24" xfId="1" applyNumberFormat="1" applyFont="1" applyFill="1" applyBorder="1" applyAlignment="1">
      <alignment horizontal="center"/>
    </xf>
    <xf numFmtId="1" fontId="50" fillId="12" borderId="24" xfId="1" applyNumberFormat="1" applyFont="1" applyFill="1" applyBorder="1" applyAlignment="1">
      <alignment horizontal="center"/>
    </xf>
    <xf numFmtId="1" fontId="50" fillId="12" borderId="25" xfId="1" applyNumberFormat="1" applyFont="1" applyFill="1" applyBorder="1" applyAlignment="1">
      <alignment horizontal="center"/>
    </xf>
    <xf numFmtId="3" fontId="48" fillId="11" borderId="26" xfId="1" applyNumberFormat="1" applyFont="1" applyFill="1" applyBorder="1"/>
    <xf numFmtId="3" fontId="48" fillId="11" borderId="27" xfId="1" applyNumberFormat="1" applyFont="1" applyFill="1" applyBorder="1"/>
    <xf numFmtId="3" fontId="48" fillId="12" borderId="28" xfId="1" applyNumberFormat="1" applyFont="1" applyFill="1" applyBorder="1" applyAlignment="1" applyProtection="1">
      <alignment horizontal="left"/>
      <protection locked="0" hidden="1"/>
    </xf>
    <xf numFmtId="3" fontId="48" fillId="12" borderId="29" xfId="1" applyNumberFormat="1" applyFont="1" applyFill="1" applyBorder="1" applyProtection="1">
      <protection locked="0" hidden="1"/>
    </xf>
    <xf numFmtId="3" fontId="48" fillId="12" borderId="30" xfId="1" applyNumberFormat="1" applyFont="1" applyFill="1" applyBorder="1" applyProtection="1">
      <protection locked="0" hidden="1"/>
    </xf>
    <xf numFmtId="3" fontId="50" fillId="12" borderId="31" xfId="1" applyNumberFormat="1" applyFont="1" applyFill="1" applyBorder="1" applyProtection="1">
      <protection hidden="1"/>
    </xf>
    <xf numFmtId="3" fontId="48" fillId="12" borderId="0" xfId="1" applyNumberFormat="1" applyFont="1" applyFill="1" applyProtection="1">
      <protection locked="0" hidden="1"/>
    </xf>
    <xf numFmtId="3" fontId="50" fillId="12" borderId="32" xfId="1" applyNumberFormat="1" applyFont="1" applyFill="1" applyBorder="1" applyProtection="1">
      <protection hidden="1"/>
    </xf>
    <xf numFmtId="3" fontId="49" fillId="12" borderId="28" xfId="1" applyNumberFormat="1" applyFont="1" applyFill="1" applyBorder="1" applyAlignment="1" applyProtection="1">
      <alignment horizontal="left"/>
      <protection locked="0" hidden="1"/>
    </xf>
    <xf numFmtId="3" fontId="50" fillId="12" borderId="33" xfId="1" applyNumberFormat="1" applyFont="1" applyFill="1" applyBorder="1" applyProtection="1">
      <protection locked="0" hidden="1"/>
    </xf>
    <xf numFmtId="3" fontId="50" fillId="12" borderId="34" xfId="1" applyNumberFormat="1" applyFont="1" applyFill="1" applyBorder="1" applyProtection="1">
      <protection locked="0" hidden="1"/>
    </xf>
    <xf numFmtId="3" fontId="50" fillId="12" borderId="35" xfId="1" applyNumberFormat="1" applyFont="1" applyFill="1" applyBorder="1" applyProtection="1">
      <protection hidden="1"/>
    </xf>
    <xf numFmtId="3" fontId="50" fillId="11" borderId="0" xfId="1" applyNumberFormat="1" applyFont="1" applyFill="1"/>
    <xf numFmtId="3" fontId="50" fillId="11" borderId="26" xfId="1" applyNumberFormat="1" applyFont="1" applyFill="1" applyBorder="1"/>
    <xf numFmtId="3" fontId="50" fillId="11" borderId="27" xfId="1" applyNumberFormat="1" applyFont="1" applyFill="1" applyBorder="1"/>
    <xf numFmtId="3" fontId="51" fillId="12" borderId="36" xfId="1" applyNumberFormat="1" applyFont="1" applyFill="1" applyBorder="1" applyAlignment="1" applyProtection="1">
      <alignment horizontal="left"/>
      <protection locked="0" hidden="1"/>
    </xf>
    <xf numFmtId="3" fontId="52" fillId="12" borderId="37" xfId="1" applyNumberFormat="1" applyFont="1" applyFill="1" applyBorder="1" applyProtection="1">
      <protection locked="0" hidden="1"/>
    </xf>
    <xf numFmtId="3" fontId="52" fillId="12" borderId="38" xfId="1" applyNumberFormat="1" applyFont="1" applyFill="1" applyBorder="1" applyProtection="1">
      <protection hidden="1"/>
    </xf>
    <xf numFmtId="3" fontId="51" fillId="11" borderId="0" xfId="1" applyNumberFormat="1" applyFont="1" applyFill="1"/>
    <xf numFmtId="3" fontId="51" fillId="11" borderId="39" xfId="1" applyNumberFormat="1" applyFont="1" applyFill="1" applyBorder="1"/>
    <xf numFmtId="3" fontId="48" fillId="13" borderId="0" xfId="1" applyNumberFormat="1" applyFont="1" applyFill="1" applyAlignment="1" applyProtection="1">
      <alignment horizontal="left"/>
      <protection locked="0" hidden="1"/>
    </xf>
    <xf numFmtId="3" fontId="48" fillId="13" borderId="0" xfId="1" applyNumberFormat="1" applyFont="1" applyFill="1" applyProtection="1">
      <protection locked="0" hidden="1"/>
    </xf>
    <xf numFmtId="3" fontId="48" fillId="13" borderId="0" xfId="1" applyNumberFormat="1" applyFont="1" applyFill="1" applyProtection="1">
      <protection hidden="1"/>
    </xf>
    <xf numFmtId="3" fontId="48" fillId="11" borderId="39" xfId="1" applyNumberFormat="1" applyFont="1" applyFill="1" applyBorder="1"/>
    <xf numFmtId="3" fontId="49" fillId="12" borderId="40" xfId="1" applyNumberFormat="1" applyFont="1" applyFill="1" applyBorder="1" applyAlignment="1" applyProtection="1">
      <alignment horizontal="left" vertical="center"/>
      <protection locked="0" hidden="1"/>
    </xf>
    <xf numFmtId="3" fontId="50" fillId="12" borderId="39" xfId="1" applyNumberFormat="1" applyFont="1" applyFill="1" applyBorder="1" applyAlignment="1">
      <alignment horizontal="center"/>
    </xf>
    <xf numFmtId="1" fontId="50" fillId="12" borderId="39" xfId="1" applyNumberFormat="1" applyFont="1" applyFill="1" applyBorder="1" applyAlignment="1">
      <alignment horizontal="center"/>
    </xf>
    <xf numFmtId="1" fontId="50" fillId="12" borderId="41" xfId="1" applyNumberFormat="1" applyFont="1" applyFill="1" applyBorder="1" applyAlignment="1">
      <alignment horizontal="center"/>
    </xf>
    <xf numFmtId="3" fontId="48" fillId="11" borderId="0" xfId="1" applyNumberFormat="1" applyFont="1" applyFill="1" applyAlignment="1">
      <alignment vertical="center"/>
    </xf>
    <xf numFmtId="3" fontId="48" fillId="11" borderId="39" xfId="1" applyNumberFormat="1" applyFont="1" applyFill="1" applyBorder="1" applyAlignment="1">
      <alignment vertical="center"/>
    </xf>
    <xf numFmtId="3" fontId="50" fillId="12" borderId="42" xfId="1" applyNumberFormat="1" applyFont="1" applyFill="1" applyBorder="1" applyAlignment="1" applyProtection="1">
      <alignment horizontal="left"/>
      <protection locked="0" hidden="1"/>
    </xf>
    <xf numFmtId="3" fontId="48" fillId="12" borderId="0" xfId="1" applyNumberFormat="1" applyFont="1" applyFill="1"/>
    <xf numFmtId="3" fontId="48" fillId="12" borderId="43" xfId="1" applyNumberFormat="1" applyFont="1" applyFill="1" applyBorder="1"/>
    <xf numFmtId="3" fontId="48" fillId="12" borderId="42" xfId="1" applyNumberFormat="1" applyFont="1" applyFill="1" applyBorder="1" applyAlignment="1" applyProtection="1">
      <alignment horizontal="left"/>
      <protection locked="0" hidden="1"/>
    </xf>
    <xf numFmtId="3" fontId="50" fillId="12" borderId="44" xfId="1" applyNumberFormat="1" applyFont="1" applyFill="1" applyBorder="1" applyProtection="1">
      <protection locked="0" hidden="1"/>
    </xf>
    <xf numFmtId="3" fontId="50" fillId="12" borderId="43" xfId="1" applyNumberFormat="1" applyFont="1" applyFill="1" applyBorder="1" applyProtection="1">
      <protection locked="0" hidden="1"/>
    </xf>
    <xf numFmtId="3" fontId="53" fillId="11" borderId="0" xfId="1" applyNumberFormat="1" applyFont="1" applyFill="1"/>
    <xf numFmtId="3" fontId="50" fillId="12" borderId="44" xfId="1" applyNumberFormat="1" applyFont="1" applyFill="1" applyBorder="1" applyProtection="1">
      <protection hidden="1"/>
    </xf>
    <xf numFmtId="3" fontId="50" fillId="12" borderId="43" xfId="1" applyNumberFormat="1" applyFont="1" applyFill="1" applyBorder="1" applyProtection="1">
      <protection hidden="1"/>
    </xf>
    <xf numFmtId="3" fontId="50" fillId="12" borderId="33" xfId="1" applyNumberFormat="1" applyFont="1" applyFill="1" applyBorder="1" applyProtection="1">
      <protection hidden="1"/>
    </xf>
    <xf numFmtId="3" fontId="50" fillId="12" borderId="34" xfId="1" applyNumberFormat="1" applyFont="1" applyFill="1" applyBorder="1" applyProtection="1">
      <protection hidden="1"/>
    </xf>
    <xf numFmtId="3" fontId="50" fillId="12" borderId="45" xfId="1" applyNumberFormat="1" applyFont="1" applyFill="1" applyBorder="1" applyProtection="1">
      <protection hidden="1"/>
    </xf>
    <xf numFmtId="3" fontId="51" fillId="12" borderId="42" xfId="1" applyNumberFormat="1" applyFont="1" applyFill="1" applyBorder="1" applyAlignment="1" applyProtection="1">
      <alignment horizontal="left"/>
      <protection locked="0" hidden="1"/>
    </xf>
    <xf numFmtId="3" fontId="52" fillId="12" borderId="0" xfId="1" applyNumberFormat="1" applyFont="1" applyFill="1" applyProtection="1">
      <protection hidden="1"/>
    </xf>
    <xf numFmtId="3" fontId="51" fillId="12" borderId="43" xfId="1" applyNumberFormat="1" applyFont="1" applyFill="1" applyBorder="1" applyProtection="1">
      <protection hidden="1"/>
    </xf>
    <xf numFmtId="3" fontId="51" fillId="11" borderId="26" xfId="1" applyNumberFormat="1" applyFont="1" applyFill="1" applyBorder="1"/>
    <xf numFmtId="3" fontId="51" fillId="11" borderId="27" xfId="1" applyNumberFormat="1" applyFont="1" applyFill="1" applyBorder="1"/>
    <xf numFmtId="3" fontId="50" fillId="12" borderId="43" xfId="1" applyNumberFormat="1" applyFont="1" applyFill="1" applyBorder="1"/>
    <xf numFmtId="3" fontId="48" fillId="12" borderId="46" xfId="1" applyNumberFormat="1" applyFont="1" applyFill="1" applyBorder="1" applyProtection="1">
      <protection locked="0" hidden="1"/>
    </xf>
    <xf numFmtId="3" fontId="48" fillId="12" borderId="47" xfId="1" applyNumberFormat="1" applyFont="1" applyFill="1" applyBorder="1" applyProtection="1">
      <protection locked="0" hidden="1"/>
    </xf>
    <xf numFmtId="3" fontId="50" fillId="12" borderId="48" xfId="1" applyNumberFormat="1" applyFont="1" applyFill="1" applyBorder="1" applyProtection="1">
      <protection hidden="1"/>
    </xf>
    <xf numFmtId="3" fontId="48" fillId="12" borderId="49" xfId="1" applyNumberFormat="1" applyFont="1" applyFill="1" applyBorder="1" applyProtection="1">
      <protection locked="0" hidden="1"/>
    </xf>
    <xf numFmtId="3" fontId="50" fillId="12" borderId="50" xfId="1" applyNumberFormat="1" applyFont="1" applyFill="1" applyBorder="1" applyProtection="1">
      <protection hidden="1"/>
    </xf>
    <xf numFmtId="3" fontId="48" fillId="12" borderId="33" xfId="1" applyNumberFormat="1" applyFont="1" applyFill="1" applyBorder="1" applyProtection="1">
      <protection locked="0" hidden="1"/>
    </xf>
    <xf numFmtId="3" fontId="48" fillId="12" borderId="34" xfId="1" applyNumberFormat="1" applyFont="1" applyFill="1" applyBorder="1" applyProtection="1">
      <protection locked="0" hidden="1"/>
    </xf>
    <xf numFmtId="3" fontId="48" fillId="12" borderId="51" xfId="1" applyNumberFormat="1" applyFont="1" applyFill="1" applyBorder="1" applyProtection="1">
      <protection locked="0" hidden="1"/>
    </xf>
    <xf numFmtId="3" fontId="48" fillId="12" borderId="29" xfId="1" applyNumberFormat="1" applyFont="1" applyFill="1" applyBorder="1" applyProtection="1">
      <protection hidden="1"/>
    </xf>
    <xf numFmtId="3" fontId="48" fillId="12" borderId="30" xfId="1" applyNumberFormat="1" applyFont="1" applyFill="1" applyBorder="1" applyProtection="1">
      <protection hidden="1"/>
    </xf>
    <xf numFmtId="3" fontId="48" fillId="12" borderId="0" xfId="1" applyNumberFormat="1" applyFont="1" applyFill="1" applyProtection="1">
      <protection hidden="1"/>
    </xf>
    <xf numFmtId="3" fontId="50" fillId="12" borderId="0" xfId="1" applyNumberFormat="1" applyFont="1" applyFill="1" applyProtection="1">
      <protection hidden="1"/>
    </xf>
    <xf numFmtId="3" fontId="52" fillId="11" borderId="0" xfId="1" applyNumberFormat="1" applyFont="1" applyFill="1"/>
    <xf numFmtId="3" fontId="52" fillId="11" borderId="26" xfId="1" applyNumberFormat="1" applyFont="1" applyFill="1" applyBorder="1"/>
    <xf numFmtId="3" fontId="52" fillId="11" borderId="27" xfId="1" applyNumberFormat="1" applyFont="1" applyFill="1" applyBorder="1"/>
    <xf numFmtId="3" fontId="50" fillId="12" borderId="45" xfId="1" applyNumberFormat="1" applyFont="1" applyFill="1" applyBorder="1" applyProtection="1">
      <protection locked="0" hidden="1"/>
    </xf>
    <xf numFmtId="3" fontId="52" fillId="12" borderId="0" xfId="1" applyNumberFormat="1" applyFont="1" applyFill="1" applyProtection="1">
      <protection locked="0" hidden="1"/>
    </xf>
    <xf numFmtId="3" fontId="51" fillId="12" borderId="43" xfId="1" applyNumberFormat="1" applyFont="1" applyFill="1" applyBorder="1" applyProtection="1">
      <protection locked="0" hidden="1"/>
    </xf>
    <xf numFmtId="3" fontId="51" fillId="14" borderId="42" xfId="1" applyNumberFormat="1" applyFont="1" applyFill="1" applyBorder="1" applyProtection="1">
      <protection locked="0" hidden="1"/>
    </xf>
    <xf numFmtId="3" fontId="52" fillId="14" borderId="0" xfId="1" applyNumberFormat="1" applyFont="1" applyFill="1"/>
    <xf numFmtId="3" fontId="51" fillId="14" borderId="43" xfId="1" applyNumberFormat="1" applyFont="1" applyFill="1" applyBorder="1"/>
    <xf numFmtId="3" fontId="49" fillId="14" borderId="42" xfId="1" applyNumberFormat="1" applyFont="1" applyFill="1" applyBorder="1" applyProtection="1">
      <protection locked="0" hidden="1"/>
    </xf>
    <xf numFmtId="3" fontId="50" fillId="14" borderId="33" xfId="1" applyNumberFormat="1" applyFont="1" applyFill="1" applyBorder="1"/>
    <xf numFmtId="3" fontId="50" fillId="14" borderId="34" xfId="1" applyNumberFormat="1" applyFont="1" applyFill="1" applyBorder="1"/>
    <xf numFmtId="3" fontId="50" fillId="14" borderId="52" xfId="1" applyNumberFormat="1" applyFont="1" applyFill="1" applyBorder="1"/>
    <xf numFmtId="3" fontId="52" fillId="14" borderId="53" xfId="1" applyNumberFormat="1" applyFont="1" applyFill="1" applyBorder="1" applyProtection="1">
      <protection locked="0" hidden="1"/>
    </xf>
    <xf numFmtId="3" fontId="52" fillId="14" borderId="22" xfId="1" applyNumberFormat="1" applyFont="1" applyFill="1" applyBorder="1"/>
    <xf numFmtId="3" fontId="51" fillId="14" borderId="54" xfId="1" applyNumberFormat="1" applyFont="1" applyFill="1" applyBorder="1"/>
    <xf numFmtId="3" fontId="48" fillId="11" borderId="55" xfId="1" applyNumberFormat="1" applyFont="1" applyFill="1" applyBorder="1" applyProtection="1">
      <protection locked="0" hidden="1"/>
    </xf>
    <xf numFmtId="3" fontId="48" fillId="11" borderId="55" xfId="1" applyNumberFormat="1" applyFont="1" applyFill="1" applyBorder="1"/>
    <xf numFmtId="3" fontId="49" fillId="14" borderId="40" xfId="1" applyNumberFormat="1" applyFont="1" applyFill="1" applyBorder="1" applyProtection="1">
      <protection locked="0" hidden="1"/>
    </xf>
    <xf numFmtId="3" fontId="50" fillId="14" borderId="39" xfId="1" applyNumberFormat="1" applyFont="1" applyFill="1" applyBorder="1" applyAlignment="1" applyProtection="1">
      <alignment horizontal="center"/>
      <protection locked="0" hidden="1"/>
    </xf>
    <xf numFmtId="1" fontId="50" fillId="14" borderId="39" xfId="1" applyNumberFormat="1" applyFont="1" applyFill="1" applyBorder="1" applyAlignment="1" applyProtection="1">
      <alignment horizontal="center"/>
      <protection locked="0" hidden="1"/>
    </xf>
    <xf numFmtId="1" fontId="50" fillId="14" borderId="41" xfId="1" applyNumberFormat="1" applyFont="1" applyFill="1" applyBorder="1" applyAlignment="1" applyProtection="1">
      <alignment horizontal="center"/>
      <protection locked="0" hidden="1"/>
    </xf>
    <xf numFmtId="3" fontId="48" fillId="14" borderId="42" xfId="1" applyNumberFormat="1" applyFont="1" applyFill="1" applyBorder="1" applyProtection="1">
      <protection locked="0" hidden="1"/>
    </xf>
    <xf numFmtId="3" fontId="48" fillId="14" borderId="33" xfId="1" applyNumberFormat="1" applyFont="1" applyFill="1" applyBorder="1" applyProtection="1">
      <protection hidden="1"/>
    </xf>
    <xf numFmtId="3" fontId="48" fillId="14" borderId="34" xfId="1" applyNumberFormat="1" applyFont="1" applyFill="1" applyBorder="1" applyProtection="1">
      <protection hidden="1"/>
    </xf>
    <xf numFmtId="3" fontId="50" fillId="14" borderId="45" xfId="1" applyNumberFormat="1" applyFont="1" applyFill="1" applyBorder="1" applyProtection="1">
      <protection hidden="1"/>
    </xf>
    <xf numFmtId="3" fontId="48" fillId="14" borderId="42" xfId="1" applyNumberFormat="1" applyFont="1" applyFill="1" applyBorder="1" applyAlignment="1">
      <alignment horizontal="left"/>
    </xf>
    <xf numFmtId="3" fontId="50" fillId="14" borderId="0" xfId="1" applyNumberFormat="1" applyFont="1" applyFill="1" applyAlignment="1">
      <alignment horizontal="left"/>
    </xf>
    <xf numFmtId="3" fontId="50" fillId="14" borderId="43" xfId="1" applyNumberFormat="1" applyFont="1" applyFill="1" applyBorder="1"/>
    <xf numFmtId="3" fontId="48" fillId="14" borderId="33" xfId="1" applyNumberFormat="1" applyFont="1" applyFill="1" applyBorder="1"/>
    <xf numFmtId="3" fontId="48" fillId="14" borderId="34" xfId="1" applyNumberFormat="1" applyFont="1" applyFill="1" applyBorder="1"/>
    <xf numFmtId="3" fontId="50" fillId="14" borderId="45" xfId="1" applyNumberFormat="1" applyFont="1" applyFill="1" applyBorder="1"/>
    <xf numFmtId="3" fontId="48" fillId="14" borderId="53" xfId="1" applyNumberFormat="1" applyFont="1" applyFill="1" applyBorder="1"/>
    <xf numFmtId="3" fontId="48" fillId="14" borderId="22" xfId="1" applyNumberFormat="1" applyFont="1" applyFill="1" applyBorder="1"/>
    <xf numFmtId="3" fontId="50" fillId="14" borderId="54" xfId="1" applyNumberFormat="1" applyFont="1" applyFill="1" applyBorder="1"/>
    <xf numFmtId="3" fontId="50" fillId="11" borderId="56" xfId="1" applyNumberFormat="1" applyFont="1" applyFill="1" applyBorder="1"/>
    <xf numFmtId="0" fontId="54" fillId="0" borderId="0" xfId="4" applyFont="1"/>
    <xf numFmtId="0" fontId="34" fillId="4" borderId="0" xfId="4" applyFill="1"/>
    <xf numFmtId="0" fontId="57" fillId="0" borderId="0" xfId="4" applyFont="1"/>
    <xf numFmtId="2" fontId="56" fillId="0" borderId="0" xfId="4" applyNumberFormat="1" applyFont="1"/>
    <xf numFmtId="0" fontId="38" fillId="0" borderId="0" xfId="4" applyFont="1"/>
    <xf numFmtId="0" fontId="56" fillId="0" borderId="0" xfId="4" applyFont="1"/>
    <xf numFmtId="2" fontId="56" fillId="0" borderId="0" xfId="2" applyNumberFormat="1" applyFont="1"/>
    <xf numFmtId="0" fontId="58" fillId="0" borderId="0" xfId="12" applyFont="1"/>
    <xf numFmtId="0" fontId="34" fillId="0" borderId="0" xfId="12"/>
    <xf numFmtId="0" fontId="37" fillId="0" borderId="0" xfId="12" applyFont="1" applyAlignment="1">
      <alignment horizontal="right"/>
    </xf>
    <xf numFmtId="174" fontId="37" fillId="0" borderId="0" xfId="12" applyNumberFormat="1" applyFont="1"/>
    <xf numFmtId="0" fontId="37" fillId="0" borderId="0" xfId="12" applyFont="1" applyAlignment="1">
      <alignment horizontal="left"/>
    </xf>
    <xf numFmtId="0" fontId="38" fillId="0" borderId="0" xfId="12" applyFont="1" applyAlignment="1">
      <alignment horizontal="right"/>
    </xf>
    <xf numFmtId="0" fontId="42" fillId="0" borderId="0" xfId="12" applyFont="1"/>
    <xf numFmtId="174" fontId="42" fillId="4" borderId="0" xfId="13" applyNumberFormat="1" applyFont="1" applyFill="1"/>
    <xf numFmtId="168" fontId="42" fillId="4" borderId="0" xfId="11" applyNumberFormat="1" applyFont="1" applyFill="1"/>
    <xf numFmtId="10" fontId="42" fillId="4" borderId="0" xfId="11" applyNumberFormat="1" applyFont="1" applyFill="1"/>
    <xf numFmtId="10" fontId="42" fillId="0" borderId="0" xfId="11" applyNumberFormat="1" applyFont="1"/>
    <xf numFmtId="173" fontId="42" fillId="4" borderId="0" xfId="13" applyFont="1" applyFill="1"/>
    <xf numFmtId="174" fontId="42" fillId="0" borderId="0" xfId="13" applyNumberFormat="1" applyFont="1" applyFill="1"/>
    <xf numFmtId="174" fontId="42" fillId="0" borderId="0" xfId="13" applyNumberFormat="1" applyFont="1"/>
    <xf numFmtId="173" fontId="42" fillId="0" borderId="0" xfId="13" applyFont="1"/>
    <xf numFmtId="179" fontId="37" fillId="0" borderId="0" xfId="12" applyNumberFormat="1" applyFont="1"/>
    <xf numFmtId="0" fontId="37" fillId="0" borderId="0" xfId="12" applyFont="1"/>
    <xf numFmtId="174" fontId="37" fillId="0" borderId="0" xfId="13" applyNumberFormat="1" applyFont="1"/>
    <xf numFmtId="0" fontId="59" fillId="0" borderId="0" xfId="12" applyFont="1" applyAlignment="1">
      <alignment horizontal="left"/>
    </xf>
    <xf numFmtId="0" fontId="59" fillId="0" borderId="0" xfId="12" applyFont="1"/>
    <xf numFmtId="0" fontId="35" fillId="0" borderId="0" xfId="12" applyFont="1"/>
    <xf numFmtId="0" fontId="57" fillId="0" borderId="0" xfId="12" applyFont="1"/>
    <xf numFmtId="180" fontId="34" fillId="0" borderId="0" xfId="12" applyNumberFormat="1"/>
    <xf numFmtId="174" fontId="35" fillId="4" borderId="0" xfId="13" applyNumberFormat="1" applyFont="1" applyFill="1"/>
    <xf numFmtId="0" fontId="35" fillId="4" borderId="0" xfId="12" applyFont="1" applyFill="1"/>
    <xf numFmtId="0" fontId="34" fillId="0" borderId="0" xfId="14"/>
    <xf numFmtId="0" fontId="40" fillId="0" borderId="0" xfId="14" applyFont="1"/>
    <xf numFmtId="0" fontId="62" fillId="0" borderId="0" xfId="14" applyFont="1"/>
    <xf numFmtId="0" fontId="36" fillId="0" borderId="0" xfId="14" applyFont="1"/>
    <xf numFmtId="174" fontId="34" fillId="4" borderId="0" xfId="14" applyNumberFormat="1" applyFill="1"/>
    <xf numFmtId="3" fontId="40" fillId="0" borderId="0" xfId="14" applyNumberFormat="1" applyFont="1" applyAlignment="1">
      <alignment horizontal="center"/>
    </xf>
    <xf numFmtId="0" fontId="40" fillId="0" borderId="0" xfId="14" applyFont="1" applyAlignment="1">
      <alignment horizontal="center"/>
    </xf>
    <xf numFmtId="0" fontId="63" fillId="0" borderId="0" xfId="14" applyFont="1" applyAlignment="1">
      <alignment horizontal="center"/>
    </xf>
    <xf numFmtId="174" fontId="34" fillId="0" borderId="0" xfId="14" applyNumberFormat="1"/>
    <xf numFmtId="0" fontId="3" fillId="0" borderId="2" xfId="14" applyFont="1" applyBorder="1"/>
    <xf numFmtId="174" fontId="64" fillId="0" borderId="7" xfId="15" applyNumberFormat="1" applyFont="1" applyFill="1" applyBorder="1"/>
    <xf numFmtId="174" fontId="0" fillId="0" borderId="0" xfId="15" applyNumberFormat="1" applyFont="1"/>
    <xf numFmtId="174" fontId="40" fillId="0" borderId="0" xfId="15" applyNumberFormat="1" applyFont="1" applyAlignment="1">
      <alignment horizontal="right"/>
    </xf>
    <xf numFmtId="174" fontId="40" fillId="0" borderId="0" xfId="15" applyNumberFormat="1" applyFont="1"/>
    <xf numFmtId="174" fontId="40" fillId="0" borderId="5" xfId="15" applyNumberFormat="1" applyFont="1" applyBorder="1"/>
    <xf numFmtId="174" fontId="40" fillId="0" borderId="6" xfId="15" applyNumberFormat="1" applyFont="1" applyBorder="1"/>
    <xf numFmtId="174" fontId="62" fillId="0" borderId="0" xfId="14" applyNumberFormat="1" applyFont="1"/>
    <xf numFmtId="0" fontId="1" fillId="0" borderId="7" xfId="14" applyFont="1" applyBorder="1"/>
    <xf numFmtId="181" fontId="64" fillId="4" borderId="7" xfId="14" applyNumberFormat="1" applyFont="1" applyFill="1" applyBorder="1"/>
    <xf numFmtId="0" fontId="3" fillId="0" borderId="7" xfId="14" applyFont="1" applyBorder="1"/>
    <xf numFmtId="174" fontId="64" fillId="0" borderId="7" xfId="15" applyNumberFormat="1" applyFont="1" applyBorder="1"/>
    <xf numFmtId="173" fontId="34" fillId="0" borderId="0" xfId="14" applyNumberFormat="1"/>
    <xf numFmtId="174" fontId="62" fillId="0" borderId="0" xfId="15" applyNumberFormat="1" applyFont="1"/>
    <xf numFmtId="174" fontId="40" fillId="0" borderId="0" xfId="14" applyNumberFormat="1" applyFont="1"/>
    <xf numFmtId="0" fontId="1" fillId="0" borderId="7" xfId="14" quotePrefix="1" applyFont="1" applyBorder="1"/>
    <xf numFmtId="174" fontId="64" fillId="0" borderId="7" xfId="14" applyNumberFormat="1" applyFont="1" applyBorder="1"/>
    <xf numFmtId="174" fontId="40" fillId="4" borderId="0" xfId="14" applyNumberFormat="1" applyFont="1" applyFill="1"/>
    <xf numFmtId="173" fontId="0" fillId="0" borderId="0" xfId="15" applyFont="1"/>
    <xf numFmtId="174" fontId="40" fillId="0" borderId="22" xfId="14" applyNumberFormat="1" applyFont="1" applyBorder="1"/>
    <xf numFmtId="0" fontId="64" fillId="0" borderId="7" xfId="14" applyFont="1" applyBorder="1"/>
    <xf numFmtId="174" fontId="45" fillId="0" borderId="0" xfId="14" applyNumberFormat="1" applyFont="1"/>
    <xf numFmtId="10" fontId="64" fillId="4" borderId="7" xfId="14" applyNumberFormat="1" applyFont="1" applyFill="1" applyBorder="1"/>
    <xf numFmtId="10" fontId="0" fillId="0" borderId="0" xfId="16" applyNumberFormat="1" applyFont="1"/>
    <xf numFmtId="0" fontId="65" fillId="0" borderId="0" xfId="1" applyFont="1" applyAlignment="1">
      <alignment wrapText="1"/>
    </xf>
    <xf numFmtId="0" fontId="66" fillId="0" borderId="0" xfId="1" applyFont="1" applyAlignment="1">
      <alignment wrapText="1"/>
    </xf>
    <xf numFmtId="10" fontId="64" fillId="0" borderId="7" xfId="14" applyNumberFormat="1" applyFont="1" applyBorder="1"/>
    <xf numFmtId="0" fontId="64" fillId="4" borderId="7" xfId="14" applyFont="1" applyFill="1" applyBorder="1"/>
    <xf numFmtId="0" fontId="64" fillId="0" borderId="2" xfId="14" applyFont="1" applyBorder="1"/>
    <xf numFmtId="174" fontId="64" fillId="0" borderId="2" xfId="15" applyNumberFormat="1" applyFont="1" applyFill="1" applyBorder="1"/>
    <xf numFmtId="0" fontId="4" fillId="0" borderId="0" xfId="1" applyAlignment="1">
      <alignment wrapText="1"/>
    </xf>
    <xf numFmtId="0" fontId="68" fillId="0" borderId="7" xfId="14" applyFont="1" applyBorder="1"/>
    <xf numFmtId="174" fontId="68" fillId="0" borderId="7" xfId="15" applyNumberFormat="1" applyFont="1" applyFill="1" applyBorder="1"/>
    <xf numFmtId="174" fontId="39" fillId="0" borderId="0" xfId="15" applyNumberFormat="1" applyFont="1"/>
    <xf numFmtId="10" fontId="0" fillId="0" borderId="0" xfId="15" applyNumberFormat="1" applyFont="1"/>
    <xf numFmtId="0" fontId="68" fillId="0" borderId="14" xfId="14" applyFont="1" applyBorder="1"/>
    <xf numFmtId="174" fontId="68" fillId="0" borderId="14" xfId="15" applyNumberFormat="1" applyFont="1" applyFill="1" applyBorder="1"/>
    <xf numFmtId="10" fontId="62" fillId="0" borderId="0" xfId="14" applyNumberFormat="1" applyFont="1"/>
    <xf numFmtId="10" fontId="34" fillId="0" borderId="0" xfId="14" applyNumberFormat="1"/>
    <xf numFmtId="10" fontId="64" fillId="0" borderId="2" xfId="16" applyNumberFormat="1" applyFont="1" applyFill="1" applyBorder="1"/>
    <xf numFmtId="10" fontId="36" fillId="0" borderId="0" xfId="16" applyNumberFormat="1" applyFont="1"/>
    <xf numFmtId="10" fontId="68" fillId="0" borderId="7" xfId="16" applyNumberFormat="1" applyFont="1" applyFill="1" applyBorder="1"/>
    <xf numFmtId="10" fontId="64" fillId="0" borderId="7" xfId="16" applyNumberFormat="1" applyFont="1" applyFill="1" applyBorder="1"/>
    <xf numFmtId="10" fontId="68" fillId="0" borderId="14" xfId="16" applyNumberFormat="1" applyFont="1" applyFill="1" applyBorder="1"/>
    <xf numFmtId="0" fontId="38" fillId="0" borderId="0" xfId="14" applyFont="1"/>
    <xf numFmtId="0" fontId="40" fillId="0" borderId="5" xfId="14" applyFont="1" applyBorder="1"/>
    <xf numFmtId="0" fontId="40" fillId="0" borderId="6" xfId="14" applyFont="1" applyBorder="1"/>
    <xf numFmtId="3" fontId="5" fillId="15" borderId="0" xfId="1" applyNumberFormat="1" applyFont="1" applyFill="1"/>
    <xf numFmtId="3" fontId="4" fillId="16" borderId="0" xfId="1" applyNumberFormat="1" applyFill="1"/>
    <xf numFmtId="0" fontId="4" fillId="16" borderId="0" xfId="1" applyFill="1"/>
    <xf numFmtId="0" fontId="5" fillId="0" borderId="3" xfId="1" applyFont="1" applyBorder="1"/>
    <xf numFmtId="0" fontId="5" fillId="0" borderId="10" xfId="1" applyFont="1" applyBorder="1"/>
    <xf numFmtId="0" fontId="4" fillId="0" borderId="10" xfId="1" applyBorder="1"/>
    <xf numFmtId="0" fontId="5" fillId="0" borderId="4" xfId="1" applyFont="1" applyBorder="1" applyAlignment="1">
      <alignment horizontal="center"/>
    </xf>
    <xf numFmtId="0" fontId="5" fillId="0" borderId="11" xfId="1" applyFont="1" applyBorder="1"/>
    <xf numFmtId="0" fontId="5" fillId="0" borderId="12" xfId="1" applyFont="1" applyBorder="1"/>
    <xf numFmtId="0" fontId="4" fillId="0" borderId="13" xfId="1" applyBorder="1"/>
    <xf numFmtId="3" fontId="0" fillId="17" borderId="18" xfId="17" applyNumberFormat="1" applyFont="1" applyFill="1" applyBorder="1"/>
    <xf numFmtId="0" fontId="4" fillId="0" borderId="18" xfId="1" applyBorder="1"/>
    <xf numFmtId="10" fontId="4" fillId="17" borderId="18" xfId="1" applyNumberFormat="1" applyFill="1" applyBorder="1"/>
    <xf numFmtId="10" fontId="4" fillId="17" borderId="14" xfId="1" applyNumberFormat="1" applyFill="1" applyBorder="1"/>
    <xf numFmtId="171" fontId="4" fillId="5" borderId="18" xfId="3" applyNumberFormat="1" applyFill="1" applyBorder="1"/>
    <xf numFmtId="10" fontId="4" fillId="5" borderId="18" xfId="3" applyNumberFormat="1" applyFill="1" applyBorder="1"/>
    <xf numFmtId="10" fontId="4" fillId="17" borderId="43" xfId="1" applyNumberFormat="1" applyFill="1" applyBorder="1"/>
    <xf numFmtId="170" fontId="0" fillId="0" borderId="18" xfId="17" applyNumberFormat="1" applyFont="1" applyBorder="1"/>
    <xf numFmtId="3" fontId="4" fillId="4" borderId="0" xfId="1" applyNumberFormat="1" applyFill="1"/>
    <xf numFmtId="9" fontId="4" fillId="0" borderId="2" xfId="1" applyNumberFormat="1" applyBorder="1"/>
    <xf numFmtId="0" fontId="4" fillId="14" borderId="18" xfId="1" applyFill="1" applyBorder="1" applyAlignment="1">
      <alignment horizontal="center"/>
    </xf>
    <xf numFmtId="0" fontId="4" fillId="14" borderId="18" xfId="1" applyFill="1" applyBorder="1"/>
    <xf numFmtId="0" fontId="4" fillId="14" borderId="11" xfId="1" applyFill="1" applyBorder="1" applyAlignment="1">
      <alignment horizontal="center"/>
    </xf>
    <xf numFmtId="9" fontId="4" fillId="14" borderId="18" xfId="1" applyNumberFormat="1" applyFill="1" applyBorder="1"/>
    <xf numFmtId="0" fontId="4" fillId="14" borderId="13" xfId="1" applyFill="1" applyBorder="1"/>
    <xf numFmtId="0" fontId="4" fillId="14" borderId="54" xfId="1" applyFill="1" applyBorder="1" applyAlignment="1">
      <alignment horizontal="center"/>
    </xf>
    <xf numFmtId="0" fontId="4" fillId="0" borderId="61" xfId="1" applyBorder="1"/>
    <xf numFmtId="170" fontId="4" fillId="5" borderId="62" xfId="1" applyNumberFormat="1" applyFill="1" applyBorder="1"/>
    <xf numFmtId="3" fontId="5" fillId="18" borderId="0" xfId="1" applyNumberFormat="1" applyFont="1" applyFill="1"/>
    <xf numFmtId="0" fontId="4" fillId="14" borderId="53" xfId="1" applyFill="1" applyBorder="1" applyAlignment="1">
      <alignment horizontal="center"/>
    </xf>
    <xf numFmtId="170" fontId="4" fillId="5" borderId="62" xfId="17" applyNumberFormat="1" applyFont="1" applyFill="1" applyBorder="1"/>
    <xf numFmtId="170" fontId="0" fillId="0" borderId="54" xfId="17" applyNumberFormat="1" applyFont="1" applyBorder="1"/>
    <xf numFmtId="170" fontId="0" fillId="0" borderId="62" xfId="17" applyNumberFormat="1" applyFont="1" applyBorder="1"/>
    <xf numFmtId="0" fontId="4" fillId="14" borderId="56" xfId="1" applyFill="1" applyBorder="1" applyAlignment="1">
      <alignment horizontal="center"/>
    </xf>
    <xf numFmtId="3" fontId="4" fillId="4" borderId="27" xfId="17" applyNumberFormat="1" applyFont="1" applyFill="1" applyBorder="1"/>
    <xf numFmtId="170" fontId="4" fillId="0" borderId="26" xfId="1" applyNumberFormat="1" applyBorder="1"/>
    <xf numFmtId="0" fontId="4" fillId="14" borderId="27" xfId="1" applyFill="1" applyBorder="1" applyAlignment="1">
      <alignment horizontal="center"/>
    </xf>
    <xf numFmtId="170" fontId="0" fillId="0" borderId="27" xfId="17" applyNumberFormat="1" applyFont="1" applyBorder="1"/>
    <xf numFmtId="3" fontId="0" fillId="0" borderId="27" xfId="17" applyNumberFormat="1" applyFont="1" applyBorder="1"/>
    <xf numFmtId="0" fontId="4" fillId="0" borderId="27" xfId="1" applyBorder="1"/>
    <xf numFmtId="0" fontId="4" fillId="19" borderId="27" xfId="1" applyFill="1" applyBorder="1"/>
    <xf numFmtId="3" fontId="4" fillId="19" borderId="27" xfId="1" applyNumberFormat="1" applyFill="1" applyBorder="1"/>
    <xf numFmtId="3" fontId="4" fillId="4" borderId="4" xfId="1" applyNumberFormat="1" applyFill="1" applyBorder="1"/>
    <xf numFmtId="9" fontId="4" fillId="0" borderId="1" xfId="1" applyNumberFormat="1" applyBorder="1"/>
    <xf numFmtId="3" fontId="4" fillId="0" borderId="9" xfId="1" applyNumberFormat="1" applyBorder="1"/>
    <xf numFmtId="3" fontId="4" fillId="4" borderId="6" xfId="1" applyNumberFormat="1" applyFill="1" applyBorder="1"/>
    <xf numFmtId="3" fontId="4" fillId="18" borderId="6" xfId="1" applyNumberFormat="1" applyFill="1" applyBorder="1"/>
    <xf numFmtId="0" fontId="5" fillId="18" borderId="11" xfId="1" applyFont="1" applyFill="1" applyBorder="1"/>
    <xf numFmtId="0" fontId="5" fillId="18" borderId="12" xfId="1" applyFont="1" applyFill="1" applyBorder="1"/>
    <xf numFmtId="3" fontId="5" fillId="18" borderId="13" xfId="1" applyNumberFormat="1" applyFont="1" applyFill="1" applyBorder="1"/>
    <xf numFmtId="0" fontId="5" fillId="18" borderId="3" xfId="1" applyFont="1" applyFill="1" applyBorder="1"/>
    <xf numFmtId="0" fontId="5" fillId="18" borderId="10" xfId="1" applyFont="1" applyFill="1" applyBorder="1"/>
    <xf numFmtId="3" fontId="5" fillId="18" borderId="4" xfId="1" applyNumberFormat="1" applyFont="1" applyFill="1" applyBorder="1"/>
    <xf numFmtId="170" fontId="4" fillId="7" borderId="26" xfId="1" applyNumberFormat="1" applyFill="1" applyBorder="1"/>
    <xf numFmtId="0" fontId="5" fillId="18" borderId="8" xfId="1" applyFont="1" applyFill="1" applyBorder="1"/>
    <xf numFmtId="0" fontId="5" fillId="18" borderId="1" xfId="1" applyFont="1" applyFill="1" applyBorder="1"/>
    <xf numFmtId="9" fontId="5" fillId="18" borderId="9" xfId="3" applyFont="1" applyFill="1" applyBorder="1"/>
    <xf numFmtId="0" fontId="71" fillId="0" borderId="0" xfId="18"/>
    <xf numFmtId="0" fontId="72" fillId="0" borderId="0" xfId="1" applyFont="1"/>
    <xf numFmtId="0" fontId="73" fillId="0" borderId="0" xfId="1" applyFont="1"/>
    <xf numFmtId="0" fontId="33" fillId="0" borderId="0" xfId="1" applyFont="1"/>
    <xf numFmtId="0" fontId="74" fillId="0" borderId="0" xfId="18" applyFont="1"/>
    <xf numFmtId="0" fontId="9" fillId="0" borderId="0" xfId="1" applyFont="1"/>
    <xf numFmtId="0" fontId="29" fillId="0" borderId="0" xfId="1" applyFont="1"/>
    <xf numFmtId="14" fontId="9" fillId="0" borderId="0" xfId="1" applyNumberFormat="1" applyFont="1"/>
    <xf numFmtId="0" fontId="5" fillId="0" borderId="0" xfId="1" applyFont="1" applyAlignment="1">
      <alignment horizontal="center"/>
    </xf>
    <xf numFmtId="0" fontId="4" fillId="4" borderId="0" xfId="1" applyFill="1" applyAlignment="1">
      <alignment horizontal="left" vertical="top"/>
    </xf>
    <xf numFmtId="170" fontId="0" fillId="4" borderId="0" xfId="19" applyNumberFormat="1" applyFont="1" applyFill="1"/>
    <xf numFmtId="16" fontId="4" fillId="4" borderId="0" xfId="1" quotePrefix="1" applyNumberFormat="1" applyFill="1" applyAlignment="1">
      <alignment horizontal="center"/>
    </xf>
    <xf numFmtId="16" fontId="4" fillId="0" borderId="0" xfId="1" quotePrefix="1" applyNumberFormat="1" applyAlignment="1">
      <alignment horizontal="center" vertical="center"/>
    </xf>
    <xf numFmtId="0" fontId="4" fillId="4" borderId="0" xfId="1" applyFill="1"/>
    <xf numFmtId="170" fontId="0" fillId="0" borderId="0" xfId="19" applyNumberFormat="1" applyFont="1"/>
    <xf numFmtId="9" fontId="0" fillId="0" borderId="0" xfId="20" applyFont="1"/>
    <xf numFmtId="170" fontId="4" fillId="0" borderId="0" xfId="1" applyNumberFormat="1"/>
    <xf numFmtId="0" fontId="4" fillId="4" borderId="0" xfId="1" quotePrefix="1" applyFill="1" applyAlignment="1">
      <alignment horizontal="center"/>
    </xf>
    <xf numFmtId="0" fontId="5" fillId="0" borderId="10" xfId="1" applyFont="1" applyBorder="1" applyAlignment="1">
      <alignment horizontal="center"/>
    </xf>
    <xf numFmtId="0" fontId="5" fillId="0" borderId="6" xfId="1" applyFont="1" applyBorder="1" applyAlignment="1">
      <alignment horizontal="center"/>
    </xf>
    <xf numFmtId="0" fontId="5" fillId="0" borderId="0" xfId="1" applyFont="1" applyAlignment="1">
      <alignment horizontal="left"/>
    </xf>
    <xf numFmtId="170" fontId="5" fillId="0" borderId="0" xfId="19" applyNumberFormat="1" applyFont="1"/>
    <xf numFmtId="9" fontId="5" fillId="0" borderId="0" xfId="20" applyFont="1"/>
    <xf numFmtId="170" fontId="5" fillId="0" borderId="0" xfId="1" applyNumberFormat="1" applyFont="1"/>
    <xf numFmtId="0" fontId="5" fillId="0" borderId="1" xfId="1" applyFont="1" applyBorder="1"/>
    <xf numFmtId="0" fontId="5" fillId="0" borderId="1" xfId="1" applyFont="1" applyBorder="1" applyAlignment="1">
      <alignment horizontal="center"/>
    </xf>
    <xf numFmtId="0" fontId="5" fillId="0" borderId="9" xfId="1" applyFont="1" applyBorder="1" applyAlignment="1">
      <alignment horizontal="center"/>
    </xf>
    <xf numFmtId="0" fontId="4" fillId="4" borderId="0" xfId="1" applyFill="1" applyAlignment="1">
      <alignment horizontal="left"/>
    </xf>
    <xf numFmtId="17" fontId="4" fillId="0" borderId="0" xfId="1" quotePrefix="1" applyNumberFormat="1" applyAlignment="1">
      <alignment horizontal="center"/>
    </xf>
    <xf numFmtId="170" fontId="33" fillId="0" borderId="0" xfId="1" applyNumberFormat="1" applyFont="1"/>
    <xf numFmtId="165" fontId="0" fillId="0" borderId="0" xfId="19" applyFont="1" applyBorder="1"/>
    <xf numFmtId="182" fontId="0" fillId="0" borderId="0" xfId="19" applyNumberFormat="1" applyFont="1" applyBorder="1"/>
    <xf numFmtId="165" fontId="0" fillId="0" borderId="6" xfId="19" applyFont="1" applyBorder="1"/>
    <xf numFmtId="183" fontId="4" fillId="0" borderId="0" xfId="1" applyNumberFormat="1"/>
    <xf numFmtId="170" fontId="4" fillId="0" borderId="0" xfId="19" applyNumberFormat="1" applyFont="1"/>
    <xf numFmtId="170" fontId="4" fillId="0" borderId="0" xfId="19" applyNumberFormat="1" applyFont="1" applyFill="1" applyBorder="1"/>
    <xf numFmtId="17" fontId="4" fillId="0" borderId="0" xfId="1" applyNumberFormat="1" applyAlignment="1">
      <alignment horizontal="center"/>
    </xf>
    <xf numFmtId="165" fontId="77" fillId="0" borderId="6" xfId="1" applyNumberFormat="1" applyFont="1" applyBorder="1"/>
    <xf numFmtId="0" fontId="78" fillId="0" borderId="0" xfId="1" applyFont="1" applyAlignment="1">
      <alignment horizontal="left"/>
    </xf>
    <xf numFmtId="10" fontId="77" fillId="0" borderId="9" xfId="20" applyNumberFormat="1" applyFont="1" applyBorder="1"/>
    <xf numFmtId="0" fontId="78" fillId="2" borderId="0" xfId="1" applyFont="1" applyFill="1"/>
    <xf numFmtId="0" fontId="4" fillId="2" borderId="0" xfId="1" applyFill="1"/>
    <xf numFmtId="170" fontId="4" fillId="2" borderId="0" xfId="1" applyNumberFormat="1" applyFill="1"/>
    <xf numFmtId="10" fontId="77" fillId="20" borderId="0" xfId="20" applyNumberFormat="1" applyFont="1" applyFill="1" applyBorder="1"/>
    <xf numFmtId="0" fontId="4" fillId="20" borderId="0" xfId="1" applyFill="1"/>
    <xf numFmtId="0" fontId="5" fillId="20" borderId="0" xfId="1" applyFont="1" applyFill="1"/>
    <xf numFmtId="170" fontId="4" fillId="20" borderId="0" xfId="1" applyNumberFormat="1" applyFill="1"/>
    <xf numFmtId="170" fontId="33" fillId="20" borderId="0" xfId="1" applyNumberFormat="1" applyFont="1" applyFill="1"/>
    <xf numFmtId="0" fontId="5" fillId="0" borderId="63" xfId="1" applyFont="1" applyBorder="1"/>
    <xf numFmtId="0" fontId="4" fillId="0" borderId="64" xfId="1" applyBorder="1" applyAlignment="1">
      <alignment horizontal="center"/>
    </xf>
    <xf numFmtId="0" fontId="4" fillId="0" borderId="0" xfId="1" applyAlignment="1">
      <alignment horizontal="center"/>
    </xf>
    <xf numFmtId="165" fontId="4" fillId="0" borderId="0" xfId="19" applyFont="1"/>
    <xf numFmtId="0" fontId="4" fillId="0" borderId="65" xfId="1" applyBorder="1"/>
    <xf numFmtId="9" fontId="0" fillId="0" borderId="0" xfId="20" applyFont="1" applyBorder="1"/>
    <xf numFmtId="170" fontId="0" fillId="0" borderId="5" xfId="19" applyNumberFormat="1" applyFont="1" applyBorder="1"/>
    <xf numFmtId="170" fontId="4" fillId="4" borderId="0" xfId="1" applyNumberFormat="1" applyFill="1"/>
    <xf numFmtId="170" fontId="4" fillId="0" borderId="5" xfId="1" applyNumberFormat="1" applyBorder="1"/>
    <xf numFmtId="170" fontId="4" fillId="4" borderId="6" xfId="1" applyNumberFormat="1" applyFill="1" applyBorder="1"/>
    <xf numFmtId="168" fontId="0" fillId="0" borderId="0" xfId="20" applyNumberFormat="1" applyFont="1" applyBorder="1"/>
    <xf numFmtId="0" fontId="4" fillId="4" borderId="6" xfId="1" applyFill="1" applyBorder="1"/>
    <xf numFmtId="172" fontId="4" fillId="0" borderId="0" xfId="1" applyNumberFormat="1"/>
    <xf numFmtId="0" fontId="4" fillId="0" borderId="66" xfId="1" applyBorder="1"/>
    <xf numFmtId="9" fontId="0" fillId="0" borderId="67" xfId="20" applyFont="1" applyBorder="1"/>
    <xf numFmtId="170" fontId="0" fillId="0" borderId="8" xfId="19" applyNumberFormat="1" applyFont="1" applyBorder="1"/>
    <xf numFmtId="170" fontId="4" fillId="4" borderId="1" xfId="1" applyNumberFormat="1" applyFill="1" applyBorder="1"/>
    <xf numFmtId="170" fontId="4" fillId="0" borderId="8" xfId="1" applyNumberFormat="1" applyBorder="1"/>
    <xf numFmtId="170" fontId="4" fillId="4" borderId="9" xfId="1" applyNumberFormat="1" applyFill="1" applyBorder="1"/>
    <xf numFmtId="170" fontId="0" fillId="0" borderId="0" xfId="19" applyNumberFormat="1" applyFont="1" applyFill="1" applyBorder="1"/>
    <xf numFmtId="170" fontId="0" fillId="0" borderId="0" xfId="19" applyNumberFormat="1" applyFont="1" applyFill="1" applyBorder="1" applyAlignment="1"/>
    <xf numFmtId="0" fontId="4" fillId="0" borderId="68" xfId="1" applyBorder="1"/>
    <xf numFmtId="170" fontId="4" fillId="0" borderId="58" xfId="1" applyNumberFormat="1" applyBorder="1"/>
    <xf numFmtId="0" fontId="4" fillId="0" borderId="65" xfId="1" quotePrefix="1" applyBorder="1"/>
    <xf numFmtId="0" fontId="79" fillId="21" borderId="66" xfId="1" quotePrefix="1" applyFont="1" applyFill="1" applyBorder="1"/>
    <xf numFmtId="170" fontId="79" fillId="21" borderId="60" xfId="1" applyNumberFormat="1" applyFont="1" applyFill="1" applyBorder="1"/>
    <xf numFmtId="0" fontId="4" fillId="0" borderId="64" xfId="1" applyBorder="1"/>
    <xf numFmtId="0" fontId="33" fillId="4" borderId="65" xfId="1" applyFont="1" applyFill="1" applyBorder="1"/>
    <xf numFmtId="0" fontId="33" fillId="0" borderId="65" xfId="1" applyFont="1" applyBorder="1"/>
    <xf numFmtId="14" fontId="4" fillId="4" borderId="0" xfId="1" applyNumberFormat="1" applyFill="1"/>
    <xf numFmtId="0" fontId="4" fillId="0" borderId="58" xfId="1" applyBorder="1"/>
    <xf numFmtId="172" fontId="0" fillId="0" borderId="58" xfId="19" applyNumberFormat="1" applyFont="1" applyBorder="1"/>
    <xf numFmtId="0" fontId="33" fillId="2" borderId="66" xfId="1" applyFont="1" applyFill="1" applyBorder="1"/>
    <xf numFmtId="0" fontId="33" fillId="2" borderId="67" xfId="1" applyFont="1" applyFill="1" applyBorder="1"/>
    <xf numFmtId="165" fontId="33" fillId="2" borderId="60" xfId="19" applyFont="1" applyFill="1" applyBorder="1"/>
    <xf numFmtId="0" fontId="80" fillId="0" borderId="0" xfId="1" applyFont="1"/>
    <xf numFmtId="9" fontId="4" fillId="0" borderId="0" xfId="1" applyNumberFormat="1"/>
    <xf numFmtId="0" fontId="5" fillId="22" borderId="0" xfId="1" applyFont="1" applyFill="1"/>
    <xf numFmtId="0" fontId="34" fillId="0" borderId="0" xfId="21"/>
    <xf numFmtId="184" fontId="36" fillId="4" borderId="0" xfId="9" applyNumberFormat="1" applyFont="1" applyFill="1"/>
    <xf numFmtId="184" fontId="0" fillId="0" borderId="0" xfId="9" applyNumberFormat="1" applyFont="1"/>
    <xf numFmtId="9" fontId="0" fillId="4" borderId="0" xfId="3" applyFont="1" applyFill="1"/>
    <xf numFmtId="184" fontId="4" fillId="0" borderId="0" xfId="9" applyNumberFormat="1" applyFont="1"/>
    <xf numFmtId="0" fontId="34" fillId="4" borderId="0" xfId="21" applyFill="1"/>
    <xf numFmtId="3" fontId="34" fillId="4" borderId="0" xfId="21" applyNumberFormat="1" applyFill="1"/>
    <xf numFmtId="184" fontId="39" fillId="0" borderId="0" xfId="9" applyNumberFormat="1" applyFont="1"/>
    <xf numFmtId="0" fontId="42" fillId="4" borderId="63" xfId="22" applyFont="1" applyFill="1" applyBorder="1"/>
    <xf numFmtId="0" fontId="1" fillId="0" borderId="64" xfId="22" applyBorder="1"/>
    <xf numFmtId="0" fontId="1" fillId="0" borderId="68" xfId="22" applyBorder="1"/>
    <xf numFmtId="0" fontId="1" fillId="0" borderId="0" xfId="22"/>
    <xf numFmtId="0" fontId="1" fillId="0" borderId="65" xfId="22" applyBorder="1"/>
    <xf numFmtId="0" fontId="1" fillId="0" borderId="58" xfId="22" applyBorder="1"/>
    <xf numFmtId="0" fontId="79" fillId="0" borderId="65" xfId="22" applyFont="1" applyBorder="1"/>
    <xf numFmtId="180" fontId="79" fillId="0" borderId="0" xfId="22" applyNumberFormat="1" applyFont="1"/>
    <xf numFmtId="174" fontId="79" fillId="4" borderId="0" xfId="23" applyNumberFormat="1" applyFont="1" applyFill="1" applyBorder="1"/>
    <xf numFmtId="0" fontId="6" fillId="0" borderId="0" xfId="22" applyFont="1"/>
    <xf numFmtId="0" fontId="6" fillId="0" borderId="65" xfId="22" applyFont="1" applyBorder="1"/>
    <xf numFmtId="180" fontId="6" fillId="0" borderId="0" xfId="22" applyNumberFormat="1" applyFont="1"/>
    <xf numFmtId="168" fontId="6" fillId="4" borderId="0" xfId="22" applyNumberFormat="1" applyFont="1" applyFill="1"/>
    <xf numFmtId="10" fontId="6" fillId="0" borderId="0" xfId="24" applyNumberFormat="1" applyFont="1" applyBorder="1"/>
    <xf numFmtId="174" fontId="79" fillId="0" borderId="63" xfId="23" applyNumberFormat="1" applyFont="1" applyBorder="1"/>
    <xf numFmtId="174" fontId="79" fillId="0" borderId="64" xfId="23" applyNumberFormat="1" applyFont="1" applyBorder="1"/>
    <xf numFmtId="174" fontId="79" fillId="4" borderId="68" xfId="23" applyNumberFormat="1" applyFont="1" applyFill="1" applyBorder="1"/>
    <xf numFmtId="174" fontId="6" fillId="0" borderId="0" xfId="22" applyNumberFormat="1" applyFont="1"/>
    <xf numFmtId="174" fontId="79" fillId="0" borderId="65" xfId="23" applyNumberFormat="1" applyFont="1" applyBorder="1"/>
    <xf numFmtId="174" fontId="79" fillId="0" borderId="0" xfId="23" applyNumberFormat="1" applyFont="1" applyBorder="1"/>
    <xf numFmtId="174" fontId="79" fillId="4" borderId="58" xfId="23" applyNumberFormat="1" applyFont="1" applyFill="1" applyBorder="1"/>
    <xf numFmtId="174" fontId="6" fillId="0" borderId="0" xfId="23" applyNumberFormat="1" applyFont="1" applyBorder="1"/>
    <xf numFmtId="0" fontId="57" fillId="0" borderId="0" xfId="22" applyFont="1"/>
    <xf numFmtId="174" fontId="79" fillId="0" borderId="66" xfId="23" applyNumberFormat="1" applyFont="1" applyBorder="1"/>
    <xf numFmtId="174" fontId="79" fillId="0" borderId="67" xfId="23" applyNumberFormat="1" applyFont="1" applyBorder="1"/>
    <xf numFmtId="174" fontId="79" fillId="0" borderId="60" xfId="23" applyNumberFormat="1" applyFont="1" applyBorder="1"/>
    <xf numFmtId="0" fontId="4" fillId="0" borderId="0" xfId="22" applyFont="1"/>
    <xf numFmtId="174" fontId="6" fillId="0" borderId="0" xfId="24" applyNumberFormat="1" applyFont="1" applyBorder="1"/>
    <xf numFmtId="0" fontId="37" fillId="20" borderId="65" xfId="22" applyFont="1" applyFill="1" applyBorder="1"/>
    <xf numFmtId="0" fontId="37" fillId="20" borderId="0" xfId="22" applyFont="1" applyFill="1"/>
    <xf numFmtId="10" fontId="37" fillId="20" borderId="0" xfId="24" applyNumberFormat="1" applyFont="1" applyFill="1" applyBorder="1"/>
    <xf numFmtId="0" fontId="37" fillId="23" borderId="66" xfId="22" applyFont="1" applyFill="1" applyBorder="1"/>
    <xf numFmtId="0" fontId="37" fillId="23" borderId="67" xfId="22" applyFont="1" applyFill="1" applyBorder="1"/>
    <xf numFmtId="180" fontId="37" fillId="23" borderId="67" xfId="22" applyNumberFormat="1" applyFont="1" applyFill="1" applyBorder="1"/>
    <xf numFmtId="0" fontId="6" fillId="0" borderId="67" xfId="22" applyFont="1" applyBorder="1"/>
    <xf numFmtId="0" fontId="1" fillId="0" borderId="67" xfId="22" applyBorder="1"/>
    <xf numFmtId="0" fontId="1" fillId="0" borderId="60" xfId="22" applyBorder="1"/>
    <xf numFmtId="164" fontId="1" fillId="0" borderId="0" xfId="22" applyNumberFormat="1"/>
    <xf numFmtId="0" fontId="2" fillId="0" borderId="63" xfId="22" applyFont="1" applyBorder="1"/>
    <xf numFmtId="0" fontId="1" fillId="0" borderId="0" xfId="22" quotePrefix="1" applyAlignment="1">
      <alignment horizontal="center" vertical="center"/>
    </xf>
    <xf numFmtId="0" fontId="1" fillId="0" borderId="0" xfId="22" applyAlignment="1">
      <alignment horizontal="center" vertical="center"/>
    </xf>
    <xf numFmtId="0" fontId="1" fillId="0" borderId="0" xfId="22" applyAlignment="1">
      <alignment vertical="center"/>
    </xf>
    <xf numFmtId="0" fontId="5" fillId="0" borderId="0" xfId="22" applyFont="1"/>
    <xf numFmtId="0" fontId="5" fillId="0" borderId="58" xfId="22" applyFont="1" applyBorder="1"/>
    <xf numFmtId="0" fontId="2" fillId="0" borderId="69" xfId="22" applyFont="1" applyBorder="1"/>
    <xf numFmtId="0" fontId="2" fillId="0" borderId="70" xfId="22" applyFont="1" applyBorder="1"/>
    <xf numFmtId="0" fontId="2" fillId="0" borderId="71" xfId="22" applyFont="1" applyBorder="1"/>
    <xf numFmtId="0" fontId="1" fillId="0" borderId="65" xfId="22" applyBorder="1" applyAlignment="1">
      <alignment horizontal="center" vertical="center"/>
    </xf>
    <xf numFmtId="0" fontId="1" fillId="0" borderId="0" xfId="22" applyAlignment="1">
      <alignment horizontal="center"/>
    </xf>
    <xf numFmtId="0" fontId="4" fillId="0" borderId="0" xfId="22" applyFont="1" applyAlignment="1">
      <alignment horizontal="center"/>
    </xf>
    <xf numFmtId="0" fontId="4" fillId="0" borderId="58" xfId="22" applyFont="1" applyBorder="1" applyAlignment="1">
      <alignment horizontal="center"/>
    </xf>
    <xf numFmtId="0" fontId="2" fillId="0" borderId="64" xfId="22" applyFont="1" applyBorder="1"/>
    <xf numFmtId="0" fontId="2" fillId="0" borderId="68" xfId="22" applyFont="1" applyBorder="1"/>
    <xf numFmtId="0" fontId="1" fillId="0" borderId="66" xfId="22" applyBorder="1"/>
    <xf numFmtId="0" fontId="2" fillId="0" borderId="66" xfId="22" applyFont="1" applyBorder="1"/>
    <xf numFmtId="0" fontId="2" fillId="0" borderId="67" xfId="22" applyFont="1" applyBorder="1"/>
    <xf numFmtId="0" fontId="2" fillId="0" borderId="60" xfId="22" applyFont="1" applyBorder="1"/>
    <xf numFmtId="0" fontId="2" fillId="0" borderId="0" xfId="22" applyFont="1"/>
    <xf numFmtId="0" fontId="3" fillId="0" borderId="65" xfId="22" applyFont="1" applyBorder="1"/>
    <xf numFmtId="3" fontId="1" fillId="4" borderId="0" xfId="22" applyNumberFormat="1" applyFill="1"/>
    <xf numFmtId="3" fontId="1" fillId="0" borderId="0" xfId="22" applyNumberFormat="1"/>
    <xf numFmtId="3" fontId="3" fillId="0" borderId="0" xfId="22" applyNumberFormat="1" applyFont="1"/>
    <xf numFmtId="3" fontId="81" fillId="0" borderId="0" xfId="22" applyNumberFormat="1" applyFont="1"/>
    <xf numFmtId="3" fontId="1" fillId="18" borderId="0" xfId="22" applyNumberFormat="1" applyFill="1"/>
    <xf numFmtId="0" fontId="82" fillId="0" borderId="0" xfId="22" applyFont="1" applyAlignment="1">
      <alignment horizontal="left" wrapText="1"/>
    </xf>
    <xf numFmtId="0" fontId="83" fillId="0" borderId="0" xfId="22" applyFont="1"/>
    <xf numFmtId="0" fontId="2" fillId="0" borderId="3" xfId="22" applyFont="1" applyBorder="1"/>
    <xf numFmtId="0" fontId="1" fillId="0" borderId="10" xfId="22" applyBorder="1"/>
    <xf numFmtId="0" fontId="1" fillId="0" borderId="4" xfId="22" applyBorder="1"/>
    <xf numFmtId="0" fontId="5" fillId="0" borderId="5" xfId="22" applyFont="1" applyBorder="1" applyAlignment="1">
      <alignment horizontal="center" vertical="center"/>
    </xf>
    <xf numFmtId="0" fontId="1" fillId="0" borderId="6" xfId="22" applyBorder="1"/>
    <xf numFmtId="0" fontId="1" fillId="0" borderId="5" xfId="22" applyBorder="1"/>
    <xf numFmtId="0" fontId="1" fillId="0" borderId="8" xfId="22" applyBorder="1"/>
    <xf numFmtId="0" fontId="1" fillId="0" borderId="1" xfId="22" applyBorder="1"/>
    <xf numFmtId="0" fontId="1" fillId="0" borderId="9" xfId="22" applyBorder="1"/>
    <xf numFmtId="0" fontId="84" fillId="0" borderId="0" xfId="22" applyFont="1" applyAlignment="1">
      <alignment wrapText="1"/>
    </xf>
    <xf numFmtId="10" fontId="4" fillId="0" borderId="10" xfId="24" applyNumberFormat="1" applyFont="1" applyBorder="1"/>
    <xf numFmtId="0" fontId="1" fillId="0" borderId="6" xfId="22" applyBorder="1" applyAlignment="1">
      <alignment horizontal="center" vertical="center"/>
    </xf>
    <xf numFmtId="0" fontId="88" fillId="0" borderId="5" xfId="22" applyFont="1" applyBorder="1" applyAlignment="1">
      <alignment vertical="top"/>
    </xf>
    <xf numFmtId="0" fontId="88" fillId="0" borderId="0" xfId="22" applyFont="1" applyAlignment="1">
      <alignment vertical="top"/>
    </xf>
    <xf numFmtId="0" fontId="1" fillId="0" borderId="1" xfId="22" applyBorder="1" applyAlignment="1">
      <alignment vertical="center"/>
    </xf>
    <xf numFmtId="0" fontId="74" fillId="24" borderId="0" xfId="18" applyFont="1" applyFill="1"/>
    <xf numFmtId="174" fontId="0" fillId="4" borderId="0" xfId="15" applyNumberFormat="1" applyFont="1" applyFill="1" applyBorder="1"/>
    <xf numFmtId="0" fontId="74" fillId="0" borderId="6" xfId="18" applyFont="1" applyBorder="1"/>
    <xf numFmtId="174" fontId="0" fillId="0" borderId="0" xfId="15" applyNumberFormat="1" applyFont="1" applyBorder="1"/>
    <xf numFmtId="174" fontId="0" fillId="0" borderId="6" xfId="15" applyNumberFormat="1" applyFont="1" applyBorder="1"/>
    <xf numFmtId="174" fontId="0" fillId="0" borderId="0" xfId="15" applyNumberFormat="1" applyFont="1" applyFill="1" applyBorder="1"/>
    <xf numFmtId="174" fontId="34" fillId="0" borderId="0" xfId="15" applyNumberFormat="1" applyFont="1" applyFill="1" applyBorder="1" applyAlignment="1"/>
    <xf numFmtId="174" fontId="0" fillId="20" borderId="1" xfId="15" applyNumberFormat="1" applyFont="1" applyFill="1" applyBorder="1"/>
    <xf numFmtId="174" fontId="36" fillId="25" borderId="7" xfId="15" applyNumberFormat="1" applyFont="1" applyFill="1" applyBorder="1"/>
    <xf numFmtId="174" fontId="36" fillId="24" borderId="7" xfId="15" applyNumberFormat="1" applyFont="1" applyFill="1" applyBorder="1"/>
    <xf numFmtId="174" fontId="36" fillId="24" borderId="6" xfId="15" applyNumberFormat="1" applyFont="1" applyFill="1" applyBorder="1"/>
    <xf numFmtId="174" fontId="0" fillId="25" borderId="7" xfId="15" applyNumberFormat="1" applyFont="1" applyFill="1" applyBorder="1"/>
    <xf numFmtId="174" fontId="0" fillId="0" borderId="7" xfId="15" applyNumberFormat="1" applyFont="1" applyBorder="1"/>
    <xf numFmtId="174" fontId="0" fillId="4" borderId="7" xfId="15" applyNumberFormat="1" applyFont="1" applyFill="1" applyBorder="1"/>
    <xf numFmtId="174" fontId="91" fillId="25" borderId="7" xfId="15" quotePrefix="1" applyNumberFormat="1" applyFont="1" applyFill="1" applyBorder="1" applyAlignment="1">
      <alignment wrapText="1"/>
    </xf>
    <xf numFmtId="174" fontId="91" fillId="0" borderId="7" xfId="15" quotePrefix="1" applyNumberFormat="1" applyFont="1" applyBorder="1" applyAlignment="1">
      <alignment wrapText="1"/>
    </xf>
    <xf numFmtId="174" fontId="91" fillId="5" borderId="7" xfId="15" quotePrefix="1" applyNumberFormat="1" applyFont="1" applyFill="1" applyBorder="1" applyAlignment="1">
      <alignment wrapText="1"/>
    </xf>
    <xf numFmtId="174" fontId="0" fillId="4" borderId="0" xfId="15" applyNumberFormat="1" applyFont="1" applyFill="1"/>
    <xf numFmtId="0" fontId="34" fillId="4" borderId="0" xfId="14" applyFill="1"/>
    <xf numFmtId="10" fontId="34" fillId="4" borderId="0" xfId="14" applyNumberFormat="1" applyFill="1"/>
    <xf numFmtId="0" fontId="34" fillId="0" borderId="1" xfId="14" applyBorder="1"/>
    <xf numFmtId="174" fontId="0" fillId="4" borderId="1" xfId="15" applyNumberFormat="1" applyFont="1" applyFill="1" applyBorder="1"/>
    <xf numFmtId="174" fontId="36" fillId="0" borderId="0" xfId="16" applyNumberFormat="1" applyFont="1"/>
    <xf numFmtId="0" fontId="36" fillId="2" borderId="0" xfId="14" applyFont="1" applyFill="1"/>
    <xf numFmtId="10" fontId="36" fillId="2" borderId="0" xfId="16" applyNumberFormat="1" applyFont="1" applyFill="1"/>
    <xf numFmtId="10" fontId="0" fillId="0" borderId="1" xfId="16" applyNumberFormat="1" applyFont="1" applyBorder="1" applyAlignment="1">
      <alignment horizontal="right"/>
    </xf>
    <xf numFmtId="0" fontId="34" fillId="0" borderId="1" xfId="14" applyBorder="1" applyAlignment="1">
      <alignment horizontal="right"/>
    </xf>
    <xf numFmtId="175" fontId="36" fillId="0" borderId="0" xfId="14" applyNumberFormat="1" applyFont="1"/>
    <xf numFmtId="175" fontId="36" fillId="2" borderId="0" xfId="14" applyNumberFormat="1" applyFont="1" applyFill="1"/>
    <xf numFmtId="0" fontId="34" fillId="0" borderId="0" xfId="14" quotePrefix="1"/>
    <xf numFmtId="180" fontId="34" fillId="0" borderId="0" xfId="14" applyNumberFormat="1"/>
    <xf numFmtId="176" fontId="0" fillId="0" borderId="0" xfId="16" applyNumberFormat="1" applyFont="1"/>
    <xf numFmtId="0" fontId="92" fillId="0" borderId="0" xfId="0" applyFont="1"/>
    <xf numFmtId="0" fontId="93" fillId="0" borderId="0" xfId="0" applyFont="1"/>
    <xf numFmtId="0" fontId="92" fillId="0" borderId="65" xfId="0" applyFont="1" applyBorder="1"/>
    <xf numFmtId="0" fontId="92" fillId="0" borderId="0" xfId="0" applyFont="1" applyAlignment="1">
      <alignment horizontal="right"/>
    </xf>
    <xf numFmtId="3" fontId="92" fillId="0" borderId="58" xfId="0" applyNumberFormat="1" applyFont="1" applyBorder="1"/>
    <xf numFmtId="0" fontId="92" fillId="0" borderId="5" xfId="0" applyFont="1" applyBorder="1"/>
    <xf numFmtId="3" fontId="92" fillId="0" borderId="6" xfId="0" applyNumberFormat="1" applyFont="1" applyBorder="1"/>
    <xf numFmtId="3" fontId="92" fillId="0" borderId="76" xfId="0" applyNumberFormat="1" applyFont="1" applyBorder="1"/>
    <xf numFmtId="0" fontId="92" fillId="0" borderId="65" xfId="4" applyFont="1" applyBorder="1"/>
    <xf numFmtId="0" fontId="96" fillId="0" borderId="0" xfId="0" applyFont="1"/>
    <xf numFmtId="3" fontId="96" fillId="0" borderId="0" xfId="0" applyNumberFormat="1" applyFont="1"/>
    <xf numFmtId="0" fontId="95" fillId="0" borderId="69" xfId="0" applyFont="1" applyBorder="1"/>
    <xf numFmtId="0" fontId="96" fillId="0" borderId="70" xfId="0" applyFont="1" applyBorder="1"/>
    <xf numFmtId="0" fontId="96" fillId="0" borderId="70" xfId="0" applyFont="1" applyBorder="1" applyAlignment="1">
      <alignment horizontal="right"/>
    </xf>
    <xf numFmtId="3" fontId="95" fillId="4" borderId="71" xfId="0" applyNumberFormat="1" applyFont="1" applyFill="1" applyBorder="1"/>
    <xf numFmtId="3" fontId="95" fillId="0" borderId="71" xfId="0" applyNumberFormat="1" applyFont="1" applyBorder="1"/>
    <xf numFmtId="0" fontId="95" fillId="0" borderId="3" xfId="0" applyFont="1" applyBorder="1"/>
    <xf numFmtId="0" fontId="96" fillId="0" borderId="10" xfId="0" applyFont="1" applyBorder="1"/>
    <xf numFmtId="0" fontId="95" fillId="0" borderId="63" xfId="0" applyFont="1" applyBorder="1"/>
    <xf numFmtId="0" fontId="96" fillId="0" borderId="64" xfId="0" applyFont="1" applyBorder="1"/>
    <xf numFmtId="0" fontId="96" fillId="0" borderId="68" xfId="0" applyFont="1" applyBorder="1"/>
    <xf numFmtId="0" fontId="96" fillId="0" borderId="65" xfId="0" applyFont="1" applyBorder="1"/>
    <xf numFmtId="0" fontId="96" fillId="0" borderId="58" xfId="0" applyFont="1" applyBorder="1"/>
    <xf numFmtId="0" fontId="96" fillId="0" borderId="5" xfId="0" applyFont="1" applyBorder="1"/>
    <xf numFmtId="3" fontId="96" fillId="0" borderId="58" xfId="0" applyNumberFormat="1" applyFont="1" applyBorder="1"/>
    <xf numFmtId="0" fontId="97" fillId="0" borderId="0" xfId="4" applyFont="1"/>
    <xf numFmtId="0" fontId="95" fillId="0" borderId="8" xfId="0" applyFont="1" applyBorder="1"/>
    <xf numFmtId="0" fontId="96" fillId="0" borderId="1" xfId="0" applyFont="1" applyBorder="1"/>
    <xf numFmtId="0" fontId="95" fillId="0" borderId="66" xfId="0" applyFont="1" applyBorder="1"/>
    <xf numFmtId="0" fontId="96" fillId="0" borderId="67" xfId="0" applyFont="1" applyBorder="1"/>
    <xf numFmtId="0" fontId="96" fillId="0" borderId="67" xfId="0" applyFont="1" applyBorder="1" applyAlignment="1">
      <alignment horizontal="right"/>
    </xf>
    <xf numFmtId="3" fontId="95" fillId="0" borderId="60" xfId="0" applyNumberFormat="1" applyFont="1" applyBorder="1"/>
    <xf numFmtId="3" fontId="96" fillId="0" borderId="68" xfId="0" applyNumberFormat="1" applyFont="1" applyBorder="1"/>
    <xf numFmtId="0" fontId="96" fillId="0" borderId="6" xfId="0" applyFont="1" applyBorder="1"/>
    <xf numFmtId="0" fontId="99" fillId="0" borderId="0" xfId="4" applyFont="1"/>
    <xf numFmtId="0" fontId="95" fillId="0" borderId="0" xfId="0" applyFont="1"/>
    <xf numFmtId="3" fontId="95" fillId="0" borderId="0" xfId="0" applyNumberFormat="1" applyFont="1"/>
    <xf numFmtId="0" fontId="99" fillId="0" borderId="0" xfId="0" applyFont="1"/>
    <xf numFmtId="0" fontId="97" fillId="0" borderId="0" xfId="0" applyFont="1"/>
    <xf numFmtId="0" fontId="95" fillId="0" borderId="11" xfId="0" applyFont="1" applyBorder="1"/>
    <xf numFmtId="0" fontId="96" fillId="0" borderId="12" xfId="0" applyFont="1" applyBorder="1"/>
    <xf numFmtId="0" fontId="96" fillId="0" borderId="12" xfId="0" applyFont="1" applyBorder="1" applyAlignment="1">
      <alignment horizontal="right"/>
    </xf>
    <xf numFmtId="0" fontId="94" fillId="0" borderId="3" xfId="4" applyFont="1" applyBorder="1"/>
    <xf numFmtId="0" fontId="92" fillId="0" borderId="0" xfId="4" applyFont="1"/>
    <xf numFmtId="3" fontId="92" fillId="0" borderId="0" xfId="0" applyNumberFormat="1" applyFont="1"/>
    <xf numFmtId="0" fontId="96" fillId="0" borderId="0" xfId="0" applyFont="1" applyAlignment="1">
      <alignment horizontal="right"/>
    </xf>
    <xf numFmtId="3" fontId="92" fillId="0" borderId="0" xfId="0" applyNumberFormat="1" applyFont="1" applyAlignment="1">
      <alignment horizontal="left"/>
    </xf>
    <xf numFmtId="3" fontId="92" fillId="0" borderId="0" xfId="0" applyNumberFormat="1" applyFont="1" applyAlignment="1">
      <alignment horizontal="right"/>
    </xf>
    <xf numFmtId="168" fontId="92" fillId="0" borderId="0" xfId="0" applyNumberFormat="1" applyFont="1" applyAlignment="1">
      <alignment horizontal="left"/>
    </xf>
    <xf numFmtId="9" fontId="92" fillId="0" borderId="0" xfId="0" applyNumberFormat="1" applyFont="1" applyAlignment="1">
      <alignment horizontal="left"/>
    </xf>
    <xf numFmtId="0" fontId="92" fillId="0" borderId="0" xfId="0" applyFont="1" applyAlignment="1">
      <alignment horizontal="left"/>
    </xf>
    <xf numFmtId="0" fontId="94" fillId="0" borderId="0" xfId="4" applyFont="1"/>
    <xf numFmtId="0" fontId="100" fillId="0" borderId="0" xfId="0" applyFont="1"/>
    <xf numFmtId="168" fontId="102" fillId="0" borderId="0" xfId="25" applyNumberFormat="1" applyFont="1" applyBorder="1" applyAlignment="1">
      <alignment horizontal="left"/>
    </xf>
    <xf numFmtId="0" fontId="92" fillId="0" borderId="10" xfId="0" applyFont="1" applyBorder="1"/>
    <xf numFmtId="3" fontId="94" fillId="0" borderId="4" xfId="0" applyNumberFormat="1" applyFont="1" applyBorder="1"/>
    <xf numFmtId="3" fontId="92" fillId="4" borderId="6" xfId="0" applyNumberFormat="1" applyFont="1" applyFill="1" applyBorder="1"/>
    <xf numFmtId="3" fontId="92" fillId="5" borderId="6" xfId="0" applyNumberFormat="1" applyFont="1" applyFill="1" applyBorder="1"/>
    <xf numFmtId="3" fontId="92" fillId="4" borderId="77" xfId="0" applyNumberFormat="1" applyFont="1" applyFill="1" applyBorder="1"/>
    <xf numFmtId="3" fontId="96" fillId="5" borderId="6" xfId="0" applyNumberFormat="1" applyFont="1" applyFill="1" applyBorder="1"/>
    <xf numFmtId="0" fontId="96" fillId="0" borderId="78" xfId="0" applyFont="1" applyBorder="1"/>
    <xf numFmtId="0" fontId="96" fillId="0" borderId="1" xfId="0" applyFont="1" applyBorder="1" applyAlignment="1">
      <alignment horizontal="right"/>
    </xf>
    <xf numFmtId="3" fontId="95" fillId="0" borderId="9" xfId="0" applyNumberFormat="1" applyFont="1" applyBorder="1"/>
    <xf numFmtId="0" fontId="96" fillId="0" borderId="3" xfId="0" applyFont="1" applyBorder="1"/>
    <xf numFmtId="3" fontId="96" fillId="0" borderId="10" xfId="0" applyNumberFormat="1" applyFont="1" applyBorder="1"/>
    <xf numFmtId="0" fontId="96" fillId="0" borderId="4" xfId="0" applyFont="1" applyBorder="1"/>
    <xf numFmtId="0" fontId="96" fillId="0" borderId="8" xfId="0" applyFont="1" applyBorder="1"/>
    <xf numFmtId="3" fontId="96" fillId="0" borderId="1" xfId="0" applyNumberFormat="1" applyFont="1" applyBorder="1"/>
    <xf numFmtId="0" fontId="96" fillId="0" borderId="9" xfId="0" applyFont="1" applyBorder="1"/>
    <xf numFmtId="3" fontId="95" fillId="21" borderId="13" xfId="0" applyNumberFormat="1" applyFont="1" applyFill="1" applyBorder="1"/>
    <xf numFmtId="0" fontId="95" fillId="24" borderId="11" xfId="0" applyFont="1" applyFill="1" applyBorder="1"/>
    <xf numFmtId="0" fontId="96" fillId="24" borderId="12" xfId="0" applyFont="1" applyFill="1" applyBorder="1"/>
    <xf numFmtId="3" fontId="95" fillId="4" borderId="13" xfId="0" applyNumberFormat="1" applyFont="1" applyFill="1" applyBorder="1"/>
    <xf numFmtId="3" fontId="95" fillId="0" borderId="10" xfId="0" applyNumberFormat="1" applyFont="1" applyBorder="1"/>
    <xf numFmtId="3" fontId="95" fillId="0" borderId="3" xfId="0" applyNumberFormat="1" applyFont="1" applyBorder="1"/>
    <xf numFmtId="0" fontId="98" fillId="0" borderId="0" xfId="0" applyFont="1"/>
    <xf numFmtId="0" fontId="35" fillId="24" borderId="3" xfId="4" applyFont="1" applyFill="1" applyBorder="1"/>
    <xf numFmtId="0" fontId="34" fillId="24" borderId="10" xfId="4" applyFill="1" applyBorder="1"/>
    <xf numFmtId="0" fontId="34" fillId="0" borderId="10" xfId="4" applyBorder="1"/>
    <xf numFmtId="0" fontId="34" fillId="0" borderId="4" xfId="4" applyBorder="1"/>
    <xf numFmtId="0" fontId="34" fillId="24" borderId="0" xfId="4" applyFill="1"/>
    <xf numFmtId="0" fontId="34" fillId="0" borderId="5" xfId="4" applyBorder="1"/>
    <xf numFmtId="0" fontId="34" fillId="0" borderId="6" xfId="4" applyBorder="1"/>
    <xf numFmtId="0" fontId="34" fillId="0" borderId="5" xfId="4" quotePrefix="1" applyBorder="1"/>
    <xf numFmtId="0" fontId="34" fillId="0" borderId="8" xfId="4" quotePrefix="1" applyBorder="1"/>
    <xf numFmtId="0" fontId="34" fillId="0" borderId="1" xfId="4" applyBorder="1"/>
    <xf numFmtId="0" fontId="34" fillId="0" borderId="9" xfId="4" applyBorder="1"/>
    <xf numFmtId="0" fontId="37" fillId="24" borderId="3" xfId="4" applyFont="1" applyFill="1" applyBorder="1"/>
    <xf numFmtId="0" fontId="90" fillId="0" borderId="6" xfId="4" applyFont="1" applyBorder="1"/>
    <xf numFmtId="185" fontId="34" fillId="0" borderId="6" xfId="4" applyNumberFormat="1" applyBorder="1"/>
    <xf numFmtId="185" fontId="34" fillId="0" borderId="0" xfId="4" applyNumberFormat="1"/>
    <xf numFmtId="174" fontId="34" fillId="4" borderId="0" xfId="4" applyNumberFormat="1" applyFill="1"/>
    <xf numFmtId="174" fontId="34" fillId="0" borderId="0" xfId="4" applyNumberFormat="1"/>
    <xf numFmtId="10" fontId="34" fillId="5" borderId="0" xfId="4" applyNumberFormat="1" applyFill="1"/>
    <xf numFmtId="10" fontId="34" fillId="0" borderId="0" xfId="4" applyNumberFormat="1"/>
    <xf numFmtId="0" fontId="34" fillId="0" borderId="8" xfId="4" applyBorder="1"/>
    <xf numFmtId="9" fontId="34" fillId="5" borderId="1" xfId="4" applyNumberFormat="1" applyFill="1" applyBorder="1"/>
    <xf numFmtId="9" fontId="34" fillId="0" borderId="0" xfId="4" applyNumberFormat="1"/>
    <xf numFmtId="174" fontId="34" fillId="0" borderId="9" xfId="4" applyNumberFormat="1" applyBorder="1"/>
    <xf numFmtId="0" fontId="37" fillId="25" borderId="10" xfId="4" applyFont="1" applyFill="1" applyBorder="1" applyAlignment="1">
      <alignment horizontal="left" vertical="top" wrapText="1"/>
    </xf>
    <xf numFmtId="0" fontId="37" fillId="0" borderId="2" xfId="4" applyFont="1" applyBorder="1" applyAlignment="1">
      <alignment horizontal="left" vertical="top" wrapText="1"/>
    </xf>
    <xf numFmtId="0" fontId="34" fillId="24" borderId="70" xfId="4" applyFill="1" applyBorder="1"/>
    <xf numFmtId="174" fontId="34" fillId="25" borderId="7" xfId="4" applyNumberFormat="1" applyFill="1" applyBorder="1"/>
    <xf numFmtId="174" fontId="34" fillId="4" borderId="7" xfId="4" applyNumberFormat="1" applyFill="1" applyBorder="1"/>
    <xf numFmtId="0" fontId="34" fillId="4" borderId="7" xfId="4" applyFill="1" applyBorder="1"/>
    <xf numFmtId="0" fontId="34" fillId="25" borderId="7" xfId="4" applyFill="1" applyBorder="1"/>
    <xf numFmtId="0" fontId="34" fillId="0" borderId="7" xfId="4" applyBorder="1"/>
    <xf numFmtId="174" fontId="36" fillId="25" borderId="7" xfId="4" applyNumberFormat="1" applyFont="1" applyFill="1" applyBorder="1"/>
    <xf numFmtId="174" fontId="36" fillId="24" borderId="7" xfId="4" applyNumberFormat="1" applyFont="1" applyFill="1" applyBorder="1"/>
    <xf numFmtId="174" fontId="36" fillId="24" borderId="0" xfId="4" applyNumberFormat="1" applyFont="1" applyFill="1"/>
    <xf numFmtId="0" fontId="34" fillId="24" borderId="7" xfId="4" applyFill="1" applyBorder="1"/>
    <xf numFmtId="174" fontId="36" fillId="24" borderId="6" xfId="4" applyNumberFormat="1" applyFont="1" applyFill="1" applyBorder="1"/>
    <xf numFmtId="1" fontId="34" fillId="0" borderId="0" xfId="4" applyNumberFormat="1"/>
    <xf numFmtId="174" fontId="34" fillId="5" borderId="7" xfId="4" applyNumberFormat="1" applyFill="1" applyBorder="1" applyAlignment="1">
      <alignment wrapText="1"/>
    </xf>
    <xf numFmtId="174" fontId="37" fillId="25" borderId="70" xfId="4" applyNumberFormat="1" applyFont="1" applyFill="1" applyBorder="1"/>
    <xf numFmtId="174" fontId="37" fillId="24" borderId="70" xfId="4" applyNumberFormat="1" applyFont="1" applyFill="1" applyBorder="1"/>
    <xf numFmtId="0" fontId="36" fillId="25" borderId="0" xfId="4" applyFont="1" applyFill="1"/>
    <xf numFmtId="0" fontId="34" fillId="20" borderId="0" xfId="4" applyFill="1"/>
    <xf numFmtId="0" fontId="34" fillId="0" borderId="3" xfId="4" applyBorder="1"/>
    <xf numFmtId="0" fontId="34" fillId="0" borderId="1" xfId="4" quotePrefix="1" applyBorder="1"/>
    <xf numFmtId="0" fontId="85" fillId="0" borderId="0" xfId="0" applyFont="1"/>
    <xf numFmtId="0" fontId="4" fillId="5" borderId="0" xfId="1" applyFill="1"/>
    <xf numFmtId="0" fontId="34" fillId="0" borderId="63" xfId="4" applyBorder="1"/>
    <xf numFmtId="0" fontId="37" fillId="0" borderId="65" xfId="4" applyFont="1" applyBorder="1"/>
    <xf numFmtId="174" fontId="55" fillId="0" borderId="58" xfId="5" applyNumberFormat="1" applyFont="1" applyBorder="1"/>
    <xf numFmtId="174" fontId="55" fillId="0" borderId="58" xfId="4" applyNumberFormat="1" applyFont="1" applyBorder="1"/>
    <xf numFmtId="0" fontId="37" fillId="0" borderId="66" xfId="4" applyFont="1" applyBorder="1"/>
    <xf numFmtId="174" fontId="55" fillId="0" borderId="60" xfId="4" applyNumberFormat="1" applyFont="1" applyBorder="1"/>
    <xf numFmtId="0" fontId="37" fillId="0" borderId="5" xfId="4" applyFont="1" applyBorder="1"/>
    <xf numFmtId="2" fontId="37" fillId="0" borderId="6" xfId="4" applyNumberFormat="1" applyFont="1" applyBorder="1"/>
    <xf numFmtId="0" fontId="55" fillId="0" borderId="68" xfId="4" applyFont="1" applyBorder="1" applyAlignment="1">
      <alignment horizontal="right"/>
    </xf>
    <xf numFmtId="0" fontId="37" fillId="0" borderId="3" xfId="4" applyFont="1" applyBorder="1"/>
    <xf numFmtId="0" fontId="42" fillId="0" borderId="5" xfId="4" applyFont="1" applyBorder="1"/>
    <xf numFmtId="0" fontId="57" fillId="0" borderId="8" xfId="4" applyFont="1" applyBorder="1"/>
    <xf numFmtId="0" fontId="104" fillId="0" borderId="0" xfId="12" applyFont="1"/>
    <xf numFmtId="0" fontId="62" fillId="0" borderId="0" xfId="12" applyFont="1"/>
    <xf numFmtId="3" fontId="103" fillId="26" borderId="6" xfId="0" applyNumberFormat="1" applyFont="1" applyFill="1" applyBorder="1"/>
    <xf numFmtId="0" fontId="103" fillId="0" borderId="6" xfId="0" applyFont="1" applyBorder="1"/>
    <xf numFmtId="0" fontId="103" fillId="26" borderId="6" xfId="0" applyFont="1" applyFill="1" applyBorder="1"/>
    <xf numFmtId="10" fontId="103" fillId="26" borderId="6" xfId="0" applyNumberFormat="1" applyFont="1" applyFill="1" applyBorder="1"/>
    <xf numFmtId="0" fontId="37" fillId="24" borderId="10" xfId="4" applyFont="1" applyFill="1" applyBorder="1"/>
    <xf numFmtId="0" fontId="37" fillId="24" borderId="0" xfId="4" applyFont="1" applyFill="1"/>
    <xf numFmtId="0" fontId="90" fillId="0" borderId="0" xfId="4" applyFont="1"/>
    <xf numFmtId="3" fontId="103" fillId="26" borderId="0" xfId="0" applyNumberFormat="1" applyFont="1" applyFill="1"/>
    <xf numFmtId="0" fontId="103" fillId="0" borderId="0" xfId="0" applyFont="1"/>
    <xf numFmtId="0" fontId="103" fillId="26" borderId="0" xfId="0" applyFont="1" applyFill="1"/>
    <xf numFmtId="10" fontId="103" fillId="26" borderId="0" xfId="0" applyNumberFormat="1" applyFont="1" applyFill="1"/>
    <xf numFmtId="174" fontId="34" fillId="0" borderId="6" xfId="4" applyNumberFormat="1" applyBorder="1"/>
    <xf numFmtId="8" fontId="34" fillId="0" borderId="0" xfId="4" applyNumberFormat="1"/>
    <xf numFmtId="3" fontId="103" fillId="26" borderId="7" xfId="0" applyNumberFormat="1" applyFont="1" applyFill="1" applyBorder="1"/>
    <xf numFmtId="10" fontId="9" fillId="5" borderId="2" xfId="3" applyNumberFormat="1" applyFont="1" applyFill="1" applyBorder="1" applyAlignment="1">
      <alignment horizontal="right"/>
    </xf>
    <xf numFmtId="3" fontId="105" fillId="0" borderId="0" xfId="0" applyNumberFormat="1" applyFont="1"/>
    <xf numFmtId="171" fontId="64" fillId="4" borderId="7" xfId="14" applyNumberFormat="1" applyFont="1" applyFill="1" applyBorder="1"/>
    <xf numFmtId="0" fontId="22" fillId="3" borderId="3" xfId="1" applyFont="1" applyFill="1" applyBorder="1" applyAlignment="1">
      <alignment horizontal="center" vertical="center" wrapText="1"/>
    </xf>
    <xf numFmtId="0" fontId="22" fillId="3" borderId="10" xfId="1" applyFont="1" applyFill="1" applyBorder="1" applyAlignment="1">
      <alignment horizontal="center" vertical="center" wrapText="1"/>
    </xf>
    <xf numFmtId="0" fontId="22" fillId="3" borderId="4" xfId="1" applyFont="1" applyFill="1" applyBorder="1" applyAlignment="1">
      <alignment horizontal="center" vertical="center" wrapText="1"/>
    </xf>
    <xf numFmtId="0" fontId="22" fillId="3" borderId="8" xfId="1" applyFont="1" applyFill="1" applyBorder="1" applyAlignment="1">
      <alignment horizontal="center" vertical="center" wrapText="1"/>
    </xf>
    <xf numFmtId="0" fontId="22" fillId="3" borderId="1" xfId="1" applyFont="1" applyFill="1" applyBorder="1" applyAlignment="1">
      <alignment horizontal="center" vertical="center" wrapText="1"/>
    </xf>
    <xf numFmtId="0" fontId="22" fillId="3" borderId="9" xfId="1" applyFont="1" applyFill="1" applyBorder="1" applyAlignment="1">
      <alignment horizontal="center" vertical="center" wrapText="1"/>
    </xf>
    <xf numFmtId="3" fontId="8" fillId="3" borderId="3" xfId="1" applyNumberFormat="1" applyFont="1" applyFill="1" applyBorder="1" applyAlignment="1">
      <alignment horizontal="center"/>
    </xf>
    <xf numFmtId="3" fontId="8" fillId="3" borderId="4" xfId="1" applyNumberFormat="1" applyFont="1" applyFill="1" applyBorder="1" applyAlignment="1">
      <alignment horizontal="center"/>
    </xf>
    <xf numFmtId="3" fontId="8" fillId="0" borderId="0" xfId="1" applyNumberFormat="1" applyFont="1" applyAlignment="1">
      <alignment horizontal="center"/>
    </xf>
    <xf numFmtId="3" fontId="10" fillId="3" borderId="5" xfId="1" applyNumberFormat="1" applyFont="1" applyFill="1" applyBorder="1" applyAlignment="1">
      <alignment horizontal="center" wrapText="1"/>
    </xf>
    <xf numFmtId="3" fontId="10" fillId="3" borderId="8" xfId="1" applyNumberFormat="1" applyFont="1" applyFill="1" applyBorder="1" applyAlignment="1">
      <alignment horizontal="center" wrapText="1"/>
    </xf>
    <xf numFmtId="3" fontId="11" fillId="3" borderId="6" xfId="1" applyNumberFormat="1" applyFont="1" applyFill="1" applyBorder="1" applyAlignment="1">
      <alignment horizontal="center" wrapText="1"/>
    </xf>
    <xf numFmtId="3" fontId="11" fillId="3" borderId="9" xfId="1" applyNumberFormat="1" applyFont="1" applyFill="1" applyBorder="1" applyAlignment="1">
      <alignment horizontal="center" wrapText="1"/>
    </xf>
    <xf numFmtId="3" fontId="10" fillId="0" borderId="0" xfId="1" applyNumberFormat="1" applyFont="1" applyAlignment="1">
      <alignment horizontal="center" wrapText="1"/>
    </xf>
    <xf numFmtId="3" fontId="11" fillId="0" borderId="0" xfId="1" applyNumberFormat="1" applyFont="1" applyAlignment="1">
      <alignment horizontal="center" wrapText="1"/>
    </xf>
    <xf numFmtId="3" fontId="6" fillId="0" borderId="1" xfId="1" applyNumberFormat="1" applyFont="1" applyBorder="1" applyAlignment="1">
      <alignment horizontal="center"/>
    </xf>
    <xf numFmtId="0" fontId="30" fillId="0" borderId="0" xfId="1" applyFont="1" applyAlignment="1">
      <alignment horizontal="left" vertical="center" wrapText="1"/>
    </xf>
    <xf numFmtId="0" fontId="3" fillId="8" borderId="2" xfId="7" applyFont="1" applyFill="1" applyBorder="1" applyAlignment="1">
      <alignment horizontal="center" vertical="center" wrapText="1"/>
    </xf>
    <xf numFmtId="0" fontId="3" fillId="8" borderId="14" xfId="7" applyFont="1" applyFill="1" applyBorder="1" applyAlignment="1">
      <alignment horizontal="center" vertical="center" wrapText="1"/>
    </xf>
    <xf numFmtId="3" fontId="45" fillId="8" borderId="3" xfId="7" applyNumberFormat="1" applyFont="1" applyFill="1" applyBorder="1" applyAlignment="1">
      <alignment horizontal="center" vertical="center" wrapText="1"/>
    </xf>
    <xf numFmtId="3" fontId="45" fillId="8" borderId="5" xfId="7" applyNumberFormat="1" applyFont="1" applyFill="1" applyBorder="1" applyAlignment="1">
      <alignment horizontal="center" vertical="center" wrapText="1"/>
    </xf>
    <xf numFmtId="0" fontId="45" fillId="8" borderId="0" xfId="7" applyFont="1" applyFill="1" applyAlignment="1">
      <alignment horizontal="center" vertical="center" wrapText="1"/>
    </xf>
    <xf numFmtId="3" fontId="45" fillId="8" borderId="0" xfId="7" applyNumberFormat="1" applyFont="1" applyFill="1" applyAlignment="1">
      <alignment horizontal="center" vertical="center" wrapText="1"/>
    </xf>
    <xf numFmtId="3" fontId="45" fillId="8" borderId="0" xfId="14" applyNumberFormat="1" applyFont="1" applyFill="1" applyAlignment="1">
      <alignment horizontal="center" vertical="center" wrapText="1"/>
    </xf>
    <xf numFmtId="3" fontId="45" fillId="8" borderId="3" xfId="14" applyNumberFormat="1" applyFont="1" applyFill="1" applyBorder="1" applyAlignment="1">
      <alignment horizontal="center" vertical="center" wrapText="1"/>
    </xf>
    <xf numFmtId="3" fontId="45" fillId="8" borderId="5" xfId="14" applyNumberFormat="1" applyFont="1" applyFill="1" applyBorder="1" applyAlignment="1">
      <alignment horizontal="center" vertical="center" wrapText="1"/>
    </xf>
    <xf numFmtId="3" fontId="45" fillId="8" borderId="4" xfId="14" applyNumberFormat="1" applyFont="1" applyFill="1" applyBorder="1" applyAlignment="1">
      <alignment horizontal="center" vertical="center" wrapText="1"/>
    </xf>
    <xf numFmtId="3" fontId="45" fillId="8" borderId="6" xfId="14" applyNumberFormat="1" applyFont="1" applyFill="1" applyBorder="1" applyAlignment="1">
      <alignment horizontal="center" vertical="center" wrapText="1"/>
    </xf>
    <xf numFmtId="0" fontId="67" fillId="0" borderId="3" xfId="1" applyFont="1" applyBorder="1" applyAlignment="1">
      <alignment vertical="top" wrapText="1"/>
    </xf>
    <xf numFmtId="0" fontId="67" fillId="0" borderId="57" xfId="1" applyFont="1" applyBorder="1" applyAlignment="1">
      <alignment vertical="top" wrapText="1"/>
    </xf>
    <xf numFmtId="0" fontId="67" fillId="0" borderId="5" xfId="1" applyFont="1" applyBorder="1" applyAlignment="1">
      <alignment vertical="top" wrapText="1"/>
    </xf>
    <xf numFmtId="0" fontId="67" fillId="0" borderId="58" xfId="1" applyFont="1" applyBorder="1" applyAlignment="1">
      <alignment vertical="top" wrapText="1"/>
    </xf>
    <xf numFmtId="0" fontId="67" fillId="0" borderId="59" xfId="1" applyFont="1" applyBorder="1" applyAlignment="1">
      <alignment vertical="top" wrapText="1"/>
    </xf>
    <xf numFmtId="0" fontId="67" fillId="0" borderId="60" xfId="1" applyFont="1" applyBorder="1" applyAlignment="1">
      <alignment vertical="top" wrapText="1"/>
    </xf>
    <xf numFmtId="0" fontId="65" fillId="0" borderId="0" xfId="1" applyFont="1" applyAlignment="1">
      <alignment wrapText="1"/>
    </xf>
    <xf numFmtId="0" fontId="25" fillId="0" borderId="0" xfId="1" applyFont="1" applyAlignment="1">
      <alignment wrapText="1"/>
    </xf>
    <xf numFmtId="0" fontId="25" fillId="0" borderId="1" xfId="1" applyFont="1" applyBorder="1" applyAlignment="1">
      <alignment wrapText="1"/>
    </xf>
    <xf numFmtId="0" fontId="3" fillId="8" borderId="2" xfId="14" applyFont="1" applyFill="1" applyBorder="1" applyAlignment="1">
      <alignment horizontal="center" vertical="center" wrapText="1"/>
    </xf>
    <xf numFmtId="0" fontId="3" fillId="8" borderId="14" xfId="14" applyFont="1" applyFill="1" applyBorder="1" applyAlignment="1">
      <alignment horizontal="center" vertical="center" wrapText="1"/>
    </xf>
    <xf numFmtId="0" fontId="45" fillId="8" borderId="0" xfId="14" applyFont="1" applyFill="1" applyAlignment="1">
      <alignment horizontal="center" vertical="center" wrapText="1"/>
    </xf>
    <xf numFmtId="0" fontId="67" fillId="0" borderId="4" xfId="1" applyFont="1" applyBorder="1" applyAlignment="1">
      <alignment vertical="top" wrapText="1"/>
    </xf>
    <xf numFmtId="0" fontId="67" fillId="0" borderId="6" xfId="1" applyFont="1" applyBorder="1" applyAlignment="1">
      <alignment vertical="top" wrapText="1"/>
    </xf>
    <xf numFmtId="0" fontId="25" fillId="0" borderId="8" xfId="1" applyFont="1" applyBorder="1" applyAlignment="1">
      <alignment wrapText="1"/>
    </xf>
    <xf numFmtId="0" fontId="25" fillId="0" borderId="9" xfId="1" applyFont="1" applyBorder="1" applyAlignment="1">
      <alignment wrapText="1"/>
    </xf>
    <xf numFmtId="0" fontId="69" fillId="0" borderId="10" xfId="1" applyFont="1" applyBorder="1" applyAlignment="1">
      <alignment wrapText="1"/>
    </xf>
    <xf numFmtId="0" fontId="4" fillId="0" borderId="10" xfId="1" applyBorder="1" applyAlignment="1">
      <alignment wrapText="1"/>
    </xf>
    <xf numFmtId="0" fontId="70" fillId="0" borderId="0" xfId="1" applyFont="1" applyAlignment="1">
      <alignment vertical="top" wrapText="1"/>
    </xf>
    <xf numFmtId="0" fontId="26" fillId="0" borderId="0" xfId="1" applyFont="1" applyAlignment="1">
      <alignment vertical="top" wrapText="1"/>
    </xf>
    <xf numFmtId="0" fontId="26" fillId="0" borderId="1" xfId="1" applyFont="1" applyBorder="1" applyAlignment="1">
      <alignment vertical="top" wrapText="1"/>
    </xf>
    <xf numFmtId="0" fontId="25" fillId="0" borderId="4" xfId="1" applyFont="1" applyBorder="1" applyAlignment="1">
      <alignment wrapText="1"/>
    </xf>
    <xf numFmtId="0" fontId="25" fillId="0" borderId="5" xfId="1" applyFont="1" applyBorder="1" applyAlignment="1">
      <alignment wrapText="1"/>
    </xf>
    <xf numFmtId="0" fontId="25" fillId="0" borderId="6" xfId="1" applyFont="1" applyBorder="1" applyAlignment="1">
      <alignment wrapText="1"/>
    </xf>
    <xf numFmtId="0" fontId="4" fillId="4" borderId="11" xfId="22" applyFont="1" applyFill="1" applyBorder="1" applyAlignment="1">
      <alignment horizontal="center"/>
    </xf>
    <xf numFmtId="0" fontId="1" fillId="4" borderId="12" xfId="22" applyFill="1" applyBorder="1" applyAlignment="1">
      <alignment horizontal="center"/>
    </xf>
    <xf numFmtId="0" fontId="1" fillId="4" borderId="13" xfId="22" applyFill="1" applyBorder="1" applyAlignment="1">
      <alignment horizontal="center"/>
    </xf>
    <xf numFmtId="0" fontId="5" fillId="0" borderId="65" xfId="22" applyFont="1" applyBorder="1" applyAlignment="1">
      <alignment horizontal="center" vertical="center" wrapText="1"/>
    </xf>
    <xf numFmtId="0" fontId="5" fillId="0" borderId="0" xfId="22" applyFont="1" applyAlignment="1">
      <alignment horizontal="center" vertical="center" wrapText="1"/>
    </xf>
    <xf numFmtId="0" fontId="1" fillId="0" borderId="0" xfId="22" quotePrefix="1" applyAlignment="1">
      <alignment horizontal="center" vertical="center"/>
    </xf>
    <xf numFmtId="0" fontId="5" fillId="0" borderId="22" xfId="22" applyFont="1" applyBorder="1" applyAlignment="1">
      <alignment horizontal="center"/>
    </xf>
    <xf numFmtId="0" fontId="1" fillId="0" borderId="0" xfId="22" applyAlignment="1">
      <alignment horizontal="center" vertical="center"/>
    </xf>
    <xf numFmtId="0" fontId="5" fillId="0" borderId="0" xfId="22" applyFont="1" applyAlignment="1">
      <alignment horizontal="center"/>
    </xf>
    <xf numFmtId="3" fontId="1" fillId="4" borderId="22" xfId="22" applyNumberFormat="1" applyFill="1" applyBorder="1" applyAlignment="1">
      <alignment horizontal="center"/>
    </xf>
    <xf numFmtId="0" fontId="4" fillId="0" borderId="0" xfId="22" quotePrefix="1" applyFont="1" applyAlignment="1">
      <alignment horizontal="center" vertical="center"/>
    </xf>
    <xf numFmtId="176" fontId="5" fillId="2" borderId="3" xfId="24" applyNumberFormat="1" applyFont="1" applyFill="1" applyBorder="1" applyAlignment="1">
      <alignment horizontal="center" vertical="center"/>
    </xf>
    <xf numFmtId="176" fontId="5" fillId="2" borderId="4" xfId="24" applyNumberFormat="1" applyFont="1" applyFill="1" applyBorder="1" applyAlignment="1">
      <alignment horizontal="center" vertical="center"/>
    </xf>
    <xf numFmtId="176" fontId="5" fillId="2" borderId="8" xfId="24" applyNumberFormat="1" applyFont="1" applyFill="1" applyBorder="1" applyAlignment="1">
      <alignment horizontal="center" vertical="center"/>
    </xf>
    <xf numFmtId="176" fontId="5" fillId="2" borderId="9" xfId="24" applyNumberFormat="1" applyFont="1" applyFill="1" applyBorder="1" applyAlignment="1">
      <alignment horizontal="center" vertical="center"/>
    </xf>
    <xf numFmtId="3" fontId="1" fillId="4" borderId="39" xfId="22" applyNumberFormat="1" applyFill="1" applyBorder="1" applyAlignment="1">
      <alignment horizontal="center"/>
    </xf>
    <xf numFmtId="0" fontId="82" fillId="0" borderId="65" xfId="22" applyFont="1" applyBorder="1" applyAlignment="1">
      <alignment horizontal="left" wrapText="1"/>
    </xf>
    <xf numFmtId="0" fontId="82" fillId="0" borderId="0" xfId="22" applyFont="1" applyAlignment="1">
      <alignment horizontal="left" wrapText="1"/>
    </xf>
    <xf numFmtId="0" fontId="82" fillId="0" borderId="66" xfId="22" applyFont="1" applyBorder="1" applyAlignment="1">
      <alignment horizontal="left" wrapText="1"/>
    </xf>
    <xf numFmtId="0" fontId="82" fillId="0" borderId="67" xfId="22" applyFont="1" applyBorder="1" applyAlignment="1">
      <alignment horizontal="left" wrapText="1"/>
    </xf>
    <xf numFmtId="0" fontId="5" fillId="0" borderId="5" xfId="22" applyFont="1" applyBorder="1" applyAlignment="1">
      <alignment horizontal="center" vertical="center"/>
    </xf>
    <xf numFmtId="0" fontId="5" fillId="0" borderId="0" xfId="22" applyFont="1" applyAlignment="1">
      <alignment horizontal="center" vertical="center"/>
    </xf>
    <xf numFmtId="3" fontId="5" fillId="2" borderId="0" xfId="22" applyNumberFormat="1" applyFont="1" applyFill="1" applyAlignment="1">
      <alignment horizontal="center" vertical="center"/>
    </xf>
    <xf numFmtId="3" fontId="5" fillId="2" borderId="0" xfId="22" applyNumberFormat="1" applyFont="1" applyFill="1" applyAlignment="1">
      <alignment horizontal="center" vertical="center" wrapText="1"/>
    </xf>
    <xf numFmtId="3" fontId="5" fillId="18" borderId="3" xfId="22" applyNumberFormat="1" applyFont="1" applyFill="1" applyBorder="1" applyAlignment="1">
      <alignment horizontal="center" vertical="center"/>
    </xf>
    <xf numFmtId="3" fontId="5" fillId="18" borderId="4" xfId="22" applyNumberFormat="1" applyFont="1" applyFill="1" applyBorder="1" applyAlignment="1">
      <alignment horizontal="center" vertical="center"/>
    </xf>
    <xf numFmtId="3" fontId="5" fillId="18" borderId="8" xfId="22" applyNumberFormat="1" applyFont="1" applyFill="1" applyBorder="1" applyAlignment="1">
      <alignment horizontal="center" vertical="center"/>
    </xf>
    <xf numFmtId="3" fontId="5" fillId="18" borderId="9" xfId="22" applyNumberFormat="1" applyFont="1" applyFill="1" applyBorder="1" applyAlignment="1">
      <alignment horizontal="center" vertical="center"/>
    </xf>
    <xf numFmtId="3" fontId="1" fillId="2" borderId="22" xfId="22" applyNumberFormat="1" applyFill="1" applyBorder="1" applyAlignment="1">
      <alignment horizontal="center"/>
    </xf>
    <xf numFmtId="0" fontId="86" fillId="0" borderId="0" xfId="22" applyFont="1" applyAlignment="1">
      <alignment horizontal="center" vertical="center" wrapText="1"/>
    </xf>
    <xf numFmtId="0" fontId="4" fillId="0" borderId="0" xfId="22" applyFont="1" applyAlignment="1">
      <alignment horizontal="center" vertical="center"/>
    </xf>
    <xf numFmtId="3" fontId="5" fillId="2" borderId="3" xfId="22" applyNumberFormat="1" applyFont="1" applyFill="1" applyBorder="1" applyAlignment="1">
      <alignment horizontal="center" vertical="center"/>
    </xf>
    <xf numFmtId="3" fontId="5" fillId="2" borderId="4" xfId="22" applyNumberFormat="1" applyFont="1" applyFill="1" applyBorder="1" applyAlignment="1">
      <alignment horizontal="center" vertical="center"/>
    </xf>
    <xf numFmtId="3" fontId="5" fillId="2" borderId="8" xfId="22" applyNumberFormat="1" applyFont="1" applyFill="1" applyBorder="1" applyAlignment="1">
      <alignment horizontal="center" vertical="center"/>
    </xf>
    <xf numFmtId="3" fontId="5" fillId="2" borderId="9" xfId="22" applyNumberFormat="1" applyFont="1" applyFill="1" applyBorder="1" applyAlignment="1">
      <alignment horizontal="center" vertical="center"/>
    </xf>
    <xf numFmtId="186" fontId="5" fillId="2" borderId="3" xfId="23" applyNumberFormat="1" applyFont="1" applyFill="1" applyBorder="1" applyAlignment="1">
      <alignment horizontal="center" vertical="center"/>
    </xf>
    <xf numFmtId="186" fontId="5" fillId="2" borderId="4" xfId="23" applyNumberFormat="1" applyFont="1" applyFill="1" applyBorder="1" applyAlignment="1">
      <alignment horizontal="center" vertical="center"/>
    </xf>
    <xf numFmtId="186" fontId="5" fillId="2" borderId="8" xfId="23" applyNumberFormat="1" applyFont="1" applyFill="1" applyBorder="1" applyAlignment="1">
      <alignment horizontal="center" vertical="center"/>
    </xf>
    <xf numFmtId="186" fontId="5" fillId="2" borderId="9" xfId="23" applyNumberFormat="1" applyFont="1" applyFill="1" applyBorder="1" applyAlignment="1">
      <alignment horizontal="center" vertical="center"/>
    </xf>
    <xf numFmtId="0" fontId="85" fillId="0" borderId="0" xfId="22" applyFont="1" applyAlignment="1">
      <alignment horizontal="center"/>
    </xf>
    <xf numFmtId="0" fontId="4" fillId="0" borderId="0" xfId="22" applyFont="1" applyAlignment="1">
      <alignment horizontal="center"/>
    </xf>
    <xf numFmtId="3" fontId="1" fillId="2" borderId="39" xfId="22" applyNumberFormat="1" applyFill="1" applyBorder="1" applyAlignment="1">
      <alignment horizontal="center"/>
    </xf>
    <xf numFmtId="0" fontId="1" fillId="2" borderId="39" xfId="22" applyFill="1" applyBorder="1" applyAlignment="1">
      <alignment horizontal="center"/>
    </xf>
    <xf numFmtId="3" fontId="1" fillId="2" borderId="0" xfId="22" applyNumberFormat="1" applyFill="1" applyAlignment="1">
      <alignment horizontal="center" vertical="center"/>
    </xf>
    <xf numFmtId="0" fontId="4" fillId="5" borderId="0" xfId="22" applyFont="1" applyFill="1" applyAlignment="1">
      <alignment horizontal="center" vertical="center"/>
    </xf>
    <xf numFmtId="0" fontId="1" fillId="5" borderId="0" xfId="22" applyFill="1" applyAlignment="1">
      <alignment horizontal="center" vertical="center"/>
    </xf>
    <xf numFmtId="0" fontId="36" fillId="24" borderId="74" xfId="4" applyFont="1" applyFill="1" applyBorder="1"/>
    <xf numFmtId="0" fontId="34" fillId="24" borderId="55" xfId="4" applyFill="1" applyBorder="1"/>
    <xf numFmtId="0" fontId="34" fillId="24" borderId="75" xfId="4" applyFill="1" applyBorder="1"/>
    <xf numFmtId="0" fontId="34" fillId="0" borderId="5" xfId="4" applyBorder="1"/>
    <xf numFmtId="0" fontId="34" fillId="0" borderId="0" xfId="4"/>
    <xf numFmtId="0" fontId="34" fillId="0" borderId="6" xfId="4" applyBorder="1"/>
    <xf numFmtId="0" fontId="59" fillId="24" borderId="69" xfId="4" applyFont="1" applyFill="1" applyBorder="1"/>
    <xf numFmtId="0" fontId="34" fillId="24" borderId="70" xfId="4" applyFill="1" applyBorder="1"/>
    <xf numFmtId="0" fontId="36" fillId="0" borderId="0" xfId="4" quotePrefix="1" applyFont="1"/>
    <xf numFmtId="0" fontId="36" fillId="0" borderId="0" xfId="4" applyFont="1"/>
    <xf numFmtId="0" fontId="34" fillId="0" borderId="74" xfId="4" applyBorder="1"/>
    <xf numFmtId="0" fontId="34" fillId="0" borderId="55" xfId="4" applyBorder="1"/>
    <xf numFmtId="0" fontId="34" fillId="0" borderId="75" xfId="4" applyBorder="1"/>
    <xf numFmtId="0" fontId="36" fillId="24" borderId="55" xfId="4" applyFont="1" applyFill="1" applyBorder="1"/>
    <xf numFmtId="0" fontId="36" fillId="24" borderId="75" xfId="4" applyFont="1" applyFill="1" applyBorder="1"/>
    <xf numFmtId="0" fontId="34" fillId="0" borderId="74" xfId="4" quotePrefix="1" applyBorder="1"/>
    <xf numFmtId="0" fontId="59" fillId="24" borderId="69" xfId="4" applyFont="1" applyFill="1" applyBorder="1" applyAlignment="1">
      <alignment vertical="top"/>
    </xf>
    <xf numFmtId="0" fontId="34" fillId="24" borderId="70" xfId="4" applyFill="1" applyBorder="1" applyAlignment="1">
      <alignment vertical="top"/>
    </xf>
    <xf numFmtId="0" fontId="36" fillId="0" borderId="72" xfId="4" applyFont="1" applyBorder="1"/>
    <xf numFmtId="0" fontId="36" fillId="0" borderId="22" xfId="4" applyFont="1" applyBorder="1"/>
    <xf numFmtId="0" fontId="36" fillId="0" borderId="73" xfId="4" applyFont="1" applyBorder="1"/>
    <xf numFmtId="0" fontId="36" fillId="0" borderId="74" xfId="4" applyFont="1" applyBorder="1"/>
    <xf numFmtId="0" fontId="36" fillId="0" borderId="55" xfId="4" applyFont="1" applyBorder="1"/>
    <xf numFmtId="0" fontId="36" fillId="0" borderId="75" xfId="4" applyFont="1" applyBorder="1"/>
    <xf numFmtId="0" fontId="59" fillId="0" borderId="3" xfId="4" applyFont="1" applyBorder="1" applyAlignment="1">
      <alignment horizontal="left" vertical="top" wrapText="1"/>
    </xf>
    <xf numFmtId="0" fontId="34" fillId="0" borderId="10" xfId="4" applyBorder="1" applyAlignment="1">
      <alignment horizontal="left" vertical="top" wrapText="1"/>
    </xf>
    <xf numFmtId="0" fontId="34" fillId="0" borderId="4" xfId="4" applyBorder="1" applyAlignment="1">
      <alignment horizontal="left" vertical="top" wrapText="1"/>
    </xf>
    <xf numFmtId="0" fontId="59" fillId="24" borderId="69" xfId="4" applyFont="1" applyFill="1" applyBorder="1" applyAlignment="1">
      <alignment horizontal="left" vertical="top"/>
    </xf>
    <xf numFmtId="0" fontId="34" fillId="0" borderId="72" xfId="4" applyBorder="1"/>
    <xf numFmtId="0" fontId="34" fillId="0" borderId="22" xfId="4" applyBorder="1"/>
    <xf numFmtId="0" fontId="34" fillId="0" borderId="73" xfId="4" applyBorder="1"/>
    <xf numFmtId="0" fontId="33" fillId="0" borderId="63" xfId="1" applyFont="1" applyBorder="1" applyAlignment="1">
      <alignment horizontal="center" wrapText="1"/>
    </xf>
    <xf numFmtId="0" fontId="33" fillId="0" borderId="64" xfId="1" applyFont="1" applyBorder="1" applyAlignment="1">
      <alignment horizontal="center" wrapText="1"/>
    </xf>
    <xf numFmtId="0" fontId="33" fillId="0" borderId="68" xfId="1" applyFont="1" applyBorder="1" applyAlignment="1">
      <alignment horizontal="center" wrapText="1"/>
    </xf>
    <xf numFmtId="0" fontId="33" fillId="0" borderId="65" xfId="1" applyFont="1" applyBorder="1" applyAlignment="1">
      <alignment horizontal="center" wrapText="1"/>
    </xf>
    <xf numFmtId="0" fontId="33" fillId="0" borderId="0" xfId="1" applyFont="1" applyAlignment="1">
      <alignment horizontal="center" wrapText="1"/>
    </xf>
    <xf numFmtId="0" fontId="33" fillId="0" borderId="58" xfId="1" applyFont="1" applyBorder="1" applyAlignment="1">
      <alignment horizontal="center" wrapText="1"/>
    </xf>
    <xf numFmtId="0" fontId="33" fillId="0" borderId="66" xfId="1" applyFont="1" applyBorder="1" applyAlignment="1">
      <alignment horizontal="center" wrapText="1"/>
    </xf>
    <xf numFmtId="0" fontId="33" fillId="0" borderId="67" xfId="1" applyFont="1" applyBorder="1" applyAlignment="1">
      <alignment horizontal="center" wrapText="1"/>
    </xf>
    <xf numFmtId="0" fontId="33" fillId="0" borderId="60" xfId="1" applyFont="1" applyBorder="1" applyAlignment="1">
      <alignment horizontal="center" wrapText="1"/>
    </xf>
  </cellXfs>
  <cellStyles count="26">
    <cellStyle name="Hyperlink" xfId="18" xr:uid="{536E235E-3699-F845-8B1F-6B4F758DA72D}"/>
    <cellStyle name="Komma 2" xfId="2" xr:uid="{BE0A7604-F411-EE48-B1C2-E89C156D6D46}"/>
    <cellStyle name="Komma 2 2 2" xfId="9" xr:uid="{2E3891AA-DD61-C245-96E0-49680C7CC16D}"/>
    <cellStyle name="Komma 2 3" xfId="15" xr:uid="{469E9F77-1C68-C74F-B801-C276C577DA3D}"/>
    <cellStyle name="Komma 3" xfId="5" xr:uid="{023CE717-773F-B64E-A8BF-29D8C7637B4D}"/>
    <cellStyle name="Komma 4" xfId="8" xr:uid="{5EC7BA0B-0761-C24C-A295-75FF380F3C5F}"/>
    <cellStyle name="Komma 5" xfId="13" xr:uid="{3FA013D1-3024-E743-ACCD-A6AB77232509}"/>
    <cellStyle name="Komma 6" xfId="17" xr:uid="{D8039BB9-C355-7B47-846C-580FFEA8E026}"/>
    <cellStyle name="Komma 8" xfId="23" xr:uid="{E8D8E767-D5C4-1A4B-B196-3D70DB9B8378}"/>
    <cellStyle name="Komma 9" xfId="19" xr:uid="{12D08135-9814-FA4A-B4D7-FD90CD37B9FD}"/>
    <cellStyle name="Normal" xfId="0" builtinId="0"/>
    <cellStyle name="Normal 2" xfId="1" xr:uid="{B3F353F1-76C9-2E4C-9693-AC41A0EAD1F4}"/>
    <cellStyle name="Normal 2 2" xfId="4" xr:uid="{009905CD-3A4D-4849-AA6D-4ADEA5A22616}"/>
    <cellStyle name="Normal 2 3" xfId="21" xr:uid="{BDC4C90B-8CF8-AE4F-8301-7123459A10CE}"/>
    <cellStyle name="Normal 3 3" xfId="14" xr:uid="{403DFF2F-D17B-3B41-9625-A65488BA832F}"/>
    <cellStyle name="Normal 5" xfId="7" xr:uid="{590AAD13-5F74-A641-A6D2-3BA0E9CF5C6A}"/>
    <cellStyle name="Normal 6" xfId="12" xr:uid="{55173D8F-CD56-6643-A932-BFCA671508C9}"/>
    <cellStyle name="Normal 7" xfId="22" xr:uid="{5F75B61C-EE20-2C4D-89BB-9598F82C24AA}"/>
    <cellStyle name="Percent" xfId="25" builtinId="5"/>
    <cellStyle name="Procent 2" xfId="3" xr:uid="{6FBD82FE-4B5F-6349-9675-B1D5AD651D5E}"/>
    <cellStyle name="Procent 3 2" xfId="10" xr:uid="{6CC34E07-5BEE-9C48-9028-6504B9E5C81D}"/>
    <cellStyle name="Procent 3 2 2" xfId="16" xr:uid="{E566C4D5-A75D-FB46-B119-4EFD89CF0D65}"/>
    <cellStyle name="Procent 4" xfId="6" xr:uid="{A3ADEF0F-1608-5A46-9C80-E512BD7B08C5}"/>
    <cellStyle name="Procent 5" xfId="11" xr:uid="{57B1CD44-3962-C84F-B4AF-C66112C34BE7}"/>
    <cellStyle name="Procent 7" xfId="24" xr:uid="{64E4EB25-D53C-314F-84D9-B80234AB410E}"/>
    <cellStyle name="Procent 8" xfId="20" xr:uid="{B0B5483F-A8A8-3B45-A38F-A564A5C35FD9}"/>
  </cellStyles>
  <dxfs count="0"/>
  <tableStyles count="0" defaultTableStyle="TableStyleMedium2" defaultPivotStyle="PivotStyleLight16"/>
  <colors>
    <mruColors>
      <color rgb="FFFF40FF"/>
      <color rgb="FF00FA00"/>
      <color rgb="FFAB7942"/>
      <color rgb="FF00F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eetMetadata" Target="metadata.xml"/><Relationship Id="rId30" Type="http://schemas.openxmlformats.org/officeDocument/2006/relationships/customXml" Target="../customXml/item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'Realkredit finansiering'!$D$2</c:f>
              <c:strCache>
                <c:ptCount val="1"/>
              </c:strCache>
            </c:strRef>
          </c:tx>
          <c:invertIfNegative val="0"/>
          <c:dLbls>
            <c:numFmt formatCode="General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'Realkredit finansiering'!$E$1:$H$1</c:f>
              <c:strCache>
                <c:ptCount val="4"/>
                <c:pt idx="0">
                  <c:v>Fastforrentet med afdrag</c:v>
                </c:pt>
                <c:pt idx="1">
                  <c:v>Rentetilpasning med afdrag F5</c:v>
                </c:pt>
                <c:pt idx="2">
                  <c:v>Fastforrentet 10 års afdragsfrihed</c:v>
                </c:pt>
                <c:pt idx="3">
                  <c:v>Rentetilpasning uden afdrag F1</c:v>
                </c:pt>
              </c:strCache>
            </c:strRef>
          </c:cat>
          <c:val>
            <c:numRef>
              <c:f>'Realkredit finansiering'!$E$2:$H$2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0-8D35-EE42-9D21-D7B945F2C585}"/>
            </c:ext>
          </c:extLst>
        </c:ser>
        <c:ser>
          <c:idx val="1"/>
          <c:order val="1"/>
          <c:tx>
            <c:strRef>
              <c:f>'Realkredit finansiering'!$D$27</c:f>
              <c:strCache>
                <c:ptCount val="1"/>
                <c:pt idx="0">
                  <c:v>Bruttoydelse pr. måned (gnsn)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'Realkredit finansiering'!$E$1:$H$1</c:f>
              <c:strCache>
                <c:ptCount val="4"/>
                <c:pt idx="0">
                  <c:v>Fastforrentet med afdrag</c:v>
                </c:pt>
                <c:pt idx="1">
                  <c:v>Rentetilpasning med afdrag F5</c:v>
                </c:pt>
                <c:pt idx="2">
                  <c:v>Fastforrentet 10 års afdragsfrihed</c:v>
                </c:pt>
                <c:pt idx="3">
                  <c:v>Rentetilpasning uden afdrag F1</c:v>
                </c:pt>
              </c:strCache>
            </c:strRef>
          </c:cat>
          <c:val>
            <c:numRef>
              <c:f>'Realkredit finansiering'!$E$27:$H$27</c:f>
              <c:numCache>
                <c:formatCode>_ * #,##0_ ;_ * \-#,##0_ ;_ * "-"??_ ;_ @_ </c:formatCode>
                <c:ptCount val="4"/>
                <c:pt idx="0">
                  <c:v>15628.304704703676</c:v>
                </c:pt>
                <c:pt idx="1">
                  <c:v>14129.405957294055</c:v>
                </c:pt>
                <c:pt idx="2">
                  <c:v>12453.266331658291</c:v>
                </c:pt>
                <c:pt idx="3">
                  <c:v>8902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35-EE42-9D21-D7B945F2C585}"/>
            </c:ext>
          </c:extLst>
        </c:ser>
        <c:ser>
          <c:idx val="2"/>
          <c:order val="2"/>
          <c:tx>
            <c:strRef>
              <c:f>'Realkredit finansiering'!$D$28</c:f>
              <c:strCache>
                <c:ptCount val="1"/>
                <c:pt idx="0">
                  <c:v>Nettoydelse pr. måned (gnsn)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'Realkredit finansiering'!$E$1:$H$1</c:f>
              <c:strCache>
                <c:ptCount val="4"/>
                <c:pt idx="0">
                  <c:v>Fastforrentet med afdrag</c:v>
                </c:pt>
                <c:pt idx="1">
                  <c:v>Rentetilpasning med afdrag F5</c:v>
                </c:pt>
                <c:pt idx="2">
                  <c:v>Fastforrentet 10 års afdragsfrihed</c:v>
                </c:pt>
                <c:pt idx="3">
                  <c:v>Rentetilpasning uden afdrag F1</c:v>
                </c:pt>
              </c:strCache>
            </c:strRef>
          </c:cat>
          <c:val>
            <c:numRef>
              <c:f>'Realkredit finansiering'!$E$28:$H$28</c:f>
              <c:numCache>
                <c:formatCode>_ * #,##0_ ;_ * \-#,##0_ ;_ * "-"??_ ;_ @_ </c:formatCode>
                <c:ptCount val="4"/>
                <c:pt idx="0">
                  <c:v>12067.605200099873</c:v>
                </c:pt>
                <c:pt idx="1">
                  <c:v>11278.380975913837</c:v>
                </c:pt>
                <c:pt idx="2">
                  <c:v>8302.1775544388602</c:v>
                </c:pt>
                <c:pt idx="3">
                  <c:v>5934.666666666667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35-EE42-9D21-D7B945F2C58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258534400"/>
        <c:axId val="191593792"/>
      </c:barChart>
      <c:catAx>
        <c:axId val="2585344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91593792"/>
        <c:crosses val="autoZero"/>
        <c:auto val="1"/>
        <c:lblAlgn val="ctr"/>
        <c:lblOffset val="100"/>
        <c:noMultiLvlLbl val="0"/>
      </c:catAx>
      <c:valAx>
        <c:axId val="1915937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258534400"/>
        <c:crossesAt val="1"/>
        <c:crossBetween val="between"/>
      </c:valAx>
    </c:plotArea>
    <c:legend>
      <c:legendPos val="b"/>
      <c:legendEntry>
        <c:idx val="0"/>
        <c:delete val="1"/>
      </c:legendEntry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925759684134311"/>
          <c:y val="0.20120099296561914"/>
          <c:w val="0.82239237811808952"/>
          <c:h val="0.4798437112167315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numFmt formatCode="_ * #,##0_ ;_ * \-#,##0_ ;_ * &quot;-&quot;??_ ;_ @_ 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da-D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'Rådighedsbeløb og gældsfaktor'!$D$4:$D$8</c:f>
              <c:strCache>
                <c:ptCount val="5"/>
                <c:pt idx="0">
                  <c:v>Rådighedsbeløb før køb af hus</c:v>
                </c:pt>
                <c:pt idx="1">
                  <c:v>Rådighedsbeløb fastforrrentet  MED afdrag</c:v>
                </c:pt>
                <c:pt idx="2">
                  <c:v>Rådighedsbeløb F5 MED afdrag</c:v>
                </c:pt>
                <c:pt idx="3">
                  <c:v>Rådighedsbeløb fastforrentet UDEN afdrag</c:v>
                </c:pt>
                <c:pt idx="4">
                  <c:v>Rådighedsbeløb F1 UDEN afdrag</c:v>
                </c:pt>
              </c:strCache>
            </c:strRef>
          </c:cat>
          <c:val>
            <c:numRef>
              <c:f>'Rådighedsbeløb og gældsfaktor'!$E$4:$E$8</c:f>
              <c:numCache>
                <c:formatCode>_ * #,##0_ ;_ * \-#,##0_ ;_ * "-"??_ ;_ @_ </c:formatCode>
                <c:ptCount val="5"/>
                <c:pt idx="0">
                  <c:v>26175.906999999996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54-6F45-AFC2-4803039502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1039488"/>
        <c:axId val="265803968"/>
      </c:barChart>
      <c:catAx>
        <c:axId val="31103948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19050"/>
        </c:spPr>
        <c:txPr>
          <a:bodyPr rot="0" vert="horz" anchor="t" anchorCtr="0"/>
          <a:lstStyle/>
          <a:p>
            <a:pPr>
              <a:defRPr sz="1200" b="1">
                <a:ln>
                  <a:noFill/>
                </a:ln>
                <a:solidFill>
                  <a:schemeClr val="tx1"/>
                </a:solidFill>
              </a:defRPr>
            </a:pPr>
            <a:endParaRPr lang="da-DK"/>
          </a:p>
        </c:txPr>
        <c:crossAx val="265803968"/>
        <c:crosses val="autoZero"/>
        <c:auto val="1"/>
        <c:lblAlgn val="ctr"/>
        <c:lblOffset val="100"/>
        <c:tickLblSkip val="1"/>
        <c:noMultiLvlLbl val="0"/>
      </c:catAx>
      <c:valAx>
        <c:axId val="265803968"/>
        <c:scaling>
          <c:orientation val="minMax"/>
        </c:scaling>
        <c:delete val="0"/>
        <c:axPos val="l"/>
        <c:majorGridlines/>
        <c:numFmt formatCode="_ * #,##0_ ;_ * \-#,##0_ ;_ * &quot;-&quot;??_ ;_ @_ " sourceLinked="1"/>
        <c:majorTickMark val="out"/>
        <c:minorTickMark val="none"/>
        <c:tickLblPos val="nextTo"/>
        <c:txPr>
          <a:bodyPr/>
          <a:lstStyle/>
          <a:p>
            <a:pPr>
              <a:defRPr sz="1200" b="1"/>
            </a:pPr>
            <a:endParaRPr lang="da-DK"/>
          </a:p>
        </c:txPr>
        <c:crossAx val="311039488"/>
        <c:crosses val="autoZero"/>
        <c:crossBetween val="between"/>
      </c:valAx>
    </c:plotArea>
    <c:plotVisOnly val="1"/>
    <c:dispBlanksAs val="gap"/>
    <c:showDLblsOverMax val="0"/>
  </c:chart>
  <c:spPr>
    <a:ln w="25400"/>
    <a:effectLst>
      <a:glow rad="50800">
        <a:schemeClr val="tx1">
          <a:alpha val="40000"/>
        </a:schemeClr>
      </a:glow>
    </a:effectLst>
  </c:spPr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AB5-418A-AECC-01E3BD779CA1}"/>
              </c:ext>
            </c:extLst>
          </c:dPt>
          <c:val>
            <c:numRef>
              <c:f>Investering!$Q$14</c:f>
              <c:numCache>
                <c:formatCode>0%</c:formatCode>
                <c:ptCount val="1"/>
                <c:pt idx="0">
                  <c:v>7.6743280093494348E-2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A8-4680-A4E7-304D5BD6805B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AB5-418A-AECC-01E3BD779CA1}"/>
              </c:ext>
            </c:extLst>
          </c:dPt>
          <c:val>
            <c:numRef>
              <c:f>Investering!$Q$25</c:f>
              <c:numCache>
                <c:formatCode>0%</c:formatCode>
                <c:ptCount val="1"/>
                <c:pt idx="0">
                  <c:v>0.9232567199065056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A8-4680-A4E7-304D5BD680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1917700</xdr:colOff>
      <xdr:row>34</xdr:row>
      <xdr:rowOff>127000</xdr:rowOff>
    </xdr:from>
    <xdr:to>
      <xdr:col>4</xdr:col>
      <xdr:colOff>749300</xdr:colOff>
      <xdr:row>36</xdr:row>
      <xdr:rowOff>152400</xdr:rowOff>
    </xdr:to>
    <xdr:cxnSp macro="">
      <xdr:nvCxnSpPr>
        <xdr:cNvPr id="5" name="Lige pilforbindelse 4">
          <a:extLst>
            <a:ext uri="{FF2B5EF4-FFF2-40B4-BE49-F238E27FC236}">
              <a16:creationId xmlns:a16="http://schemas.microsoft.com/office/drawing/2014/main" id="{ED0AFA17-3CBA-1231-43A4-7094B7A4F854}"/>
            </a:ext>
          </a:extLst>
        </xdr:cNvPr>
        <xdr:cNvCxnSpPr/>
      </xdr:nvCxnSpPr>
      <xdr:spPr>
        <a:xfrm flipH="1">
          <a:off x="3289300" y="7810500"/>
          <a:ext cx="1752600" cy="482600"/>
        </a:xfrm>
        <a:prstGeom prst="straightConnector1">
          <a:avLst/>
        </a:prstGeom>
        <a:ln w="412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647700</xdr:colOff>
      <xdr:row>34</xdr:row>
      <xdr:rowOff>127000</xdr:rowOff>
    </xdr:from>
    <xdr:to>
      <xdr:col>8</xdr:col>
      <xdr:colOff>520700</xdr:colOff>
      <xdr:row>36</xdr:row>
      <xdr:rowOff>114300</xdr:rowOff>
    </xdr:to>
    <xdr:cxnSp macro="">
      <xdr:nvCxnSpPr>
        <xdr:cNvPr id="6" name="Lige pilforbindelse 5">
          <a:extLst>
            <a:ext uri="{FF2B5EF4-FFF2-40B4-BE49-F238E27FC236}">
              <a16:creationId xmlns:a16="http://schemas.microsoft.com/office/drawing/2014/main" id="{CC1968A7-2288-4840-A624-E12E4FC18A02}"/>
            </a:ext>
          </a:extLst>
        </xdr:cNvPr>
        <xdr:cNvCxnSpPr/>
      </xdr:nvCxnSpPr>
      <xdr:spPr>
        <a:xfrm>
          <a:off x="6959600" y="7810500"/>
          <a:ext cx="2197100" cy="444500"/>
        </a:xfrm>
        <a:prstGeom prst="straightConnector1">
          <a:avLst/>
        </a:prstGeom>
        <a:ln w="412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127000</xdr:colOff>
      <xdr:row>40</xdr:row>
      <xdr:rowOff>63500</xdr:rowOff>
    </xdr:from>
    <xdr:to>
      <xdr:col>3</xdr:col>
      <xdr:colOff>127000</xdr:colOff>
      <xdr:row>42</xdr:row>
      <xdr:rowOff>190500</xdr:rowOff>
    </xdr:to>
    <xdr:cxnSp macro="">
      <xdr:nvCxnSpPr>
        <xdr:cNvPr id="2" name="Lige pilforbindelse 1">
          <a:extLst>
            <a:ext uri="{FF2B5EF4-FFF2-40B4-BE49-F238E27FC236}">
              <a16:creationId xmlns:a16="http://schemas.microsoft.com/office/drawing/2014/main" id="{D01590AA-AD24-D74E-9013-1EF2E3681E84}"/>
            </a:ext>
          </a:extLst>
        </xdr:cNvPr>
        <xdr:cNvCxnSpPr/>
      </xdr:nvCxnSpPr>
      <xdr:spPr>
        <a:xfrm>
          <a:off x="3632200" y="9385300"/>
          <a:ext cx="0" cy="584200"/>
        </a:xfrm>
        <a:prstGeom prst="straightConnector1">
          <a:avLst/>
        </a:prstGeom>
        <a:ln w="412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86311</xdr:colOff>
      <xdr:row>40</xdr:row>
      <xdr:rowOff>88900</xdr:rowOff>
    </xdr:from>
    <xdr:to>
      <xdr:col>8</xdr:col>
      <xdr:colOff>546100</xdr:colOff>
      <xdr:row>43</xdr:row>
      <xdr:rowOff>209611</xdr:rowOff>
    </xdr:to>
    <xdr:cxnSp macro="">
      <xdr:nvCxnSpPr>
        <xdr:cNvPr id="4" name="Lige pilforbindelse 3">
          <a:extLst>
            <a:ext uri="{FF2B5EF4-FFF2-40B4-BE49-F238E27FC236}">
              <a16:creationId xmlns:a16="http://schemas.microsoft.com/office/drawing/2014/main" id="{F53104A1-D098-1D4E-8425-2CABA926103F}"/>
            </a:ext>
          </a:extLst>
        </xdr:cNvPr>
        <xdr:cNvCxnSpPr/>
      </xdr:nvCxnSpPr>
      <xdr:spPr>
        <a:xfrm flipV="1">
          <a:off x="7496699" y="9632395"/>
          <a:ext cx="1840760" cy="835857"/>
        </a:xfrm>
        <a:prstGeom prst="straightConnector1">
          <a:avLst/>
        </a:prstGeom>
        <a:ln w="412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10</xdr:row>
      <xdr:rowOff>4762</xdr:rowOff>
    </xdr:from>
    <xdr:to>
      <xdr:col>2</xdr:col>
      <xdr:colOff>2757488</xdr:colOff>
      <xdr:row>32</xdr:row>
      <xdr:rowOff>104775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B928B237-E113-1540-ACD4-30B576BDC4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11</xdr:row>
      <xdr:rowOff>45720</xdr:rowOff>
    </xdr:from>
    <xdr:to>
      <xdr:col>5</xdr:col>
      <xdr:colOff>10160</xdr:colOff>
      <xdr:row>32</xdr:row>
      <xdr:rowOff>10159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9BF61061-1B3D-5F4B-8017-DB8C833F77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14598</xdr:colOff>
      <xdr:row>34</xdr:row>
      <xdr:rowOff>28582</xdr:rowOff>
    </xdr:from>
    <xdr:to>
      <xdr:col>5</xdr:col>
      <xdr:colOff>25300</xdr:colOff>
      <xdr:row>47</xdr:row>
      <xdr:rowOff>3796</xdr:rowOff>
    </xdr:to>
    <xdr:pic>
      <xdr:nvPicPr>
        <xdr:cNvPr id="3" name="Billede 2">
          <a:extLst>
            <a:ext uri="{FF2B5EF4-FFF2-40B4-BE49-F238E27FC236}">
              <a16:creationId xmlns:a16="http://schemas.microsoft.com/office/drawing/2014/main" id="{2A64D700-833C-C74A-96C8-721061338177}"/>
            </a:ext>
            <a:ext uri="{147F2762-F138-4A5C-976F-8EAC2B608ADB}">
              <a16:predDERef xmlns:a16="http://schemas.microsoft.com/office/drawing/2014/main" pre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5798" y="7673982"/>
          <a:ext cx="7071902" cy="2502514"/>
        </a:xfrm>
        <a:prstGeom prst="rect">
          <a:avLst/>
        </a:prstGeom>
        <a:effectLst>
          <a:glow rad="50800">
            <a:schemeClr val="tx1"/>
          </a:glow>
        </a:effectLst>
      </xdr:spPr>
    </xdr:pic>
    <xdr:clientData/>
  </xdr:twoCellAnchor>
  <xdr:twoCellAnchor editAs="oneCell">
    <xdr:from>
      <xdr:col>6</xdr:col>
      <xdr:colOff>1277</xdr:colOff>
      <xdr:row>20</xdr:row>
      <xdr:rowOff>1</xdr:rowOff>
    </xdr:from>
    <xdr:to>
      <xdr:col>14</xdr:col>
      <xdr:colOff>1207107</xdr:colOff>
      <xdr:row>46</xdr:row>
      <xdr:rowOff>184746</xdr:rowOff>
    </xdr:to>
    <xdr:pic>
      <xdr:nvPicPr>
        <xdr:cNvPr id="4" name="Billede 3">
          <a:extLst>
            <a:ext uri="{FF2B5EF4-FFF2-40B4-BE49-F238E27FC236}">
              <a16:creationId xmlns:a16="http://schemas.microsoft.com/office/drawing/2014/main" id="{97DA53FC-AD77-4C43-99AF-BCC838B165E0}"/>
            </a:ext>
            <a:ext uri="{147F2762-F138-4A5C-976F-8EAC2B608ADB}">
              <a16:predDERef xmlns:a16="http://schemas.microsoft.com/office/drawing/2014/main" pred="{2A64D700-833C-C74A-96C8-7210613381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482541" y="4948622"/>
          <a:ext cx="6811348" cy="5293940"/>
        </a:xfrm>
        <a:prstGeom prst="rect">
          <a:avLst/>
        </a:prstGeom>
        <a:effectLst>
          <a:glow rad="50800">
            <a:schemeClr val="tx1"/>
          </a:glow>
        </a:effectLst>
      </xdr:spPr>
    </xdr:pic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0.10744</cdr:y>
    </cdr:from>
    <cdr:to>
      <cdr:x>0.18898</cdr:x>
      <cdr:y>0.41963</cdr:y>
    </cdr:to>
    <cdr:sp macro="" textlink="">
      <cdr:nvSpPr>
        <cdr:cNvPr id="2" name="Tekstboks 1">
          <a:extLst xmlns:a="http://schemas.openxmlformats.org/drawingml/2006/main">
            <a:ext uri="{FF2B5EF4-FFF2-40B4-BE49-F238E27FC236}">
              <a16:creationId xmlns:a16="http://schemas.microsoft.com/office/drawing/2014/main" id="{E95D9289-6E8A-48D0-B0A3-FF442A1BA336}"/>
            </a:ext>
          </a:extLst>
        </cdr:cNvPr>
        <cdr:cNvSpPr txBox="1"/>
      </cdr:nvSpPr>
      <cdr:spPr>
        <a:xfrm xmlns:a="http://schemas.openxmlformats.org/drawingml/2006/main">
          <a:off x="0" y="471042"/>
          <a:ext cx="1336345" cy="1368653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da-DK" sz="1400" b="1">
              <a:solidFill>
                <a:sysClr val="windowText" lastClr="000000"/>
              </a:solidFill>
            </a:rPr>
            <a:t>kr</a:t>
          </a:r>
          <a:r>
            <a:rPr lang="da-DK" sz="1400">
              <a:solidFill>
                <a:sysClr val="windowText" lastClr="000000"/>
              </a:solidFill>
            </a:rPr>
            <a:t>.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2695575</xdr:colOff>
      <xdr:row>1</xdr:row>
      <xdr:rowOff>209550</xdr:rowOff>
    </xdr:from>
    <xdr:to>
      <xdr:col>5</xdr:col>
      <xdr:colOff>190500</xdr:colOff>
      <xdr:row>2</xdr:row>
      <xdr:rowOff>133350</xdr:rowOff>
    </xdr:to>
    <xdr:cxnSp macro="">
      <xdr:nvCxnSpPr>
        <xdr:cNvPr id="2" name="Lige forbindelse 1">
          <a:extLst>
            <a:ext uri="{FF2B5EF4-FFF2-40B4-BE49-F238E27FC236}">
              <a16:creationId xmlns:a16="http://schemas.microsoft.com/office/drawing/2014/main" id="{2099A3AB-3B56-9545-A322-D805A2064D07}"/>
            </a:ext>
          </a:extLst>
        </xdr:cNvPr>
        <xdr:cNvCxnSpPr>
          <a:cxnSpLocks/>
        </xdr:cNvCxnSpPr>
      </xdr:nvCxnSpPr>
      <xdr:spPr>
        <a:xfrm flipV="1">
          <a:off x="2987675" y="476250"/>
          <a:ext cx="644525" cy="165100"/>
        </a:xfrm>
        <a:prstGeom prst="line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2695575</xdr:colOff>
      <xdr:row>1</xdr:row>
      <xdr:rowOff>209550</xdr:rowOff>
    </xdr:from>
    <xdr:to>
      <xdr:col>5</xdr:col>
      <xdr:colOff>190500</xdr:colOff>
      <xdr:row>2</xdr:row>
      <xdr:rowOff>133350</xdr:rowOff>
    </xdr:to>
    <xdr:cxnSp macro="">
      <xdr:nvCxnSpPr>
        <xdr:cNvPr id="2" name="Lige forbindelse 1">
          <a:extLst>
            <a:ext uri="{FF2B5EF4-FFF2-40B4-BE49-F238E27FC236}">
              <a16:creationId xmlns:a16="http://schemas.microsoft.com/office/drawing/2014/main" id="{03046187-9A07-724E-A115-BB8075439D67}"/>
            </a:ext>
          </a:extLst>
        </xdr:cNvPr>
        <xdr:cNvCxnSpPr>
          <a:cxnSpLocks/>
        </xdr:cNvCxnSpPr>
      </xdr:nvCxnSpPr>
      <xdr:spPr>
        <a:xfrm flipV="1">
          <a:off x="2987675" y="476250"/>
          <a:ext cx="644525" cy="165100"/>
        </a:xfrm>
        <a:prstGeom prst="line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157787</xdr:colOff>
      <xdr:row>15</xdr:row>
      <xdr:rowOff>33098</xdr:rowOff>
    </xdr:from>
    <xdr:to>
      <xdr:col>24</xdr:col>
      <xdr:colOff>119302</xdr:colOff>
      <xdr:row>28</xdr:row>
      <xdr:rowOff>182419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9F807DA4-1F1B-DD3B-B9E5-D040C37ED9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95250</xdr:colOff>
      <xdr:row>16</xdr:row>
      <xdr:rowOff>123825</xdr:rowOff>
    </xdr:from>
    <xdr:ext cx="3792855" cy="2199005"/>
    <xdr:pic>
      <xdr:nvPicPr>
        <xdr:cNvPr id="2" name="Billede 2">
          <a:extLst>
            <a:ext uri="{FF2B5EF4-FFF2-40B4-BE49-F238E27FC236}">
              <a16:creationId xmlns:a16="http://schemas.microsoft.com/office/drawing/2014/main" id="{EB96350C-2BEC-6A41-B1ED-55C42177D74B}"/>
            </a:ext>
            <a:ext uri="{147F2762-F138-4A5C-976F-8EAC2B608ADB}">
              <a16:predDERef xmlns:a16="http://schemas.microsoft.com/office/drawing/2014/main" pre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77250" y="2854325"/>
          <a:ext cx="3792855" cy="219900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.bin"/><Relationship Id="rId2" Type="http://schemas.openxmlformats.org/officeDocument/2006/relationships/hyperlink" Target="http://boligregner.dk/beregn" TargetMode="External"/><Relationship Id="rId1" Type="http://schemas.openxmlformats.org/officeDocument/2006/relationships/hyperlink" Target="https://www.boligstoette.dk/bos-selvbetjening/beregner/basisoplysninger/" TargetMode="Externa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hyperlink" Target="https://www.nasdaqomxnordic.com/obligationer/danmark/?languageId=5" TargetMode="Externa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6C71C-363D-6749-9D7B-BE5A7B8DEE62}">
  <sheetPr>
    <tabColor rgb="FFFF0000"/>
    <pageSetUpPr fitToPage="1"/>
  </sheetPr>
  <dimension ref="A1:AN386"/>
  <sheetViews>
    <sheetView zoomScale="120" zoomScaleNormal="120" workbookViewId="0">
      <selection activeCell="C21" sqref="C21"/>
    </sheetView>
  </sheetViews>
  <sheetFormatPr baseColWidth="10" defaultColWidth="8.6640625" defaultRowHeight="13"/>
  <cols>
    <col min="1" max="1" width="2.1640625" style="1" customWidth="1"/>
    <col min="2" max="2" width="51.6640625" style="5" customWidth="1"/>
    <col min="3" max="3" width="14" style="5" customWidth="1"/>
    <col min="4" max="4" width="14.5" style="4" customWidth="1"/>
    <col min="5" max="5" width="8.5" style="4" customWidth="1"/>
    <col min="6" max="6" width="37.5" style="4" customWidth="1"/>
    <col min="7" max="7" width="9.5" style="4" customWidth="1"/>
    <col min="8" max="8" width="12.1640625" style="4" customWidth="1"/>
    <col min="9" max="9" width="12.5" style="5" customWidth="1"/>
    <col min="10" max="10" width="13.5" style="5" customWidth="1"/>
    <col min="11" max="11" width="11.6640625" style="5" customWidth="1"/>
    <col min="12" max="12" width="14.5" style="5" customWidth="1"/>
    <col min="13" max="25" width="13.5" style="5" customWidth="1"/>
    <col min="26" max="27" width="11" style="5" customWidth="1"/>
    <col min="28" max="28" width="14.1640625" style="5" customWidth="1"/>
    <col min="29" max="40" width="11" style="5" customWidth="1"/>
    <col min="41" max="16384" width="8.6640625" style="5"/>
  </cols>
  <sheetData>
    <row r="1" spans="1:32" ht="19" thickBot="1">
      <c r="B1" s="2" t="s">
        <v>0</v>
      </c>
      <c r="C1" s="3" t="s">
        <v>1</v>
      </c>
      <c r="D1" s="2"/>
      <c r="F1" s="5"/>
      <c r="G1" s="5"/>
      <c r="H1" s="5"/>
    </row>
    <row r="2" spans="1:32" ht="14" thickBot="1">
      <c r="B2" s="6"/>
      <c r="C2" s="7" t="s">
        <v>2</v>
      </c>
      <c r="D2" s="8"/>
      <c r="F2" s="9"/>
      <c r="I2" s="906" t="str">
        <f>C2</f>
        <v>Person</v>
      </c>
      <c r="J2" s="907"/>
      <c r="K2" s="908"/>
      <c r="L2" s="908"/>
    </row>
    <row r="3" spans="1:32">
      <c r="B3" s="10" t="s">
        <v>3</v>
      </c>
      <c r="C3" s="11">
        <v>0</v>
      </c>
      <c r="D3" s="12"/>
      <c r="F3" s="13"/>
      <c r="G3" s="14"/>
      <c r="H3" s="15"/>
      <c r="I3" s="909" t="s">
        <v>4</v>
      </c>
      <c r="J3" s="911" t="s">
        <v>5</v>
      </c>
      <c r="K3" s="913"/>
      <c r="L3" s="914"/>
    </row>
    <row r="4" spans="1:32" ht="14" thickBot="1">
      <c r="B4" s="16" t="s">
        <v>6</v>
      </c>
      <c r="C4" s="17">
        <v>0</v>
      </c>
      <c r="D4" s="12"/>
      <c r="F4" s="18" t="s">
        <v>7</v>
      </c>
      <c r="G4" s="19" t="s">
        <v>8</v>
      </c>
      <c r="H4" s="20" t="s">
        <v>9</v>
      </c>
      <c r="I4" s="910"/>
      <c r="J4" s="912"/>
      <c r="K4" s="913"/>
      <c r="L4" s="914"/>
    </row>
    <row r="5" spans="1:32">
      <c r="B5" s="16" t="s">
        <v>10</v>
      </c>
      <c r="C5" s="17">
        <v>30</v>
      </c>
      <c r="D5" s="21"/>
      <c r="F5" s="10" t="s">
        <v>11</v>
      </c>
      <c r="G5" s="22">
        <f>Bundskat</f>
        <v>0.1201</v>
      </c>
      <c r="H5" s="23">
        <f>Personfradrag</f>
        <v>51600</v>
      </c>
      <c r="I5" s="24">
        <f>IF(C35&gt;=0,C31+C35-H5,C31-H5)</f>
        <v>408400</v>
      </c>
      <c r="J5" s="25">
        <f>+IF(I5&gt;0,G5*I5,0)</f>
        <v>49048.84</v>
      </c>
      <c r="K5" s="4"/>
      <c r="L5" s="4"/>
      <c r="N5" s="4"/>
    </row>
    <row r="6" spans="1:32">
      <c r="B6" s="16" t="s">
        <v>12</v>
      </c>
      <c r="C6" s="26" t="s">
        <v>13</v>
      </c>
      <c r="D6" s="12"/>
      <c r="F6" s="16" t="s">
        <v>14</v>
      </c>
      <c r="G6" s="27">
        <f>Topskat</f>
        <v>0.15</v>
      </c>
      <c r="H6" s="28">
        <f>TopSkatGranse</f>
        <v>611800</v>
      </c>
      <c r="I6" s="29">
        <f>MAX((C70-$H$6),0)</f>
        <v>0</v>
      </c>
      <c r="J6" s="30">
        <f>G6*I6</f>
        <v>0</v>
      </c>
      <c r="K6" s="4"/>
      <c r="L6" s="9"/>
      <c r="N6" s="4"/>
    </row>
    <row r="7" spans="1:32">
      <c r="B7" s="16" t="s">
        <v>15</v>
      </c>
      <c r="C7" s="17">
        <v>0</v>
      </c>
      <c r="D7" s="12"/>
      <c r="F7" s="16" t="s">
        <v>16</v>
      </c>
      <c r="G7" s="27">
        <f>Sundhedsbidrag</f>
        <v>0</v>
      </c>
      <c r="H7" s="28">
        <f>Personfradrag</f>
        <v>51600</v>
      </c>
      <c r="I7" s="29">
        <f>($C$45+AB29)-(H7+AB43)</f>
        <v>300338.40000000002</v>
      </c>
      <c r="J7" s="30">
        <f>+IF(I7&gt;0,I7*G7,0)</f>
        <v>0</v>
      </c>
      <c r="K7" s="4"/>
      <c r="L7" s="9"/>
      <c r="N7" s="4"/>
    </row>
    <row r="8" spans="1:32">
      <c r="B8" s="16" t="s">
        <v>17</v>
      </c>
      <c r="C8" s="17">
        <v>0</v>
      </c>
      <c r="D8" s="31"/>
      <c r="F8" s="16" t="s">
        <v>18</v>
      </c>
      <c r="G8" s="27">
        <f>C13</f>
        <v>0.25</v>
      </c>
      <c r="H8" s="28">
        <f>Personfradrag</f>
        <v>51600</v>
      </c>
      <c r="I8" s="29">
        <f>($C$45+AB29)-(H8+AB44)</f>
        <v>300338.40000000002</v>
      </c>
      <c r="J8" s="30">
        <f>+IF(I8&gt;0,$C$13*I8,0)</f>
        <v>75084.600000000006</v>
      </c>
      <c r="K8" s="4"/>
      <c r="L8" s="9"/>
      <c r="N8" s="4"/>
    </row>
    <row r="9" spans="1:32" ht="14" thickBot="1">
      <c r="B9" s="32" t="s">
        <v>19</v>
      </c>
      <c r="C9" s="33">
        <v>130</v>
      </c>
      <c r="D9" s="12"/>
      <c r="F9" s="16" t="s">
        <v>20</v>
      </c>
      <c r="G9" s="27">
        <f>C14</f>
        <v>9.0000000000000011E-3</v>
      </c>
      <c r="H9" s="28">
        <f>Personfradrag</f>
        <v>51600</v>
      </c>
      <c r="I9" s="29">
        <f>($C$45+AB29)-(H9+AB45)</f>
        <v>300338.40000000002</v>
      </c>
      <c r="J9" s="30">
        <f>+IF(I9&gt;0,$C$14*I9,0)</f>
        <v>2703.0456000000004</v>
      </c>
      <c r="K9" s="4"/>
      <c r="L9" s="9"/>
      <c r="N9" s="4"/>
    </row>
    <row r="10" spans="1:32" ht="14" thickBot="1">
      <c r="B10" s="16" t="s">
        <v>21</v>
      </c>
      <c r="C10" s="17">
        <v>220</v>
      </c>
      <c r="D10" s="27"/>
      <c r="F10" s="34"/>
      <c r="G10" s="35"/>
      <c r="H10" s="36"/>
      <c r="I10" s="37"/>
      <c r="J10" s="38">
        <f>SUM(J5:J9)</f>
        <v>126836.4856</v>
      </c>
      <c r="K10" s="4"/>
      <c r="L10" s="9"/>
      <c r="N10" s="4"/>
    </row>
    <row r="11" spans="1:32">
      <c r="B11" s="16" t="s">
        <v>22</v>
      </c>
      <c r="C11" s="26" t="s">
        <v>782</v>
      </c>
      <c r="D11" s="27"/>
      <c r="F11" s="29"/>
      <c r="I11" s="39"/>
      <c r="J11" s="40"/>
      <c r="K11" s="41"/>
      <c r="L11" s="42"/>
    </row>
    <row r="12" spans="1:32" ht="14" thickBot="1">
      <c r="B12" s="43" t="s">
        <v>23</v>
      </c>
      <c r="C12" s="44" t="s">
        <v>726</v>
      </c>
      <c r="D12" s="12"/>
      <c r="F12" s="45" t="s">
        <v>25</v>
      </c>
      <c r="G12" s="27"/>
      <c r="I12" s="29"/>
      <c r="J12" s="46">
        <f>IF(C35&gt;=0,0,IF(C35&gt;=GranseNegKIEnlig,TillagNegKI*C35,TillagNegKI*GranseNegKIEnlig))</f>
        <v>0</v>
      </c>
      <c r="K12" s="4"/>
      <c r="L12" s="42"/>
    </row>
    <row r="13" spans="1:32">
      <c r="B13" s="16" t="s">
        <v>26</v>
      </c>
      <c r="C13" s="47">
        <f>_xlfn.XLOOKUP(C12,Skattesatser!B6:B103,Skattesatser!C6:C103,2)/100</f>
        <v>0.25</v>
      </c>
      <c r="D13" s="8"/>
      <c r="F13" s="48" t="s">
        <v>27</v>
      </c>
      <c r="G13" s="5"/>
      <c r="I13" s="49">
        <f>IF($C$73&gt;SkraatSkatteloftPI,$C$73-SkraatSkatteloftPI,0)</f>
        <v>0</v>
      </c>
      <c r="J13" s="46">
        <f>-I13*C75</f>
        <v>0</v>
      </c>
      <c r="K13" s="50"/>
      <c r="L13" s="51"/>
    </row>
    <row r="14" spans="1:32" s="54" customFormat="1">
      <c r="A14" s="52"/>
      <c r="B14" s="16" t="s">
        <v>28</v>
      </c>
      <c r="C14" s="47">
        <f>IF(C11="ja",_xlfn.XLOOKUP(C12,Skattesatser!B6:B103,Skattesatser!D6:D103,2)/100,0)</f>
        <v>9.0000000000000011E-3</v>
      </c>
      <c r="D14" s="53"/>
      <c r="F14" s="48" t="s">
        <v>29</v>
      </c>
      <c r="G14" s="5"/>
      <c r="H14" s="4"/>
      <c r="I14" s="49">
        <f>IF($C$73&gt;SkraatSkatteloftKI,$C$73-SkraatSkatteloftKI,0)</f>
        <v>0.10010000000000002</v>
      </c>
      <c r="J14" s="46">
        <f>-I14*C76</f>
        <v>0</v>
      </c>
      <c r="K14" s="4"/>
      <c r="L14" s="4"/>
    </row>
    <row r="15" spans="1:32" s="54" customFormat="1">
      <c r="A15" s="52"/>
      <c r="B15" s="16" t="s">
        <v>30</v>
      </c>
      <c r="C15" s="47">
        <f>_xlfn.XLOOKUP(C12,Skattesatser!B6:B103,Skattesatser!E6:E103,2)/1000</f>
        <v>6.4999999999999997E-3</v>
      </c>
      <c r="D15" s="55"/>
      <c r="F15" s="48"/>
      <c r="G15" s="5"/>
      <c r="H15" s="4"/>
      <c r="I15" s="56"/>
      <c r="J15" s="30">
        <f>SUM(J10:J14)</f>
        <v>126836.4856</v>
      </c>
      <c r="K15" s="4"/>
      <c r="L15" s="9"/>
    </row>
    <row r="16" spans="1:32" s="54" customFormat="1">
      <c r="A16" s="52"/>
      <c r="B16" s="57" t="s">
        <v>31</v>
      </c>
      <c r="C16" s="11"/>
      <c r="D16" s="53"/>
      <c r="F16" s="45"/>
      <c r="G16" s="58"/>
      <c r="H16" s="4"/>
      <c r="I16" s="56"/>
      <c r="J16" s="59"/>
      <c r="K16" s="4"/>
      <c r="L16" s="58"/>
      <c r="AF16" s="5"/>
    </row>
    <row r="17" spans="1:32" s="54" customFormat="1">
      <c r="A17" s="52"/>
      <c r="B17" s="48" t="s">
        <v>32</v>
      </c>
      <c r="C17" s="17"/>
      <c r="D17" s="53"/>
      <c r="F17" s="60"/>
      <c r="G17" s="61"/>
      <c r="H17" s="61"/>
      <c r="I17" s="62"/>
      <c r="J17" s="25"/>
      <c r="L17" s="9"/>
      <c r="AF17" s="5"/>
    </row>
    <row r="18" spans="1:32" s="54" customFormat="1">
      <c r="A18" s="52"/>
      <c r="B18" s="63" t="s">
        <v>33</v>
      </c>
      <c r="C18" s="64">
        <v>0</v>
      </c>
      <c r="D18" s="53"/>
      <c r="F18" s="45" t="s">
        <v>34</v>
      </c>
      <c r="I18" s="65"/>
      <c r="J18" s="30">
        <f>J15+C27</f>
        <v>166836.48560000001</v>
      </c>
      <c r="L18" s="9"/>
      <c r="AF18" s="5"/>
    </row>
    <row r="19" spans="1:32" s="67" customFormat="1" ht="15" thickBot="1">
      <c r="A19" s="66"/>
      <c r="D19" s="68"/>
      <c r="F19" s="69" t="s">
        <v>35</v>
      </c>
      <c r="I19" s="70"/>
      <c r="J19" s="30">
        <f>+F63</f>
        <v>0</v>
      </c>
      <c r="K19" s="54"/>
      <c r="L19" s="9"/>
      <c r="AF19" s="5"/>
    </row>
    <row r="20" spans="1:32" s="67" customFormat="1">
      <c r="A20" s="66"/>
      <c r="B20" s="71" t="s">
        <v>36</v>
      </c>
      <c r="C20" s="72">
        <v>500000</v>
      </c>
      <c r="D20" s="73"/>
      <c r="E20" s="74"/>
      <c r="F20" s="45" t="s">
        <v>37</v>
      </c>
      <c r="I20" s="70"/>
      <c r="J20" s="30">
        <f>F64</f>
        <v>0</v>
      </c>
      <c r="L20" s="9"/>
      <c r="AB20" s="5"/>
      <c r="AC20" s="5"/>
      <c r="AD20" s="5"/>
      <c r="AE20" s="5"/>
      <c r="AF20" s="5"/>
    </row>
    <row r="21" spans="1:32" s="67" customFormat="1">
      <c r="A21" s="66"/>
      <c r="B21" s="45" t="s">
        <v>38</v>
      </c>
      <c r="C21" s="75">
        <v>0</v>
      </c>
      <c r="D21" s="4"/>
      <c r="E21" s="74"/>
      <c r="F21" s="45" t="s">
        <v>39</v>
      </c>
      <c r="I21" s="70"/>
      <c r="J21" s="30">
        <f>-C18</f>
        <v>0</v>
      </c>
      <c r="L21" s="9"/>
      <c r="AB21" s="5"/>
      <c r="AC21" s="5"/>
      <c r="AD21" s="5"/>
      <c r="AE21" s="5"/>
      <c r="AF21" s="5"/>
    </row>
    <row r="22" spans="1:32" ht="14" thickBot="1">
      <c r="B22" s="45" t="s">
        <v>40</v>
      </c>
      <c r="C22" s="76">
        <f>C21*C20</f>
        <v>0</v>
      </c>
      <c r="D22" s="12"/>
      <c r="F22" s="45"/>
      <c r="G22" s="67"/>
      <c r="H22" s="67"/>
      <c r="I22" s="70"/>
      <c r="J22" s="30"/>
      <c r="K22" s="67"/>
      <c r="L22" s="9"/>
    </row>
    <row r="23" spans="1:32" ht="17" thickBot="1">
      <c r="B23" s="45" t="s">
        <v>41</v>
      </c>
      <c r="C23" s="77">
        <v>0</v>
      </c>
      <c r="F23" s="78" t="s">
        <v>42</v>
      </c>
      <c r="G23" s="79"/>
      <c r="H23" s="79"/>
      <c r="I23" s="80"/>
      <c r="J23" s="81">
        <f>SUM(J18:J21)</f>
        <v>166836.48560000001</v>
      </c>
      <c r="L23" s="82"/>
      <c r="M23" s="4"/>
    </row>
    <row r="24" spans="1:32" ht="14" thickBot="1">
      <c r="B24" s="83" t="s">
        <v>43</v>
      </c>
      <c r="C24" s="84">
        <f>IF(C6="ja",FriTelefon,0)</f>
        <v>0</v>
      </c>
      <c r="K24" s="4"/>
    </row>
    <row r="25" spans="1:32" s="67" customFormat="1" ht="15" thickBot="1">
      <c r="A25" s="85"/>
      <c r="B25" s="86" t="s">
        <v>44</v>
      </c>
      <c r="C25" s="87">
        <f>C20-C22+C23+C24</f>
        <v>500000</v>
      </c>
      <c r="D25" s="68" t="s">
        <v>783</v>
      </c>
      <c r="E25" s="74"/>
      <c r="F25" s="4"/>
      <c r="G25" s="4"/>
      <c r="H25" s="4"/>
      <c r="I25" s="5"/>
      <c r="J25" s="5"/>
      <c r="K25" s="4"/>
      <c r="L25" s="5"/>
      <c r="AA25" s="5"/>
      <c r="AB25" s="5"/>
      <c r="AC25" s="5"/>
      <c r="AD25" s="5"/>
      <c r="AE25" s="5"/>
    </row>
    <row r="26" spans="1:32" ht="15.75" customHeight="1" thickTop="1">
      <c r="A26" s="52"/>
      <c r="B26" s="88"/>
      <c r="C26" s="89"/>
      <c r="D26" s="5"/>
      <c r="F26" s="900" t="s">
        <v>45</v>
      </c>
      <c r="G26" s="901"/>
      <c r="H26" s="902"/>
      <c r="I26" s="906" t="str">
        <f>C2</f>
        <v>Person</v>
      </c>
      <c r="J26" s="907"/>
    </row>
    <row r="27" spans="1:32" ht="14" thickBot="1">
      <c r="A27" s="52"/>
      <c r="B27" s="88" t="s">
        <v>46</v>
      </c>
      <c r="C27" s="90">
        <f>ArbBidrag*C25</f>
        <v>40000</v>
      </c>
      <c r="D27" s="12"/>
      <c r="F27" s="903"/>
      <c r="G27" s="904"/>
      <c r="H27" s="905"/>
      <c r="I27" s="91" t="s">
        <v>47</v>
      </c>
      <c r="J27" s="92" t="s">
        <v>48</v>
      </c>
      <c r="K27" s="93"/>
      <c r="L27" s="94"/>
    </row>
    <row r="28" spans="1:32" ht="16">
      <c r="A28" s="52"/>
      <c r="B28" s="45" t="s">
        <v>49</v>
      </c>
      <c r="C28" s="17">
        <v>0</v>
      </c>
      <c r="D28" s="12"/>
      <c r="F28" s="95" t="s">
        <v>50</v>
      </c>
      <c r="G28" s="96"/>
      <c r="H28" s="97"/>
      <c r="I28" s="24">
        <f>C20+C23+C28</f>
        <v>500000</v>
      </c>
      <c r="J28" s="97">
        <f>I28/12</f>
        <v>41666.666666666664</v>
      </c>
      <c r="K28" s="4"/>
      <c r="L28" s="4"/>
    </row>
    <row r="29" spans="1:32" ht="16">
      <c r="A29" s="52"/>
      <c r="B29" s="45" t="s">
        <v>51</v>
      </c>
      <c r="C29" s="90">
        <f>IF(C3&gt;RatepensionMax,RatepensionMax,C3)</f>
        <v>0</v>
      </c>
      <c r="D29" s="68"/>
      <c r="F29" s="98" t="s">
        <v>52</v>
      </c>
      <c r="H29" s="59"/>
      <c r="I29" s="29">
        <f>C22</f>
        <v>0</v>
      </c>
      <c r="J29" s="59">
        <f>I29/12</f>
        <v>0</v>
      </c>
      <c r="K29" s="4"/>
      <c r="L29" s="4"/>
    </row>
    <row r="30" spans="1:32" ht="17" thickBot="1">
      <c r="A30" s="52"/>
      <c r="B30" s="45" t="s">
        <v>53</v>
      </c>
      <c r="C30" s="90">
        <f>+C4</f>
        <v>0</v>
      </c>
      <c r="D30" s="99"/>
      <c r="F30" s="98" t="s">
        <v>54</v>
      </c>
      <c r="H30" s="59"/>
      <c r="I30" s="29">
        <f>J23</f>
        <v>166836.48560000001</v>
      </c>
      <c r="J30" s="59">
        <f>I30/12</f>
        <v>13903.040466666667</v>
      </c>
      <c r="K30" s="100"/>
      <c r="L30" s="4"/>
    </row>
    <row r="31" spans="1:32" ht="17" thickBot="1">
      <c r="A31" s="52"/>
      <c r="B31" s="86" t="s">
        <v>55</v>
      </c>
      <c r="C31" s="101">
        <f>C25-C27+C28-C29-C30</f>
        <v>460000</v>
      </c>
      <c r="D31" s="68" t="s">
        <v>784</v>
      </c>
      <c r="F31" s="102" t="s">
        <v>45</v>
      </c>
      <c r="G31" s="79"/>
      <c r="H31" s="103"/>
      <c r="I31" s="104">
        <f>I28-I29-I30</f>
        <v>333163.51439999999</v>
      </c>
      <c r="J31" s="105">
        <f>I31/12</f>
        <v>27763.626199999999</v>
      </c>
      <c r="K31" s="106"/>
      <c r="L31" s="106"/>
      <c r="Z31" s="4"/>
    </row>
    <row r="32" spans="1:32" ht="14" thickTop="1">
      <c r="A32" s="52"/>
      <c r="B32" s="45"/>
      <c r="C32" s="16"/>
      <c r="Z32" s="4"/>
    </row>
    <row r="33" spans="1:27">
      <c r="B33" s="45" t="s">
        <v>56</v>
      </c>
      <c r="C33" s="17">
        <v>0</v>
      </c>
      <c r="H33" s="107"/>
    </row>
    <row r="34" spans="1:27" ht="14" thickBot="1">
      <c r="B34" s="108" t="s">
        <v>57</v>
      </c>
      <c r="C34" s="17">
        <v>0</v>
      </c>
      <c r="D34" s="12"/>
    </row>
    <row r="35" spans="1:27" ht="15" thickBot="1">
      <c r="B35" s="86" t="s">
        <v>58</v>
      </c>
      <c r="C35" s="101">
        <f>+C33-C34</f>
        <v>0</v>
      </c>
      <c r="D35" s="68"/>
    </row>
    <row r="36" spans="1:27" ht="14" thickTop="1">
      <c r="B36" s="88"/>
      <c r="C36" s="109"/>
      <c r="D36" s="9"/>
    </row>
    <row r="37" spans="1:27" s="67" customFormat="1" ht="16">
      <c r="A37" s="66"/>
      <c r="B37" s="69" t="s">
        <v>59</v>
      </c>
      <c r="C37" s="90">
        <f>MIN(+($C$25+$C$22*3)*BFradragProc,BFradragMax)</f>
        <v>55600</v>
      </c>
      <c r="D37" s="110"/>
      <c r="E37" s="111"/>
      <c r="F37" s="111"/>
      <c r="H37" s="111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1:27">
      <c r="B38" s="69" t="s">
        <v>60</v>
      </c>
      <c r="C38" s="90">
        <f>MAX(0,MIN(+($C$25+$C$22*3-Jfradraggranse)*Jfradragproc,JfradragMax))</f>
        <v>2900</v>
      </c>
      <c r="D38" s="5"/>
    </row>
    <row r="39" spans="1:27" ht="14.25" customHeight="1">
      <c r="B39" s="69" t="s">
        <v>61</v>
      </c>
      <c r="C39" s="90">
        <f>IF(C5&lt;=52,MIN(+(C3+C4+C22*3)*EPENfradragProc,EPENfradragMax),MIN(+(C3+C4+C22*3)*EPENSeniorProc,EPENSeniorMax))</f>
        <v>0</v>
      </c>
    </row>
    <row r="40" spans="1:27">
      <c r="B40" s="69" t="s">
        <v>62</v>
      </c>
      <c r="C40" s="90">
        <f>IF(C7&gt;FagforeningMax,FagforeningMax,C7)+C8</f>
        <v>0</v>
      </c>
    </row>
    <row r="41" spans="1:27">
      <c r="B41" s="69" t="s">
        <v>63</v>
      </c>
      <c r="C41" s="90">
        <f>+$H$56</f>
        <v>49561.599999999999</v>
      </c>
    </row>
    <row r="42" spans="1:27" ht="14" thickBot="1">
      <c r="B42" s="69" t="s">
        <v>64</v>
      </c>
      <c r="C42" s="17">
        <v>0</v>
      </c>
    </row>
    <row r="43" spans="1:27" ht="15" thickBot="1">
      <c r="B43" s="86" t="s">
        <v>65</v>
      </c>
      <c r="C43" s="101">
        <f>SUM(C37:C42)</f>
        <v>108061.6</v>
      </c>
    </row>
    <row r="44" spans="1:27" ht="15" thickTop="1" thickBot="1">
      <c r="B44" s="112"/>
      <c r="C44" s="113"/>
    </row>
    <row r="45" spans="1:27" ht="17" thickBot="1">
      <c r="B45" s="114" t="s">
        <v>66</v>
      </c>
      <c r="C45" s="115">
        <f>+C31+C35-C43</f>
        <v>351938.4</v>
      </c>
      <c r="D45" s="898" t="s">
        <v>785</v>
      </c>
    </row>
    <row r="49" spans="1:40" ht="14" thickBot="1"/>
    <row r="50" spans="1:40" ht="14" thickBot="1">
      <c r="B50" s="116" t="s">
        <v>67</v>
      </c>
      <c r="D50" s="117"/>
    </row>
    <row r="51" spans="1:40" ht="14" thickBot="1">
      <c r="D51" s="117"/>
    </row>
    <row r="52" spans="1:40" ht="14" thickBot="1">
      <c r="B52" s="118" t="s">
        <v>68</v>
      </c>
      <c r="D52" s="117"/>
    </row>
    <row r="53" spans="1:40">
      <c r="B53" s="13"/>
      <c r="C53" s="119" t="s">
        <v>69</v>
      </c>
      <c r="D53" s="119" t="s">
        <v>70</v>
      </c>
      <c r="E53" s="120" t="s">
        <v>71</v>
      </c>
      <c r="F53" s="121" t="s">
        <v>72</v>
      </c>
      <c r="G53" s="121" t="s">
        <v>73</v>
      </c>
      <c r="H53" s="122" t="s">
        <v>74</v>
      </c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4"/>
      <c r="AA53" s="4" t="s">
        <v>75</v>
      </c>
    </row>
    <row r="54" spans="1:40">
      <c r="B54" s="123" t="s">
        <v>76</v>
      </c>
      <c r="C54" s="124">
        <f>BeFradragHojSats</f>
        <v>2.23</v>
      </c>
      <c r="D54" s="125">
        <f>C10</f>
        <v>220</v>
      </c>
      <c r="E54" s="126">
        <f>C9</f>
        <v>130</v>
      </c>
      <c r="F54" s="125">
        <f>BeFradragKmMin</f>
        <v>24</v>
      </c>
      <c r="G54" s="127">
        <f>IF(E54&gt;F54,MIN(E54,BeFradragKmMax)-F54,0)</f>
        <v>96</v>
      </c>
      <c r="H54" s="128">
        <f>+(D54*G54)*C54</f>
        <v>47097.599999999999</v>
      </c>
      <c r="I54" s="4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4"/>
    </row>
    <row r="55" spans="1:40">
      <c r="B55" s="123" t="s">
        <v>77</v>
      </c>
      <c r="C55" s="124">
        <f>BeFradragLavSats</f>
        <v>1.1200000000000001</v>
      </c>
      <c r="D55" s="125">
        <f>C10</f>
        <v>220</v>
      </c>
      <c r="E55" s="126">
        <f>MAX(E54-BeFradragKmMax,0)</f>
        <v>10</v>
      </c>
      <c r="F55" s="125"/>
      <c r="G55" s="127">
        <f>MAX(E55,0)</f>
        <v>10</v>
      </c>
      <c r="H55" s="128">
        <f>+(D55*G55)*C55</f>
        <v>2464.0000000000005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</row>
    <row r="56" spans="1:40">
      <c r="B56" s="129" t="s">
        <v>78</v>
      </c>
      <c r="C56" s="124"/>
      <c r="D56" s="130"/>
      <c r="E56" s="130"/>
      <c r="F56" s="125"/>
      <c r="G56" s="130"/>
      <c r="H56" s="128">
        <f>SUM(H54:H55)</f>
        <v>49561.599999999999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</row>
    <row r="57" spans="1:40">
      <c r="B57" s="123"/>
      <c r="C57" s="124"/>
      <c r="D57" s="130"/>
      <c r="E57" s="130"/>
      <c r="F57" s="125"/>
      <c r="G57" s="130"/>
      <c r="H57" s="128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</row>
    <row r="58" spans="1:40">
      <c r="B58" s="129" t="s">
        <v>79</v>
      </c>
      <c r="C58" s="124"/>
      <c r="D58" s="130"/>
      <c r="E58" s="130"/>
      <c r="F58" s="125"/>
      <c r="G58" s="130"/>
      <c r="H58" s="128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</row>
    <row r="59" spans="1:40" s="137" customFormat="1" ht="17" thickBot="1">
      <c r="A59" s="131"/>
      <c r="B59" s="132"/>
      <c r="C59" s="133"/>
      <c r="D59" s="134"/>
      <c r="E59" s="134"/>
      <c r="F59" s="135"/>
      <c r="G59" s="134"/>
      <c r="H59" s="136"/>
      <c r="I59" s="5"/>
      <c r="K59" s="138"/>
      <c r="L59" s="138"/>
      <c r="M59" s="138"/>
      <c r="N59" s="138"/>
      <c r="O59" s="138"/>
      <c r="P59" s="138"/>
      <c r="Q59" s="138"/>
      <c r="R59" s="138"/>
      <c r="S59" s="138"/>
      <c r="T59" s="138"/>
      <c r="U59" s="138"/>
      <c r="V59" s="138"/>
      <c r="W59" s="138"/>
      <c r="X59" s="138"/>
      <c r="Y59" s="138"/>
      <c r="Z59" s="138"/>
      <c r="AA59" s="138"/>
      <c r="AB59" s="138"/>
      <c r="AC59" s="138"/>
      <c r="AD59" s="138"/>
      <c r="AE59" s="138"/>
      <c r="AF59" s="138"/>
      <c r="AG59" s="138"/>
      <c r="AH59" s="138"/>
      <c r="AI59" s="138"/>
      <c r="AJ59" s="138"/>
      <c r="AK59" s="138"/>
      <c r="AL59" s="138"/>
      <c r="AM59" s="138"/>
      <c r="AN59" s="138"/>
    </row>
    <row r="60" spans="1:40" s="137" customFormat="1" ht="16">
      <c r="A60" s="131"/>
      <c r="B60" s="5"/>
      <c r="C60" s="139"/>
      <c r="D60" s="140"/>
      <c r="E60" s="4"/>
      <c r="F60" s="140"/>
      <c r="G60" s="4"/>
      <c r="H60" s="4"/>
      <c r="I60" s="5"/>
      <c r="J60" s="82"/>
      <c r="K60" s="138"/>
      <c r="L60" s="138"/>
      <c r="M60" s="138"/>
      <c r="N60" s="138"/>
      <c r="O60" s="138"/>
      <c r="P60" s="138"/>
      <c r="Q60" s="138"/>
      <c r="R60" s="138"/>
      <c r="S60" s="138"/>
      <c r="T60" s="138"/>
      <c r="U60" s="138"/>
      <c r="V60" s="138"/>
      <c r="W60" s="138"/>
      <c r="X60" s="138"/>
      <c r="Y60" s="138"/>
      <c r="Z60" s="138"/>
      <c r="AA60" s="138"/>
      <c r="AB60" s="138"/>
      <c r="AC60" s="138"/>
      <c r="AD60" s="138"/>
      <c r="AE60" s="138"/>
      <c r="AF60" s="138"/>
      <c r="AG60" s="138"/>
      <c r="AH60" s="138"/>
      <c r="AI60" s="138"/>
      <c r="AJ60" s="138"/>
      <c r="AK60" s="138"/>
      <c r="AL60" s="138"/>
      <c r="AM60" s="138"/>
      <c r="AN60" s="138"/>
    </row>
    <row r="61" spans="1:40" ht="14" thickBot="1">
      <c r="C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</row>
    <row r="62" spans="1:40">
      <c r="B62" s="141" t="s">
        <v>80</v>
      </c>
      <c r="C62" s="142" t="s">
        <v>81</v>
      </c>
      <c r="D62" s="142" t="s">
        <v>82</v>
      </c>
      <c r="E62" s="142" t="s">
        <v>83</v>
      </c>
      <c r="F62" s="143" t="s">
        <v>84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</row>
    <row r="63" spans="1:40">
      <c r="B63" s="123" t="s">
        <v>35</v>
      </c>
      <c r="C63" s="144">
        <f>EjVSkatMin</f>
        <v>5.1000000000000004E-3</v>
      </c>
      <c r="D63" s="144">
        <f>EjVSkatMax-C63</f>
        <v>8.8999999999999999E-3</v>
      </c>
      <c r="E63" s="145">
        <f>C16</f>
        <v>0</v>
      </c>
      <c r="F63" s="146">
        <f>IF(E63&lt;Skattesatser!H14,C63*E63*Forsigtighed,C63*E63*Forsigtighed+(E63-Skattesatser!H14)*D63*Forsigtighed)</f>
        <v>0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</row>
    <row r="64" spans="1:40" ht="14" thickBot="1">
      <c r="B64" s="147" t="s">
        <v>37</v>
      </c>
      <c r="C64" s="148">
        <f>C15</f>
        <v>6.4999999999999997E-3</v>
      </c>
      <c r="D64" s="148"/>
      <c r="E64" s="149">
        <f>C17</f>
        <v>0</v>
      </c>
      <c r="F64" s="150">
        <f>E64*C64*Forsigtighed</f>
        <v>0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</row>
    <row r="65" spans="1:40">
      <c r="C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</row>
    <row r="66" spans="1:40" ht="14" thickBot="1">
      <c r="C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</row>
    <row r="67" spans="1:40" ht="14" thickBot="1">
      <c r="B67" s="151" t="s">
        <v>85</v>
      </c>
      <c r="C67" s="118" t="s">
        <v>86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</row>
    <row r="68" spans="1:40">
      <c r="B68" s="152" t="s">
        <v>87</v>
      </c>
      <c r="C68" s="153">
        <f>+C31</f>
        <v>460000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</row>
    <row r="69" spans="1:40">
      <c r="B69" s="154" t="s">
        <v>88</v>
      </c>
      <c r="C69" s="155">
        <f>MAX(C35+C31,C31)</f>
        <v>460000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</row>
    <row r="70" spans="1:40">
      <c r="B70" s="154" t="s">
        <v>89</v>
      </c>
      <c r="C70" s="155">
        <f>C68+C72</f>
        <v>460000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</row>
    <row r="71" spans="1:40">
      <c r="B71" s="154" t="s">
        <v>90</v>
      </c>
      <c r="C71" s="155">
        <f>MAX(C35,0)</f>
        <v>0</v>
      </c>
      <c r="I71" s="156"/>
    </row>
    <row r="72" spans="1:40">
      <c r="B72" s="154" t="s">
        <v>91</v>
      </c>
      <c r="C72" s="155">
        <f>IF((C71+D71)&gt;KItilTopskatEnlig,C71+D71-KItilTopskatEnlig,0)</f>
        <v>0</v>
      </c>
    </row>
    <row r="73" spans="1:40">
      <c r="B73" s="123" t="s">
        <v>92</v>
      </c>
      <c r="C73" s="157">
        <f>SUM(G5:G8)</f>
        <v>0.52010000000000001</v>
      </c>
    </row>
    <row r="74" spans="1:40" s="4" customFormat="1">
      <c r="A74" s="1"/>
      <c r="B74" s="154" t="s">
        <v>93</v>
      </c>
      <c r="C74" s="155">
        <f>IF(C70&gt;TopSkatGranse,C70-TopSkatGranse,0)</f>
        <v>0</v>
      </c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</row>
    <row r="75" spans="1:40" s="4" customFormat="1">
      <c r="A75" s="1"/>
      <c r="B75" s="158" t="s">
        <v>94</v>
      </c>
      <c r="C75" s="155">
        <f>IF(C68&gt;TopSkatGranse,C68-TopSkatGranse,0)</f>
        <v>0</v>
      </c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</row>
    <row r="76" spans="1:40" s="4" customFormat="1" ht="14" thickBot="1">
      <c r="A76" s="1"/>
      <c r="B76" s="159" t="s">
        <v>95</v>
      </c>
      <c r="C76" s="160">
        <f>C74-C75</f>
        <v>0</v>
      </c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</row>
    <row r="102" spans="1:40" s="4" customFormat="1">
      <c r="A102" s="1"/>
      <c r="B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</row>
    <row r="103" spans="1:40" s="4" customFormat="1">
      <c r="A103" s="1"/>
      <c r="B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</row>
    <row r="104" spans="1:40" s="4" customFormat="1">
      <c r="A104" s="1"/>
      <c r="B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</row>
    <row r="105" spans="1:40" s="4" customFormat="1">
      <c r="A105" s="1"/>
      <c r="B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</row>
    <row r="106" spans="1:40" s="4" customFormat="1">
      <c r="A106" s="1"/>
      <c r="B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</row>
    <row r="107" spans="1:40" s="4" customFormat="1">
      <c r="A107" s="1"/>
      <c r="B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</row>
    <row r="108" spans="1:40" s="4" customFormat="1">
      <c r="A108" s="1"/>
      <c r="B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</row>
    <row r="109" spans="1:40" s="4" customFormat="1">
      <c r="A109" s="1"/>
      <c r="B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</row>
    <row r="110" spans="1:40" s="4" customFormat="1">
      <c r="A110" s="1"/>
      <c r="B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</row>
    <row r="111" spans="1:40" s="4" customFormat="1">
      <c r="A111" s="1"/>
      <c r="B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</row>
    <row r="112" spans="1:40" s="4" customFormat="1">
      <c r="A112" s="1"/>
      <c r="B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</row>
    <row r="113" spans="1:40" s="4" customFormat="1">
      <c r="A113" s="1"/>
      <c r="B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</row>
    <row r="114" spans="1:40" s="4" customFormat="1">
      <c r="A114" s="1"/>
      <c r="B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</row>
    <row r="115" spans="1:40" s="4" customFormat="1">
      <c r="A115" s="1"/>
      <c r="B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</row>
    <row r="116" spans="1:40" s="4" customFormat="1">
      <c r="A116" s="1"/>
      <c r="B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</row>
    <row r="117" spans="1:40" s="4" customFormat="1">
      <c r="A117" s="1"/>
      <c r="B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</row>
    <row r="118" spans="1:40" s="4" customFormat="1">
      <c r="A118" s="1"/>
      <c r="B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</row>
    <row r="119" spans="1:40" s="4" customFormat="1">
      <c r="A119" s="1"/>
      <c r="B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</row>
    <row r="120" spans="1:40" s="4" customFormat="1">
      <c r="A120" s="1"/>
      <c r="B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</row>
    <row r="121" spans="1:40" s="4" customFormat="1">
      <c r="A121" s="1"/>
      <c r="B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</row>
    <row r="122" spans="1:40" s="4" customFormat="1">
      <c r="A122" s="1"/>
      <c r="B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</row>
    <row r="123" spans="1:40" s="4" customFormat="1">
      <c r="A123" s="1"/>
      <c r="B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</row>
    <row r="124" spans="1:40" s="4" customFormat="1">
      <c r="A124" s="1"/>
      <c r="B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</row>
    <row r="125" spans="1:40" s="4" customFormat="1">
      <c r="A125" s="1"/>
      <c r="B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</row>
    <row r="126" spans="1:40" s="4" customFormat="1">
      <c r="A126" s="1"/>
      <c r="B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</row>
    <row r="127" spans="1:40" s="4" customFormat="1">
      <c r="A127" s="1"/>
      <c r="B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</row>
    <row r="128" spans="1:40" s="4" customFormat="1">
      <c r="A128" s="1"/>
      <c r="B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</row>
    <row r="129" spans="1:40" s="4" customFormat="1">
      <c r="A129" s="1"/>
      <c r="B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</row>
    <row r="130" spans="1:40" s="4" customFormat="1">
      <c r="A130" s="1"/>
      <c r="B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</row>
    <row r="131" spans="1:40" s="4" customFormat="1">
      <c r="A131" s="1"/>
      <c r="B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</row>
    <row r="132" spans="1:40" s="4" customFormat="1">
      <c r="A132" s="1"/>
      <c r="B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</row>
    <row r="133" spans="1:40" s="4" customFormat="1">
      <c r="A133" s="1"/>
      <c r="B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</row>
    <row r="134" spans="1:40" s="4" customFormat="1">
      <c r="A134" s="1"/>
      <c r="B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</row>
    <row r="135" spans="1:40" s="4" customFormat="1">
      <c r="A135" s="1"/>
      <c r="B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</row>
    <row r="136" spans="1:40" s="4" customFormat="1">
      <c r="A136" s="1"/>
      <c r="B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</row>
    <row r="137" spans="1:40" s="4" customFormat="1">
      <c r="A137" s="1"/>
      <c r="B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</row>
    <row r="138" spans="1:40" s="4" customFormat="1">
      <c r="A138" s="1"/>
      <c r="B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</row>
    <row r="139" spans="1:40" s="4" customFormat="1">
      <c r="A139" s="1"/>
      <c r="B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</row>
    <row r="140" spans="1:40" s="4" customFormat="1">
      <c r="A140" s="1"/>
      <c r="B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</row>
    <row r="141" spans="1:40" s="4" customFormat="1">
      <c r="A141" s="1"/>
      <c r="B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</row>
    <row r="142" spans="1:40" s="4" customFormat="1">
      <c r="A142" s="1"/>
      <c r="B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</row>
    <row r="143" spans="1:40" s="4" customFormat="1">
      <c r="A143" s="1"/>
      <c r="B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</row>
    <row r="144" spans="1:40" s="4" customFormat="1">
      <c r="A144" s="1"/>
      <c r="B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</row>
    <row r="145" spans="1:40" s="4" customFormat="1">
      <c r="A145" s="1"/>
      <c r="B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</row>
    <row r="146" spans="1:40" s="4" customFormat="1">
      <c r="A146" s="1"/>
      <c r="B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</row>
    <row r="147" spans="1:40" s="4" customFormat="1">
      <c r="A147" s="1"/>
      <c r="B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</row>
    <row r="148" spans="1:40" s="4" customFormat="1">
      <c r="A148" s="1"/>
      <c r="B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</row>
    <row r="149" spans="1:40" s="4" customFormat="1">
      <c r="A149" s="1"/>
      <c r="B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</row>
    <row r="150" spans="1:40" s="4" customFormat="1">
      <c r="A150" s="1"/>
      <c r="B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</row>
    <row r="151" spans="1:40" s="4" customFormat="1">
      <c r="A151" s="1"/>
      <c r="B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</row>
    <row r="152" spans="1:40" s="4" customFormat="1">
      <c r="A152" s="1"/>
      <c r="B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</row>
    <row r="153" spans="1:40" s="4" customFormat="1">
      <c r="A153" s="1"/>
      <c r="B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</row>
    <row r="154" spans="1:40" s="4" customFormat="1">
      <c r="A154" s="1"/>
      <c r="B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</row>
    <row r="155" spans="1:40" s="4" customFormat="1">
      <c r="A155" s="1"/>
      <c r="B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</row>
    <row r="156" spans="1:40" s="4" customFormat="1">
      <c r="A156" s="1"/>
      <c r="B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</row>
    <row r="157" spans="1:40" s="4" customFormat="1">
      <c r="A157" s="1"/>
      <c r="B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</row>
    <row r="158" spans="1:40" s="4" customFormat="1">
      <c r="A158" s="1"/>
      <c r="B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</row>
    <row r="159" spans="1:40" s="4" customFormat="1">
      <c r="A159" s="1"/>
      <c r="B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</row>
    <row r="160" spans="1:40" s="4" customFormat="1">
      <c r="A160" s="1"/>
      <c r="B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</row>
    <row r="161" spans="1:40" s="4" customFormat="1">
      <c r="A161" s="1"/>
      <c r="B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</row>
    <row r="162" spans="1:40" s="4" customFormat="1">
      <c r="A162" s="1"/>
      <c r="B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</row>
    <row r="163" spans="1:40" s="4" customFormat="1">
      <c r="A163" s="1"/>
      <c r="B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</row>
    <row r="164" spans="1:40" s="4" customFormat="1">
      <c r="A164" s="1"/>
      <c r="B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</row>
    <row r="165" spans="1:40" s="4" customFormat="1">
      <c r="A165" s="1"/>
      <c r="B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</row>
    <row r="166" spans="1:40" s="4" customFormat="1">
      <c r="A166" s="1"/>
      <c r="B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</row>
    <row r="167" spans="1:40" s="4" customFormat="1">
      <c r="A167" s="1"/>
      <c r="B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</row>
    <row r="168" spans="1:40" s="4" customFormat="1">
      <c r="A168" s="1"/>
      <c r="B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</row>
    <row r="169" spans="1:40" s="4" customFormat="1">
      <c r="A169" s="1"/>
      <c r="B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</row>
    <row r="170" spans="1:40" s="4" customFormat="1">
      <c r="A170" s="1"/>
      <c r="B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</row>
    <row r="171" spans="1:40" s="4" customFormat="1">
      <c r="A171" s="1"/>
      <c r="B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</row>
    <row r="172" spans="1:40" s="4" customFormat="1">
      <c r="A172" s="1"/>
      <c r="B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</row>
    <row r="173" spans="1:40" s="4" customFormat="1">
      <c r="A173" s="1"/>
      <c r="B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</row>
    <row r="174" spans="1:40" s="4" customFormat="1">
      <c r="A174" s="1"/>
      <c r="B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</row>
    <row r="175" spans="1:40" s="4" customFormat="1">
      <c r="A175" s="1"/>
      <c r="B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</row>
    <row r="176" spans="1:40" s="4" customFormat="1">
      <c r="A176" s="1"/>
      <c r="B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</row>
    <row r="177" spans="1:40" s="4" customFormat="1">
      <c r="A177" s="1"/>
      <c r="B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</row>
    <row r="178" spans="1:40" s="4" customFormat="1">
      <c r="A178" s="1"/>
      <c r="B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</row>
    <row r="179" spans="1:40" s="4" customFormat="1">
      <c r="A179" s="1"/>
      <c r="B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</row>
    <row r="180" spans="1:40" s="4" customFormat="1">
      <c r="A180" s="1"/>
      <c r="B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</row>
    <row r="181" spans="1:40" s="4" customFormat="1">
      <c r="A181" s="1"/>
      <c r="B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</row>
    <row r="182" spans="1:40" s="4" customFormat="1">
      <c r="A182" s="1"/>
      <c r="B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</row>
    <row r="183" spans="1:40" s="4" customFormat="1">
      <c r="A183" s="1"/>
      <c r="B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</row>
    <row r="184" spans="1:40" s="4" customFormat="1">
      <c r="A184" s="1"/>
      <c r="B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</row>
    <row r="185" spans="1:40" s="4" customFormat="1">
      <c r="A185" s="1"/>
      <c r="B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</row>
    <row r="186" spans="1:40" s="4" customFormat="1">
      <c r="A186" s="1"/>
      <c r="B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</row>
    <row r="187" spans="1:40" s="4" customFormat="1">
      <c r="A187" s="1"/>
      <c r="B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</row>
    <row r="188" spans="1:40" s="4" customFormat="1">
      <c r="A188" s="1"/>
      <c r="B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</row>
    <row r="189" spans="1:40" s="4" customFormat="1">
      <c r="A189" s="1"/>
      <c r="B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</row>
    <row r="190" spans="1:40" s="4" customFormat="1">
      <c r="A190" s="1"/>
      <c r="B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</row>
    <row r="191" spans="1:40" s="4" customFormat="1">
      <c r="A191" s="1"/>
      <c r="B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</row>
    <row r="192" spans="1:40" s="4" customFormat="1">
      <c r="A192" s="1"/>
      <c r="B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</row>
    <row r="193" spans="1:40" s="4" customFormat="1">
      <c r="A193" s="1"/>
      <c r="B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</row>
    <row r="194" spans="1:40" s="4" customFormat="1">
      <c r="A194" s="1"/>
      <c r="B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</row>
    <row r="195" spans="1:40" s="4" customFormat="1">
      <c r="A195" s="1"/>
      <c r="B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</row>
    <row r="196" spans="1:40" s="4" customFormat="1">
      <c r="A196" s="1"/>
      <c r="B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</row>
    <row r="197" spans="1:40" s="4" customFormat="1">
      <c r="A197" s="1"/>
      <c r="B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</row>
    <row r="198" spans="1:40" s="4" customFormat="1">
      <c r="A198" s="1"/>
      <c r="B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</row>
    <row r="199" spans="1:40" s="4" customFormat="1">
      <c r="A199" s="1"/>
      <c r="B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</row>
    <row r="200" spans="1:40" s="4" customFormat="1">
      <c r="A200" s="1"/>
      <c r="B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</row>
    <row r="201" spans="1:40" s="4" customFormat="1">
      <c r="A201" s="1"/>
      <c r="B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</row>
    <row r="202" spans="1:40" s="4" customFormat="1">
      <c r="A202" s="1"/>
      <c r="B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</row>
    <row r="203" spans="1:40" s="4" customFormat="1">
      <c r="A203" s="1"/>
      <c r="B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</row>
    <row r="204" spans="1:40" s="4" customFormat="1">
      <c r="A204" s="1"/>
      <c r="B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</row>
    <row r="205" spans="1:40" s="4" customFormat="1">
      <c r="A205" s="1"/>
      <c r="B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</row>
    <row r="206" spans="1:40" s="4" customFormat="1">
      <c r="A206" s="1"/>
      <c r="B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</row>
    <row r="207" spans="1:40" s="4" customFormat="1">
      <c r="A207" s="1"/>
      <c r="B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</row>
    <row r="208" spans="1:40" s="4" customFormat="1">
      <c r="A208" s="1"/>
      <c r="B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</row>
    <row r="209" spans="1:40" s="4" customFormat="1">
      <c r="A209" s="1"/>
      <c r="B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</row>
    <row r="210" spans="1:40" s="4" customFormat="1">
      <c r="A210" s="1"/>
      <c r="B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</row>
    <row r="211" spans="1:40" s="4" customFormat="1">
      <c r="A211" s="1"/>
      <c r="B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</row>
    <row r="212" spans="1:40" s="4" customFormat="1">
      <c r="A212" s="1"/>
      <c r="B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</row>
    <row r="213" spans="1:40" s="4" customFormat="1">
      <c r="A213" s="1"/>
      <c r="B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</row>
    <row r="214" spans="1:40" s="4" customFormat="1">
      <c r="A214" s="1"/>
      <c r="B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</row>
    <row r="215" spans="1:40" s="4" customFormat="1">
      <c r="A215" s="1"/>
      <c r="B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</row>
    <row r="216" spans="1:40" s="4" customFormat="1">
      <c r="A216" s="1"/>
      <c r="B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</row>
    <row r="217" spans="1:40" s="4" customFormat="1">
      <c r="A217" s="1"/>
      <c r="B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</row>
    <row r="218" spans="1:40" s="4" customFormat="1">
      <c r="A218" s="1"/>
      <c r="B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</row>
    <row r="219" spans="1:40" s="4" customFormat="1">
      <c r="A219" s="1"/>
      <c r="B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</row>
    <row r="220" spans="1:40" s="4" customFormat="1">
      <c r="A220" s="1"/>
      <c r="B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</row>
    <row r="221" spans="1:40" s="4" customFormat="1">
      <c r="A221" s="1"/>
      <c r="B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</row>
    <row r="222" spans="1:40" s="4" customFormat="1">
      <c r="A222" s="1"/>
      <c r="B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</row>
    <row r="223" spans="1:40" s="4" customFormat="1">
      <c r="A223" s="1"/>
      <c r="B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</row>
    <row r="224" spans="1:40" s="4" customFormat="1">
      <c r="A224" s="1"/>
      <c r="B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</row>
    <row r="225" spans="1:40" s="4" customFormat="1">
      <c r="A225" s="1"/>
      <c r="B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</row>
    <row r="226" spans="1:40" s="4" customFormat="1">
      <c r="A226" s="1"/>
      <c r="B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</row>
    <row r="227" spans="1:40" s="4" customFormat="1">
      <c r="A227" s="1"/>
      <c r="B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</row>
    <row r="228" spans="1:40" s="4" customFormat="1">
      <c r="A228" s="1"/>
      <c r="B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</row>
    <row r="229" spans="1:40" s="4" customFormat="1">
      <c r="A229" s="1"/>
      <c r="B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</row>
    <row r="230" spans="1:40" s="4" customFormat="1">
      <c r="A230" s="1"/>
      <c r="B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</row>
    <row r="231" spans="1:40" s="4" customFormat="1">
      <c r="A231" s="1"/>
      <c r="B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</row>
    <row r="232" spans="1:40" s="4" customFormat="1">
      <c r="A232" s="1"/>
      <c r="B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</row>
    <row r="233" spans="1:40" s="4" customFormat="1">
      <c r="A233" s="1"/>
      <c r="B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</row>
    <row r="234" spans="1:40" s="4" customFormat="1">
      <c r="A234" s="1"/>
      <c r="B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</row>
    <row r="235" spans="1:40" s="4" customFormat="1">
      <c r="A235" s="1"/>
      <c r="B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</row>
    <row r="236" spans="1:40" s="4" customFormat="1">
      <c r="A236" s="1"/>
      <c r="B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</row>
    <row r="237" spans="1:40" s="4" customFormat="1">
      <c r="A237" s="1"/>
      <c r="B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</row>
    <row r="238" spans="1:40" s="4" customFormat="1">
      <c r="A238" s="1"/>
      <c r="B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</row>
    <row r="239" spans="1:40" s="4" customFormat="1">
      <c r="A239" s="1"/>
      <c r="B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</row>
    <row r="240" spans="1:40" s="4" customFormat="1">
      <c r="A240" s="1"/>
      <c r="B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</row>
    <row r="241" spans="1:40" s="4" customFormat="1">
      <c r="A241" s="1"/>
      <c r="B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</row>
    <row r="242" spans="1:40" s="4" customFormat="1">
      <c r="A242" s="1"/>
      <c r="B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</row>
    <row r="243" spans="1:40" s="4" customFormat="1">
      <c r="A243" s="1"/>
      <c r="B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</row>
    <row r="244" spans="1:40" s="4" customFormat="1">
      <c r="A244" s="1"/>
      <c r="B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</row>
    <row r="245" spans="1:40" s="4" customFormat="1">
      <c r="A245" s="1"/>
      <c r="B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</row>
    <row r="246" spans="1:40" s="4" customFormat="1">
      <c r="A246" s="1"/>
      <c r="B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</row>
    <row r="247" spans="1:40" s="4" customFormat="1">
      <c r="A247" s="1"/>
      <c r="B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</row>
    <row r="248" spans="1:40" s="4" customFormat="1">
      <c r="A248" s="1"/>
      <c r="B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</row>
    <row r="249" spans="1:40" s="4" customFormat="1">
      <c r="A249" s="1"/>
      <c r="B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</row>
    <row r="250" spans="1:40" s="4" customFormat="1">
      <c r="A250" s="1"/>
      <c r="B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</row>
    <row r="251" spans="1:40" s="4" customFormat="1">
      <c r="A251" s="1"/>
      <c r="B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</row>
    <row r="252" spans="1:40" s="4" customFormat="1">
      <c r="A252" s="1"/>
      <c r="B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</row>
    <row r="253" spans="1:40" s="4" customFormat="1">
      <c r="A253" s="1"/>
      <c r="B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</row>
    <row r="254" spans="1:40" s="4" customFormat="1">
      <c r="A254" s="1"/>
      <c r="B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</row>
    <row r="255" spans="1:40" s="4" customFormat="1">
      <c r="A255" s="1"/>
      <c r="B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</row>
    <row r="256" spans="1:40" s="4" customFormat="1">
      <c r="A256" s="1"/>
      <c r="B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</row>
    <row r="257" spans="1:40" s="4" customFormat="1">
      <c r="A257" s="1"/>
      <c r="B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</row>
    <row r="258" spans="1:40" s="4" customFormat="1">
      <c r="A258" s="1"/>
      <c r="B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</row>
    <row r="259" spans="1:40" s="4" customFormat="1">
      <c r="A259" s="1"/>
      <c r="B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</row>
    <row r="260" spans="1:40" s="4" customFormat="1">
      <c r="A260" s="1"/>
      <c r="B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</row>
    <row r="261" spans="1:40" s="4" customFormat="1">
      <c r="A261" s="1"/>
      <c r="B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</row>
    <row r="262" spans="1:40" s="4" customFormat="1">
      <c r="A262" s="1"/>
      <c r="B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</row>
    <row r="263" spans="1:40" s="4" customFormat="1">
      <c r="A263" s="1"/>
      <c r="B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</row>
    <row r="264" spans="1:40" s="4" customFormat="1">
      <c r="A264" s="1"/>
      <c r="B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</row>
    <row r="265" spans="1:40" s="4" customFormat="1">
      <c r="A265" s="1"/>
      <c r="B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</row>
    <row r="266" spans="1:40" s="4" customFormat="1">
      <c r="A266" s="1"/>
      <c r="B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</row>
    <row r="267" spans="1:40" s="4" customFormat="1">
      <c r="A267" s="1"/>
      <c r="B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</row>
    <row r="268" spans="1:40" s="4" customFormat="1">
      <c r="A268" s="1"/>
      <c r="B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</row>
    <row r="269" spans="1:40" s="4" customFormat="1">
      <c r="A269" s="1"/>
      <c r="B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</row>
    <row r="270" spans="1:40" s="4" customFormat="1">
      <c r="A270" s="1"/>
      <c r="B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</row>
    <row r="271" spans="1:40" s="4" customFormat="1">
      <c r="A271" s="1"/>
      <c r="B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</row>
    <row r="272" spans="1:40" s="4" customFormat="1">
      <c r="A272" s="1"/>
      <c r="B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</row>
    <row r="273" spans="1:40" s="4" customFormat="1">
      <c r="A273" s="1"/>
      <c r="B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</row>
    <row r="274" spans="1:40" s="4" customFormat="1">
      <c r="A274" s="1"/>
      <c r="B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</row>
    <row r="275" spans="1:40" s="4" customFormat="1">
      <c r="A275" s="1"/>
      <c r="B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</row>
    <row r="276" spans="1:40" s="4" customFormat="1">
      <c r="A276" s="1"/>
      <c r="B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</row>
    <row r="277" spans="1:40" s="4" customFormat="1">
      <c r="A277" s="1"/>
      <c r="B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</row>
    <row r="278" spans="1:40" s="4" customFormat="1">
      <c r="A278" s="1"/>
      <c r="B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</row>
    <row r="279" spans="1:40" s="4" customFormat="1">
      <c r="A279" s="1"/>
      <c r="B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</row>
    <row r="280" spans="1:40" s="4" customFormat="1">
      <c r="A280" s="1"/>
      <c r="B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</row>
    <row r="281" spans="1:40" s="4" customFormat="1">
      <c r="A281" s="1"/>
      <c r="B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</row>
    <row r="282" spans="1:40" s="4" customFormat="1">
      <c r="A282" s="1"/>
      <c r="B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</row>
    <row r="283" spans="1:40" s="4" customFormat="1">
      <c r="A283" s="1"/>
      <c r="B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</row>
    <row r="284" spans="1:40" s="4" customFormat="1">
      <c r="A284" s="1"/>
      <c r="B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</row>
    <row r="285" spans="1:40" s="4" customFormat="1">
      <c r="A285" s="1"/>
      <c r="B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</row>
    <row r="286" spans="1:40" s="4" customFormat="1">
      <c r="A286" s="1"/>
      <c r="B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</row>
    <row r="287" spans="1:40" s="4" customFormat="1">
      <c r="A287" s="1"/>
      <c r="B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</row>
    <row r="288" spans="1:40" s="4" customFormat="1">
      <c r="A288" s="1"/>
      <c r="B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</row>
    <row r="289" spans="1:40" s="4" customFormat="1">
      <c r="A289" s="1"/>
      <c r="B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</row>
    <row r="290" spans="1:40" s="4" customFormat="1">
      <c r="A290" s="1"/>
      <c r="B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</row>
    <row r="291" spans="1:40" s="4" customFormat="1">
      <c r="A291" s="1"/>
      <c r="B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</row>
    <row r="292" spans="1:40" s="4" customFormat="1">
      <c r="A292" s="1"/>
      <c r="B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</row>
    <row r="293" spans="1:40" s="4" customFormat="1">
      <c r="A293" s="1"/>
      <c r="B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</row>
    <row r="294" spans="1:40" s="4" customFormat="1">
      <c r="A294" s="1"/>
      <c r="B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</row>
    <row r="295" spans="1:40" s="4" customFormat="1">
      <c r="A295" s="1"/>
      <c r="B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</row>
    <row r="296" spans="1:40" s="4" customFormat="1">
      <c r="A296" s="1"/>
      <c r="B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</row>
    <row r="297" spans="1:40" s="4" customFormat="1">
      <c r="A297" s="1"/>
      <c r="B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</row>
    <row r="298" spans="1:40" s="4" customFormat="1">
      <c r="A298" s="1"/>
      <c r="B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</row>
    <row r="299" spans="1:40" s="4" customFormat="1">
      <c r="A299" s="1"/>
      <c r="B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</row>
    <row r="300" spans="1:40" s="4" customFormat="1">
      <c r="A300" s="1"/>
      <c r="B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</row>
    <row r="301" spans="1:40" s="4" customFormat="1">
      <c r="A301" s="1"/>
      <c r="B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</row>
    <row r="302" spans="1:40" s="4" customFormat="1">
      <c r="A302" s="1"/>
      <c r="B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</row>
    <row r="303" spans="1:40" s="4" customFormat="1">
      <c r="A303" s="1"/>
      <c r="B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</row>
    <row r="304" spans="1:40" s="4" customFormat="1">
      <c r="A304" s="1"/>
      <c r="B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</row>
    <row r="305" spans="1:40" s="4" customFormat="1">
      <c r="A305" s="1"/>
      <c r="B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</row>
    <row r="306" spans="1:40" s="4" customFormat="1">
      <c r="A306" s="1"/>
      <c r="B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</row>
    <row r="307" spans="1:40" s="4" customFormat="1">
      <c r="A307" s="1"/>
      <c r="B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</row>
    <row r="308" spans="1:40" s="4" customFormat="1">
      <c r="A308" s="1"/>
      <c r="B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</row>
    <row r="309" spans="1:40" s="4" customFormat="1">
      <c r="A309" s="1"/>
      <c r="B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</row>
    <row r="310" spans="1:40" s="4" customFormat="1">
      <c r="A310" s="1"/>
      <c r="B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</row>
    <row r="311" spans="1:40" s="4" customFormat="1">
      <c r="A311" s="1"/>
      <c r="B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</row>
    <row r="312" spans="1:40" s="4" customFormat="1">
      <c r="A312" s="1"/>
      <c r="B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</row>
    <row r="313" spans="1:40" s="4" customFormat="1">
      <c r="A313" s="1"/>
      <c r="B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</row>
    <row r="314" spans="1:40" s="4" customFormat="1">
      <c r="A314" s="1"/>
      <c r="B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</row>
    <row r="315" spans="1:40" s="4" customFormat="1">
      <c r="A315" s="1"/>
      <c r="B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</row>
    <row r="316" spans="1:40" s="4" customFormat="1">
      <c r="A316" s="1"/>
      <c r="B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</row>
    <row r="317" spans="1:40" s="4" customFormat="1">
      <c r="A317" s="1"/>
      <c r="B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</row>
    <row r="318" spans="1:40" s="4" customFormat="1">
      <c r="A318" s="1"/>
      <c r="B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</row>
    <row r="319" spans="1:40" s="4" customFormat="1">
      <c r="A319" s="1"/>
      <c r="B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</row>
    <row r="320" spans="1:40" s="4" customFormat="1">
      <c r="A320" s="1"/>
      <c r="B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</row>
    <row r="321" spans="1:40" s="4" customFormat="1">
      <c r="A321" s="1"/>
      <c r="B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</row>
    <row r="322" spans="1:40" s="4" customFormat="1">
      <c r="A322" s="1"/>
      <c r="B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</row>
    <row r="323" spans="1:40" s="4" customFormat="1">
      <c r="A323" s="1"/>
      <c r="B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</row>
    <row r="324" spans="1:40" s="4" customFormat="1">
      <c r="A324" s="1"/>
      <c r="B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</row>
    <row r="325" spans="1:40" s="4" customFormat="1">
      <c r="A325" s="1"/>
      <c r="B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</row>
    <row r="326" spans="1:40" s="4" customFormat="1">
      <c r="A326" s="1"/>
      <c r="B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</row>
    <row r="327" spans="1:40" s="4" customFormat="1">
      <c r="A327" s="1"/>
      <c r="B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</row>
    <row r="328" spans="1:40" s="4" customFormat="1">
      <c r="A328" s="1"/>
      <c r="B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</row>
    <row r="329" spans="1:40" s="4" customFormat="1">
      <c r="A329" s="1"/>
      <c r="B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</row>
    <row r="330" spans="1:40" s="4" customFormat="1">
      <c r="A330" s="1"/>
      <c r="B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</row>
    <row r="331" spans="1:40" s="4" customFormat="1">
      <c r="A331" s="1"/>
      <c r="B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</row>
    <row r="332" spans="1:40" s="4" customFormat="1">
      <c r="A332" s="1"/>
      <c r="B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</row>
    <row r="333" spans="1:40" s="4" customFormat="1">
      <c r="A333" s="1"/>
      <c r="B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</row>
    <row r="334" spans="1:40" s="4" customFormat="1">
      <c r="A334" s="1"/>
      <c r="B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</row>
    <row r="335" spans="1:40" s="4" customFormat="1">
      <c r="A335" s="1"/>
      <c r="B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</row>
    <row r="336" spans="1:40" s="4" customFormat="1">
      <c r="A336" s="1"/>
      <c r="B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</row>
    <row r="337" spans="1:40" s="4" customFormat="1">
      <c r="A337" s="1"/>
      <c r="B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</row>
    <row r="338" spans="1:40" s="4" customFormat="1">
      <c r="A338" s="1"/>
      <c r="B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</row>
    <row r="339" spans="1:40" s="4" customFormat="1">
      <c r="A339" s="1"/>
      <c r="B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</row>
    <row r="340" spans="1:40" s="4" customFormat="1">
      <c r="A340" s="1"/>
      <c r="B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</row>
    <row r="341" spans="1:40" s="4" customFormat="1">
      <c r="A341" s="1"/>
      <c r="B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</row>
    <row r="342" spans="1:40" s="4" customFormat="1">
      <c r="A342" s="1"/>
      <c r="B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</row>
    <row r="343" spans="1:40" s="4" customFormat="1">
      <c r="A343" s="1"/>
      <c r="B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</row>
    <row r="344" spans="1:40" s="4" customFormat="1">
      <c r="A344" s="1"/>
      <c r="B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</row>
    <row r="345" spans="1:40" s="4" customFormat="1">
      <c r="A345" s="1"/>
      <c r="B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</row>
    <row r="346" spans="1:40" s="4" customFormat="1">
      <c r="A346" s="1"/>
      <c r="B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</row>
    <row r="347" spans="1:40" s="4" customFormat="1">
      <c r="A347" s="1"/>
      <c r="B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</row>
    <row r="348" spans="1:40" s="4" customFormat="1">
      <c r="A348" s="1"/>
      <c r="B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</row>
    <row r="349" spans="1:40" s="4" customFormat="1">
      <c r="A349" s="1"/>
      <c r="B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</row>
    <row r="350" spans="1:40" s="4" customFormat="1">
      <c r="A350" s="1"/>
      <c r="B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</row>
    <row r="351" spans="1:40" s="4" customFormat="1">
      <c r="A351" s="1"/>
      <c r="B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</row>
    <row r="352" spans="1:40" s="4" customFormat="1">
      <c r="A352" s="1"/>
      <c r="B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</row>
    <row r="353" spans="1:40" s="4" customFormat="1">
      <c r="A353" s="1"/>
      <c r="B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</row>
    <row r="354" spans="1:40" s="4" customFormat="1">
      <c r="A354" s="1"/>
      <c r="B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</row>
    <row r="355" spans="1:40" s="4" customFormat="1">
      <c r="A355" s="1"/>
      <c r="B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</row>
    <row r="356" spans="1:40" s="4" customFormat="1">
      <c r="A356" s="1"/>
      <c r="B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</row>
    <row r="357" spans="1:40" s="4" customFormat="1">
      <c r="A357" s="1"/>
      <c r="B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</row>
    <row r="358" spans="1:40" s="4" customFormat="1">
      <c r="A358" s="1"/>
      <c r="B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</row>
    <row r="359" spans="1:40" s="4" customFormat="1">
      <c r="A359" s="1"/>
      <c r="B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</row>
    <row r="360" spans="1:40" s="4" customFormat="1">
      <c r="A360" s="1"/>
      <c r="B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</row>
    <row r="361" spans="1:40" s="4" customFormat="1">
      <c r="A361" s="1"/>
      <c r="B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</row>
    <row r="362" spans="1:40" s="4" customFormat="1">
      <c r="A362" s="1"/>
      <c r="B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</row>
    <row r="363" spans="1:40" s="4" customFormat="1">
      <c r="A363" s="1"/>
      <c r="B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</row>
    <row r="364" spans="1:40" s="4" customFormat="1">
      <c r="A364" s="1"/>
      <c r="B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</row>
    <row r="365" spans="1:40" s="4" customFormat="1">
      <c r="A365" s="1"/>
      <c r="B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</row>
    <row r="366" spans="1:40" s="4" customFormat="1">
      <c r="A366" s="1"/>
      <c r="B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</row>
    <row r="367" spans="1:40" s="4" customFormat="1">
      <c r="A367" s="1"/>
      <c r="B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</row>
    <row r="368" spans="1:40" s="4" customFormat="1">
      <c r="A368" s="1"/>
      <c r="B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</row>
    <row r="369" spans="1:40" s="4" customFormat="1">
      <c r="A369" s="1"/>
      <c r="B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</row>
    <row r="370" spans="1:40" s="4" customFormat="1">
      <c r="A370" s="1"/>
      <c r="B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</row>
    <row r="371" spans="1:40" s="4" customFormat="1">
      <c r="A371" s="1"/>
      <c r="B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</row>
    <row r="372" spans="1:40" s="4" customFormat="1">
      <c r="A372" s="1"/>
      <c r="B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</row>
    <row r="373" spans="1:40" s="4" customFormat="1">
      <c r="A373" s="1"/>
      <c r="B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</row>
    <row r="374" spans="1:40" s="4" customFormat="1">
      <c r="A374" s="1"/>
      <c r="B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</row>
    <row r="375" spans="1:40" s="4" customFormat="1">
      <c r="A375" s="1"/>
      <c r="B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</row>
    <row r="376" spans="1:40" s="4" customFormat="1">
      <c r="A376" s="1"/>
      <c r="B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</row>
    <row r="377" spans="1:40" s="4" customFormat="1">
      <c r="A377" s="1"/>
      <c r="B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</row>
    <row r="378" spans="1:40" s="4" customFormat="1">
      <c r="A378" s="1"/>
      <c r="B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</row>
    <row r="379" spans="1:40" s="4" customFormat="1">
      <c r="A379" s="1"/>
      <c r="B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</row>
    <row r="380" spans="1:40" s="4" customFormat="1">
      <c r="A380" s="1"/>
      <c r="B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</row>
    <row r="381" spans="1:40" s="4" customFormat="1">
      <c r="A381" s="1"/>
      <c r="B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</row>
    <row r="382" spans="1:40" s="4" customFormat="1">
      <c r="A382" s="1"/>
      <c r="B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</row>
    <row r="383" spans="1:40" s="4" customFormat="1">
      <c r="A383" s="1"/>
      <c r="B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</row>
    <row r="384" spans="1:40" s="4" customFormat="1">
      <c r="A384" s="1"/>
      <c r="B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</row>
    <row r="385" spans="1:40" s="4" customFormat="1">
      <c r="A385" s="1"/>
      <c r="B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</row>
    <row r="386" spans="1:40" s="4" customFormat="1">
      <c r="A386" s="1"/>
      <c r="B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</row>
  </sheetData>
  <mergeCells count="8">
    <mergeCell ref="F26:H27"/>
    <mergeCell ref="I26:J26"/>
    <mergeCell ref="I2:J2"/>
    <mergeCell ref="K2:L2"/>
    <mergeCell ref="I3:I4"/>
    <mergeCell ref="J3:J4"/>
    <mergeCell ref="K3:K4"/>
    <mergeCell ref="L3:L4"/>
  </mergeCells>
  <pageMargins left="0.74803149606299213" right="0.74803149606299213" top="0.98425196850393704" bottom="0.98425196850393704" header="0" footer="0"/>
  <pageSetup paperSize="9" scale="53" fitToHeight="2" orientation="landscape" horizontalDpi="300" verticalDpi="3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82A296B-B3EA-EB40-B4EB-161341AF7776}">
          <x14:formula1>
            <xm:f>Skattesatser!$B$6:$B$103</xm:f>
          </x14:formula1>
          <xm:sqref>C12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9AD55-6CB1-7B43-B718-4F0E4730046B}">
  <sheetPr>
    <tabColor rgb="FFFF0000"/>
    <pageSetUpPr fitToPage="1"/>
  </sheetPr>
  <dimension ref="A1:AN393"/>
  <sheetViews>
    <sheetView zoomScale="120" zoomScaleNormal="120" workbookViewId="0">
      <selection activeCell="C15" sqref="C15"/>
    </sheetView>
  </sheetViews>
  <sheetFormatPr baseColWidth="10" defaultColWidth="8.6640625" defaultRowHeight="13"/>
  <cols>
    <col min="1" max="1" width="1.6640625" style="1" customWidth="1"/>
    <col min="2" max="2" width="51.6640625" style="5" customWidth="1"/>
    <col min="3" max="3" width="14" style="5" customWidth="1"/>
    <col min="4" max="4" width="14.5" style="4" customWidth="1"/>
    <col min="5" max="5" width="6.6640625" style="4" customWidth="1"/>
    <col min="6" max="6" width="37.5" style="4" customWidth="1"/>
    <col min="7" max="7" width="9.5" style="4" customWidth="1"/>
    <col min="8" max="8" width="12.1640625" style="4" customWidth="1"/>
    <col min="9" max="9" width="12.5" style="5" customWidth="1"/>
    <col min="10" max="10" width="13.5" style="5" customWidth="1"/>
    <col min="11" max="11" width="11.6640625" style="5" customWidth="1"/>
    <col min="12" max="12" width="14.5" style="5" customWidth="1"/>
    <col min="13" max="25" width="13.5" style="5" customWidth="1"/>
    <col min="26" max="27" width="11" style="5" customWidth="1"/>
    <col min="28" max="28" width="14.1640625" style="5" customWidth="1"/>
    <col min="29" max="40" width="11" style="5" customWidth="1"/>
    <col min="41" max="16384" width="8.6640625" style="5"/>
  </cols>
  <sheetData>
    <row r="1" spans="1:32" ht="19" thickBot="1">
      <c r="B1" s="2" t="s">
        <v>96</v>
      </c>
      <c r="C1" s="915" t="s">
        <v>1</v>
      </c>
      <c r="D1" s="915"/>
      <c r="F1" s="5"/>
      <c r="G1" s="5"/>
      <c r="H1" s="5"/>
    </row>
    <row r="2" spans="1:32" ht="14" thickBot="1">
      <c r="B2" s="161" t="s">
        <v>97</v>
      </c>
      <c r="C2" s="7" t="s">
        <v>86</v>
      </c>
      <c r="D2" s="162" t="s">
        <v>98</v>
      </c>
      <c r="F2" s="9"/>
      <c r="I2" s="906" t="str">
        <f>C2</f>
        <v>Person 1</v>
      </c>
      <c r="J2" s="907"/>
      <c r="K2" s="906" t="str">
        <f>D2</f>
        <v>Person 2</v>
      </c>
      <c r="L2" s="907"/>
    </row>
    <row r="3" spans="1:32">
      <c r="B3" s="10" t="s">
        <v>3</v>
      </c>
      <c r="C3" s="11">
        <v>0</v>
      </c>
      <c r="D3" s="163">
        <v>0</v>
      </c>
      <c r="F3" s="13"/>
      <c r="G3" s="14"/>
      <c r="H3" s="15"/>
      <c r="I3" s="909" t="s">
        <v>4</v>
      </c>
      <c r="J3" s="911" t="s">
        <v>5</v>
      </c>
      <c r="K3" s="909" t="s">
        <v>4</v>
      </c>
      <c r="L3" s="911" t="s">
        <v>5</v>
      </c>
    </row>
    <row r="4" spans="1:32" ht="14" thickBot="1">
      <c r="B4" s="16" t="s">
        <v>6</v>
      </c>
      <c r="C4" s="17">
        <v>0</v>
      </c>
      <c r="D4" s="164">
        <v>0</v>
      </c>
      <c r="F4" s="18" t="s">
        <v>7</v>
      </c>
      <c r="G4" s="19" t="s">
        <v>8</v>
      </c>
      <c r="H4" s="20" t="s">
        <v>9</v>
      </c>
      <c r="I4" s="910"/>
      <c r="J4" s="912"/>
      <c r="K4" s="910"/>
      <c r="L4" s="912"/>
    </row>
    <row r="5" spans="1:32">
      <c r="B5" s="16" t="s">
        <v>10</v>
      </c>
      <c r="C5" s="17">
        <v>29</v>
      </c>
      <c r="D5" s="17">
        <v>27</v>
      </c>
      <c r="F5" s="10" t="s">
        <v>11</v>
      </c>
      <c r="G5" s="22">
        <f>Bundskat</f>
        <v>0.1201</v>
      </c>
      <c r="H5" s="23">
        <f>Personfradrag</f>
        <v>51600</v>
      </c>
      <c r="I5" s="24">
        <f>IF($AC$28=1,($C$31+$AC$29),$C$77)-($H$5+$AB$41)</f>
        <v>-100164</v>
      </c>
      <c r="J5" s="25">
        <f>+IF(I5&gt;0,G5*I5,0)</f>
        <v>0</v>
      </c>
      <c r="K5" s="29">
        <f>IF(AC28=1,(D31+AD29),$D$77)-H5</f>
        <v>-51600</v>
      </c>
      <c r="L5" s="59">
        <f>+IF(K5&gt;0,K5*G5,0)</f>
        <v>0</v>
      </c>
    </row>
    <row r="6" spans="1:32">
      <c r="B6" s="16" t="s">
        <v>12</v>
      </c>
      <c r="C6" s="26" t="s">
        <v>782</v>
      </c>
      <c r="D6" s="165" t="s">
        <v>13</v>
      </c>
      <c r="F6" s="16" t="s">
        <v>14</v>
      </c>
      <c r="G6" s="27">
        <f>Topskat</f>
        <v>0.15</v>
      </c>
      <c r="H6" s="28">
        <f>TopSkatGranse</f>
        <v>611800</v>
      </c>
      <c r="I6" s="29">
        <f>MAX((C78-$H$6),0)</f>
        <v>0</v>
      </c>
      <c r="J6" s="30">
        <f>G6*I6</f>
        <v>0</v>
      </c>
      <c r="K6" s="29">
        <f>MAX((D77-$H$6),0)</f>
        <v>0</v>
      </c>
      <c r="L6" s="30">
        <f>G6*K6</f>
        <v>0</v>
      </c>
    </row>
    <row r="7" spans="1:32">
      <c r="B7" s="16" t="s">
        <v>15</v>
      </c>
      <c r="C7" s="17">
        <v>6000</v>
      </c>
      <c r="D7" s="164">
        <v>0</v>
      </c>
      <c r="F7" s="16" t="s">
        <v>16</v>
      </c>
      <c r="G7" s="27">
        <f>Sundhedsbidrag</f>
        <v>0</v>
      </c>
      <c r="H7" s="28">
        <f>Personfradrag</f>
        <v>51600</v>
      </c>
      <c r="I7" s="29">
        <f>($C$45+AB29)-(H7+AB43)</f>
        <v>-106569.9</v>
      </c>
      <c r="J7" s="30">
        <f>+IF(I7&gt;0,I7*G7,0)</f>
        <v>0</v>
      </c>
      <c r="K7" s="29">
        <f>($D$45-AB29)-H7</f>
        <v>-51600</v>
      </c>
      <c r="L7" s="30">
        <f>+IF(K7&gt;0,G7*K7,0)</f>
        <v>0</v>
      </c>
    </row>
    <row r="8" spans="1:32">
      <c r="B8" s="16" t="s">
        <v>17</v>
      </c>
      <c r="C8" s="17">
        <v>0</v>
      </c>
      <c r="D8" s="164">
        <v>0</v>
      </c>
      <c r="F8" s="16" t="s">
        <v>18</v>
      </c>
      <c r="G8" s="27">
        <f>C13</f>
        <v>0.2452</v>
      </c>
      <c r="H8" s="28">
        <f>Personfradrag</f>
        <v>51600</v>
      </c>
      <c r="I8" s="29">
        <f>($C$45+AB29)-(H8+AB44)</f>
        <v>-106569.9</v>
      </c>
      <c r="J8" s="30">
        <f>+IF(I8&gt;0,$C$13*I8,0)</f>
        <v>0</v>
      </c>
      <c r="K8" s="29">
        <f>($D$45-AB29)-H8</f>
        <v>-51600</v>
      </c>
      <c r="L8" s="30">
        <f>+IF(K8&gt;0,$D$13*K8,0)</f>
        <v>0</v>
      </c>
    </row>
    <row r="9" spans="1:32" ht="14" thickBot="1">
      <c r="B9" s="32" t="s">
        <v>19</v>
      </c>
      <c r="C9" s="33">
        <v>1</v>
      </c>
      <c r="D9" s="166">
        <v>0</v>
      </c>
      <c r="F9" s="16" t="s">
        <v>20</v>
      </c>
      <c r="G9" s="27">
        <f>C14</f>
        <v>0</v>
      </c>
      <c r="H9" s="28">
        <f>Personfradrag</f>
        <v>51600</v>
      </c>
      <c r="I9" s="29">
        <f>($C$45+AB29)-(H9+AB45)</f>
        <v>-106569.9</v>
      </c>
      <c r="J9" s="30">
        <f>+IF(I9&gt;0,$C$14*I9,0)</f>
        <v>0</v>
      </c>
      <c r="K9" s="29">
        <f>($D$45-AB29)-H9</f>
        <v>-51600</v>
      </c>
      <c r="L9" s="30">
        <f>+IF(K9&gt;0,$D$14*K9,0)</f>
        <v>0</v>
      </c>
    </row>
    <row r="10" spans="1:32" ht="14" thickBot="1">
      <c r="B10" s="16" t="s">
        <v>21</v>
      </c>
      <c r="C10" s="17">
        <v>216</v>
      </c>
      <c r="D10" s="164">
        <v>0</v>
      </c>
      <c r="F10" s="34"/>
      <c r="G10" s="35"/>
      <c r="H10" s="36"/>
      <c r="I10" s="37"/>
      <c r="J10" s="38">
        <f>SUM(J5:J9)</f>
        <v>0</v>
      </c>
      <c r="K10" s="36"/>
      <c r="L10" s="38">
        <f>SUM(L5:L9)</f>
        <v>0</v>
      </c>
    </row>
    <row r="11" spans="1:32">
      <c r="B11" s="16" t="s">
        <v>22</v>
      </c>
      <c r="C11" s="26" t="s">
        <v>13</v>
      </c>
      <c r="D11" s="165" t="s">
        <v>13</v>
      </c>
      <c r="F11" s="29"/>
      <c r="I11" s="39"/>
      <c r="J11" s="40"/>
      <c r="K11" s="41"/>
      <c r="L11" s="167"/>
    </row>
    <row r="12" spans="1:32" ht="14" thickBot="1">
      <c r="B12" s="43" t="s">
        <v>23</v>
      </c>
      <c r="C12" s="26" t="s">
        <v>781</v>
      </c>
      <c r="D12" s="165" t="str">
        <f>C12</f>
        <v>Aarhus</v>
      </c>
      <c r="F12" s="45" t="s">
        <v>25</v>
      </c>
      <c r="G12" s="27"/>
      <c r="I12" s="29"/>
      <c r="J12" s="46">
        <f>IF(AA29&gt;=0,0,IF(AA29&gt;=GranseNegKIPar,TillagNegKI*AA29,TillagNegKI*GranseNegKIPar))</f>
        <v>0</v>
      </c>
      <c r="K12" s="4"/>
      <c r="L12" s="59"/>
    </row>
    <row r="13" spans="1:32">
      <c r="B13" s="16" t="s">
        <v>26</v>
      </c>
      <c r="C13" s="897">
        <f>_xlfn.XLOOKUP(C12,Skattesatser!B6:B103,Skattesatser!C6:C103,2)/100</f>
        <v>0.2452</v>
      </c>
      <c r="D13" s="897">
        <f>_xlfn.XLOOKUP(D12,Skattesatser!B6:B103,Skattesatser!C6:C103,2)/100</f>
        <v>0.2452</v>
      </c>
      <c r="F13" s="48" t="s">
        <v>27</v>
      </c>
      <c r="G13" s="5"/>
      <c r="I13" s="49">
        <f>IF($C$81&gt;SkraatSkatteloftPI,$C$81-SkraatSkatteloftPI,0)</f>
        <v>0</v>
      </c>
      <c r="J13" s="46">
        <f>-I13*C83</f>
        <v>0</v>
      </c>
      <c r="K13" s="50">
        <f>IF($D$81&gt;SkraatSkatteloftPI,$D$81-SkraatSkatteloftPI,0)</f>
        <v>0</v>
      </c>
      <c r="L13" s="46">
        <f>-K13*D83</f>
        <v>0</v>
      </c>
    </row>
    <row r="14" spans="1:32" s="54" customFormat="1">
      <c r="A14" s="52"/>
      <c r="B14" s="16" t="s">
        <v>28</v>
      </c>
      <c r="C14" s="47">
        <f>IF(C11="ja",_xlfn.XLOOKUP(C12,Skattesatser!B6:B103,Skattesatser!D6:D103,2)/100,0)</f>
        <v>0</v>
      </c>
      <c r="D14" s="47">
        <f>IF(D11="ja",_xlfn.XLOOKUP(D12,Skattesatser!B6:B103,Skattesatser!D6:D103,2)/100,0)</f>
        <v>0</v>
      </c>
      <c r="F14" s="48" t="s">
        <v>29</v>
      </c>
      <c r="G14" s="5"/>
      <c r="H14" s="4"/>
      <c r="I14" s="49">
        <f>IF($C$81&gt;SkraatSkatteloftKI,$C$81-SkraatSkatteloftKI,0)</f>
        <v>9.5299999999999996E-2</v>
      </c>
      <c r="J14" s="46">
        <f>-I14*C84</f>
        <v>0</v>
      </c>
      <c r="K14" s="4"/>
      <c r="L14" s="59"/>
    </row>
    <row r="15" spans="1:32" s="54" customFormat="1" ht="14" thickBot="1">
      <c r="A15" s="52"/>
      <c r="B15" s="16" t="s">
        <v>30</v>
      </c>
      <c r="C15" s="169">
        <f>_xlfn.XLOOKUP(C12,Skattesatser!B6:B103,Skattesatser!E6:E103,2)/1000</f>
        <v>6.0000000000000001E-3</v>
      </c>
      <c r="D15" s="170"/>
      <c r="F15" s="48"/>
      <c r="G15" s="5"/>
      <c r="H15" s="4"/>
      <c r="I15" s="56"/>
      <c r="J15" s="30">
        <f>SUM(J10:J14)</f>
        <v>0</v>
      </c>
      <c r="K15" s="4"/>
      <c r="L15" s="30">
        <f>SUM(L10:L14)</f>
        <v>0</v>
      </c>
    </row>
    <row r="16" spans="1:32" s="54" customFormat="1" ht="14" thickBot="1">
      <c r="A16" s="52"/>
      <c r="B16" s="57" t="s">
        <v>31</v>
      </c>
      <c r="C16" s="17">
        <v>0</v>
      </c>
      <c r="D16" s="171"/>
      <c r="F16" s="45"/>
      <c r="G16" s="58"/>
      <c r="H16" s="4"/>
      <c r="I16" s="56"/>
      <c r="J16" s="59"/>
      <c r="K16" s="4"/>
      <c r="L16" s="172"/>
      <c r="AF16" s="5"/>
    </row>
    <row r="17" spans="1:32" s="54" customFormat="1">
      <c r="A17" s="52"/>
      <c r="B17" s="48" t="s">
        <v>32</v>
      </c>
      <c r="C17" s="17">
        <v>0</v>
      </c>
      <c r="D17" s="171"/>
      <c r="F17" s="60"/>
      <c r="G17" s="61"/>
      <c r="H17" s="61"/>
      <c r="I17" s="62"/>
      <c r="J17" s="25"/>
      <c r="K17" s="62"/>
      <c r="L17" s="25"/>
      <c r="AF17" s="5"/>
    </row>
    <row r="18" spans="1:32" s="54" customFormat="1" ht="14" thickBot="1">
      <c r="A18" s="52"/>
      <c r="B18" s="63" t="s">
        <v>33</v>
      </c>
      <c r="C18" s="64">
        <v>0</v>
      </c>
      <c r="D18" s="173"/>
      <c r="F18" s="45" t="s">
        <v>34</v>
      </c>
      <c r="I18" s="65"/>
      <c r="J18" s="30">
        <f>J15+C27</f>
        <v>264</v>
      </c>
      <c r="K18" s="65"/>
      <c r="L18" s="30">
        <f>L15+D27</f>
        <v>0</v>
      </c>
      <c r="AF18" s="5"/>
    </row>
    <row r="19" spans="1:32" s="67" customFormat="1" ht="14" thickBot="1">
      <c r="A19" s="66"/>
      <c r="F19" s="69" t="s">
        <v>35</v>
      </c>
      <c r="I19" s="70"/>
      <c r="J19" s="30">
        <f>+F71/2</f>
        <v>0</v>
      </c>
      <c r="K19" s="70"/>
      <c r="L19" s="30">
        <f>J19</f>
        <v>0</v>
      </c>
      <c r="AF19" s="5"/>
    </row>
    <row r="20" spans="1:32" s="67" customFormat="1">
      <c r="A20" s="66"/>
      <c r="B20" s="71" t="s">
        <v>36</v>
      </c>
      <c r="C20" s="72">
        <v>0</v>
      </c>
      <c r="D20" s="174">
        <v>0</v>
      </c>
      <c r="E20" s="74"/>
      <c r="F20" s="45" t="s">
        <v>37</v>
      </c>
      <c r="I20" s="70"/>
      <c r="J20" s="30">
        <f>F72/2</f>
        <v>0</v>
      </c>
      <c r="K20" s="70"/>
      <c r="L20" s="30">
        <f>J20</f>
        <v>0</v>
      </c>
      <c r="AB20" s="5"/>
      <c r="AC20" s="5"/>
      <c r="AD20" s="5"/>
      <c r="AE20" s="5"/>
      <c r="AF20" s="5"/>
    </row>
    <row r="21" spans="1:32" s="67" customFormat="1">
      <c r="A21" s="66"/>
      <c r="B21" s="45" t="s">
        <v>38</v>
      </c>
      <c r="C21" s="75">
        <v>0</v>
      </c>
      <c r="D21" s="175">
        <v>0</v>
      </c>
      <c r="E21" s="74"/>
      <c r="F21" s="45" t="s">
        <v>39</v>
      </c>
      <c r="I21" s="70"/>
      <c r="J21" s="30">
        <f>-C18/2</f>
        <v>0</v>
      </c>
      <c r="K21" s="70"/>
      <c r="L21" s="30">
        <f>J21</f>
        <v>0</v>
      </c>
      <c r="AB21" s="5"/>
      <c r="AC21" s="5"/>
      <c r="AD21" s="5"/>
      <c r="AE21" s="5"/>
      <c r="AF21" s="5"/>
    </row>
    <row r="22" spans="1:32" ht="14" thickBot="1">
      <c r="B22" s="45" t="s">
        <v>40</v>
      </c>
      <c r="C22" s="76">
        <f>C21*C20</f>
        <v>0</v>
      </c>
      <c r="D22" s="176">
        <f>D21*D20</f>
        <v>0</v>
      </c>
      <c r="F22" s="45"/>
      <c r="G22" s="67"/>
      <c r="H22" s="67"/>
      <c r="I22" s="70"/>
      <c r="J22" s="30"/>
      <c r="K22" s="70"/>
      <c r="L22" s="30"/>
    </row>
    <row r="23" spans="1:32" ht="17" thickBot="1">
      <c r="B23" s="45" t="s">
        <v>41</v>
      </c>
      <c r="C23" s="77">
        <v>0</v>
      </c>
      <c r="D23" s="177">
        <v>0</v>
      </c>
      <c r="F23" s="78" t="s">
        <v>42</v>
      </c>
      <c r="G23" s="79"/>
      <c r="H23" s="79"/>
      <c r="I23" s="80"/>
      <c r="J23" s="81">
        <f>SUM(J18:J22)</f>
        <v>264</v>
      </c>
      <c r="K23" s="80"/>
      <c r="L23" s="81">
        <f>SUM(L18:L22)</f>
        <v>0</v>
      </c>
      <c r="M23" s="4"/>
    </row>
    <row r="24" spans="1:32" ht="14" thickBot="1">
      <c r="B24" s="83" t="s">
        <v>43</v>
      </c>
      <c r="C24" s="84">
        <f>IF(C6="ja",FriTelefon,0)</f>
        <v>3300</v>
      </c>
      <c r="D24" s="178">
        <f>IF(D6="ja",FriTelefon,0)</f>
        <v>0</v>
      </c>
    </row>
    <row r="25" spans="1:32" s="67" customFormat="1" ht="15" thickBot="1">
      <c r="A25" s="85"/>
      <c r="B25" s="86" t="s">
        <v>44</v>
      </c>
      <c r="C25" s="87">
        <f>C20-C22+C23+C24</f>
        <v>3300</v>
      </c>
      <c r="D25" s="87">
        <f>D20-D22+D23+D24</f>
        <v>0</v>
      </c>
      <c r="E25" s="74"/>
      <c r="F25" s="4"/>
      <c r="G25" s="4"/>
      <c r="H25" s="4"/>
      <c r="I25" s="5"/>
      <c r="J25" s="5"/>
      <c r="K25" s="5"/>
      <c r="L25" s="5"/>
    </row>
    <row r="26" spans="1:32" ht="15.75" customHeight="1" thickTop="1">
      <c r="A26" s="52"/>
      <c r="B26" s="88"/>
      <c r="C26" s="89"/>
      <c r="D26" s="179"/>
      <c r="F26" s="900" t="s">
        <v>45</v>
      </c>
      <c r="G26" s="901"/>
      <c r="H26" s="902"/>
      <c r="I26" s="906" t="str">
        <f>C2</f>
        <v>Person 1</v>
      </c>
      <c r="J26" s="907"/>
      <c r="K26" s="906" t="str">
        <f>D2</f>
        <v>Person 2</v>
      </c>
      <c r="L26" s="907"/>
      <c r="AB26" s="180" t="s">
        <v>99</v>
      </c>
      <c r="AC26" s="5" t="s">
        <v>100</v>
      </c>
    </row>
    <row r="27" spans="1:32" ht="14" thickBot="1">
      <c r="A27" s="52"/>
      <c r="B27" s="88" t="s">
        <v>46</v>
      </c>
      <c r="C27" s="90">
        <f>ArbBidrag*C25</f>
        <v>264</v>
      </c>
      <c r="D27" s="90">
        <f>ArbBidrag*D25</f>
        <v>0</v>
      </c>
      <c r="F27" s="903"/>
      <c r="G27" s="904"/>
      <c r="H27" s="905"/>
      <c r="I27" s="91" t="s">
        <v>47</v>
      </c>
      <c r="J27" s="92" t="s">
        <v>48</v>
      </c>
      <c r="K27" s="91" t="s">
        <v>47</v>
      </c>
      <c r="L27" s="92" t="s">
        <v>48</v>
      </c>
      <c r="AB27" s="181" t="s">
        <v>101</v>
      </c>
      <c r="AC27" s="5" t="s">
        <v>102</v>
      </c>
      <c r="AD27" s="5" t="s">
        <v>103</v>
      </c>
    </row>
    <row r="28" spans="1:32" ht="17" thickBot="1">
      <c r="A28" s="52"/>
      <c r="B28" s="45" t="s">
        <v>49</v>
      </c>
      <c r="C28" s="17">
        <v>0</v>
      </c>
      <c r="D28" s="164">
        <v>0</v>
      </c>
      <c r="F28" s="95" t="s">
        <v>50</v>
      </c>
      <c r="G28" s="96"/>
      <c r="H28" s="97"/>
      <c r="I28" s="24">
        <f>C20+C23+C28</f>
        <v>0</v>
      </c>
      <c r="J28" s="97">
        <f>I28/12</f>
        <v>0</v>
      </c>
      <c r="K28" s="24">
        <f>D20+D23+D28</f>
        <v>0</v>
      </c>
      <c r="L28" s="97">
        <f>K28/12</f>
        <v>0</v>
      </c>
      <c r="AB28" s="181" t="s">
        <v>104</v>
      </c>
      <c r="AC28" s="5">
        <f>IF(AA29&lt;0,0,IF((C35+0.00000001)*(D35+0.0000001)&lt;0,1,0))</f>
        <v>0</v>
      </c>
    </row>
    <row r="29" spans="1:32" ht="17" thickBot="1">
      <c r="A29" s="52"/>
      <c r="B29" s="45" t="s">
        <v>51</v>
      </c>
      <c r="C29" s="90">
        <f>IF(C3&gt;RatepensionMax,RatepensionMax,C3)</f>
        <v>0</v>
      </c>
      <c r="D29" s="90">
        <f>IF(D3&gt;RatepensionMax,RatepensionMax,D3)</f>
        <v>0</v>
      </c>
      <c r="F29" s="98" t="s">
        <v>52</v>
      </c>
      <c r="H29" s="59"/>
      <c r="I29" s="29">
        <f>C22</f>
        <v>0</v>
      </c>
      <c r="J29" s="59">
        <f>I29/12</f>
        <v>0</v>
      </c>
      <c r="K29" s="29">
        <f>D22</f>
        <v>0</v>
      </c>
      <c r="L29" s="59">
        <f>K29/12</f>
        <v>0</v>
      </c>
      <c r="AA29" s="182">
        <f>SUM(C35:D35)</f>
        <v>0</v>
      </c>
      <c r="AB29" s="183">
        <f>IF(D45&lt;0,IF(D31-D43&lt;0,D35,D35+D31-D43),0)</f>
        <v>0</v>
      </c>
      <c r="AC29" s="5">
        <f>IF(AC28=1,C35+D35,0)</f>
        <v>0</v>
      </c>
      <c r="AD29" s="5">
        <f>IF(AC28=1,0,D35)</f>
        <v>0</v>
      </c>
    </row>
    <row r="30" spans="1:32" ht="17" thickBot="1">
      <c r="A30" s="52"/>
      <c r="B30" s="45" t="s">
        <v>53</v>
      </c>
      <c r="C30" s="90">
        <f>+C4</f>
        <v>0</v>
      </c>
      <c r="D30" s="59">
        <f>+D4</f>
        <v>0</v>
      </c>
      <c r="F30" s="98" t="s">
        <v>54</v>
      </c>
      <c r="H30" s="59"/>
      <c r="I30" s="29">
        <f>J23</f>
        <v>264</v>
      </c>
      <c r="J30" s="59">
        <f>I30/12</f>
        <v>22</v>
      </c>
      <c r="K30" s="29">
        <f>L23</f>
        <v>0</v>
      </c>
      <c r="L30" s="59">
        <f>K30/12</f>
        <v>0</v>
      </c>
      <c r="M30" s="4"/>
      <c r="N30" s="184"/>
    </row>
    <row r="31" spans="1:32" ht="17" thickBot="1">
      <c r="A31" s="52"/>
      <c r="B31" s="86" t="s">
        <v>55</v>
      </c>
      <c r="C31" s="101">
        <f>C25-C27+C28-C29-C30</f>
        <v>3036</v>
      </c>
      <c r="D31" s="101">
        <f>D25-D27+D28-D29-D30</f>
        <v>0</v>
      </c>
      <c r="F31" s="102" t="s">
        <v>45</v>
      </c>
      <c r="G31" s="79"/>
      <c r="H31" s="103"/>
      <c r="I31" s="104">
        <f>I28-I29-I30</f>
        <v>-264</v>
      </c>
      <c r="J31" s="105">
        <f>I31/12</f>
        <v>-22</v>
      </c>
      <c r="K31" s="104">
        <f>K28-K29-K30</f>
        <v>0</v>
      </c>
      <c r="L31" s="105">
        <f>K31/12</f>
        <v>0</v>
      </c>
      <c r="Z31" s="4"/>
    </row>
    <row r="32" spans="1:32" ht="14" thickTop="1">
      <c r="A32" s="52"/>
      <c r="B32" s="45"/>
      <c r="C32" s="16"/>
      <c r="D32" s="167"/>
      <c r="Z32" s="4"/>
    </row>
    <row r="33" spans="1:28">
      <c r="B33" s="45" t="s">
        <v>56</v>
      </c>
      <c r="C33" s="17">
        <v>0</v>
      </c>
      <c r="D33" s="164">
        <v>0</v>
      </c>
      <c r="H33" s="107"/>
    </row>
    <row r="34" spans="1:28" ht="14" thickBot="1">
      <c r="B34" s="108" t="s">
        <v>57</v>
      </c>
      <c r="C34" s="17">
        <v>0</v>
      </c>
      <c r="D34" s="164">
        <v>0</v>
      </c>
    </row>
    <row r="35" spans="1:28" ht="15" thickBot="1">
      <c r="B35" s="86" t="s">
        <v>58</v>
      </c>
      <c r="C35" s="101">
        <f>+C33-C34</f>
        <v>0</v>
      </c>
      <c r="D35" s="185">
        <f>+D33-D34</f>
        <v>0</v>
      </c>
    </row>
    <row r="36" spans="1:28" ht="14" thickTop="1">
      <c r="B36" s="88"/>
      <c r="C36" s="109"/>
      <c r="D36" s="186"/>
    </row>
    <row r="37" spans="1:28" s="67" customFormat="1" ht="14" thickBot="1">
      <c r="A37" s="66"/>
      <c r="B37" s="69" t="s">
        <v>59</v>
      </c>
      <c r="C37" s="90">
        <f>MIN(+(C25+C22*3)*BFradragProc,BFradragMax)</f>
        <v>405.9</v>
      </c>
      <c r="D37" s="90">
        <f>MIN(+(D25+D22*3)*BFradragProc,BFradragMax)</f>
        <v>0</v>
      </c>
      <c r="E37" s="111"/>
      <c r="F37" s="111"/>
      <c r="H37" s="111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1:28">
      <c r="B38" s="69" t="s">
        <v>60</v>
      </c>
      <c r="C38" s="90">
        <f>MAX(0,MIN(+($C$25+C22*3-Jfradraggranse)*Jfradragproc,JfradragMax))</f>
        <v>0</v>
      </c>
      <c r="D38" s="90">
        <f>MAX(0,MIN(+($D$25+D22*3-Jfradraggranse)*Jfradragproc,JfradragMax))</f>
        <v>0</v>
      </c>
      <c r="AB38" s="180" t="s">
        <v>99</v>
      </c>
    </row>
    <row r="39" spans="1:28" ht="14.25" customHeight="1">
      <c r="B39" s="69" t="s">
        <v>61</v>
      </c>
      <c r="C39" s="90">
        <f>IF(C5&lt;=52,MIN(+(C3+C4+C22*3)*EPENfradragProc,EPENfradragMax),MIN(+(C3+C4+C22*3)*EPENSeniorProc,EPENSeniorMax))</f>
        <v>0</v>
      </c>
      <c r="D39" s="90">
        <f>IF(D5&lt;=52,MIN(+(D3+D4+D22*3)*EPENfradragProc,EPENfradragMax),MIN(+(D3+D4+D22*3)*EPENSeniorProc,EPENSeniorMax))</f>
        <v>0</v>
      </c>
      <c r="AB39" s="181" t="s">
        <v>105</v>
      </c>
    </row>
    <row r="40" spans="1:28">
      <c r="B40" s="69" t="s">
        <v>62</v>
      </c>
      <c r="C40" s="90">
        <f>IF(C7&gt;FagforeningMax,FagforeningMax,C7)+C8</f>
        <v>6000</v>
      </c>
      <c r="D40" s="90">
        <f>IF(D7&gt;FagforeningMax,FagforeningMax,D7)+D8</f>
        <v>0</v>
      </c>
      <c r="AB40" s="181" t="s">
        <v>104</v>
      </c>
    </row>
    <row r="41" spans="1:28" ht="16">
      <c r="B41" s="69" t="s">
        <v>63</v>
      </c>
      <c r="C41" s="90">
        <f>+$H$56</f>
        <v>0</v>
      </c>
      <c r="D41" s="90">
        <f>H65</f>
        <v>0</v>
      </c>
      <c r="AB41" s="187">
        <f>IF(D77&gt;H5,0,H5-D77)</f>
        <v>51600</v>
      </c>
    </row>
    <row r="42" spans="1:28" ht="14" thickBot="1">
      <c r="B42" s="69" t="s">
        <v>64</v>
      </c>
      <c r="C42" s="17">
        <v>0</v>
      </c>
      <c r="D42" s="164">
        <v>0</v>
      </c>
      <c r="AB42" s="188"/>
    </row>
    <row r="43" spans="1:28" ht="17" thickBot="1">
      <c r="B43" s="86" t="s">
        <v>65</v>
      </c>
      <c r="C43" s="101">
        <f>SUM(C37:C42)</f>
        <v>6405.9</v>
      </c>
      <c r="D43" s="185">
        <f>SUM(D37:D42)</f>
        <v>0</v>
      </c>
      <c r="AB43" s="187">
        <f>IF($D$45&lt;0,H7,IF($D$45&gt;H7,0,H7-$D$45))</f>
        <v>51600</v>
      </c>
    </row>
    <row r="44" spans="1:28" ht="18" thickTop="1" thickBot="1">
      <c r="B44" s="112"/>
      <c r="C44" s="113"/>
      <c r="D44" s="30"/>
      <c r="AB44" s="187">
        <f>IF($D$45&lt;0,H8,IF($D$45&gt;H8,0,H8-$D$45))</f>
        <v>51600</v>
      </c>
    </row>
    <row r="45" spans="1:28" ht="17" thickBot="1">
      <c r="B45" s="114" t="s">
        <v>66</v>
      </c>
      <c r="C45" s="115">
        <f>+C31+C35-C43</f>
        <v>-3369.8999999999996</v>
      </c>
      <c r="D45" s="189">
        <f>+D31+D35-D43</f>
        <v>0</v>
      </c>
      <c r="AB45" s="183">
        <f>IF($D$45&lt;0,H9,IF($D$45&gt;H9,0,H9-$D$45))</f>
        <v>51600</v>
      </c>
    </row>
    <row r="49" spans="1:40" ht="14" thickBot="1"/>
    <row r="50" spans="1:40" ht="14" thickBot="1">
      <c r="B50" s="116" t="s">
        <v>67</v>
      </c>
      <c r="D50" s="117"/>
    </row>
    <row r="51" spans="1:40" ht="14" thickBot="1">
      <c r="D51" s="117"/>
    </row>
    <row r="52" spans="1:40" ht="14" thickBot="1">
      <c r="B52" s="118" t="s">
        <v>68</v>
      </c>
      <c r="D52" s="117"/>
    </row>
    <row r="53" spans="1:40">
      <c r="B53" s="13"/>
      <c r="C53" s="119" t="s">
        <v>69</v>
      </c>
      <c r="D53" s="119" t="s">
        <v>70</v>
      </c>
      <c r="E53" s="120" t="s">
        <v>71</v>
      </c>
      <c r="F53" s="121" t="s">
        <v>72</v>
      </c>
      <c r="G53" s="121" t="s">
        <v>73</v>
      </c>
      <c r="H53" s="122" t="s">
        <v>74</v>
      </c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4"/>
      <c r="AA53" s="4" t="s">
        <v>75</v>
      </c>
    </row>
    <row r="54" spans="1:40">
      <c r="B54" s="123" t="s">
        <v>76</v>
      </c>
      <c r="C54" s="124">
        <f>BeFradragHojSats</f>
        <v>2.23</v>
      </c>
      <c r="D54" s="125">
        <f>C10</f>
        <v>216</v>
      </c>
      <c r="E54" s="126">
        <f>C9</f>
        <v>1</v>
      </c>
      <c r="F54" s="125">
        <f>BeFradragKmMin</f>
        <v>24</v>
      </c>
      <c r="G54" s="127">
        <f>IF(E54&gt;F54,MIN(E54,BeFradragKmMax)-F54,0)</f>
        <v>0</v>
      </c>
      <c r="H54" s="128">
        <f>+(D54*G54)*C54</f>
        <v>0</v>
      </c>
      <c r="I54" s="4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4"/>
    </row>
    <row r="55" spans="1:40">
      <c r="B55" s="123" t="s">
        <v>77</v>
      </c>
      <c r="C55" s="124">
        <f>BeFradragLavSats</f>
        <v>1.1200000000000001</v>
      </c>
      <c r="D55" s="125">
        <f>C10</f>
        <v>216</v>
      </c>
      <c r="E55" s="126">
        <f>MAX(E54-BeFradragKmMax,0)</f>
        <v>0</v>
      </c>
      <c r="F55" s="125"/>
      <c r="G55" s="127">
        <f>MAX(E55,0)</f>
        <v>0</v>
      </c>
      <c r="H55" s="128">
        <f>+(D55*G55)*C55</f>
        <v>0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</row>
    <row r="56" spans="1:40">
      <c r="B56" s="129" t="s">
        <v>78</v>
      </c>
      <c r="C56" s="124"/>
      <c r="D56" s="130"/>
      <c r="E56" s="130"/>
      <c r="F56" s="125"/>
      <c r="G56" s="130"/>
      <c r="H56" s="128">
        <f>SUM(H54:H55)</f>
        <v>0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</row>
    <row r="57" spans="1:40">
      <c r="B57" s="123"/>
      <c r="C57" s="124"/>
      <c r="D57" s="130"/>
      <c r="E57" s="130"/>
      <c r="F57" s="125"/>
      <c r="G57" s="130"/>
      <c r="H57" s="128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</row>
    <row r="58" spans="1:40">
      <c r="B58" s="129" t="s">
        <v>79</v>
      </c>
      <c r="C58" s="124"/>
      <c r="D58" s="130"/>
      <c r="E58" s="130"/>
      <c r="F58" s="125"/>
      <c r="G58" s="130"/>
      <c r="H58" s="128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</row>
    <row r="59" spans="1:40" s="137" customFormat="1" ht="17" thickBot="1">
      <c r="A59" s="131"/>
      <c r="B59" s="132"/>
      <c r="C59" s="133"/>
      <c r="D59" s="134"/>
      <c r="E59" s="134"/>
      <c r="F59" s="135"/>
      <c r="G59" s="134"/>
      <c r="H59" s="136"/>
      <c r="I59" s="5"/>
      <c r="K59" s="138"/>
      <c r="L59" s="138"/>
      <c r="M59" s="138"/>
      <c r="N59" s="138"/>
      <c r="O59" s="138"/>
      <c r="P59" s="138"/>
      <c r="Q59" s="138"/>
      <c r="R59" s="138"/>
      <c r="S59" s="138"/>
      <c r="T59" s="138"/>
      <c r="U59" s="138"/>
      <c r="V59" s="138"/>
      <c r="W59" s="138"/>
      <c r="X59" s="138"/>
      <c r="Y59" s="138"/>
      <c r="Z59" s="138"/>
      <c r="AA59" s="138"/>
      <c r="AB59" s="138"/>
      <c r="AC59" s="138"/>
      <c r="AD59" s="138"/>
      <c r="AE59" s="138"/>
      <c r="AF59" s="138"/>
      <c r="AG59" s="138"/>
      <c r="AH59" s="138"/>
      <c r="AI59" s="138"/>
      <c r="AJ59" s="138"/>
      <c r="AK59" s="138"/>
      <c r="AL59" s="138"/>
      <c r="AM59" s="138"/>
      <c r="AN59" s="138"/>
    </row>
    <row r="60" spans="1:40" s="137" customFormat="1" ht="17" thickBot="1">
      <c r="A60" s="131"/>
      <c r="B60" s="5"/>
      <c r="C60" s="139"/>
      <c r="D60" s="140"/>
      <c r="E60" s="4"/>
      <c r="F60" s="140"/>
      <c r="G60" s="4"/>
      <c r="H60" s="4"/>
      <c r="I60" s="5"/>
      <c r="J60" s="82"/>
      <c r="K60" s="138"/>
      <c r="L60" s="138"/>
      <c r="M60" s="138"/>
      <c r="N60" s="138"/>
      <c r="O60" s="138"/>
      <c r="P60" s="138"/>
      <c r="Q60" s="138"/>
      <c r="R60" s="138"/>
      <c r="S60" s="138"/>
      <c r="T60" s="138"/>
      <c r="U60" s="138"/>
      <c r="V60" s="138"/>
      <c r="W60" s="138"/>
      <c r="X60" s="138"/>
      <c r="Y60" s="138"/>
      <c r="Z60" s="138"/>
      <c r="AA60" s="138"/>
      <c r="AB60" s="138"/>
      <c r="AC60" s="138"/>
      <c r="AD60" s="138"/>
      <c r="AE60" s="138"/>
      <c r="AF60" s="138"/>
      <c r="AG60" s="138"/>
      <c r="AH60" s="138"/>
      <c r="AI60" s="138"/>
      <c r="AJ60" s="138"/>
      <c r="AK60" s="138"/>
      <c r="AL60" s="138"/>
      <c r="AM60" s="138"/>
      <c r="AN60" s="138"/>
    </row>
    <row r="61" spans="1:40" s="137" customFormat="1" ht="17" thickBot="1">
      <c r="A61" s="131"/>
      <c r="B61" s="118" t="s">
        <v>106</v>
      </c>
      <c r="C61" s="5"/>
      <c r="D61" s="117"/>
      <c r="E61" s="4"/>
      <c r="F61" s="4"/>
      <c r="G61" s="4"/>
      <c r="H61" s="4"/>
      <c r="I61" s="138"/>
      <c r="J61" s="82"/>
      <c r="K61" s="138"/>
      <c r="L61" s="138"/>
      <c r="M61" s="138"/>
      <c r="N61" s="138"/>
      <c r="O61" s="138"/>
      <c r="P61" s="138"/>
      <c r="Q61" s="138"/>
      <c r="R61" s="138"/>
      <c r="S61" s="138"/>
      <c r="T61" s="138"/>
      <c r="U61" s="138"/>
      <c r="V61" s="138"/>
      <c r="W61" s="138"/>
      <c r="X61" s="138"/>
      <c r="Y61" s="138"/>
      <c r="Z61" s="138"/>
      <c r="AA61" s="138"/>
      <c r="AB61" s="138"/>
      <c r="AC61" s="138"/>
      <c r="AD61" s="138"/>
      <c r="AE61" s="138"/>
      <c r="AF61" s="138"/>
      <c r="AG61" s="138"/>
      <c r="AH61" s="138"/>
      <c r="AI61" s="138"/>
      <c r="AJ61" s="138"/>
      <c r="AK61" s="138"/>
      <c r="AL61" s="138"/>
      <c r="AM61" s="138"/>
      <c r="AN61" s="138"/>
    </row>
    <row r="62" spans="1:40" s="137" customFormat="1" ht="16">
      <c r="A62" s="131"/>
      <c r="B62" s="13"/>
      <c r="C62" s="119" t="s">
        <v>69</v>
      </c>
      <c r="D62" s="119" t="s">
        <v>70</v>
      </c>
      <c r="E62" s="120" t="s">
        <v>71</v>
      </c>
      <c r="F62" s="121" t="s">
        <v>72</v>
      </c>
      <c r="G62" s="121" t="s">
        <v>73</v>
      </c>
      <c r="H62" s="122" t="s">
        <v>74</v>
      </c>
      <c r="I62" s="138"/>
      <c r="J62" s="82"/>
      <c r="K62" s="138"/>
      <c r="L62" s="138"/>
      <c r="M62" s="138"/>
      <c r="N62" s="138"/>
      <c r="O62" s="138"/>
      <c r="P62" s="138"/>
      <c r="Q62" s="138"/>
      <c r="R62" s="138"/>
      <c r="S62" s="138"/>
      <c r="T62" s="138"/>
      <c r="U62" s="138"/>
      <c r="V62" s="138"/>
      <c r="W62" s="138"/>
      <c r="X62" s="138"/>
      <c r="Y62" s="138"/>
      <c r="Z62" s="138"/>
      <c r="AA62" s="138"/>
      <c r="AB62" s="138"/>
      <c r="AC62" s="138"/>
      <c r="AD62" s="138"/>
      <c r="AE62" s="138"/>
      <c r="AF62" s="138"/>
      <c r="AG62" s="138"/>
      <c r="AH62" s="138"/>
      <c r="AI62" s="138"/>
      <c r="AJ62" s="138"/>
      <c r="AK62" s="138"/>
      <c r="AL62" s="138"/>
      <c r="AM62" s="138"/>
      <c r="AN62" s="138"/>
    </row>
    <row r="63" spans="1:40" s="137" customFormat="1" ht="16">
      <c r="A63" s="131"/>
      <c r="B63" s="123" t="s">
        <v>76</v>
      </c>
      <c r="C63" s="124">
        <f>C54</f>
        <v>2.23</v>
      </c>
      <c r="D63" s="125">
        <f>D10</f>
        <v>0</v>
      </c>
      <c r="E63" s="126">
        <f>D9</f>
        <v>0</v>
      </c>
      <c r="F63" s="125">
        <f>BeFradragKmMin</f>
        <v>24</v>
      </c>
      <c r="G63" s="127">
        <f>IF(E63&gt;F63,MIN(E63,BeFradragKmMax)-F63,0)</f>
        <v>0</v>
      </c>
      <c r="H63" s="128">
        <f>+(D63*G63)*C63</f>
        <v>0</v>
      </c>
      <c r="I63" s="138"/>
      <c r="J63" s="82"/>
      <c r="K63" s="138"/>
      <c r="L63" s="138"/>
      <c r="M63" s="138"/>
      <c r="N63" s="138"/>
      <c r="O63" s="138"/>
      <c r="P63" s="138"/>
      <c r="Q63" s="138"/>
      <c r="R63" s="138"/>
      <c r="S63" s="138"/>
      <c r="T63" s="138"/>
      <c r="U63" s="138"/>
      <c r="V63" s="138"/>
      <c r="W63" s="138"/>
      <c r="X63" s="138"/>
      <c r="Y63" s="138"/>
      <c r="Z63" s="138"/>
      <c r="AA63" s="138"/>
      <c r="AB63" s="138"/>
      <c r="AC63" s="138"/>
      <c r="AD63" s="138"/>
      <c r="AE63" s="138"/>
      <c r="AF63" s="138"/>
      <c r="AG63" s="138"/>
      <c r="AH63" s="138"/>
      <c r="AI63" s="138"/>
      <c r="AJ63" s="138"/>
      <c r="AK63" s="138"/>
      <c r="AL63" s="138"/>
      <c r="AM63" s="138"/>
      <c r="AN63" s="138"/>
    </row>
    <row r="64" spans="1:40" s="137" customFormat="1" ht="16">
      <c r="A64" s="131"/>
      <c r="B64" s="123" t="s">
        <v>77</v>
      </c>
      <c r="C64" s="124">
        <f>C55</f>
        <v>1.1200000000000001</v>
      </c>
      <c r="D64" s="125">
        <f>D10</f>
        <v>0</v>
      </c>
      <c r="E64" s="126">
        <f>MAX(E63-BeFradragKmMax,0)</f>
        <v>0</v>
      </c>
      <c r="F64" s="125"/>
      <c r="G64" s="127">
        <f>MAX(E64,0)</f>
        <v>0</v>
      </c>
      <c r="H64" s="128">
        <f>+(D64*G64)*C64</f>
        <v>0</v>
      </c>
      <c r="I64" s="138"/>
      <c r="J64" s="82"/>
      <c r="K64" s="138"/>
      <c r="L64" s="138"/>
      <c r="M64" s="138"/>
      <c r="N64" s="138"/>
      <c r="O64" s="138"/>
      <c r="P64" s="138"/>
      <c r="Q64" s="138"/>
      <c r="R64" s="138"/>
      <c r="S64" s="138"/>
      <c r="T64" s="138"/>
      <c r="U64" s="138"/>
      <c r="V64" s="138"/>
      <c r="W64" s="138"/>
      <c r="X64" s="138"/>
      <c r="Y64" s="138"/>
      <c r="Z64" s="138"/>
      <c r="AA64" s="138"/>
      <c r="AB64" s="138"/>
      <c r="AC64" s="138"/>
      <c r="AD64" s="138"/>
      <c r="AE64" s="138"/>
      <c r="AF64" s="138"/>
      <c r="AG64" s="138"/>
      <c r="AH64" s="138"/>
      <c r="AI64" s="138"/>
      <c r="AJ64" s="138"/>
      <c r="AK64" s="138"/>
      <c r="AL64" s="138"/>
      <c r="AM64" s="138"/>
      <c r="AN64" s="138"/>
    </row>
    <row r="65" spans="1:40" s="137" customFormat="1" ht="16">
      <c r="A65" s="131"/>
      <c r="B65" s="129" t="s">
        <v>78</v>
      </c>
      <c r="C65" s="124"/>
      <c r="D65" s="130"/>
      <c r="E65" s="130"/>
      <c r="F65" s="125"/>
      <c r="G65" s="130"/>
      <c r="H65" s="128">
        <f>SUM(H63:H64)</f>
        <v>0</v>
      </c>
      <c r="I65" s="138"/>
      <c r="J65" s="82"/>
      <c r="K65" s="138"/>
      <c r="L65" s="138"/>
      <c r="M65" s="138"/>
      <c r="N65" s="138"/>
      <c r="O65" s="138"/>
      <c r="P65" s="138"/>
      <c r="Q65" s="138"/>
      <c r="R65" s="138"/>
      <c r="S65" s="138"/>
      <c r="T65" s="138"/>
      <c r="U65" s="138"/>
      <c r="V65" s="138"/>
      <c r="W65" s="138"/>
      <c r="X65" s="138"/>
      <c r="Y65" s="138"/>
      <c r="Z65" s="138"/>
      <c r="AA65" s="138"/>
      <c r="AB65" s="138"/>
      <c r="AC65" s="138"/>
      <c r="AD65" s="138"/>
      <c r="AE65" s="138"/>
      <c r="AF65" s="138"/>
      <c r="AG65" s="138"/>
      <c r="AH65" s="138"/>
      <c r="AI65" s="138"/>
      <c r="AJ65" s="138"/>
      <c r="AK65" s="138"/>
      <c r="AL65" s="138"/>
      <c r="AM65" s="138"/>
      <c r="AN65" s="138"/>
    </row>
    <row r="66" spans="1:40" ht="16">
      <c r="B66" s="123"/>
      <c r="C66" s="124"/>
      <c r="D66" s="130"/>
      <c r="E66" s="130"/>
      <c r="F66" s="125"/>
      <c r="G66" s="130"/>
      <c r="H66" s="128"/>
      <c r="I66" s="4"/>
      <c r="J66" s="4"/>
      <c r="K66" s="190"/>
      <c r="L66" s="190"/>
      <c r="M66" s="190"/>
      <c r="N66" s="190"/>
      <c r="O66" s="190"/>
      <c r="P66" s="190"/>
      <c r="Q66" s="190"/>
      <c r="R66" s="190"/>
      <c r="S66" s="190"/>
      <c r="T66" s="190"/>
      <c r="U66" s="190"/>
      <c r="V66" s="190"/>
      <c r="W66" s="190"/>
      <c r="X66" s="190"/>
      <c r="Y66" s="190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</row>
    <row r="67" spans="1:40">
      <c r="B67" s="129" t="s">
        <v>79</v>
      </c>
      <c r="C67" s="124"/>
      <c r="D67" s="130"/>
      <c r="E67" s="130"/>
      <c r="F67" s="125"/>
      <c r="G67" s="130"/>
      <c r="H67" s="128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</row>
    <row r="68" spans="1:40" ht="14" thickBot="1">
      <c r="B68" s="132"/>
      <c r="C68" s="133"/>
      <c r="D68" s="134"/>
      <c r="E68" s="134"/>
      <c r="F68" s="135"/>
      <c r="G68" s="134"/>
      <c r="H68" s="136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</row>
    <row r="69" spans="1:40" ht="14" thickBot="1">
      <c r="C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</row>
    <row r="70" spans="1:40">
      <c r="B70" s="141" t="s">
        <v>80</v>
      </c>
      <c r="C70" s="142" t="s">
        <v>81</v>
      </c>
      <c r="D70" s="142" t="s">
        <v>82</v>
      </c>
      <c r="E70" s="142" t="s">
        <v>83</v>
      </c>
      <c r="F70" s="143" t="s">
        <v>84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</row>
    <row r="71" spans="1:40">
      <c r="B71" s="123" t="s">
        <v>35</v>
      </c>
      <c r="C71" s="144">
        <f>EjVSkatMin</f>
        <v>5.1000000000000004E-3</v>
      </c>
      <c r="D71" s="144">
        <f>EjVSkatMax-C71</f>
        <v>8.8999999999999999E-3</v>
      </c>
      <c r="E71" s="145">
        <f>C16</f>
        <v>0</v>
      </c>
      <c r="F71" s="146">
        <f>IF(E71&lt;Skattesatser!H14,C71*E71*Forsigtighed,C71*E71*Forsigtighed+(E71-Skattesatser!H14)*D71*Forsigtighed)</f>
        <v>0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</row>
    <row r="72" spans="1:40" ht="14" thickBot="1">
      <c r="B72" s="147" t="s">
        <v>37</v>
      </c>
      <c r="C72" s="148">
        <f>C15</f>
        <v>6.0000000000000001E-3</v>
      </c>
      <c r="D72" s="148"/>
      <c r="E72" s="149">
        <f>C17</f>
        <v>0</v>
      </c>
      <c r="F72" s="150">
        <f>E72*C72*Forsigtighed</f>
        <v>0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</row>
    <row r="73" spans="1:40">
      <c r="C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</row>
    <row r="74" spans="1:40" ht="14" thickBot="1"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</row>
    <row r="75" spans="1:40" ht="14" thickBot="1">
      <c r="B75" s="151" t="s">
        <v>85</v>
      </c>
      <c r="C75" s="118" t="s">
        <v>86</v>
      </c>
      <c r="D75" s="191" t="s">
        <v>98</v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</row>
    <row r="76" spans="1:40">
      <c r="B76" s="152" t="s">
        <v>87</v>
      </c>
      <c r="C76" s="153">
        <f>+C31</f>
        <v>3036</v>
      </c>
      <c r="D76" s="192">
        <f>+D31</f>
        <v>0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</row>
    <row r="77" spans="1:40">
      <c r="B77" s="154" t="s">
        <v>88</v>
      </c>
      <c r="C77" s="155">
        <f>MAX(C35+C31,C31)</f>
        <v>3036</v>
      </c>
      <c r="D77" s="128">
        <f>MAX(D35+D31,D31)</f>
        <v>0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</row>
    <row r="78" spans="1:40">
      <c r="B78" s="154" t="s">
        <v>89</v>
      </c>
      <c r="C78" s="155">
        <f>C76+C80</f>
        <v>3036</v>
      </c>
      <c r="D78" s="193"/>
      <c r="I78" s="156"/>
    </row>
    <row r="79" spans="1:40">
      <c r="B79" s="154" t="s">
        <v>90</v>
      </c>
      <c r="C79" s="155">
        <f>MAX(C35,0)</f>
        <v>0</v>
      </c>
      <c r="D79" s="128">
        <f>D35</f>
        <v>0</v>
      </c>
    </row>
    <row r="80" spans="1:40">
      <c r="B80" s="154" t="s">
        <v>107</v>
      </c>
      <c r="C80" s="155">
        <f>IF((C35+D35)&gt;KItilTopskatPar,C79+D79-KItilTopskatPar,0)</f>
        <v>0</v>
      </c>
      <c r="D80" s="193"/>
    </row>
    <row r="81" spans="2:4">
      <c r="B81" s="123" t="s">
        <v>92</v>
      </c>
      <c r="C81" s="157">
        <f>SUM(G5:G8)</f>
        <v>0.51529999999999998</v>
      </c>
      <c r="D81" s="194">
        <f>SUM(G5:G8)</f>
        <v>0.51529999999999998</v>
      </c>
    </row>
    <row r="82" spans="2:4">
      <c r="B82" s="154" t="s">
        <v>93</v>
      </c>
      <c r="C82" s="155">
        <f>IF(C78&gt;TopSkatGranse,C78-TopSkatGranse,0)</f>
        <v>0</v>
      </c>
      <c r="D82" s="128">
        <f>IF(D76&gt;Skattesatser!H35,D76-Skattesatser!H35,0)</f>
        <v>0</v>
      </c>
    </row>
    <row r="83" spans="2:4">
      <c r="B83" s="158" t="s">
        <v>94</v>
      </c>
      <c r="C83" s="155">
        <f>IF(C76&gt;TopSkatGranse,C76-TopSkatGranse,0)</f>
        <v>0</v>
      </c>
      <c r="D83" s="128">
        <f>IF(D76&gt;TopSkatGranse,D76-TopSkatGranse,0)</f>
        <v>0</v>
      </c>
    </row>
    <row r="84" spans="2:4" ht="14" thickBot="1">
      <c r="B84" s="159" t="s">
        <v>95</v>
      </c>
      <c r="C84" s="160">
        <f>C82-C83</f>
        <v>0</v>
      </c>
      <c r="D84" s="195"/>
    </row>
    <row r="109" spans="3:3">
      <c r="C109" s="4"/>
    </row>
    <row r="110" spans="3:3">
      <c r="C110" s="4"/>
    </row>
    <row r="111" spans="3:3">
      <c r="C111" s="4"/>
    </row>
    <row r="112" spans="3:3">
      <c r="C112" s="4"/>
    </row>
    <row r="113" spans="3:3">
      <c r="C113" s="4"/>
    </row>
    <row r="114" spans="3:3">
      <c r="C114" s="4"/>
    </row>
    <row r="115" spans="3:3">
      <c r="C115" s="4"/>
    </row>
    <row r="116" spans="3:3">
      <c r="C116" s="4"/>
    </row>
    <row r="117" spans="3:3">
      <c r="C117" s="4"/>
    </row>
    <row r="118" spans="3:3">
      <c r="C118" s="4"/>
    </row>
    <row r="119" spans="3:3">
      <c r="C119" s="4"/>
    </row>
    <row r="120" spans="3:3">
      <c r="C120" s="4"/>
    </row>
    <row r="121" spans="3:3">
      <c r="C121" s="4"/>
    </row>
    <row r="122" spans="3:3">
      <c r="C122" s="4"/>
    </row>
    <row r="123" spans="3:3">
      <c r="C123" s="4"/>
    </row>
    <row r="124" spans="3:3">
      <c r="C124" s="4"/>
    </row>
    <row r="125" spans="3:3">
      <c r="C125" s="4"/>
    </row>
    <row r="126" spans="3:3">
      <c r="C126" s="4"/>
    </row>
    <row r="127" spans="3:3">
      <c r="C127" s="4"/>
    </row>
    <row r="128" spans="3:3">
      <c r="C128" s="4"/>
    </row>
    <row r="129" spans="3:3">
      <c r="C129" s="4"/>
    </row>
    <row r="130" spans="3:3">
      <c r="C130" s="4"/>
    </row>
    <row r="131" spans="3:3">
      <c r="C131" s="4"/>
    </row>
    <row r="132" spans="3:3">
      <c r="C132" s="4"/>
    </row>
    <row r="133" spans="3:3">
      <c r="C133" s="4"/>
    </row>
    <row r="134" spans="3:3">
      <c r="C134" s="4"/>
    </row>
    <row r="135" spans="3:3">
      <c r="C135" s="4"/>
    </row>
    <row r="136" spans="3:3">
      <c r="C136" s="4"/>
    </row>
    <row r="137" spans="3:3">
      <c r="C137" s="4"/>
    </row>
    <row r="138" spans="3:3">
      <c r="C138" s="4"/>
    </row>
    <row r="139" spans="3:3">
      <c r="C139" s="4"/>
    </row>
    <row r="140" spans="3:3">
      <c r="C140" s="4"/>
    </row>
    <row r="141" spans="3:3">
      <c r="C141" s="4"/>
    </row>
    <row r="142" spans="3:3">
      <c r="C142" s="4"/>
    </row>
    <row r="143" spans="3:3">
      <c r="C143" s="4"/>
    </row>
    <row r="144" spans="3:3">
      <c r="C144" s="4"/>
    </row>
    <row r="145" spans="3:3">
      <c r="C145" s="4"/>
    </row>
    <row r="146" spans="3:3">
      <c r="C146" s="4"/>
    </row>
    <row r="147" spans="3:3">
      <c r="C147" s="4"/>
    </row>
    <row r="148" spans="3:3">
      <c r="C148" s="4"/>
    </row>
    <row r="149" spans="3:3">
      <c r="C149" s="4"/>
    </row>
    <row r="150" spans="3:3">
      <c r="C150" s="4"/>
    </row>
    <row r="151" spans="3:3">
      <c r="C151" s="4"/>
    </row>
    <row r="152" spans="3:3">
      <c r="C152" s="4"/>
    </row>
    <row r="153" spans="3:3">
      <c r="C153" s="4"/>
    </row>
    <row r="154" spans="3:3">
      <c r="C154" s="4"/>
    </row>
    <row r="155" spans="3:3">
      <c r="C155" s="4"/>
    </row>
    <row r="156" spans="3:3">
      <c r="C156" s="4"/>
    </row>
    <row r="157" spans="3:3">
      <c r="C157" s="4"/>
    </row>
    <row r="158" spans="3:3">
      <c r="C158" s="4"/>
    </row>
    <row r="159" spans="3:3">
      <c r="C159" s="4"/>
    </row>
    <row r="160" spans="3:3">
      <c r="C160" s="4"/>
    </row>
    <row r="161" spans="3:3">
      <c r="C161" s="4"/>
    </row>
    <row r="162" spans="3:3">
      <c r="C162" s="4"/>
    </row>
    <row r="163" spans="3:3">
      <c r="C163" s="4"/>
    </row>
    <row r="164" spans="3:3">
      <c r="C164" s="4"/>
    </row>
    <row r="165" spans="3:3">
      <c r="C165" s="4"/>
    </row>
    <row r="166" spans="3:3">
      <c r="C166" s="4"/>
    </row>
    <row r="167" spans="3:3">
      <c r="C167" s="4"/>
    </row>
    <row r="168" spans="3:3">
      <c r="C168" s="4"/>
    </row>
    <row r="169" spans="3:3">
      <c r="C169" s="4"/>
    </row>
    <row r="170" spans="3:3">
      <c r="C170" s="4"/>
    </row>
    <row r="171" spans="3:3">
      <c r="C171" s="4"/>
    </row>
    <row r="172" spans="3:3">
      <c r="C172" s="4"/>
    </row>
    <row r="173" spans="3:3">
      <c r="C173" s="4"/>
    </row>
    <row r="174" spans="3:3">
      <c r="C174" s="4"/>
    </row>
    <row r="175" spans="3:3">
      <c r="C175" s="4"/>
    </row>
    <row r="176" spans="3:3">
      <c r="C176" s="4"/>
    </row>
    <row r="177" spans="3:3">
      <c r="C177" s="4"/>
    </row>
    <row r="178" spans="3:3">
      <c r="C178" s="4"/>
    </row>
    <row r="179" spans="3:3">
      <c r="C179" s="4"/>
    </row>
    <row r="180" spans="3:3">
      <c r="C180" s="4"/>
    </row>
    <row r="181" spans="3:3">
      <c r="C181" s="4"/>
    </row>
    <row r="182" spans="3:3">
      <c r="C182" s="4"/>
    </row>
    <row r="183" spans="3:3">
      <c r="C183" s="4"/>
    </row>
    <row r="184" spans="3:3">
      <c r="C184" s="4"/>
    </row>
    <row r="185" spans="3:3">
      <c r="C185" s="4"/>
    </row>
    <row r="186" spans="3:3">
      <c r="C186" s="4"/>
    </row>
    <row r="187" spans="3:3">
      <c r="C187" s="4"/>
    </row>
    <row r="188" spans="3:3">
      <c r="C188" s="4"/>
    </row>
    <row r="189" spans="3:3">
      <c r="C189" s="4"/>
    </row>
    <row r="190" spans="3:3">
      <c r="C190" s="4"/>
    </row>
    <row r="191" spans="3:3">
      <c r="C191" s="4"/>
    </row>
    <row r="192" spans="3:3">
      <c r="C192" s="4"/>
    </row>
    <row r="193" spans="3:3">
      <c r="C193" s="4"/>
    </row>
    <row r="194" spans="3:3">
      <c r="C194" s="4"/>
    </row>
    <row r="195" spans="3:3">
      <c r="C195" s="4"/>
    </row>
    <row r="196" spans="3:3">
      <c r="C196" s="4"/>
    </row>
    <row r="197" spans="3:3">
      <c r="C197" s="4"/>
    </row>
    <row r="198" spans="3:3">
      <c r="C198" s="4"/>
    </row>
    <row r="199" spans="3:3">
      <c r="C199" s="4"/>
    </row>
    <row r="200" spans="3:3">
      <c r="C200" s="4"/>
    </row>
    <row r="201" spans="3:3">
      <c r="C201" s="4"/>
    </row>
    <row r="202" spans="3:3">
      <c r="C202" s="4"/>
    </row>
    <row r="203" spans="3:3">
      <c r="C203" s="4"/>
    </row>
    <row r="204" spans="3:3">
      <c r="C204" s="4"/>
    </row>
    <row r="205" spans="3:3">
      <c r="C205" s="4"/>
    </row>
    <row r="206" spans="3:3">
      <c r="C206" s="4"/>
    </row>
    <row r="207" spans="3:3">
      <c r="C207" s="4"/>
    </row>
    <row r="208" spans="3:3">
      <c r="C208" s="4"/>
    </row>
    <row r="209" spans="3:3">
      <c r="C209" s="4"/>
    </row>
    <row r="210" spans="3:3">
      <c r="C210" s="4"/>
    </row>
    <row r="211" spans="3:3">
      <c r="C211" s="4"/>
    </row>
    <row r="212" spans="3:3">
      <c r="C212" s="4"/>
    </row>
    <row r="213" spans="3:3">
      <c r="C213" s="4"/>
    </row>
    <row r="214" spans="3:3">
      <c r="C214" s="4"/>
    </row>
    <row r="215" spans="3:3">
      <c r="C215" s="4"/>
    </row>
    <row r="216" spans="3:3">
      <c r="C216" s="4"/>
    </row>
    <row r="217" spans="3:3">
      <c r="C217" s="4"/>
    </row>
    <row r="218" spans="3:3">
      <c r="C218" s="4"/>
    </row>
    <row r="219" spans="3:3">
      <c r="C219" s="4"/>
    </row>
    <row r="220" spans="3:3">
      <c r="C220" s="4"/>
    </row>
    <row r="221" spans="3:3">
      <c r="C221" s="4"/>
    </row>
    <row r="222" spans="3:3">
      <c r="C222" s="4"/>
    </row>
    <row r="223" spans="3:3">
      <c r="C223" s="4"/>
    </row>
    <row r="224" spans="3:3">
      <c r="C224" s="4"/>
    </row>
    <row r="225" spans="3:3">
      <c r="C225" s="4"/>
    </row>
    <row r="226" spans="3:3">
      <c r="C226" s="4"/>
    </row>
    <row r="227" spans="3:3">
      <c r="C227" s="4"/>
    </row>
    <row r="228" spans="3:3">
      <c r="C228" s="4"/>
    </row>
    <row r="229" spans="3:3">
      <c r="C229" s="4"/>
    </row>
    <row r="230" spans="3:3">
      <c r="C230" s="4"/>
    </row>
    <row r="231" spans="3:3">
      <c r="C231" s="4"/>
    </row>
    <row r="232" spans="3:3">
      <c r="C232" s="4"/>
    </row>
    <row r="233" spans="3:3">
      <c r="C233" s="4"/>
    </row>
    <row r="234" spans="3:3">
      <c r="C234" s="4"/>
    </row>
    <row r="235" spans="3:3">
      <c r="C235" s="4"/>
    </row>
    <row r="236" spans="3:3">
      <c r="C236" s="4"/>
    </row>
    <row r="237" spans="3:3">
      <c r="C237" s="4"/>
    </row>
    <row r="238" spans="3:3">
      <c r="C238" s="4"/>
    </row>
    <row r="239" spans="3:3">
      <c r="C239" s="4"/>
    </row>
    <row r="240" spans="3:3">
      <c r="C240" s="4"/>
    </row>
    <row r="241" spans="3:3">
      <c r="C241" s="4"/>
    </row>
    <row r="242" spans="3:3">
      <c r="C242" s="4"/>
    </row>
    <row r="243" spans="3:3">
      <c r="C243" s="4"/>
    </row>
    <row r="244" spans="3:3">
      <c r="C244" s="4"/>
    </row>
    <row r="245" spans="3:3">
      <c r="C245" s="4"/>
    </row>
    <row r="246" spans="3:3">
      <c r="C246" s="4"/>
    </row>
    <row r="247" spans="3:3">
      <c r="C247" s="4"/>
    </row>
    <row r="248" spans="3:3">
      <c r="C248" s="4"/>
    </row>
    <row r="249" spans="3:3">
      <c r="C249" s="4"/>
    </row>
    <row r="250" spans="3:3">
      <c r="C250" s="4"/>
    </row>
    <row r="251" spans="3:3">
      <c r="C251" s="4"/>
    </row>
    <row r="252" spans="3:3">
      <c r="C252" s="4"/>
    </row>
    <row r="253" spans="3:3">
      <c r="C253" s="4"/>
    </row>
    <row r="254" spans="3:3">
      <c r="C254" s="4"/>
    </row>
    <row r="255" spans="3:3">
      <c r="C255" s="4"/>
    </row>
    <row r="256" spans="3:3">
      <c r="C256" s="4"/>
    </row>
    <row r="257" spans="3:3">
      <c r="C257" s="4"/>
    </row>
    <row r="258" spans="3:3">
      <c r="C258" s="4"/>
    </row>
    <row r="259" spans="3:3">
      <c r="C259" s="4"/>
    </row>
    <row r="260" spans="3:3">
      <c r="C260" s="4"/>
    </row>
    <row r="261" spans="3:3">
      <c r="C261" s="4"/>
    </row>
    <row r="262" spans="3:3">
      <c r="C262" s="4"/>
    </row>
    <row r="263" spans="3:3">
      <c r="C263" s="4"/>
    </row>
    <row r="264" spans="3:3">
      <c r="C264" s="4"/>
    </row>
    <row r="265" spans="3:3">
      <c r="C265" s="4"/>
    </row>
    <row r="266" spans="3:3">
      <c r="C266" s="4"/>
    </row>
    <row r="267" spans="3:3">
      <c r="C267" s="4"/>
    </row>
    <row r="268" spans="3:3">
      <c r="C268" s="4"/>
    </row>
    <row r="269" spans="3:3">
      <c r="C269" s="4"/>
    </row>
    <row r="270" spans="3:3">
      <c r="C270" s="4"/>
    </row>
    <row r="271" spans="3:3">
      <c r="C271" s="4"/>
    </row>
    <row r="272" spans="3:3">
      <c r="C272" s="4"/>
    </row>
    <row r="273" spans="3:3">
      <c r="C273" s="4"/>
    </row>
    <row r="274" spans="3:3">
      <c r="C274" s="4"/>
    </row>
    <row r="275" spans="3:3">
      <c r="C275" s="4"/>
    </row>
    <row r="276" spans="3:3">
      <c r="C276" s="4"/>
    </row>
    <row r="277" spans="3:3">
      <c r="C277" s="4"/>
    </row>
    <row r="278" spans="3:3">
      <c r="C278" s="4"/>
    </row>
    <row r="279" spans="3:3">
      <c r="C279" s="4"/>
    </row>
    <row r="280" spans="3:3">
      <c r="C280" s="4"/>
    </row>
    <row r="281" spans="3:3">
      <c r="C281" s="4"/>
    </row>
    <row r="282" spans="3:3">
      <c r="C282" s="4"/>
    </row>
    <row r="283" spans="3:3">
      <c r="C283" s="4"/>
    </row>
    <row r="284" spans="3:3">
      <c r="C284" s="4"/>
    </row>
    <row r="285" spans="3:3">
      <c r="C285" s="4"/>
    </row>
    <row r="286" spans="3:3">
      <c r="C286" s="4"/>
    </row>
    <row r="287" spans="3:3">
      <c r="C287" s="4"/>
    </row>
    <row r="288" spans="3:3">
      <c r="C288" s="4"/>
    </row>
    <row r="289" spans="3:3">
      <c r="C289" s="4"/>
    </row>
    <row r="290" spans="3:3">
      <c r="C290" s="4"/>
    </row>
    <row r="291" spans="3:3">
      <c r="C291" s="4"/>
    </row>
    <row r="292" spans="3:3">
      <c r="C292" s="4"/>
    </row>
    <row r="293" spans="3:3">
      <c r="C293" s="4"/>
    </row>
    <row r="294" spans="3:3">
      <c r="C294" s="4"/>
    </row>
    <row r="295" spans="3:3">
      <c r="C295" s="4"/>
    </row>
    <row r="296" spans="3:3">
      <c r="C296" s="4"/>
    </row>
    <row r="297" spans="3:3">
      <c r="C297" s="4"/>
    </row>
    <row r="298" spans="3:3">
      <c r="C298" s="4"/>
    </row>
    <row r="299" spans="3:3">
      <c r="C299" s="4"/>
    </row>
    <row r="300" spans="3:3">
      <c r="C300" s="4"/>
    </row>
    <row r="301" spans="3:3">
      <c r="C301" s="4"/>
    </row>
    <row r="302" spans="3:3">
      <c r="C302" s="4"/>
    </row>
    <row r="303" spans="3:3">
      <c r="C303" s="4"/>
    </row>
    <row r="304" spans="3:3">
      <c r="C304" s="4"/>
    </row>
    <row r="305" spans="3:3">
      <c r="C305" s="4"/>
    </row>
    <row r="306" spans="3:3">
      <c r="C306" s="4"/>
    </row>
    <row r="307" spans="3:3">
      <c r="C307" s="4"/>
    </row>
    <row r="308" spans="3:3">
      <c r="C308" s="4"/>
    </row>
    <row r="309" spans="3:3">
      <c r="C309" s="4"/>
    </row>
    <row r="310" spans="3:3">
      <c r="C310" s="4"/>
    </row>
    <row r="311" spans="3:3">
      <c r="C311" s="4"/>
    </row>
    <row r="312" spans="3:3">
      <c r="C312" s="4"/>
    </row>
    <row r="313" spans="3:3">
      <c r="C313" s="4"/>
    </row>
    <row r="314" spans="3:3">
      <c r="C314" s="4"/>
    </row>
    <row r="315" spans="3:3">
      <c r="C315" s="4"/>
    </row>
    <row r="316" spans="3:3">
      <c r="C316" s="4"/>
    </row>
    <row r="317" spans="3:3">
      <c r="C317" s="4"/>
    </row>
    <row r="318" spans="3:3">
      <c r="C318" s="4"/>
    </row>
    <row r="319" spans="3:3">
      <c r="C319" s="4"/>
    </row>
    <row r="320" spans="3:3">
      <c r="C320" s="4"/>
    </row>
    <row r="321" spans="3:3">
      <c r="C321" s="4"/>
    </row>
    <row r="322" spans="3:3">
      <c r="C322" s="4"/>
    </row>
    <row r="323" spans="3:3">
      <c r="C323" s="4"/>
    </row>
    <row r="324" spans="3:3">
      <c r="C324" s="4"/>
    </row>
    <row r="325" spans="3:3">
      <c r="C325" s="4"/>
    </row>
    <row r="326" spans="3:3">
      <c r="C326" s="4"/>
    </row>
    <row r="327" spans="3:3">
      <c r="C327" s="4"/>
    </row>
    <row r="328" spans="3:3">
      <c r="C328" s="4"/>
    </row>
    <row r="329" spans="3:3">
      <c r="C329" s="4"/>
    </row>
    <row r="330" spans="3:3">
      <c r="C330" s="4"/>
    </row>
    <row r="331" spans="3:3">
      <c r="C331" s="4"/>
    </row>
    <row r="332" spans="3:3">
      <c r="C332" s="4"/>
    </row>
    <row r="333" spans="3:3">
      <c r="C333" s="4"/>
    </row>
    <row r="334" spans="3:3">
      <c r="C334" s="4"/>
    </row>
    <row r="335" spans="3:3">
      <c r="C335" s="4"/>
    </row>
    <row r="336" spans="3:3">
      <c r="C336" s="4"/>
    </row>
    <row r="337" spans="3:3">
      <c r="C337" s="4"/>
    </row>
    <row r="338" spans="3:3">
      <c r="C338" s="4"/>
    </row>
    <row r="339" spans="3:3">
      <c r="C339" s="4"/>
    </row>
    <row r="340" spans="3:3">
      <c r="C340" s="4"/>
    </row>
    <row r="341" spans="3:3">
      <c r="C341" s="4"/>
    </row>
    <row r="342" spans="3:3">
      <c r="C342" s="4"/>
    </row>
    <row r="343" spans="3:3">
      <c r="C343" s="4"/>
    </row>
    <row r="344" spans="3:3">
      <c r="C344" s="4"/>
    </row>
    <row r="345" spans="3:3">
      <c r="C345" s="4"/>
    </row>
    <row r="346" spans="3:3">
      <c r="C346" s="4"/>
    </row>
    <row r="347" spans="3:3">
      <c r="C347" s="4"/>
    </row>
    <row r="348" spans="3:3">
      <c r="C348" s="4"/>
    </row>
    <row r="349" spans="3:3">
      <c r="C349" s="4"/>
    </row>
    <row r="350" spans="3:3">
      <c r="C350" s="4"/>
    </row>
    <row r="351" spans="3:3">
      <c r="C351" s="4"/>
    </row>
    <row r="352" spans="3:3">
      <c r="C352" s="4"/>
    </row>
    <row r="353" spans="3:3">
      <c r="C353" s="4"/>
    </row>
    <row r="354" spans="3:3">
      <c r="C354" s="4"/>
    </row>
    <row r="355" spans="3:3">
      <c r="C355" s="4"/>
    </row>
    <row r="356" spans="3:3">
      <c r="C356" s="4"/>
    </row>
    <row r="357" spans="3:3">
      <c r="C357" s="4"/>
    </row>
    <row r="358" spans="3:3">
      <c r="C358" s="4"/>
    </row>
    <row r="359" spans="3:3">
      <c r="C359" s="4"/>
    </row>
    <row r="360" spans="3:3">
      <c r="C360" s="4"/>
    </row>
    <row r="361" spans="3:3">
      <c r="C361" s="4"/>
    </row>
    <row r="362" spans="3:3">
      <c r="C362" s="4"/>
    </row>
    <row r="363" spans="3:3">
      <c r="C363" s="4"/>
    </row>
    <row r="364" spans="3:3">
      <c r="C364" s="4"/>
    </row>
    <row r="365" spans="3:3">
      <c r="C365" s="4"/>
    </row>
    <row r="366" spans="3:3">
      <c r="C366" s="4"/>
    </row>
    <row r="367" spans="3:3">
      <c r="C367" s="4"/>
    </row>
    <row r="368" spans="3:3">
      <c r="C368" s="4"/>
    </row>
    <row r="369" spans="3:3">
      <c r="C369" s="4"/>
    </row>
    <row r="370" spans="3:3">
      <c r="C370" s="4"/>
    </row>
    <row r="371" spans="3:3">
      <c r="C371" s="4"/>
    </row>
    <row r="372" spans="3:3">
      <c r="C372" s="4"/>
    </row>
    <row r="373" spans="3:3">
      <c r="C373" s="4"/>
    </row>
    <row r="374" spans="3:3">
      <c r="C374" s="4"/>
    </row>
    <row r="375" spans="3:3">
      <c r="C375" s="4"/>
    </row>
    <row r="376" spans="3:3">
      <c r="C376" s="4"/>
    </row>
    <row r="377" spans="3:3">
      <c r="C377" s="4"/>
    </row>
    <row r="378" spans="3:3">
      <c r="C378" s="4"/>
    </row>
    <row r="379" spans="3:3">
      <c r="C379" s="4"/>
    </row>
    <row r="380" spans="3:3">
      <c r="C380" s="4"/>
    </row>
    <row r="381" spans="3:3">
      <c r="C381" s="4"/>
    </row>
    <row r="382" spans="3:3">
      <c r="C382" s="4"/>
    </row>
    <row r="383" spans="3:3">
      <c r="C383" s="4"/>
    </row>
    <row r="384" spans="3:3">
      <c r="C384" s="4"/>
    </row>
    <row r="385" spans="3:3">
      <c r="C385" s="4"/>
    </row>
    <row r="386" spans="3:3">
      <c r="C386" s="4"/>
    </row>
    <row r="387" spans="3:3">
      <c r="C387" s="4"/>
    </row>
    <row r="388" spans="3:3">
      <c r="C388" s="4"/>
    </row>
    <row r="389" spans="3:3">
      <c r="C389" s="4"/>
    </row>
    <row r="390" spans="3:3">
      <c r="C390" s="4"/>
    </row>
    <row r="391" spans="3:3">
      <c r="C391" s="4"/>
    </row>
    <row r="392" spans="3:3">
      <c r="C392" s="4"/>
    </row>
    <row r="393" spans="3:3">
      <c r="C393" s="4"/>
    </row>
  </sheetData>
  <mergeCells count="10">
    <mergeCell ref="F26:H27"/>
    <mergeCell ref="I26:J26"/>
    <mergeCell ref="K26:L26"/>
    <mergeCell ref="C1:D1"/>
    <mergeCell ref="I2:J2"/>
    <mergeCell ref="K2:L2"/>
    <mergeCell ref="I3:I4"/>
    <mergeCell ref="J3:J4"/>
    <mergeCell ref="K3:K4"/>
    <mergeCell ref="L3:L4"/>
  </mergeCells>
  <pageMargins left="0.74803149606299213" right="0.74803149606299213" top="0.98425196850393704" bottom="0.98425196850393704" header="0" footer="0"/>
  <pageSetup paperSize="9" scale="53" fitToHeight="2" orientation="landscape" horizontalDpi="300" verticalDpi="3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4A373B8-BA88-A64D-B192-4A631EE03553}">
          <x14:formula1>
            <xm:f>Skattesatser!$B$6:$B$103</xm:f>
          </x14:formula1>
          <xm:sqref>C12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27E3F-B9C1-7B47-9CC0-98EBF5E1ECEE}">
  <sheetPr>
    <tabColor rgb="FFFF0000"/>
    <pageSetUpPr fitToPage="1"/>
  </sheetPr>
  <dimension ref="A1:IT160"/>
  <sheetViews>
    <sheetView showGridLines="0" zoomScaleNormal="100" workbookViewId="0">
      <selection activeCell="A22" sqref="A22"/>
    </sheetView>
  </sheetViews>
  <sheetFormatPr baseColWidth="10" defaultColWidth="9.1640625" defaultRowHeight="13"/>
  <cols>
    <col min="1" max="1" width="25" style="300" bestFit="1" customWidth="1"/>
    <col min="2" max="13" width="10.1640625" style="300" customWidth="1"/>
    <col min="14" max="14" width="12.6640625" style="394" customWidth="1"/>
    <col min="15" max="33" width="9.1640625" style="293"/>
    <col min="34" max="34" width="9.1640625" style="299"/>
    <col min="35" max="16384" width="9.1640625" style="300"/>
  </cols>
  <sheetData>
    <row r="1" spans="1:254" s="292" customFormat="1" ht="20">
      <c r="A1" s="291" t="s">
        <v>108</v>
      </c>
      <c r="B1" s="291"/>
      <c r="C1" s="291"/>
      <c r="D1" s="291"/>
      <c r="E1" s="291"/>
      <c r="F1" s="291"/>
      <c r="G1" s="291"/>
      <c r="H1" s="291"/>
      <c r="I1" s="291"/>
      <c r="J1" s="291"/>
      <c r="K1" s="291"/>
      <c r="L1" s="291"/>
      <c r="M1" s="291"/>
      <c r="N1" s="291"/>
    </row>
    <row r="2" spans="1:254" s="294" customFormat="1">
      <c r="A2" s="293"/>
      <c r="B2" s="293"/>
      <c r="C2" s="293"/>
      <c r="D2" s="293"/>
      <c r="E2" s="293"/>
      <c r="F2" s="293"/>
      <c r="G2" s="293"/>
      <c r="H2" s="293"/>
      <c r="I2" s="293"/>
      <c r="J2" s="293"/>
      <c r="K2" s="293"/>
      <c r="L2" s="293"/>
      <c r="M2" s="293"/>
      <c r="N2" s="293"/>
      <c r="O2" s="293"/>
      <c r="P2" s="293"/>
      <c r="Q2" s="293"/>
      <c r="R2" s="293"/>
      <c r="S2" s="293"/>
      <c r="T2" s="293"/>
      <c r="U2" s="293"/>
      <c r="V2" s="293"/>
      <c r="W2" s="293"/>
      <c r="X2" s="293"/>
      <c r="Y2" s="293"/>
      <c r="Z2" s="293"/>
      <c r="AA2" s="293"/>
      <c r="AB2" s="293"/>
      <c r="AC2" s="293"/>
      <c r="AD2" s="293"/>
      <c r="AE2" s="293"/>
      <c r="AF2" s="293"/>
      <c r="AG2" s="293"/>
    </row>
    <row r="3" spans="1:254" ht="16">
      <c r="A3" s="295" t="s">
        <v>109</v>
      </c>
      <c r="B3" s="296" t="s">
        <v>110</v>
      </c>
      <c r="C3" s="297" t="s">
        <v>111</v>
      </c>
      <c r="D3" s="297" t="s">
        <v>112</v>
      </c>
      <c r="E3" s="297" t="s">
        <v>113</v>
      </c>
      <c r="F3" s="297" t="s">
        <v>114</v>
      </c>
      <c r="G3" s="297" t="s">
        <v>115</v>
      </c>
      <c r="H3" s="297" t="s">
        <v>116</v>
      </c>
      <c r="I3" s="297" t="s">
        <v>117</v>
      </c>
      <c r="J3" s="297" t="s">
        <v>118</v>
      </c>
      <c r="K3" s="297" t="s">
        <v>119</v>
      </c>
      <c r="L3" s="297" t="s">
        <v>120</v>
      </c>
      <c r="M3" s="297" t="s">
        <v>121</v>
      </c>
      <c r="N3" s="298" t="s">
        <v>122</v>
      </c>
    </row>
    <row r="4" spans="1:254">
      <c r="A4" s="301" t="s">
        <v>123</v>
      </c>
      <c r="B4" s="302">
        <v>25342.573666666663</v>
      </c>
      <c r="C4" s="303">
        <f>B4</f>
        <v>25342.573666666663</v>
      </c>
      <c r="D4" s="303">
        <f t="shared" ref="D4:M5" si="0">C4</f>
        <v>25342.573666666663</v>
      </c>
      <c r="E4" s="303">
        <f t="shared" si="0"/>
        <v>25342.573666666663</v>
      </c>
      <c r="F4" s="303">
        <f t="shared" si="0"/>
        <v>25342.573666666663</v>
      </c>
      <c r="G4" s="303">
        <f t="shared" si="0"/>
        <v>25342.573666666663</v>
      </c>
      <c r="H4" s="303">
        <f t="shared" si="0"/>
        <v>25342.573666666663</v>
      </c>
      <c r="I4" s="303">
        <f t="shared" si="0"/>
        <v>25342.573666666663</v>
      </c>
      <c r="J4" s="303">
        <f t="shared" si="0"/>
        <v>25342.573666666663</v>
      </c>
      <c r="K4" s="303">
        <f t="shared" si="0"/>
        <v>25342.573666666663</v>
      </c>
      <c r="L4" s="303">
        <f t="shared" si="0"/>
        <v>25342.573666666663</v>
      </c>
      <c r="M4" s="303">
        <f t="shared" si="0"/>
        <v>25342.573666666663</v>
      </c>
      <c r="N4" s="304">
        <f>SUM(B4:M4)</f>
        <v>304110.88399999996</v>
      </c>
    </row>
    <row r="5" spans="1:254">
      <c r="A5" s="301" t="s">
        <v>123</v>
      </c>
      <c r="B5" s="305">
        <f>'Ægtepar skat før boligkøb'!L31</f>
        <v>0</v>
      </c>
      <c r="C5" s="305">
        <f>B5</f>
        <v>0</v>
      </c>
      <c r="D5" s="305">
        <f t="shared" si="0"/>
        <v>0</v>
      </c>
      <c r="E5" s="305">
        <f t="shared" si="0"/>
        <v>0</v>
      </c>
      <c r="F5" s="305">
        <f t="shared" si="0"/>
        <v>0</v>
      </c>
      <c r="G5" s="305">
        <f t="shared" si="0"/>
        <v>0</v>
      </c>
      <c r="H5" s="305">
        <f t="shared" si="0"/>
        <v>0</v>
      </c>
      <c r="I5" s="305">
        <f t="shared" si="0"/>
        <v>0</v>
      </c>
      <c r="J5" s="305">
        <f t="shared" si="0"/>
        <v>0</v>
      </c>
      <c r="K5" s="305">
        <f t="shared" si="0"/>
        <v>0</v>
      </c>
      <c r="L5" s="305">
        <f t="shared" si="0"/>
        <v>0</v>
      </c>
      <c r="M5" s="305">
        <f t="shared" si="0"/>
        <v>0</v>
      </c>
      <c r="N5" s="306">
        <f t="shared" ref="N5:N10" si="1">SUM(B5:M5)</f>
        <v>0</v>
      </c>
    </row>
    <row r="6" spans="1:254">
      <c r="A6" s="301" t="s">
        <v>124</v>
      </c>
      <c r="B6" s="302">
        <v>10000</v>
      </c>
      <c r="C6" s="303">
        <v>0</v>
      </c>
      <c r="D6" s="303">
        <v>0</v>
      </c>
      <c r="E6" s="303">
        <v>0</v>
      </c>
      <c r="F6" s="303">
        <v>0</v>
      </c>
      <c r="G6" s="303">
        <v>0</v>
      </c>
      <c r="H6" s="303">
        <v>0</v>
      </c>
      <c r="I6" s="303">
        <v>0</v>
      </c>
      <c r="J6" s="303">
        <v>0</v>
      </c>
      <c r="K6" s="303">
        <v>0</v>
      </c>
      <c r="L6" s="303">
        <v>0</v>
      </c>
      <c r="M6" s="303">
        <v>0</v>
      </c>
      <c r="N6" s="304">
        <f t="shared" si="1"/>
        <v>10000</v>
      </c>
    </row>
    <row r="7" spans="1:254">
      <c r="A7" s="301" t="s">
        <v>125</v>
      </c>
      <c r="B7" s="305">
        <v>0</v>
      </c>
      <c r="C7" s="305">
        <v>0</v>
      </c>
      <c r="D7" s="305">
        <v>0</v>
      </c>
      <c r="E7" s="305">
        <f>B7</f>
        <v>0</v>
      </c>
      <c r="F7" s="305">
        <v>0</v>
      </c>
      <c r="G7" s="305">
        <v>0</v>
      </c>
      <c r="H7" s="305">
        <f>E7</f>
        <v>0</v>
      </c>
      <c r="I7" s="305">
        <v>0</v>
      </c>
      <c r="J7" s="305">
        <v>0</v>
      </c>
      <c r="K7" s="305">
        <f>H7</f>
        <v>0</v>
      </c>
      <c r="L7" s="305">
        <v>0</v>
      </c>
      <c r="M7" s="305">
        <v>0</v>
      </c>
      <c r="N7" s="306">
        <f t="shared" si="1"/>
        <v>0</v>
      </c>
    </row>
    <row r="8" spans="1:254">
      <c r="A8" s="301" t="s">
        <v>126</v>
      </c>
      <c r="B8" s="302">
        <v>0</v>
      </c>
      <c r="C8" s="303">
        <v>0</v>
      </c>
      <c r="D8" s="303">
        <v>0</v>
      </c>
      <c r="E8" s="303">
        <v>0</v>
      </c>
      <c r="F8" s="303">
        <v>0</v>
      </c>
      <c r="G8" s="303">
        <v>0</v>
      </c>
      <c r="H8" s="303">
        <v>0</v>
      </c>
      <c r="I8" s="303">
        <v>0</v>
      </c>
      <c r="J8" s="303">
        <v>0</v>
      </c>
      <c r="K8" s="303">
        <v>0</v>
      </c>
      <c r="L8" s="303">
        <v>0</v>
      </c>
      <c r="M8" s="303">
        <v>0</v>
      </c>
      <c r="N8" s="304">
        <f t="shared" si="1"/>
        <v>0</v>
      </c>
    </row>
    <row r="9" spans="1:254">
      <c r="A9" s="301" t="s">
        <v>127</v>
      </c>
      <c r="B9" s="305">
        <v>0</v>
      </c>
      <c r="C9" s="305">
        <v>0</v>
      </c>
      <c r="D9" s="305">
        <v>0</v>
      </c>
      <c r="E9" s="305">
        <v>0</v>
      </c>
      <c r="F9" s="305">
        <v>0</v>
      </c>
      <c r="G9" s="305">
        <v>0</v>
      </c>
      <c r="H9" s="305">
        <v>0</v>
      </c>
      <c r="I9" s="305">
        <v>0</v>
      </c>
      <c r="J9" s="305">
        <v>0</v>
      </c>
      <c r="K9" s="305">
        <v>0</v>
      </c>
      <c r="L9" s="305">
        <v>0</v>
      </c>
      <c r="M9" s="305">
        <v>0</v>
      </c>
      <c r="N9" s="306">
        <f t="shared" si="1"/>
        <v>0</v>
      </c>
    </row>
    <row r="10" spans="1:254" s="313" customFormat="1" ht="16">
      <c r="A10" s="307" t="s">
        <v>128</v>
      </c>
      <c r="B10" s="308">
        <f t="shared" ref="B10:M10" si="2">SUM(B4:B9)</f>
        <v>35342.573666666663</v>
      </c>
      <c r="C10" s="309">
        <f t="shared" si="2"/>
        <v>25342.573666666663</v>
      </c>
      <c r="D10" s="309">
        <f t="shared" si="2"/>
        <v>25342.573666666663</v>
      </c>
      <c r="E10" s="309">
        <f t="shared" si="2"/>
        <v>25342.573666666663</v>
      </c>
      <c r="F10" s="309">
        <f t="shared" si="2"/>
        <v>25342.573666666663</v>
      </c>
      <c r="G10" s="309">
        <f t="shared" si="2"/>
        <v>25342.573666666663</v>
      </c>
      <c r="H10" s="309">
        <f t="shared" si="2"/>
        <v>25342.573666666663</v>
      </c>
      <c r="I10" s="309">
        <f t="shared" si="2"/>
        <v>25342.573666666663</v>
      </c>
      <c r="J10" s="309">
        <f t="shared" si="2"/>
        <v>25342.573666666663</v>
      </c>
      <c r="K10" s="309">
        <f t="shared" si="2"/>
        <v>25342.573666666663</v>
      </c>
      <c r="L10" s="309">
        <f t="shared" si="2"/>
        <v>25342.573666666663</v>
      </c>
      <c r="M10" s="309">
        <f t="shared" si="2"/>
        <v>25342.573666666663</v>
      </c>
      <c r="N10" s="310">
        <f t="shared" si="1"/>
        <v>314110.88399999996</v>
      </c>
      <c r="O10" s="311"/>
      <c r="P10" s="311"/>
      <c r="Q10" s="311"/>
      <c r="R10" s="311"/>
      <c r="S10" s="311"/>
      <c r="T10" s="311"/>
      <c r="U10" s="311"/>
      <c r="V10" s="311"/>
      <c r="W10" s="311"/>
      <c r="X10" s="311"/>
      <c r="Y10" s="311"/>
      <c r="Z10" s="311"/>
      <c r="AA10" s="311"/>
      <c r="AB10" s="311"/>
      <c r="AC10" s="311"/>
      <c r="AD10" s="311"/>
      <c r="AE10" s="311"/>
      <c r="AF10" s="311"/>
      <c r="AG10" s="311"/>
      <c r="AH10" s="312"/>
    </row>
    <row r="11" spans="1:254" s="317" customFormat="1" ht="12">
      <c r="A11" s="314"/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6"/>
      <c r="AH11" s="318"/>
      <c r="AI11" s="318"/>
      <c r="AJ11" s="318"/>
      <c r="AK11" s="318"/>
      <c r="AL11" s="318"/>
      <c r="AM11" s="318"/>
      <c r="AN11" s="318"/>
      <c r="AO11" s="318"/>
      <c r="AP11" s="318"/>
      <c r="AQ11" s="318"/>
      <c r="AR11" s="318"/>
      <c r="AS11" s="318"/>
      <c r="AT11" s="318"/>
      <c r="AU11" s="318"/>
      <c r="AV11" s="318"/>
      <c r="AW11" s="318"/>
      <c r="AX11" s="318"/>
      <c r="AY11" s="318"/>
      <c r="AZ11" s="318"/>
      <c r="BA11" s="318"/>
      <c r="BB11" s="318"/>
      <c r="BC11" s="318"/>
      <c r="BD11" s="318"/>
      <c r="BE11" s="318"/>
      <c r="BF11" s="318"/>
      <c r="BG11" s="318"/>
      <c r="BH11" s="318"/>
      <c r="BI11" s="318"/>
      <c r="BJ11" s="318"/>
      <c r="BK11" s="318"/>
      <c r="BL11" s="318"/>
      <c r="BM11" s="318"/>
      <c r="BN11" s="318"/>
      <c r="BO11" s="318"/>
      <c r="BP11" s="318"/>
      <c r="BQ11" s="318"/>
      <c r="BR11" s="318"/>
      <c r="BS11" s="318"/>
      <c r="BT11" s="318"/>
      <c r="BU11" s="318"/>
      <c r="BV11" s="318"/>
      <c r="BW11" s="318"/>
      <c r="BX11" s="318"/>
      <c r="BY11" s="318"/>
      <c r="BZ11" s="318"/>
      <c r="CA11" s="318"/>
      <c r="CB11" s="318"/>
      <c r="CC11" s="318"/>
      <c r="CD11" s="318"/>
      <c r="CE11" s="318"/>
      <c r="CF11" s="318"/>
      <c r="CG11" s="318"/>
      <c r="CH11" s="318"/>
      <c r="CI11" s="318"/>
      <c r="CJ11" s="318"/>
      <c r="CK11" s="318"/>
      <c r="CL11" s="318"/>
      <c r="CM11" s="318"/>
      <c r="CN11" s="318"/>
      <c r="CO11" s="318"/>
      <c r="CP11" s="318"/>
      <c r="CQ11" s="318"/>
      <c r="CR11" s="318"/>
      <c r="CS11" s="318"/>
      <c r="CT11" s="318"/>
      <c r="CU11" s="318"/>
      <c r="CV11" s="318"/>
      <c r="CW11" s="318"/>
      <c r="CX11" s="318"/>
      <c r="CY11" s="318"/>
      <c r="CZ11" s="318"/>
      <c r="DA11" s="318"/>
      <c r="DB11" s="318"/>
      <c r="DC11" s="318"/>
      <c r="DD11" s="318"/>
      <c r="DE11" s="318"/>
      <c r="DF11" s="318"/>
      <c r="DG11" s="318"/>
      <c r="DH11" s="318"/>
      <c r="DI11" s="318"/>
      <c r="DJ11" s="318"/>
      <c r="DK11" s="318"/>
      <c r="DL11" s="318"/>
      <c r="DM11" s="318"/>
      <c r="DN11" s="318"/>
      <c r="DO11" s="318"/>
      <c r="DP11" s="318"/>
      <c r="DQ11" s="318"/>
      <c r="DR11" s="318"/>
      <c r="DS11" s="318"/>
      <c r="DT11" s="318"/>
      <c r="DU11" s="318"/>
      <c r="DV11" s="318"/>
      <c r="DW11" s="318"/>
      <c r="DX11" s="318"/>
      <c r="DY11" s="318"/>
      <c r="DZ11" s="318"/>
      <c r="EA11" s="318"/>
      <c r="EB11" s="318"/>
      <c r="EC11" s="318"/>
      <c r="ED11" s="318"/>
      <c r="EE11" s="318"/>
      <c r="EF11" s="318"/>
      <c r="EG11" s="318"/>
      <c r="EH11" s="318"/>
      <c r="EI11" s="318"/>
      <c r="EJ11" s="318"/>
      <c r="EK11" s="318"/>
      <c r="EL11" s="318"/>
      <c r="EM11" s="318"/>
      <c r="EN11" s="318"/>
      <c r="EO11" s="318"/>
      <c r="EP11" s="318"/>
      <c r="EQ11" s="318"/>
      <c r="ER11" s="318"/>
      <c r="ES11" s="318"/>
      <c r="ET11" s="318"/>
      <c r="EU11" s="318"/>
      <c r="EV11" s="318"/>
      <c r="EW11" s="318"/>
      <c r="EX11" s="318"/>
      <c r="EY11" s="318"/>
      <c r="EZ11" s="318"/>
      <c r="FA11" s="318"/>
      <c r="FB11" s="318"/>
      <c r="FC11" s="318"/>
      <c r="FD11" s="318"/>
      <c r="FE11" s="318"/>
      <c r="FF11" s="318"/>
      <c r="FG11" s="318"/>
      <c r="FH11" s="318"/>
      <c r="FI11" s="318"/>
      <c r="FJ11" s="318"/>
      <c r="FK11" s="318"/>
      <c r="FL11" s="318"/>
      <c r="FM11" s="318"/>
      <c r="FN11" s="318"/>
      <c r="FO11" s="318"/>
      <c r="FP11" s="318"/>
      <c r="FQ11" s="318"/>
      <c r="FR11" s="318"/>
      <c r="FS11" s="318"/>
      <c r="FT11" s="318"/>
      <c r="FU11" s="318"/>
      <c r="FV11" s="318"/>
      <c r="FW11" s="318"/>
      <c r="FX11" s="318"/>
      <c r="FY11" s="318"/>
      <c r="FZ11" s="318"/>
      <c r="GA11" s="318"/>
      <c r="GB11" s="318"/>
      <c r="GC11" s="318"/>
      <c r="GD11" s="318"/>
      <c r="GE11" s="318"/>
      <c r="GF11" s="318"/>
      <c r="GG11" s="318"/>
      <c r="GH11" s="318"/>
      <c r="GI11" s="318"/>
      <c r="GJ11" s="318"/>
      <c r="GK11" s="318"/>
      <c r="GL11" s="318"/>
      <c r="GM11" s="318"/>
      <c r="GN11" s="318"/>
      <c r="GO11" s="318"/>
      <c r="GP11" s="318"/>
      <c r="GQ11" s="318"/>
      <c r="GR11" s="318"/>
      <c r="GS11" s="318"/>
      <c r="GT11" s="318"/>
      <c r="GU11" s="318"/>
      <c r="GV11" s="318"/>
      <c r="GW11" s="318"/>
      <c r="GX11" s="318"/>
      <c r="GY11" s="318"/>
      <c r="GZ11" s="318"/>
      <c r="HA11" s="318"/>
      <c r="HB11" s="318"/>
      <c r="HC11" s="318"/>
      <c r="HD11" s="318"/>
      <c r="HE11" s="318"/>
      <c r="HF11" s="318"/>
      <c r="HG11" s="318"/>
      <c r="HH11" s="318"/>
      <c r="HI11" s="318"/>
      <c r="HJ11" s="318"/>
      <c r="HK11" s="318"/>
      <c r="HL11" s="318"/>
      <c r="HM11" s="318"/>
      <c r="HN11" s="318"/>
      <c r="HO11" s="318"/>
      <c r="HP11" s="318"/>
      <c r="HQ11" s="318"/>
      <c r="HR11" s="318"/>
      <c r="HS11" s="318"/>
      <c r="HT11" s="318"/>
      <c r="HU11" s="318"/>
      <c r="HV11" s="318"/>
      <c r="HW11" s="318"/>
      <c r="HX11" s="318"/>
      <c r="HY11" s="318"/>
      <c r="HZ11" s="318"/>
      <c r="IA11" s="318"/>
      <c r="IB11" s="318"/>
      <c r="IC11" s="318"/>
      <c r="ID11" s="318"/>
      <c r="IE11" s="318"/>
      <c r="IF11" s="318"/>
      <c r="IG11" s="318"/>
      <c r="IH11" s="318"/>
      <c r="II11" s="318"/>
      <c r="IJ11" s="318"/>
      <c r="IK11" s="318"/>
      <c r="IL11" s="318"/>
      <c r="IM11" s="318"/>
      <c r="IN11" s="318"/>
      <c r="IO11" s="318"/>
      <c r="IP11" s="318"/>
      <c r="IQ11" s="318"/>
      <c r="IR11" s="318"/>
      <c r="IS11" s="318"/>
      <c r="IT11" s="318"/>
    </row>
    <row r="12" spans="1:254" s="293" customFormat="1">
      <c r="A12" s="319"/>
      <c r="B12" s="320"/>
      <c r="C12" s="320"/>
      <c r="D12" s="320"/>
      <c r="E12" s="320"/>
      <c r="F12" s="320"/>
      <c r="G12" s="320"/>
      <c r="H12" s="320"/>
      <c r="I12" s="320"/>
      <c r="J12" s="320"/>
      <c r="K12" s="320"/>
      <c r="L12" s="320"/>
      <c r="M12" s="320"/>
      <c r="N12" s="321"/>
      <c r="AH12" s="322"/>
      <c r="AI12" s="322"/>
      <c r="AJ12" s="322"/>
      <c r="AK12" s="322"/>
      <c r="AL12" s="322"/>
      <c r="AM12" s="322"/>
      <c r="AN12" s="322"/>
      <c r="AO12" s="322"/>
      <c r="AP12" s="322"/>
      <c r="AQ12" s="322"/>
      <c r="AR12" s="322"/>
      <c r="AS12" s="322"/>
      <c r="AT12" s="322"/>
      <c r="AU12" s="322"/>
      <c r="AV12" s="322"/>
      <c r="AW12" s="322"/>
      <c r="AX12" s="322"/>
      <c r="AY12" s="322"/>
      <c r="AZ12" s="322"/>
      <c r="BA12" s="322"/>
      <c r="BB12" s="322"/>
      <c r="BC12" s="322"/>
      <c r="BD12" s="322"/>
      <c r="BE12" s="322"/>
      <c r="BF12" s="322"/>
      <c r="BG12" s="322"/>
      <c r="BH12" s="322"/>
      <c r="BI12" s="322"/>
      <c r="BJ12" s="322"/>
      <c r="BK12" s="322"/>
      <c r="BL12" s="322"/>
      <c r="BM12" s="322"/>
      <c r="BN12" s="322"/>
      <c r="BO12" s="322"/>
      <c r="BP12" s="322"/>
      <c r="BQ12" s="322"/>
      <c r="BR12" s="322"/>
      <c r="BS12" s="322"/>
      <c r="BT12" s="322"/>
      <c r="BU12" s="322"/>
      <c r="BV12" s="322"/>
      <c r="BW12" s="322"/>
      <c r="BX12" s="322"/>
      <c r="BY12" s="322"/>
      <c r="BZ12" s="322"/>
      <c r="CA12" s="322"/>
      <c r="CB12" s="322"/>
      <c r="CC12" s="322"/>
      <c r="CD12" s="322"/>
      <c r="CE12" s="322"/>
      <c r="CF12" s="322"/>
      <c r="CG12" s="322"/>
      <c r="CH12" s="322"/>
      <c r="CI12" s="322"/>
      <c r="CJ12" s="322"/>
      <c r="CK12" s="322"/>
      <c r="CL12" s="322"/>
      <c r="CM12" s="322"/>
      <c r="CN12" s="322"/>
      <c r="CO12" s="322"/>
      <c r="CP12" s="322"/>
      <c r="CQ12" s="322"/>
      <c r="CR12" s="322"/>
      <c r="CS12" s="322"/>
      <c r="CT12" s="322"/>
      <c r="CU12" s="322"/>
      <c r="CV12" s="322"/>
      <c r="CW12" s="322"/>
      <c r="CX12" s="322"/>
      <c r="CY12" s="322"/>
      <c r="CZ12" s="322"/>
      <c r="DA12" s="322"/>
      <c r="DB12" s="322"/>
      <c r="DC12" s="322"/>
      <c r="DD12" s="322"/>
      <c r="DE12" s="322"/>
      <c r="DF12" s="322"/>
      <c r="DG12" s="322"/>
      <c r="DH12" s="322"/>
      <c r="DI12" s="322"/>
      <c r="DJ12" s="322"/>
      <c r="DK12" s="322"/>
      <c r="DL12" s="322"/>
      <c r="DM12" s="322"/>
      <c r="DN12" s="322"/>
      <c r="DO12" s="322"/>
      <c r="DP12" s="322"/>
      <c r="DQ12" s="322"/>
      <c r="DR12" s="322"/>
      <c r="DS12" s="322"/>
      <c r="DT12" s="322"/>
      <c r="DU12" s="322"/>
      <c r="DV12" s="322"/>
      <c r="DW12" s="322"/>
      <c r="DX12" s="322"/>
      <c r="DY12" s="322"/>
      <c r="DZ12" s="322"/>
      <c r="EA12" s="322"/>
      <c r="EB12" s="322"/>
      <c r="EC12" s="322"/>
      <c r="ED12" s="322"/>
      <c r="EE12" s="322"/>
      <c r="EF12" s="322"/>
      <c r="EG12" s="322"/>
      <c r="EH12" s="322"/>
      <c r="EI12" s="322"/>
      <c r="EJ12" s="322"/>
      <c r="EK12" s="322"/>
      <c r="EL12" s="322"/>
      <c r="EM12" s="322"/>
      <c r="EN12" s="322"/>
      <c r="EO12" s="322"/>
      <c r="EP12" s="322"/>
      <c r="EQ12" s="322"/>
      <c r="ER12" s="322"/>
      <c r="ES12" s="322"/>
      <c r="ET12" s="322"/>
      <c r="EU12" s="322"/>
      <c r="EV12" s="322"/>
      <c r="EW12" s="322"/>
      <c r="EX12" s="322"/>
      <c r="EY12" s="322"/>
      <c r="EZ12" s="322"/>
      <c r="FA12" s="322"/>
      <c r="FB12" s="322"/>
      <c r="FC12" s="322"/>
      <c r="FD12" s="322"/>
      <c r="FE12" s="322"/>
      <c r="FF12" s="322"/>
      <c r="FG12" s="322"/>
      <c r="FH12" s="322"/>
      <c r="FI12" s="322"/>
      <c r="FJ12" s="322"/>
      <c r="FK12" s="322"/>
      <c r="FL12" s="322"/>
      <c r="FM12" s="322"/>
      <c r="FN12" s="322"/>
      <c r="FO12" s="322"/>
      <c r="FP12" s="322"/>
      <c r="FQ12" s="322"/>
      <c r="FR12" s="322"/>
      <c r="FS12" s="322"/>
      <c r="FT12" s="322"/>
      <c r="FU12" s="322"/>
      <c r="FV12" s="322"/>
      <c r="FW12" s="322"/>
      <c r="FX12" s="322"/>
      <c r="FY12" s="322"/>
      <c r="FZ12" s="322"/>
      <c r="GA12" s="322"/>
      <c r="GB12" s="322"/>
      <c r="GC12" s="322"/>
      <c r="GD12" s="322"/>
      <c r="GE12" s="322"/>
      <c r="GF12" s="322"/>
      <c r="GG12" s="322"/>
      <c r="GH12" s="322"/>
      <c r="GI12" s="322"/>
      <c r="GJ12" s="322"/>
      <c r="GK12" s="322"/>
      <c r="GL12" s="322"/>
      <c r="GM12" s="322"/>
      <c r="GN12" s="322"/>
      <c r="GO12" s="322"/>
      <c r="GP12" s="322"/>
      <c r="GQ12" s="322"/>
      <c r="GR12" s="322"/>
      <c r="GS12" s="322"/>
      <c r="GT12" s="322"/>
      <c r="GU12" s="322"/>
      <c r="GV12" s="322"/>
      <c r="GW12" s="322"/>
      <c r="GX12" s="322"/>
      <c r="GY12" s="322"/>
      <c r="GZ12" s="322"/>
      <c r="HA12" s="322"/>
      <c r="HB12" s="322"/>
      <c r="HC12" s="322"/>
      <c r="HD12" s="322"/>
      <c r="HE12" s="322"/>
      <c r="HF12" s="322"/>
      <c r="HG12" s="322"/>
      <c r="HH12" s="322"/>
      <c r="HI12" s="322"/>
      <c r="HJ12" s="322"/>
      <c r="HK12" s="322"/>
      <c r="HL12" s="322"/>
      <c r="HM12" s="322"/>
      <c r="HN12" s="322"/>
      <c r="HO12" s="322"/>
      <c r="HP12" s="322"/>
      <c r="HQ12" s="322"/>
      <c r="HR12" s="322"/>
      <c r="HS12" s="322"/>
      <c r="HT12" s="322"/>
      <c r="HU12" s="322"/>
      <c r="HV12" s="322"/>
      <c r="HW12" s="322"/>
      <c r="HX12" s="322"/>
      <c r="HY12" s="322"/>
      <c r="HZ12" s="322"/>
      <c r="IA12" s="322"/>
      <c r="IB12" s="322"/>
      <c r="IC12" s="322"/>
      <c r="ID12" s="322"/>
      <c r="IE12" s="322"/>
      <c r="IF12" s="322"/>
      <c r="IG12" s="322"/>
      <c r="IH12" s="322"/>
      <c r="II12" s="322"/>
      <c r="IJ12" s="322"/>
      <c r="IK12" s="322"/>
      <c r="IL12" s="322"/>
      <c r="IM12" s="322"/>
      <c r="IN12" s="322"/>
      <c r="IO12" s="322"/>
      <c r="IP12" s="322"/>
      <c r="IQ12" s="322"/>
      <c r="IR12" s="322"/>
      <c r="IS12" s="322"/>
      <c r="IT12" s="322"/>
    </row>
    <row r="13" spans="1:254" s="327" customFormat="1" ht="16">
      <c r="A13" s="323" t="s">
        <v>129</v>
      </c>
      <c r="B13" s="324" t="s">
        <v>110</v>
      </c>
      <c r="C13" s="325" t="s">
        <v>111</v>
      </c>
      <c r="D13" s="325" t="s">
        <v>112</v>
      </c>
      <c r="E13" s="325" t="s">
        <v>113</v>
      </c>
      <c r="F13" s="325" t="s">
        <v>114</v>
      </c>
      <c r="G13" s="325" t="s">
        <v>115</v>
      </c>
      <c r="H13" s="325" t="s">
        <v>116</v>
      </c>
      <c r="I13" s="325" t="s">
        <v>117</v>
      </c>
      <c r="J13" s="325" t="s">
        <v>118</v>
      </c>
      <c r="K13" s="325" t="s">
        <v>119</v>
      </c>
      <c r="L13" s="325" t="s">
        <v>120</v>
      </c>
      <c r="M13" s="325" t="s">
        <v>121</v>
      </c>
      <c r="N13" s="326" t="s">
        <v>122</v>
      </c>
      <c r="AH13" s="328"/>
      <c r="AI13" s="328"/>
      <c r="AJ13" s="328"/>
      <c r="AK13" s="328"/>
      <c r="AL13" s="328"/>
      <c r="AM13" s="328"/>
      <c r="AN13" s="328"/>
      <c r="AO13" s="328"/>
      <c r="AP13" s="328"/>
      <c r="AQ13" s="328"/>
      <c r="AR13" s="328"/>
      <c r="AS13" s="328"/>
      <c r="AT13" s="328"/>
      <c r="AU13" s="328"/>
      <c r="AV13" s="328"/>
      <c r="AW13" s="328"/>
      <c r="AX13" s="328"/>
      <c r="AY13" s="328"/>
      <c r="AZ13" s="328"/>
      <c r="BA13" s="328"/>
      <c r="BB13" s="328"/>
      <c r="BC13" s="328"/>
      <c r="BD13" s="328"/>
      <c r="BE13" s="328"/>
      <c r="BF13" s="328"/>
      <c r="BG13" s="328"/>
      <c r="BH13" s="328"/>
      <c r="BI13" s="328"/>
      <c r="BJ13" s="328"/>
      <c r="BK13" s="328"/>
      <c r="BL13" s="328"/>
      <c r="BM13" s="328"/>
      <c r="BN13" s="328"/>
      <c r="BO13" s="328"/>
      <c r="BP13" s="328"/>
      <c r="BQ13" s="328"/>
      <c r="BR13" s="328"/>
      <c r="BS13" s="328"/>
      <c r="BT13" s="328"/>
      <c r="BU13" s="328"/>
      <c r="BV13" s="328"/>
      <c r="BW13" s="328"/>
      <c r="BX13" s="328"/>
      <c r="BY13" s="328"/>
      <c r="BZ13" s="328"/>
      <c r="CA13" s="328"/>
      <c r="CB13" s="328"/>
      <c r="CC13" s="328"/>
      <c r="CD13" s="328"/>
      <c r="CE13" s="328"/>
      <c r="CF13" s="328"/>
      <c r="CG13" s="328"/>
      <c r="CH13" s="328"/>
      <c r="CI13" s="328"/>
      <c r="CJ13" s="328"/>
      <c r="CK13" s="328"/>
      <c r="CL13" s="328"/>
      <c r="CM13" s="328"/>
      <c r="CN13" s="328"/>
      <c r="CO13" s="328"/>
      <c r="CP13" s="328"/>
      <c r="CQ13" s="328"/>
      <c r="CR13" s="328"/>
      <c r="CS13" s="328"/>
      <c r="CT13" s="328"/>
      <c r="CU13" s="328"/>
      <c r="CV13" s="328"/>
      <c r="CW13" s="328"/>
      <c r="CX13" s="328"/>
      <c r="CY13" s="328"/>
      <c r="CZ13" s="328"/>
      <c r="DA13" s="328"/>
      <c r="DB13" s="328"/>
      <c r="DC13" s="328"/>
      <c r="DD13" s="328"/>
      <c r="DE13" s="328"/>
      <c r="DF13" s="328"/>
      <c r="DG13" s="328"/>
      <c r="DH13" s="328"/>
      <c r="DI13" s="328"/>
      <c r="DJ13" s="328"/>
      <c r="DK13" s="328"/>
      <c r="DL13" s="328"/>
      <c r="DM13" s="328"/>
      <c r="DN13" s="328"/>
      <c r="DO13" s="328"/>
      <c r="DP13" s="328"/>
      <c r="DQ13" s="328"/>
      <c r="DR13" s="328"/>
      <c r="DS13" s="328"/>
      <c r="DT13" s="328"/>
      <c r="DU13" s="328"/>
      <c r="DV13" s="328"/>
      <c r="DW13" s="328"/>
      <c r="DX13" s="328"/>
      <c r="DY13" s="328"/>
      <c r="DZ13" s="328"/>
      <c r="EA13" s="328"/>
      <c r="EB13" s="328"/>
      <c r="EC13" s="328"/>
      <c r="ED13" s="328"/>
      <c r="EE13" s="328"/>
      <c r="EF13" s="328"/>
      <c r="EG13" s="328"/>
      <c r="EH13" s="328"/>
      <c r="EI13" s="328"/>
      <c r="EJ13" s="328"/>
      <c r="EK13" s="328"/>
      <c r="EL13" s="328"/>
      <c r="EM13" s="328"/>
      <c r="EN13" s="328"/>
      <c r="EO13" s="328"/>
      <c r="EP13" s="328"/>
      <c r="EQ13" s="328"/>
      <c r="ER13" s="328"/>
      <c r="ES13" s="328"/>
      <c r="ET13" s="328"/>
      <c r="EU13" s="328"/>
      <c r="EV13" s="328"/>
      <c r="EW13" s="328"/>
      <c r="EX13" s="328"/>
      <c r="EY13" s="328"/>
      <c r="EZ13" s="328"/>
      <c r="FA13" s="328"/>
      <c r="FB13" s="328"/>
      <c r="FC13" s="328"/>
      <c r="FD13" s="328"/>
      <c r="FE13" s="328"/>
      <c r="FF13" s="328"/>
      <c r="FG13" s="328"/>
      <c r="FH13" s="328"/>
      <c r="FI13" s="328"/>
      <c r="FJ13" s="328"/>
      <c r="FK13" s="328"/>
      <c r="FL13" s="328"/>
      <c r="FM13" s="328"/>
      <c r="FN13" s="328"/>
      <c r="FO13" s="328"/>
      <c r="FP13" s="328"/>
      <c r="FQ13" s="328"/>
      <c r="FR13" s="328"/>
      <c r="FS13" s="328"/>
      <c r="FT13" s="328"/>
      <c r="FU13" s="328"/>
      <c r="FV13" s="328"/>
      <c r="FW13" s="328"/>
      <c r="FX13" s="328"/>
      <c r="FY13" s="328"/>
      <c r="FZ13" s="328"/>
      <c r="GA13" s="328"/>
      <c r="GB13" s="328"/>
      <c r="GC13" s="328"/>
      <c r="GD13" s="328"/>
      <c r="GE13" s="328"/>
      <c r="GF13" s="328"/>
      <c r="GG13" s="328"/>
      <c r="GH13" s="328"/>
      <c r="GI13" s="328"/>
      <c r="GJ13" s="328"/>
      <c r="GK13" s="328"/>
      <c r="GL13" s="328"/>
      <c r="GM13" s="328"/>
      <c r="GN13" s="328"/>
      <c r="GO13" s="328"/>
      <c r="GP13" s="328"/>
      <c r="GQ13" s="328"/>
      <c r="GR13" s="328"/>
      <c r="GS13" s="328"/>
      <c r="GT13" s="328"/>
      <c r="GU13" s="328"/>
      <c r="GV13" s="328"/>
      <c r="GW13" s="328"/>
      <c r="GX13" s="328"/>
      <c r="GY13" s="328"/>
      <c r="GZ13" s="328"/>
      <c r="HA13" s="328"/>
      <c r="HB13" s="328"/>
      <c r="HC13" s="328"/>
      <c r="HD13" s="328"/>
      <c r="HE13" s="328"/>
      <c r="HF13" s="328"/>
      <c r="HG13" s="328"/>
      <c r="HH13" s="328"/>
      <c r="HI13" s="328"/>
      <c r="HJ13" s="328"/>
      <c r="HK13" s="328"/>
      <c r="HL13" s="328"/>
      <c r="HM13" s="328"/>
      <c r="HN13" s="328"/>
      <c r="HO13" s="328"/>
      <c r="HP13" s="328"/>
      <c r="HQ13" s="328"/>
      <c r="HR13" s="328"/>
      <c r="HS13" s="328"/>
      <c r="HT13" s="328"/>
      <c r="HU13" s="328"/>
      <c r="HV13" s="328"/>
      <c r="HW13" s="328"/>
      <c r="HX13" s="328"/>
      <c r="HY13" s="328"/>
      <c r="HZ13" s="328"/>
      <c r="IA13" s="328"/>
      <c r="IB13" s="328"/>
      <c r="IC13" s="328"/>
      <c r="ID13" s="328"/>
      <c r="IE13" s="328"/>
      <c r="IF13" s="328"/>
      <c r="IG13" s="328"/>
      <c r="IH13" s="328"/>
      <c r="II13" s="328"/>
      <c r="IJ13" s="328"/>
      <c r="IK13" s="328"/>
      <c r="IL13" s="328"/>
      <c r="IM13" s="328"/>
      <c r="IN13" s="328"/>
      <c r="IO13" s="328"/>
      <c r="IP13" s="328"/>
      <c r="IQ13" s="328"/>
      <c r="IR13" s="328"/>
      <c r="IS13" s="328"/>
      <c r="IT13" s="328"/>
    </row>
    <row r="14" spans="1:254">
      <c r="A14" s="329" t="s">
        <v>130</v>
      </c>
      <c r="B14" s="330"/>
      <c r="C14" s="330"/>
      <c r="D14" s="330"/>
      <c r="E14" s="330"/>
      <c r="F14" s="330"/>
      <c r="G14" s="330"/>
      <c r="H14" s="330"/>
      <c r="I14" s="330"/>
      <c r="J14" s="330"/>
      <c r="K14" s="330"/>
      <c r="L14" s="330"/>
      <c r="M14" s="330"/>
      <c r="N14" s="331"/>
    </row>
    <row r="15" spans="1:254">
      <c r="A15" s="332" t="s">
        <v>131</v>
      </c>
      <c r="B15" s="302">
        <v>0</v>
      </c>
      <c r="C15" s="303">
        <f>B15</f>
        <v>0</v>
      </c>
      <c r="D15" s="303">
        <f t="shared" ref="D15:M15" si="3">C15</f>
        <v>0</v>
      </c>
      <c r="E15" s="303">
        <f t="shared" si="3"/>
        <v>0</v>
      </c>
      <c r="F15" s="303">
        <f t="shared" si="3"/>
        <v>0</v>
      </c>
      <c r="G15" s="303">
        <f t="shared" si="3"/>
        <v>0</v>
      </c>
      <c r="H15" s="303">
        <f t="shared" si="3"/>
        <v>0</v>
      </c>
      <c r="I15" s="303">
        <f t="shared" si="3"/>
        <v>0</v>
      </c>
      <c r="J15" s="303">
        <f t="shared" si="3"/>
        <v>0</v>
      </c>
      <c r="K15" s="303">
        <f t="shared" si="3"/>
        <v>0</v>
      </c>
      <c r="L15" s="303">
        <f t="shared" si="3"/>
        <v>0</v>
      </c>
      <c r="M15" s="303">
        <f t="shared" si="3"/>
        <v>0</v>
      </c>
      <c r="N15" s="333">
        <f t="shared" ref="N15:N26" si="4">SUM(B15:M15)</f>
        <v>0</v>
      </c>
    </row>
    <row r="16" spans="1:254">
      <c r="A16" s="332" t="s">
        <v>132</v>
      </c>
      <c r="B16" s="305">
        <v>0</v>
      </c>
      <c r="C16" s="305">
        <f t="shared" ref="C16:M16" si="5">B16</f>
        <v>0</v>
      </c>
      <c r="D16" s="305">
        <f t="shared" si="5"/>
        <v>0</v>
      </c>
      <c r="E16" s="305">
        <f t="shared" si="5"/>
        <v>0</v>
      </c>
      <c r="F16" s="305">
        <f t="shared" si="5"/>
        <v>0</v>
      </c>
      <c r="G16" s="305">
        <f t="shared" si="5"/>
        <v>0</v>
      </c>
      <c r="H16" s="305">
        <f t="shared" si="5"/>
        <v>0</v>
      </c>
      <c r="I16" s="305">
        <f t="shared" si="5"/>
        <v>0</v>
      </c>
      <c r="J16" s="305">
        <f t="shared" si="5"/>
        <v>0</v>
      </c>
      <c r="K16" s="305">
        <f t="shared" si="5"/>
        <v>0</v>
      </c>
      <c r="L16" s="305">
        <f t="shared" si="5"/>
        <v>0</v>
      </c>
      <c r="M16" s="305">
        <f t="shared" si="5"/>
        <v>0</v>
      </c>
      <c r="N16" s="334">
        <f t="shared" si="4"/>
        <v>0</v>
      </c>
    </row>
    <row r="17" spans="1:34">
      <c r="A17" s="332" t="s">
        <v>133</v>
      </c>
      <c r="B17" s="302">
        <v>0</v>
      </c>
      <c r="C17" s="303">
        <v>0</v>
      </c>
      <c r="D17" s="303">
        <v>0</v>
      </c>
      <c r="E17" s="303">
        <v>0</v>
      </c>
      <c r="F17" s="303">
        <v>0</v>
      </c>
      <c r="G17" s="303">
        <v>0</v>
      </c>
      <c r="H17" s="303">
        <v>0</v>
      </c>
      <c r="I17" s="303">
        <v>0</v>
      </c>
      <c r="J17" s="303">
        <v>0</v>
      </c>
      <c r="K17" s="303">
        <v>0</v>
      </c>
      <c r="L17" s="303">
        <v>0</v>
      </c>
      <c r="M17" s="303">
        <v>0</v>
      </c>
      <c r="N17" s="333">
        <f t="shared" si="4"/>
        <v>0</v>
      </c>
    </row>
    <row r="18" spans="1:34">
      <c r="A18" s="332" t="s">
        <v>134</v>
      </c>
      <c r="B18" s="305">
        <v>0</v>
      </c>
      <c r="C18" s="305">
        <v>0</v>
      </c>
      <c r="D18" s="305">
        <v>0</v>
      </c>
      <c r="E18" s="305">
        <v>0</v>
      </c>
      <c r="F18" s="305">
        <v>0</v>
      </c>
      <c r="G18" s="305">
        <v>0</v>
      </c>
      <c r="H18" s="305">
        <v>0</v>
      </c>
      <c r="I18" s="305">
        <v>0</v>
      </c>
      <c r="J18" s="305">
        <v>0</v>
      </c>
      <c r="K18" s="305">
        <v>0</v>
      </c>
      <c r="L18" s="305">
        <v>0</v>
      </c>
      <c r="M18" s="305">
        <v>0</v>
      </c>
      <c r="N18" s="334">
        <f t="shared" si="4"/>
        <v>0</v>
      </c>
    </row>
    <row r="19" spans="1:34">
      <c r="A19" s="332" t="s">
        <v>135</v>
      </c>
      <c r="B19" s="302">
        <v>0</v>
      </c>
      <c r="C19" s="303">
        <v>0</v>
      </c>
      <c r="D19" s="303">
        <v>0</v>
      </c>
      <c r="E19" s="303"/>
      <c r="F19" s="303">
        <v>0</v>
      </c>
      <c r="G19" s="303">
        <v>0</v>
      </c>
      <c r="H19" s="303"/>
      <c r="I19" s="303">
        <v>0</v>
      </c>
      <c r="J19" s="303">
        <v>0</v>
      </c>
      <c r="K19" s="303"/>
      <c r="L19" s="303">
        <v>0</v>
      </c>
      <c r="M19" s="303">
        <v>0</v>
      </c>
      <c r="N19" s="333">
        <f t="shared" si="4"/>
        <v>0</v>
      </c>
      <c r="O19" s="335"/>
    </row>
    <row r="20" spans="1:34">
      <c r="A20" s="332" t="s">
        <v>136</v>
      </c>
      <c r="B20" s="305">
        <v>0</v>
      </c>
      <c r="C20" s="305">
        <v>0</v>
      </c>
      <c r="D20" s="305">
        <v>0</v>
      </c>
      <c r="E20" s="305">
        <v>0</v>
      </c>
      <c r="F20" s="305">
        <v>0</v>
      </c>
      <c r="G20" s="305">
        <v>0</v>
      </c>
      <c r="H20" s="305">
        <v>0</v>
      </c>
      <c r="I20" s="305">
        <v>0</v>
      </c>
      <c r="J20" s="305">
        <v>0</v>
      </c>
      <c r="K20" s="305">
        <v>0</v>
      </c>
      <c r="L20" s="305">
        <v>0</v>
      </c>
      <c r="M20" s="305">
        <v>0</v>
      </c>
      <c r="N20" s="334">
        <f t="shared" si="4"/>
        <v>0</v>
      </c>
    </row>
    <row r="21" spans="1:34">
      <c r="A21" s="332" t="s">
        <v>80</v>
      </c>
      <c r="B21" s="302">
        <v>0</v>
      </c>
      <c r="C21" s="303">
        <v>0</v>
      </c>
      <c r="D21" s="303">
        <v>0</v>
      </c>
      <c r="E21" s="303">
        <v>0</v>
      </c>
      <c r="F21" s="303">
        <v>0</v>
      </c>
      <c r="G21" s="303">
        <v>0</v>
      </c>
      <c r="H21" s="303">
        <v>0</v>
      </c>
      <c r="I21" s="303">
        <v>0</v>
      </c>
      <c r="J21" s="303">
        <v>0</v>
      </c>
      <c r="K21" s="303">
        <v>0</v>
      </c>
      <c r="L21" s="303">
        <v>0</v>
      </c>
      <c r="M21" s="303">
        <v>0</v>
      </c>
      <c r="N21" s="336">
        <f t="shared" si="4"/>
        <v>0</v>
      </c>
    </row>
    <row r="22" spans="1:34">
      <c r="A22" s="332" t="s">
        <v>137</v>
      </c>
      <c r="B22" s="305">
        <v>0</v>
      </c>
      <c r="C22" s="305">
        <f t="shared" ref="C22:M22" si="6">B22</f>
        <v>0</v>
      </c>
      <c r="D22" s="305">
        <f t="shared" si="6"/>
        <v>0</v>
      </c>
      <c r="E22" s="305">
        <f t="shared" si="6"/>
        <v>0</v>
      </c>
      <c r="F22" s="305">
        <f t="shared" si="6"/>
        <v>0</v>
      </c>
      <c r="G22" s="305">
        <f t="shared" si="6"/>
        <v>0</v>
      </c>
      <c r="H22" s="305">
        <f t="shared" si="6"/>
        <v>0</v>
      </c>
      <c r="I22" s="305">
        <f t="shared" si="6"/>
        <v>0</v>
      </c>
      <c r="J22" s="305">
        <f t="shared" si="6"/>
        <v>0</v>
      </c>
      <c r="K22" s="305">
        <f t="shared" si="6"/>
        <v>0</v>
      </c>
      <c r="L22" s="305">
        <f t="shared" si="6"/>
        <v>0</v>
      </c>
      <c r="M22" s="305">
        <f t="shared" si="6"/>
        <v>0</v>
      </c>
      <c r="N22" s="337">
        <f t="shared" si="4"/>
        <v>0</v>
      </c>
    </row>
    <row r="23" spans="1:34">
      <c r="A23" s="332" t="s">
        <v>138</v>
      </c>
      <c r="B23" s="302">
        <v>0</v>
      </c>
      <c r="C23" s="303">
        <v>0</v>
      </c>
      <c r="D23" s="303">
        <v>0</v>
      </c>
      <c r="E23" s="303">
        <v>0</v>
      </c>
      <c r="F23" s="303">
        <v>0</v>
      </c>
      <c r="G23" s="303">
        <v>0</v>
      </c>
      <c r="H23" s="303">
        <v>0</v>
      </c>
      <c r="I23" s="303">
        <v>0</v>
      </c>
      <c r="J23" s="303">
        <v>0</v>
      </c>
      <c r="K23" s="303">
        <v>0</v>
      </c>
      <c r="L23" s="303">
        <v>0</v>
      </c>
      <c r="M23" s="303">
        <v>0</v>
      </c>
      <c r="N23" s="336">
        <f t="shared" si="4"/>
        <v>0</v>
      </c>
    </row>
    <row r="24" spans="1:34">
      <c r="A24" s="332" t="s">
        <v>139</v>
      </c>
      <c r="B24" s="305">
        <v>0</v>
      </c>
      <c r="C24" s="305">
        <v>0</v>
      </c>
      <c r="D24" s="305">
        <v>0</v>
      </c>
      <c r="E24" s="305">
        <v>0</v>
      </c>
      <c r="F24" s="305">
        <v>0</v>
      </c>
      <c r="G24" s="305">
        <v>0</v>
      </c>
      <c r="H24" s="305">
        <v>0</v>
      </c>
      <c r="I24" s="305">
        <v>0</v>
      </c>
      <c r="J24" s="305">
        <v>0</v>
      </c>
      <c r="K24" s="305">
        <v>0</v>
      </c>
      <c r="L24" s="305">
        <v>0</v>
      </c>
      <c r="M24" s="305">
        <v>0</v>
      </c>
      <c r="N24" s="337">
        <f t="shared" si="4"/>
        <v>0</v>
      </c>
    </row>
    <row r="25" spans="1:34">
      <c r="A25" s="332" t="s">
        <v>140</v>
      </c>
      <c r="B25" s="302">
        <v>0</v>
      </c>
      <c r="C25" s="303">
        <v>0</v>
      </c>
      <c r="D25" s="303">
        <v>0</v>
      </c>
      <c r="E25" s="303">
        <v>0</v>
      </c>
      <c r="F25" s="303">
        <v>0</v>
      </c>
      <c r="G25" s="303">
        <v>0</v>
      </c>
      <c r="H25" s="303">
        <v>0</v>
      </c>
      <c r="I25" s="303">
        <v>0</v>
      </c>
      <c r="J25" s="303">
        <v>0</v>
      </c>
      <c r="K25" s="303">
        <v>0</v>
      </c>
      <c r="L25" s="303">
        <v>0</v>
      </c>
      <c r="M25" s="303">
        <v>0</v>
      </c>
      <c r="N25" s="336">
        <f t="shared" si="4"/>
        <v>0</v>
      </c>
    </row>
    <row r="26" spans="1:34">
      <c r="A26" s="332" t="s">
        <v>141</v>
      </c>
      <c r="B26" s="305">
        <v>0</v>
      </c>
      <c r="C26" s="305">
        <v>0</v>
      </c>
      <c r="D26" s="305">
        <v>0</v>
      </c>
      <c r="E26" s="305">
        <v>0</v>
      </c>
      <c r="F26" s="305">
        <v>0</v>
      </c>
      <c r="G26" s="305">
        <v>0</v>
      </c>
      <c r="H26" s="305">
        <v>0</v>
      </c>
      <c r="I26" s="305">
        <v>0</v>
      </c>
      <c r="J26" s="305">
        <v>0</v>
      </c>
      <c r="K26" s="305">
        <v>0</v>
      </c>
      <c r="L26" s="305">
        <v>0</v>
      </c>
      <c r="M26" s="305">
        <v>0</v>
      </c>
      <c r="N26" s="337">
        <f t="shared" si="4"/>
        <v>0</v>
      </c>
    </row>
    <row r="27" spans="1:34" s="313" customFormat="1">
      <c r="A27" s="329" t="s">
        <v>142</v>
      </c>
      <c r="B27" s="338">
        <f>SUM(B15:B26)</f>
        <v>0</v>
      </c>
      <c r="C27" s="339">
        <f t="shared" ref="C27:N27" si="7">SUM(C15:C26)</f>
        <v>0</v>
      </c>
      <c r="D27" s="339">
        <f t="shared" si="7"/>
        <v>0</v>
      </c>
      <c r="E27" s="339">
        <f t="shared" si="7"/>
        <v>0</v>
      </c>
      <c r="F27" s="339">
        <f t="shared" si="7"/>
        <v>0</v>
      </c>
      <c r="G27" s="339">
        <f t="shared" si="7"/>
        <v>0</v>
      </c>
      <c r="H27" s="339">
        <f t="shared" si="7"/>
        <v>0</v>
      </c>
      <c r="I27" s="339">
        <f t="shared" si="7"/>
        <v>0</v>
      </c>
      <c r="J27" s="339">
        <f t="shared" si="7"/>
        <v>0</v>
      </c>
      <c r="K27" s="339">
        <f t="shared" si="7"/>
        <v>0</v>
      </c>
      <c r="L27" s="339">
        <f t="shared" si="7"/>
        <v>0</v>
      </c>
      <c r="M27" s="339">
        <f t="shared" si="7"/>
        <v>0</v>
      </c>
      <c r="N27" s="340">
        <f t="shared" si="7"/>
        <v>0</v>
      </c>
      <c r="O27" s="311"/>
      <c r="P27" s="311"/>
      <c r="Q27" s="311"/>
      <c r="R27" s="311"/>
      <c r="S27" s="311"/>
      <c r="T27" s="311"/>
      <c r="U27" s="311"/>
      <c r="V27" s="311"/>
      <c r="W27" s="311"/>
      <c r="X27" s="311"/>
      <c r="Y27" s="311"/>
      <c r="Z27" s="311"/>
      <c r="AA27" s="311"/>
      <c r="AB27" s="311"/>
      <c r="AC27" s="311"/>
      <c r="AD27" s="311"/>
      <c r="AE27" s="311"/>
      <c r="AF27" s="311"/>
      <c r="AG27" s="311"/>
      <c r="AH27" s="312"/>
    </row>
    <row r="28" spans="1:34" s="345" customFormat="1" ht="12">
      <c r="A28" s="341"/>
      <c r="B28" s="342"/>
      <c r="C28" s="342"/>
      <c r="D28" s="342"/>
      <c r="E28" s="342"/>
      <c r="F28" s="342"/>
      <c r="G28" s="342"/>
      <c r="H28" s="342"/>
      <c r="I28" s="342"/>
      <c r="J28" s="342"/>
      <c r="K28" s="342"/>
      <c r="L28" s="342"/>
      <c r="M28" s="342"/>
      <c r="N28" s="343"/>
      <c r="O28" s="317"/>
      <c r="P28" s="317"/>
      <c r="Q28" s="317"/>
      <c r="R28" s="317"/>
      <c r="S28" s="317"/>
      <c r="T28" s="317"/>
      <c r="U28" s="317"/>
      <c r="V28" s="317"/>
      <c r="W28" s="317"/>
      <c r="X28" s="317"/>
      <c r="Y28" s="317"/>
      <c r="Z28" s="317"/>
      <c r="AA28" s="317"/>
      <c r="AB28" s="317"/>
      <c r="AC28" s="317"/>
      <c r="AD28" s="317"/>
      <c r="AE28" s="317"/>
      <c r="AF28" s="317"/>
      <c r="AG28" s="317"/>
      <c r="AH28" s="344"/>
    </row>
    <row r="29" spans="1:34">
      <c r="A29" s="329" t="s">
        <v>143</v>
      </c>
      <c r="B29" s="330"/>
      <c r="C29" s="330"/>
      <c r="D29" s="330"/>
      <c r="E29" s="330"/>
      <c r="F29" s="330"/>
      <c r="G29" s="330"/>
      <c r="H29" s="330"/>
      <c r="I29" s="330"/>
      <c r="J29" s="330"/>
      <c r="K29" s="330"/>
      <c r="L29" s="330"/>
      <c r="M29" s="330"/>
      <c r="N29" s="346"/>
    </row>
    <row r="30" spans="1:34">
      <c r="A30" s="332" t="s">
        <v>144</v>
      </c>
      <c r="B30" s="347">
        <v>0</v>
      </c>
      <c r="C30" s="348">
        <v>0</v>
      </c>
      <c r="D30" s="348">
        <v>0</v>
      </c>
      <c r="E30" s="348">
        <v>0</v>
      </c>
      <c r="F30" s="348">
        <v>0</v>
      </c>
      <c r="G30" s="348">
        <v>0</v>
      </c>
      <c r="H30" s="348">
        <v>0</v>
      </c>
      <c r="I30" s="348">
        <v>0</v>
      </c>
      <c r="J30" s="348">
        <v>0</v>
      </c>
      <c r="K30" s="348">
        <v>0</v>
      </c>
      <c r="L30" s="348">
        <v>0</v>
      </c>
      <c r="M30" s="348">
        <v>0</v>
      </c>
      <c r="N30" s="349">
        <f t="shared" ref="N30:N36" si="8">SUM(B30:M30)</f>
        <v>0</v>
      </c>
    </row>
    <row r="31" spans="1:34">
      <c r="A31" s="332" t="s">
        <v>145</v>
      </c>
      <c r="B31" s="350">
        <v>0</v>
      </c>
      <c r="C31" s="350">
        <v>0</v>
      </c>
      <c r="D31" s="350">
        <v>0</v>
      </c>
      <c r="E31" s="350">
        <v>0</v>
      </c>
      <c r="F31" s="350">
        <v>0</v>
      </c>
      <c r="G31" s="350">
        <v>0</v>
      </c>
      <c r="H31" s="350">
        <v>0</v>
      </c>
      <c r="I31" s="350">
        <v>0</v>
      </c>
      <c r="J31" s="350">
        <v>0</v>
      </c>
      <c r="K31" s="350">
        <v>0</v>
      </c>
      <c r="L31" s="350">
        <v>0</v>
      </c>
      <c r="M31" s="350">
        <v>0</v>
      </c>
      <c r="N31" s="351">
        <f t="shared" si="8"/>
        <v>0</v>
      </c>
    </row>
    <row r="32" spans="1:34">
      <c r="A32" s="332" t="s">
        <v>146</v>
      </c>
      <c r="B32" s="352">
        <v>0</v>
      </c>
      <c r="C32" s="353">
        <f t="shared" ref="C32:M32" si="9">B32</f>
        <v>0</v>
      </c>
      <c r="D32" s="353">
        <f t="shared" si="9"/>
        <v>0</v>
      </c>
      <c r="E32" s="353">
        <f t="shared" si="9"/>
        <v>0</v>
      </c>
      <c r="F32" s="353">
        <f t="shared" si="9"/>
        <v>0</v>
      </c>
      <c r="G32" s="353">
        <f t="shared" si="9"/>
        <v>0</v>
      </c>
      <c r="H32" s="353">
        <f t="shared" si="9"/>
        <v>0</v>
      </c>
      <c r="I32" s="353">
        <f t="shared" si="9"/>
        <v>0</v>
      </c>
      <c r="J32" s="353">
        <f t="shared" si="9"/>
        <v>0</v>
      </c>
      <c r="K32" s="353">
        <f t="shared" si="9"/>
        <v>0</v>
      </c>
      <c r="L32" s="353">
        <f t="shared" si="9"/>
        <v>0</v>
      </c>
      <c r="M32" s="353">
        <f t="shared" si="9"/>
        <v>0</v>
      </c>
      <c r="N32" s="340">
        <f t="shared" si="8"/>
        <v>0</v>
      </c>
    </row>
    <row r="33" spans="1:34">
      <c r="A33" s="332" t="s">
        <v>147</v>
      </c>
      <c r="B33" s="354">
        <v>0</v>
      </c>
      <c r="C33" s="305">
        <v>0</v>
      </c>
      <c r="D33" s="305">
        <v>0</v>
      </c>
      <c r="E33" s="305">
        <v>0</v>
      </c>
      <c r="F33" s="305">
        <v>0</v>
      </c>
      <c r="G33" s="305">
        <v>0</v>
      </c>
      <c r="H33" s="305">
        <v>0</v>
      </c>
      <c r="I33" s="305">
        <v>0</v>
      </c>
      <c r="J33" s="305">
        <v>0</v>
      </c>
      <c r="K33" s="305">
        <v>0</v>
      </c>
      <c r="L33" s="305">
        <v>0</v>
      </c>
      <c r="M33" s="305">
        <v>0</v>
      </c>
      <c r="N33" s="337">
        <f t="shared" si="8"/>
        <v>0</v>
      </c>
    </row>
    <row r="34" spans="1:34">
      <c r="A34" s="332" t="s">
        <v>148</v>
      </c>
      <c r="B34" s="352">
        <v>0</v>
      </c>
      <c r="C34" s="353">
        <f t="shared" ref="C34:M34" si="10">B34</f>
        <v>0</v>
      </c>
      <c r="D34" s="353">
        <f t="shared" si="10"/>
        <v>0</v>
      </c>
      <c r="E34" s="353">
        <f t="shared" si="10"/>
        <v>0</v>
      </c>
      <c r="F34" s="353">
        <f t="shared" si="10"/>
        <v>0</v>
      </c>
      <c r="G34" s="353">
        <f t="shared" si="10"/>
        <v>0</v>
      </c>
      <c r="H34" s="353">
        <f t="shared" si="10"/>
        <v>0</v>
      </c>
      <c r="I34" s="353">
        <f t="shared" si="10"/>
        <v>0</v>
      </c>
      <c r="J34" s="353">
        <f t="shared" si="10"/>
        <v>0</v>
      </c>
      <c r="K34" s="353">
        <f t="shared" si="10"/>
        <v>0</v>
      </c>
      <c r="L34" s="353">
        <f t="shared" si="10"/>
        <v>0</v>
      </c>
      <c r="M34" s="353">
        <f t="shared" si="10"/>
        <v>0</v>
      </c>
      <c r="N34" s="340">
        <f t="shared" si="8"/>
        <v>0</v>
      </c>
    </row>
    <row r="35" spans="1:34">
      <c r="A35" s="332" t="s">
        <v>149</v>
      </c>
      <c r="B35" s="354">
        <v>0</v>
      </c>
      <c r="C35" s="305">
        <v>0</v>
      </c>
      <c r="D35" s="305">
        <v>0</v>
      </c>
      <c r="E35" s="305">
        <v>0</v>
      </c>
      <c r="F35" s="305">
        <v>0</v>
      </c>
      <c r="G35" s="305">
        <v>0</v>
      </c>
      <c r="H35" s="305">
        <v>0</v>
      </c>
      <c r="I35" s="305">
        <v>0</v>
      </c>
      <c r="J35" s="305">
        <v>0</v>
      </c>
      <c r="K35" s="305">
        <v>0</v>
      </c>
      <c r="L35" s="305">
        <v>0</v>
      </c>
      <c r="M35" s="305">
        <v>0</v>
      </c>
      <c r="N35" s="337">
        <f t="shared" si="8"/>
        <v>0</v>
      </c>
    </row>
    <row r="36" spans="1:34" s="313" customFormat="1">
      <c r="A36" s="329" t="s">
        <v>150</v>
      </c>
      <c r="B36" s="338">
        <f t="shared" ref="B36:M36" si="11">SUM(B30:B35)</f>
        <v>0</v>
      </c>
      <c r="C36" s="339">
        <f t="shared" si="11"/>
        <v>0</v>
      </c>
      <c r="D36" s="339">
        <f t="shared" si="11"/>
        <v>0</v>
      </c>
      <c r="E36" s="339">
        <f t="shared" si="11"/>
        <v>0</v>
      </c>
      <c r="F36" s="339">
        <f t="shared" si="11"/>
        <v>0</v>
      </c>
      <c r="G36" s="339">
        <f t="shared" si="11"/>
        <v>0</v>
      </c>
      <c r="H36" s="339">
        <f t="shared" si="11"/>
        <v>0</v>
      </c>
      <c r="I36" s="339">
        <f t="shared" si="11"/>
        <v>0</v>
      </c>
      <c r="J36" s="339">
        <f t="shared" si="11"/>
        <v>0</v>
      </c>
      <c r="K36" s="339">
        <f t="shared" si="11"/>
        <v>0</v>
      </c>
      <c r="L36" s="339">
        <f t="shared" si="11"/>
        <v>0</v>
      </c>
      <c r="M36" s="339">
        <f t="shared" si="11"/>
        <v>0</v>
      </c>
      <c r="N36" s="340">
        <f t="shared" si="8"/>
        <v>0</v>
      </c>
      <c r="O36" s="311"/>
      <c r="P36" s="311"/>
      <c r="Q36" s="311"/>
      <c r="R36" s="311"/>
      <c r="S36" s="311"/>
      <c r="T36" s="311"/>
      <c r="U36" s="311"/>
      <c r="V36" s="311"/>
      <c r="W36" s="311"/>
      <c r="X36" s="311"/>
      <c r="Y36" s="311"/>
      <c r="Z36" s="311"/>
      <c r="AA36" s="311"/>
      <c r="AB36" s="311"/>
      <c r="AC36" s="311"/>
      <c r="AD36" s="311"/>
      <c r="AE36" s="311"/>
      <c r="AF36" s="311"/>
      <c r="AG36" s="311"/>
      <c r="AH36" s="312"/>
    </row>
    <row r="37" spans="1:34" s="345" customFormat="1" ht="12">
      <c r="A37" s="341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3"/>
      <c r="O37" s="317"/>
      <c r="P37" s="317"/>
      <c r="Q37" s="317"/>
      <c r="R37" s="317"/>
      <c r="S37" s="317"/>
      <c r="T37" s="317"/>
      <c r="U37" s="317"/>
      <c r="V37" s="317"/>
      <c r="W37" s="317"/>
      <c r="X37" s="317"/>
      <c r="Y37" s="317"/>
      <c r="Z37" s="317"/>
      <c r="AA37" s="317"/>
      <c r="AB37" s="317"/>
      <c r="AC37" s="317"/>
      <c r="AD37" s="317"/>
      <c r="AE37" s="317"/>
      <c r="AF37" s="317"/>
      <c r="AG37" s="317"/>
      <c r="AH37" s="344"/>
    </row>
    <row r="38" spans="1:34">
      <c r="A38" s="329" t="s">
        <v>151</v>
      </c>
      <c r="B38" s="330"/>
      <c r="C38" s="330"/>
      <c r="D38" s="330"/>
      <c r="E38" s="330"/>
      <c r="F38" s="330"/>
      <c r="G38" s="330"/>
      <c r="H38" s="330"/>
      <c r="I38" s="330"/>
      <c r="J38" s="330"/>
      <c r="K38" s="330"/>
      <c r="L38" s="330"/>
      <c r="M38" s="330"/>
      <c r="N38" s="346"/>
    </row>
    <row r="39" spans="1:34">
      <c r="A39" s="332" t="s">
        <v>152</v>
      </c>
      <c r="B39" s="352">
        <v>0</v>
      </c>
      <c r="C39" s="353">
        <f>B39</f>
        <v>0</v>
      </c>
      <c r="D39" s="353">
        <f t="shared" ref="D39:M39" si="12">C39</f>
        <v>0</v>
      </c>
      <c r="E39" s="353">
        <f t="shared" si="12"/>
        <v>0</v>
      </c>
      <c r="F39" s="353">
        <f t="shared" si="12"/>
        <v>0</v>
      </c>
      <c r="G39" s="353">
        <f t="shared" si="12"/>
        <v>0</v>
      </c>
      <c r="H39" s="353">
        <f t="shared" si="12"/>
        <v>0</v>
      </c>
      <c r="I39" s="353">
        <f t="shared" si="12"/>
        <v>0</v>
      </c>
      <c r="J39" s="353">
        <f t="shared" si="12"/>
        <v>0</v>
      </c>
      <c r="K39" s="353">
        <f t="shared" si="12"/>
        <v>0</v>
      </c>
      <c r="L39" s="353">
        <f t="shared" si="12"/>
        <v>0</v>
      </c>
      <c r="M39" s="353">
        <f t="shared" si="12"/>
        <v>0</v>
      </c>
      <c r="N39" s="340">
        <f>SUM(B39:M39)</f>
        <v>0</v>
      </c>
    </row>
    <row r="40" spans="1:34">
      <c r="A40" s="332" t="s">
        <v>141</v>
      </c>
      <c r="B40" s="354">
        <v>0</v>
      </c>
      <c r="C40" s="305">
        <v>0</v>
      </c>
      <c r="D40" s="305">
        <v>0</v>
      </c>
      <c r="E40" s="305">
        <v>0</v>
      </c>
      <c r="F40" s="305">
        <v>0</v>
      </c>
      <c r="G40" s="305">
        <v>0</v>
      </c>
      <c r="H40" s="305">
        <v>0</v>
      </c>
      <c r="I40" s="305">
        <v>0</v>
      </c>
      <c r="J40" s="305">
        <v>0</v>
      </c>
      <c r="K40" s="305">
        <v>0</v>
      </c>
      <c r="L40" s="305">
        <v>0</v>
      </c>
      <c r="M40" s="305">
        <v>0</v>
      </c>
      <c r="N40" s="337">
        <f>SUM(B40:M40)</f>
        <v>0</v>
      </c>
    </row>
    <row r="41" spans="1:34" s="313" customFormat="1">
      <c r="A41" s="329" t="s">
        <v>153</v>
      </c>
      <c r="B41" s="338">
        <f t="shared" ref="B41:M41" si="13">SUM(B39:B40)</f>
        <v>0</v>
      </c>
      <c r="C41" s="339">
        <f t="shared" si="13"/>
        <v>0</v>
      </c>
      <c r="D41" s="339">
        <f t="shared" si="13"/>
        <v>0</v>
      </c>
      <c r="E41" s="339">
        <f t="shared" si="13"/>
        <v>0</v>
      </c>
      <c r="F41" s="339">
        <f t="shared" si="13"/>
        <v>0</v>
      </c>
      <c r="G41" s="339">
        <f t="shared" si="13"/>
        <v>0</v>
      </c>
      <c r="H41" s="339">
        <f t="shared" si="13"/>
        <v>0</v>
      </c>
      <c r="I41" s="339">
        <f t="shared" si="13"/>
        <v>0</v>
      </c>
      <c r="J41" s="339">
        <f t="shared" si="13"/>
        <v>0</v>
      </c>
      <c r="K41" s="339">
        <f t="shared" si="13"/>
        <v>0</v>
      </c>
      <c r="L41" s="339">
        <f t="shared" si="13"/>
        <v>0</v>
      </c>
      <c r="M41" s="339">
        <f t="shared" si="13"/>
        <v>0</v>
      </c>
      <c r="N41" s="340">
        <f>SUM(B41:M41)</f>
        <v>0</v>
      </c>
      <c r="O41" s="311"/>
      <c r="P41" s="311"/>
      <c r="Q41" s="311"/>
      <c r="R41" s="311"/>
      <c r="S41" s="311"/>
      <c r="T41" s="311"/>
      <c r="U41" s="311"/>
      <c r="V41" s="311"/>
      <c r="W41" s="311"/>
      <c r="X41" s="311"/>
      <c r="Y41" s="311"/>
      <c r="Z41" s="311"/>
      <c r="AA41" s="311"/>
      <c r="AB41" s="311"/>
      <c r="AC41" s="311"/>
      <c r="AD41" s="311"/>
      <c r="AE41" s="311"/>
      <c r="AF41" s="311"/>
      <c r="AG41" s="311"/>
      <c r="AH41" s="312"/>
    </row>
    <row r="42" spans="1:34" s="345" customFormat="1" ht="12">
      <c r="A42" s="341"/>
      <c r="B42" s="342"/>
      <c r="C42" s="342"/>
      <c r="D42" s="342"/>
      <c r="E42" s="342"/>
      <c r="F42" s="342"/>
      <c r="G42" s="342"/>
      <c r="H42" s="342"/>
      <c r="I42" s="342"/>
      <c r="J42" s="342"/>
      <c r="K42" s="342"/>
      <c r="L42" s="342"/>
      <c r="M42" s="342"/>
      <c r="N42" s="343"/>
      <c r="O42" s="317"/>
      <c r="P42" s="317"/>
      <c r="Q42" s="317"/>
      <c r="R42" s="317"/>
      <c r="S42" s="317"/>
      <c r="T42" s="317"/>
      <c r="U42" s="317"/>
      <c r="V42" s="317"/>
      <c r="W42" s="317"/>
      <c r="X42" s="317"/>
      <c r="Y42" s="317"/>
      <c r="Z42" s="317"/>
      <c r="AA42" s="317"/>
      <c r="AB42" s="317"/>
      <c r="AC42" s="317"/>
      <c r="AD42" s="317"/>
      <c r="AE42" s="317"/>
      <c r="AF42" s="317"/>
      <c r="AG42" s="317"/>
      <c r="AH42" s="344"/>
    </row>
    <row r="43" spans="1:34">
      <c r="A43" s="329" t="s">
        <v>154</v>
      </c>
      <c r="B43" s="330"/>
      <c r="C43" s="330"/>
      <c r="D43" s="330"/>
      <c r="E43" s="330"/>
      <c r="F43" s="330"/>
      <c r="G43" s="330"/>
      <c r="H43" s="330"/>
      <c r="I43" s="330"/>
      <c r="J43" s="330"/>
      <c r="K43" s="330"/>
      <c r="L43" s="330"/>
      <c r="M43" s="330"/>
      <c r="N43" s="346"/>
    </row>
    <row r="44" spans="1:34">
      <c r="A44" s="332" t="s">
        <v>155</v>
      </c>
      <c r="B44" s="302">
        <v>0</v>
      </c>
      <c r="C44" s="303">
        <f>B44</f>
        <v>0</v>
      </c>
      <c r="D44" s="303">
        <f t="shared" ref="D44:M44" si="14">C44</f>
        <v>0</v>
      </c>
      <c r="E44" s="303">
        <f t="shared" si="14"/>
        <v>0</v>
      </c>
      <c r="F44" s="303">
        <f t="shared" si="14"/>
        <v>0</v>
      </c>
      <c r="G44" s="303">
        <f t="shared" si="14"/>
        <v>0</v>
      </c>
      <c r="H44" s="303">
        <f t="shared" si="14"/>
        <v>0</v>
      </c>
      <c r="I44" s="303">
        <f t="shared" si="14"/>
        <v>0</v>
      </c>
      <c r="J44" s="303">
        <f t="shared" si="14"/>
        <v>0</v>
      </c>
      <c r="K44" s="303">
        <f t="shared" si="14"/>
        <v>0</v>
      </c>
      <c r="L44" s="303">
        <f t="shared" si="14"/>
        <v>0</v>
      </c>
      <c r="M44" s="303">
        <f t="shared" si="14"/>
        <v>0</v>
      </c>
      <c r="N44" s="336">
        <f t="shared" ref="N44:N48" si="15">SUM(B44:M44)</f>
        <v>0</v>
      </c>
    </row>
    <row r="45" spans="1:34">
      <c r="A45" s="332" t="s">
        <v>156</v>
      </c>
      <c r="B45" s="305">
        <v>0</v>
      </c>
      <c r="C45" s="305">
        <f t="shared" ref="C45:M47" si="16">B45</f>
        <v>0</v>
      </c>
      <c r="D45" s="305">
        <f t="shared" si="16"/>
        <v>0</v>
      </c>
      <c r="E45" s="305">
        <f t="shared" si="16"/>
        <v>0</v>
      </c>
      <c r="F45" s="305">
        <f t="shared" si="16"/>
        <v>0</v>
      </c>
      <c r="G45" s="305">
        <f t="shared" si="16"/>
        <v>0</v>
      </c>
      <c r="H45" s="305">
        <f t="shared" si="16"/>
        <v>0</v>
      </c>
      <c r="I45" s="305">
        <f t="shared" si="16"/>
        <v>0</v>
      </c>
      <c r="J45" s="305">
        <f t="shared" si="16"/>
        <v>0</v>
      </c>
      <c r="K45" s="305">
        <f t="shared" si="16"/>
        <v>0</v>
      </c>
      <c r="L45" s="305">
        <f t="shared" si="16"/>
        <v>0</v>
      </c>
      <c r="M45" s="305">
        <f t="shared" si="16"/>
        <v>0</v>
      </c>
      <c r="N45" s="337">
        <f t="shared" si="15"/>
        <v>0</v>
      </c>
    </row>
    <row r="46" spans="1:34">
      <c r="A46" s="332" t="s">
        <v>157</v>
      </c>
      <c r="B46" s="302">
        <v>0</v>
      </c>
      <c r="C46" s="303">
        <f t="shared" si="16"/>
        <v>0</v>
      </c>
      <c r="D46" s="303">
        <f t="shared" si="16"/>
        <v>0</v>
      </c>
      <c r="E46" s="303">
        <f t="shared" si="16"/>
        <v>0</v>
      </c>
      <c r="F46" s="303">
        <f t="shared" si="16"/>
        <v>0</v>
      </c>
      <c r="G46" s="303">
        <f t="shared" si="16"/>
        <v>0</v>
      </c>
      <c r="H46" s="303">
        <f t="shared" si="16"/>
        <v>0</v>
      </c>
      <c r="I46" s="303">
        <f t="shared" si="16"/>
        <v>0</v>
      </c>
      <c r="J46" s="303">
        <f t="shared" si="16"/>
        <v>0</v>
      </c>
      <c r="K46" s="303">
        <f t="shared" si="16"/>
        <v>0</v>
      </c>
      <c r="L46" s="303">
        <f t="shared" si="16"/>
        <v>0</v>
      </c>
      <c r="M46" s="303">
        <f t="shared" si="16"/>
        <v>0</v>
      </c>
      <c r="N46" s="336">
        <f t="shared" si="15"/>
        <v>0</v>
      </c>
    </row>
    <row r="47" spans="1:34">
      <c r="A47" s="332" t="s">
        <v>158</v>
      </c>
      <c r="B47" s="305">
        <v>0</v>
      </c>
      <c r="C47" s="305">
        <f t="shared" si="16"/>
        <v>0</v>
      </c>
      <c r="D47" s="305">
        <f t="shared" si="16"/>
        <v>0</v>
      </c>
      <c r="E47" s="305">
        <f t="shared" si="16"/>
        <v>0</v>
      </c>
      <c r="F47" s="305">
        <f t="shared" si="16"/>
        <v>0</v>
      </c>
      <c r="G47" s="305">
        <f t="shared" si="16"/>
        <v>0</v>
      </c>
      <c r="H47" s="305">
        <f t="shared" si="16"/>
        <v>0</v>
      </c>
      <c r="I47" s="305">
        <f t="shared" si="16"/>
        <v>0</v>
      </c>
      <c r="J47" s="305">
        <f t="shared" si="16"/>
        <v>0</v>
      </c>
      <c r="K47" s="305">
        <f t="shared" si="16"/>
        <v>0</v>
      </c>
      <c r="L47" s="305">
        <f t="shared" si="16"/>
        <v>0</v>
      </c>
      <c r="M47" s="305">
        <f t="shared" si="16"/>
        <v>0</v>
      </c>
      <c r="N47" s="334">
        <f t="shared" si="15"/>
        <v>0</v>
      </c>
    </row>
    <row r="48" spans="1:34">
      <c r="A48" s="332" t="s">
        <v>141</v>
      </c>
      <c r="B48" s="305">
        <v>0</v>
      </c>
      <c r="C48" s="305">
        <v>0</v>
      </c>
      <c r="D48" s="305">
        <v>0</v>
      </c>
      <c r="E48" s="305">
        <v>0</v>
      </c>
      <c r="F48" s="305">
        <v>0</v>
      </c>
      <c r="G48" s="305">
        <v>0</v>
      </c>
      <c r="H48" s="305">
        <v>0</v>
      </c>
      <c r="I48" s="305">
        <v>0</v>
      </c>
      <c r="J48" s="305">
        <v>0</v>
      </c>
      <c r="K48" s="305">
        <v>0</v>
      </c>
      <c r="L48" s="305">
        <v>0</v>
      </c>
      <c r="M48" s="305">
        <v>0</v>
      </c>
      <c r="N48" s="334">
        <f t="shared" si="15"/>
        <v>0</v>
      </c>
    </row>
    <row r="49" spans="1:34" s="313" customFormat="1">
      <c r="A49" s="329" t="s">
        <v>159</v>
      </c>
      <c r="B49" s="338">
        <f t="shared" ref="B49:N49" si="17">SUM(B44:B48)</f>
        <v>0</v>
      </c>
      <c r="C49" s="339">
        <f t="shared" si="17"/>
        <v>0</v>
      </c>
      <c r="D49" s="339">
        <f t="shared" si="17"/>
        <v>0</v>
      </c>
      <c r="E49" s="339">
        <f t="shared" si="17"/>
        <v>0</v>
      </c>
      <c r="F49" s="339">
        <f t="shared" si="17"/>
        <v>0</v>
      </c>
      <c r="G49" s="339">
        <f t="shared" si="17"/>
        <v>0</v>
      </c>
      <c r="H49" s="339">
        <f t="shared" si="17"/>
        <v>0</v>
      </c>
      <c r="I49" s="339">
        <f t="shared" si="17"/>
        <v>0</v>
      </c>
      <c r="J49" s="339">
        <f t="shared" si="17"/>
        <v>0</v>
      </c>
      <c r="K49" s="339">
        <f t="shared" si="17"/>
        <v>0</v>
      </c>
      <c r="L49" s="339">
        <f t="shared" si="17"/>
        <v>0</v>
      </c>
      <c r="M49" s="339">
        <f t="shared" si="17"/>
        <v>0</v>
      </c>
      <c r="N49" s="340">
        <f t="shared" si="17"/>
        <v>0</v>
      </c>
      <c r="O49" s="311"/>
      <c r="P49" s="311"/>
      <c r="Q49" s="311"/>
      <c r="R49" s="311"/>
      <c r="S49" s="311"/>
      <c r="T49" s="311"/>
      <c r="U49" s="311"/>
      <c r="V49" s="311"/>
      <c r="W49" s="311"/>
      <c r="X49" s="311"/>
      <c r="Y49" s="311"/>
      <c r="Z49" s="311"/>
      <c r="AA49" s="311"/>
      <c r="AB49" s="311"/>
      <c r="AC49" s="311"/>
      <c r="AD49" s="311"/>
      <c r="AE49" s="311"/>
      <c r="AF49" s="311"/>
      <c r="AG49" s="311"/>
      <c r="AH49" s="312"/>
    </row>
    <row r="50" spans="1:34" s="345" customFormat="1" ht="12">
      <c r="A50" s="341"/>
      <c r="B50" s="342"/>
      <c r="C50" s="342"/>
      <c r="D50" s="342"/>
      <c r="E50" s="342"/>
      <c r="F50" s="342"/>
      <c r="G50" s="342"/>
      <c r="H50" s="342"/>
      <c r="I50" s="342"/>
      <c r="J50" s="342"/>
      <c r="K50" s="342"/>
      <c r="L50" s="342"/>
      <c r="M50" s="342"/>
      <c r="N50" s="343"/>
      <c r="O50" s="317"/>
      <c r="P50" s="317"/>
      <c r="Q50" s="317"/>
      <c r="R50" s="317"/>
      <c r="S50" s="317"/>
      <c r="T50" s="317"/>
      <c r="U50" s="317"/>
      <c r="V50" s="317"/>
      <c r="W50" s="317"/>
      <c r="X50" s="317"/>
      <c r="Y50" s="317"/>
      <c r="Z50" s="317"/>
      <c r="AA50" s="317"/>
      <c r="AB50" s="317"/>
      <c r="AC50" s="317"/>
      <c r="AD50" s="317"/>
      <c r="AE50" s="317"/>
      <c r="AF50" s="317"/>
      <c r="AG50" s="317"/>
      <c r="AH50" s="344"/>
    </row>
    <row r="51" spans="1:34">
      <c r="A51" s="329" t="s">
        <v>160</v>
      </c>
      <c r="B51" s="330"/>
      <c r="C51" s="330"/>
      <c r="D51" s="330"/>
      <c r="E51" s="330"/>
      <c r="F51" s="330"/>
      <c r="G51" s="330"/>
      <c r="H51" s="330"/>
      <c r="I51" s="330"/>
      <c r="J51" s="330"/>
      <c r="K51" s="330"/>
      <c r="L51" s="330"/>
      <c r="M51" s="330"/>
      <c r="N51" s="346"/>
    </row>
    <row r="52" spans="1:34">
      <c r="A52" s="332" t="s">
        <v>161</v>
      </c>
      <c r="B52" s="355">
        <v>0</v>
      </c>
      <c r="C52" s="356">
        <f>B52</f>
        <v>0</v>
      </c>
      <c r="D52" s="356">
        <f t="shared" ref="D52:M52" si="18">C52</f>
        <v>0</v>
      </c>
      <c r="E52" s="356">
        <f t="shared" si="18"/>
        <v>0</v>
      </c>
      <c r="F52" s="356">
        <f t="shared" si="18"/>
        <v>0</v>
      </c>
      <c r="G52" s="356">
        <f t="shared" si="18"/>
        <v>0</v>
      </c>
      <c r="H52" s="356">
        <f t="shared" si="18"/>
        <v>0</v>
      </c>
      <c r="I52" s="356">
        <f t="shared" si="18"/>
        <v>0</v>
      </c>
      <c r="J52" s="356">
        <f t="shared" si="18"/>
        <v>0</v>
      </c>
      <c r="K52" s="356">
        <f t="shared" si="18"/>
        <v>0</v>
      </c>
      <c r="L52" s="356">
        <f t="shared" si="18"/>
        <v>0</v>
      </c>
      <c r="M52" s="356">
        <f t="shared" si="18"/>
        <v>0</v>
      </c>
      <c r="N52" s="336">
        <f t="shared" ref="N52:N60" si="19">SUM(B52:M52)</f>
        <v>0</v>
      </c>
    </row>
    <row r="53" spans="1:34">
      <c r="A53" s="332" t="s">
        <v>161</v>
      </c>
      <c r="B53" s="357">
        <v>0</v>
      </c>
      <c r="C53" s="357">
        <f t="shared" ref="C53:M56" si="20">B53</f>
        <v>0</v>
      </c>
      <c r="D53" s="357">
        <f t="shared" si="20"/>
        <v>0</v>
      </c>
      <c r="E53" s="357">
        <f t="shared" si="20"/>
        <v>0</v>
      </c>
      <c r="F53" s="357">
        <f t="shared" si="20"/>
        <v>0</v>
      </c>
      <c r="G53" s="357">
        <f t="shared" si="20"/>
        <v>0</v>
      </c>
      <c r="H53" s="357">
        <f t="shared" si="20"/>
        <v>0</v>
      </c>
      <c r="I53" s="357">
        <f t="shared" si="20"/>
        <v>0</v>
      </c>
      <c r="J53" s="357">
        <f t="shared" si="20"/>
        <v>0</v>
      </c>
      <c r="K53" s="357">
        <f t="shared" si="20"/>
        <v>0</v>
      </c>
      <c r="L53" s="357">
        <f t="shared" si="20"/>
        <v>0</v>
      </c>
      <c r="M53" s="357">
        <f t="shared" si="20"/>
        <v>0</v>
      </c>
      <c r="N53" s="337">
        <f t="shared" si="19"/>
        <v>0</v>
      </c>
    </row>
    <row r="54" spans="1:34">
      <c r="A54" s="332" t="s">
        <v>15</v>
      </c>
      <c r="B54" s="355">
        <v>0</v>
      </c>
      <c r="C54" s="356">
        <f t="shared" si="20"/>
        <v>0</v>
      </c>
      <c r="D54" s="356">
        <f t="shared" si="20"/>
        <v>0</v>
      </c>
      <c r="E54" s="356">
        <f t="shared" si="20"/>
        <v>0</v>
      </c>
      <c r="F54" s="356">
        <f t="shared" si="20"/>
        <v>0</v>
      </c>
      <c r="G54" s="356">
        <f t="shared" si="20"/>
        <v>0</v>
      </c>
      <c r="H54" s="356">
        <f t="shared" si="20"/>
        <v>0</v>
      </c>
      <c r="I54" s="356">
        <f t="shared" si="20"/>
        <v>0</v>
      </c>
      <c r="J54" s="356">
        <f t="shared" si="20"/>
        <v>0</v>
      </c>
      <c r="K54" s="356">
        <f t="shared" si="20"/>
        <v>0</v>
      </c>
      <c r="L54" s="356">
        <f t="shared" si="20"/>
        <v>0</v>
      </c>
      <c r="M54" s="356">
        <f t="shared" si="20"/>
        <v>0</v>
      </c>
      <c r="N54" s="336">
        <f t="shared" si="19"/>
        <v>0</v>
      </c>
    </row>
    <row r="55" spans="1:34">
      <c r="A55" s="332" t="s">
        <v>15</v>
      </c>
      <c r="B55" s="357">
        <v>0</v>
      </c>
      <c r="C55" s="357">
        <f t="shared" si="20"/>
        <v>0</v>
      </c>
      <c r="D55" s="357">
        <f t="shared" si="20"/>
        <v>0</v>
      </c>
      <c r="E55" s="357">
        <f t="shared" si="20"/>
        <v>0</v>
      </c>
      <c r="F55" s="357">
        <f t="shared" si="20"/>
        <v>0</v>
      </c>
      <c r="G55" s="357">
        <f t="shared" si="20"/>
        <v>0</v>
      </c>
      <c r="H55" s="357">
        <f t="shared" si="20"/>
        <v>0</v>
      </c>
      <c r="I55" s="357">
        <f t="shared" si="20"/>
        <v>0</v>
      </c>
      <c r="J55" s="357">
        <f t="shared" si="20"/>
        <v>0</v>
      </c>
      <c r="K55" s="357">
        <f t="shared" si="20"/>
        <v>0</v>
      </c>
      <c r="L55" s="357">
        <f t="shared" si="20"/>
        <v>0</v>
      </c>
      <c r="M55" s="357">
        <f t="shared" si="20"/>
        <v>0</v>
      </c>
      <c r="N55" s="337">
        <f t="shared" si="19"/>
        <v>0</v>
      </c>
    </row>
    <row r="56" spans="1:34">
      <c r="A56" s="332" t="s">
        <v>162</v>
      </c>
      <c r="B56" s="355">
        <v>0</v>
      </c>
      <c r="C56" s="356">
        <f t="shared" si="20"/>
        <v>0</v>
      </c>
      <c r="D56" s="356">
        <f t="shared" si="20"/>
        <v>0</v>
      </c>
      <c r="E56" s="356">
        <f t="shared" si="20"/>
        <v>0</v>
      </c>
      <c r="F56" s="356">
        <f t="shared" si="20"/>
        <v>0</v>
      </c>
      <c r="G56" s="356">
        <f t="shared" si="20"/>
        <v>0</v>
      </c>
      <c r="H56" s="356">
        <f t="shared" si="20"/>
        <v>0</v>
      </c>
      <c r="I56" s="356">
        <f t="shared" si="20"/>
        <v>0</v>
      </c>
      <c r="J56" s="356">
        <f t="shared" si="20"/>
        <v>0</v>
      </c>
      <c r="K56" s="356">
        <f t="shared" si="20"/>
        <v>0</v>
      </c>
      <c r="L56" s="356">
        <f t="shared" si="20"/>
        <v>0</v>
      </c>
      <c r="M56" s="356">
        <f t="shared" si="20"/>
        <v>0</v>
      </c>
      <c r="N56" s="336">
        <f t="shared" si="19"/>
        <v>0</v>
      </c>
    </row>
    <row r="57" spans="1:34">
      <c r="A57" s="332" t="s">
        <v>163</v>
      </c>
      <c r="B57" s="357">
        <v>0</v>
      </c>
      <c r="C57" s="357">
        <v>0</v>
      </c>
      <c r="D57" s="357">
        <v>0</v>
      </c>
      <c r="E57" s="357">
        <v>0</v>
      </c>
      <c r="F57" s="357">
        <v>0</v>
      </c>
      <c r="G57" s="357">
        <v>0</v>
      </c>
      <c r="H57" s="357">
        <v>0</v>
      </c>
      <c r="I57" s="357">
        <v>0</v>
      </c>
      <c r="J57" s="357">
        <v>0</v>
      </c>
      <c r="K57" s="357">
        <v>0</v>
      </c>
      <c r="L57" s="357">
        <v>0</v>
      </c>
      <c r="M57" s="357">
        <v>0</v>
      </c>
      <c r="N57" s="337">
        <f t="shared" si="19"/>
        <v>0</v>
      </c>
    </row>
    <row r="58" spans="1:34">
      <c r="A58" s="332" t="s">
        <v>164</v>
      </c>
      <c r="B58" s="355">
        <v>0</v>
      </c>
      <c r="C58" s="356">
        <v>0</v>
      </c>
      <c r="D58" s="356">
        <v>0</v>
      </c>
      <c r="E58" s="356">
        <v>0</v>
      </c>
      <c r="F58" s="356">
        <v>0</v>
      </c>
      <c r="G58" s="356">
        <v>0</v>
      </c>
      <c r="H58" s="356">
        <v>0</v>
      </c>
      <c r="I58" s="356">
        <v>0</v>
      </c>
      <c r="J58" s="356">
        <v>0</v>
      </c>
      <c r="K58" s="356">
        <v>0</v>
      </c>
      <c r="L58" s="356">
        <v>0</v>
      </c>
      <c r="M58" s="356">
        <v>0</v>
      </c>
      <c r="N58" s="336">
        <f t="shared" si="19"/>
        <v>0</v>
      </c>
    </row>
    <row r="59" spans="1:34">
      <c r="A59" s="332" t="s">
        <v>165</v>
      </c>
      <c r="B59" s="357">
        <v>0</v>
      </c>
      <c r="C59" s="357">
        <f>B59</f>
        <v>0</v>
      </c>
      <c r="D59" s="357">
        <f>C59</f>
        <v>0</v>
      </c>
      <c r="E59" s="357">
        <f t="shared" ref="E59:M59" si="21">D59</f>
        <v>0</v>
      </c>
      <c r="F59" s="357">
        <f t="shared" si="21"/>
        <v>0</v>
      </c>
      <c r="G59" s="357">
        <f t="shared" si="21"/>
        <v>0</v>
      </c>
      <c r="H59" s="357">
        <f t="shared" si="21"/>
        <v>0</v>
      </c>
      <c r="I59" s="357">
        <f t="shared" si="21"/>
        <v>0</v>
      </c>
      <c r="J59" s="357">
        <f t="shared" si="21"/>
        <v>0</v>
      </c>
      <c r="K59" s="357">
        <f t="shared" si="21"/>
        <v>0</v>
      </c>
      <c r="L59" s="357">
        <f t="shared" si="21"/>
        <v>0</v>
      </c>
      <c r="M59" s="357">
        <f t="shared" si="21"/>
        <v>0</v>
      </c>
      <c r="N59" s="337">
        <f t="shared" si="19"/>
        <v>0</v>
      </c>
    </row>
    <row r="60" spans="1:34">
      <c r="A60" s="332" t="s">
        <v>141</v>
      </c>
      <c r="B60" s="302">
        <v>0</v>
      </c>
      <c r="C60" s="356">
        <v>0</v>
      </c>
      <c r="D60" s="356">
        <v>0</v>
      </c>
      <c r="E60" s="356">
        <v>0</v>
      </c>
      <c r="F60" s="356">
        <v>0</v>
      </c>
      <c r="G60" s="356">
        <v>0</v>
      </c>
      <c r="H60" s="356">
        <v>0</v>
      </c>
      <c r="I60" s="356">
        <v>0</v>
      </c>
      <c r="J60" s="356">
        <v>0</v>
      </c>
      <c r="K60" s="356">
        <v>0</v>
      </c>
      <c r="L60" s="356">
        <v>0</v>
      </c>
      <c r="M60" s="356">
        <v>0</v>
      </c>
      <c r="N60" s="336">
        <f t="shared" si="19"/>
        <v>0</v>
      </c>
    </row>
    <row r="61" spans="1:34" s="313" customFormat="1">
      <c r="A61" s="329" t="s">
        <v>166</v>
      </c>
      <c r="B61" s="358">
        <f>SUM(B52:B60)</f>
        <v>0</v>
      </c>
      <c r="C61" s="358">
        <f t="shared" ref="C61:N61" si="22">SUM(C52:C60)</f>
        <v>0</v>
      </c>
      <c r="D61" s="358">
        <f t="shared" si="22"/>
        <v>0</v>
      </c>
      <c r="E61" s="358">
        <f t="shared" si="22"/>
        <v>0</v>
      </c>
      <c r="F61" s="358">
        <f t="shared" si="22"/>
        <v>0</v>
      </c>
      <c r="G61" s="358">
        <f t="shared" si="22"/>
        <v>0</v>
      </c>
      <c r="H61" s="358">
        <f t="shared" si="22"/>
        <v>0</v>
      </c>
      <c r="I61" s="358">
        <f t="shared" si="22"/>
        <v>0</v>
      </c>
      <c r="J61" s="358">
        <f t="shared" si="22"/>
        <v>0</v>
      </c>
      <c r="K61" s="358">
        <f t="shared" si="22"/>
        <v>0</v>
      </c>
      <c r="L61" s="358">
        <f t="shared" si="22"/>
        <v>0</v>
      </c>
      <c r="M61" s="358">
        <f t="shared" si="22"/>
        <v>0</v>
      </c>
      <c r="N61" s="337">
        <f t="shared" si="22"/>
        <v>0</v>
      </c>
      <c r="O61" s="311"/>
      <c r="P61" s="311"/>
      <c r="Q61" s="311"/>
      <c r="R61" s="311"/>
      <c r="S61" s="311"/>
      <c r="T61" s="311"/>
      <c r="U61" s="311"/>
      <c r="V61" s="311"/>
      <c r="W61" s="311"/>
      <c r="X61" s="311"/>
      <c r="Y61" s="311"/>
      <c r="Z61" s="311"/>
      <c r="AA61" s="311"/>
      <c r="AB61" s="311"/>
      <c r="AC61" s="311"/>
      <c r="AD61" s="311"/>
      <c r="AE61" s="311"/>
      <c r="AF61" s="311"/>
      <c r="AG61" s="311"/>
      <c r="AH61" s="312"/>
    </row>
    <row r="62" spans="1:34" s="345" customFormat="1" ht="12">
      <c r="A62" s="341"/>
      <c r="B62" s="342"/>
      <c r="C62" s="342"/>
      <c r="D62" s="342"/>
      <c r="E62" s="342"/>
      <c r="F62" s="342"/>
      <c r="G62" s="342"/>
      <c r="H62" s="342"/>
      <c r="I62" s="342"/>
      <c r="J62" s="342"/>
      <c r="K62" s="342"/>
      <c r="L62" s="342"/>
      <c r="M62" s="342"/>
      <c r="N62" s="343"/>
      <c r="O62" s="317"/>
      <c r="P62" s="317"/>
      <c r="Q62" s="317"/>
      <c r="R62" s="317"/>
      <c r="S62" s="317"/>
      <c r="T62" s="317"/>
      <c r="U62" s="317"/>
      <c r="V62" s="317"/>
      <c r="W62" s="317"/>
      <c r="X62" s="317"/>
      <c r="Y62" s="317"/>
      <c r="Z62" s="317"/>
      <c r="AA62" s="317"/>
      <c r="AB62" s="317"/>
      <c r="AC62" s="317"/>
      <c r="AD62" s="317"/>
      <c r="AE62" s="317"/>
      <c r="AF62" s="317"/>
      <c r="AG62" s="317"/>
      <c r="AH62" s="344"/>
    </row>
    <row r="63" spans="1:34">
      <c r="A63" s="329" t="s">
        <v>167</v>
      </c>
      <c r="B63" s="330"/>
      <c r="C63" s="330"/>
      <c r="D63" s="330"/>
      <c r="E63" s="330"/>
      <c r="F63" s="330"/>
      <c r="G63" s="330"/>
      <c r="H63" s="330"/>
      <c r="I63" s="330"/>
      <c r="J63" s="330"/>
      <c r="K63" s="330"/>
      <c r="L63" s="330"/>
      <c r="M63" s="330"/>
      <c r="N63" s="346"/>
    </row>
    <row r="64" spans="1:34">
      <c r="A64" s="332" t="s">
        <v>168</v>
      </c>
      <c r="B64" s="302">
        <v>0</v>
      </c>
      <c r="C64" s="303">
        <f>B64</f>
        <v>0</v>
      </c>
      <c r="D64" s="303">
        <f t="shared" ref="D64:M64" si="23">C64</f>
        <v>0</v>
      </c>
      <c r="E64" s="303">
        <f t="shared" si="23"/>
        <v>0</v>
      </c>
      <c r="F64" s="303">
        <f t="shared" si="23"/>
        <v>0</v>
      </c>
      <c r="G64" s="303">
        <f t="shared" si="23"/>
        <v>0</v>
      </c>
      <c r="H64" s="303">
        <f t="shared" si="23"/>
        <v>0</v>
      </c>
      <c r="I64" s="303">
        <f t="shared" si="23"/>
        <v>0</v>
      </c>
      <c r="J64" s="303">
        <f t="shared" si="23"/>
        <v>0</v>
      </c>
      <c r="K64" s="303">
        <f t="shared" si="23"/>
        <v>0</v>
      </c>
      <c r="L64" s="303">
        <f t="shared" si="23"/>
        <v>0</v>
      </c>
      <c r="M64" s="303">
        <f t="shared" si="23"/>
        <v>0</v>
      </c>
      <c r="N64" s="336">
        <f>SUM(B64:M64)</f>
        <v>0</v>
      </c>
    </row>
    <row r="65" spans="1:34">
      <c r="A65" s="332" t="s">
        <v>169</v>
      </c>
      <c r="B65" s="305">
        <v>0</v>
      </c>
      <c r="C65" s="305">
        <f t="shared" ref="C65:M66" si="24">B65</f>
        <v>0</v>
      </c>
      <c r="D65" s="305">
        <f t="shared" si="24"/>
        <v>0</v>
      </c>
      <c r="E65" s="305">
        <f t="shared" si="24"/>
        <v>0</v>
      </c>
      <c r="F65" s="305">
        <f t="shared" si="24"/>
        <v>0</v>
      </c>
      <c r="G65" s="305">
        <f t="shared" si="24"/>
        <v>0</v>
      </c>
      <c r="H65" s="305">
        <f t="shared" si="24"/>
        <v>0</v>
      </c>
      <c r="I65" s="305">
        <f t="shared" si="24"/>
        <v>0</v>
      </c>
      <c r="J65" s="305">
        <f t="shared" si="24"/>
        <v>0</v>
      </c>
      <c r="K65" s="305">
        <f t="shared" si="24"/>
        <v>0</v>
      </c>
      <c r="L65" s="305">
        <f t="shared" si="24"/>
        <v>0</v>
      </c>
      <c r="M65" s="305">
        <f t="shared" si="24"/>
        <v>0</v>
      </c>
      <c r="N65" s="337">
        <f>SUM(B65:M65)</f>
        <v>0</v>
      </c>
    </row>
    <row r="66" spans="1:34">
      <c r="A66" s="332" t="s">
        <v>170</v>
      </c>
      <c r="B66" s="302">
        <v>0</v>
      </c>
      <c r="C66" s="303">
        <f t="shared" si="24"/>
        <v>0</v>
      </c>
      <c r="D66" s="303">
        <f t="shared" si="24"/>
        <v>0</v>
      </c>
      <c r="E66" s="303">
        <f t="shared" si="24"/>
        <v>0</v>
      </c>
      <c r="F66" s="303">
        <f t="shared" si="24"/>
        <v>0</v>
      </c>
      <c r="G66" s="303">
        <f t="shared" si="24"/>
        <v>0</v>
      </c>
      <c r="H66" s="303">
        <f t="shared" si="24"/>
        <v>0</v>
      </c>
      <c r="I66" s="303">
        <f t="shared" si="24"/>
        <v>0</v>
      </c>
      <c r="J66" s="303">
        <f t="shared" si="24"/>
        <v>0</v>
      </c>
      <c r="K66" s="303">
        <f t="shared" si="24"/>
        <v>0</v>
      </c>
      <c r="L66" s="303">
        <f t="shared" si="24"/>
        <v>0</v>
      </c>
      <c r="M66" s="303">
        <f t="shared" si="24"/>
        <v>0</v>
      </c>
      <c r="N66" s="336">
        <f>SUM(B66:M66)</f>
        <v>0</v>
      </c>
    </row>
    <row r="67" spans="1:34">
      <c r="A67" s="332" t="s">
        <v>171</v>
      </c>
      <c r="B67" s="305">
        <v>0</v>
      </c>
      <c r="C67" s="305">
        <v>0</v>
      </c>
      <c r="D67" s="305">
        <v>0</v>
      </c>
      <c r="E67" s="305">
        <v>0</v>
      </c>
      <c r="F67" s="305">
        <v>0</v>
      </c>
      <c r="G67" s="305">
        <v>0</v>
      </c>
      <c r="H67" s="305">
        <v>0</v>
      </c>
      <c r="I67" s="305">
        <v>0</v>
      </c>
      <c r="J67" s="305">
        <v>0</v>
      </c>
      <c r="K67" s="305">
        <v>0</v>
      </c>
      <c r="L67" s="305">
        <v>0</v>
      </c>
      <c r="M67" s="305">
        <v>0</v>
      </c>
      <c r="N67" s="337">
        <f>SUM(B67:M67)</f>
        <v>0</v>
      </c>
    </row>
    <row r="68" spans="1:34">
      <c r="A68" s="332" t="s">
        <v>141</v>
      </c>
      <c r="B68" s="302">
        <v>0</v>
      </c>
      <c r="C68" s="303">
        <f>B68</f>
        <v>0</v>
      </c>
      <c r="D68" s="303">
        <f t="shared" ref="D68:M68" si="25">C68</f>
        <v>0</v>
      </c>
      <c r="E68" s="303">
        <f t="shared" si="25"/>
        <v>0</v>
      </c>
      <c r="F68" s="303">
        <f t="shared" si="25"/>
        <v>0</v>
      </c>
      <c r="G68" s="303">
        <f t="shared" si="25"/>
        <v>0</v>
      </c>
      <c r="H68" s="303">
        <f t="shared" si="25"/>
        <v>0</v>
      </c>
      <c r="I68" s="303">
        <f t="shared" si="25"/>
        <v>0</v>
      </c>
      <c r="J68" s="303">
        <f t="shared" si="25"/>
        <v>0</v>
      </c>
      <c r="K68" s="303">
        <f t="shared" si="25"/>
        <v>0</v>
      </c>
      <c r="L68" s="303">
        <f t="shared" si="25"/>
        <v>0</v>
      </c>
      <c r="M68" s="303">
        <f t="shared" si="25"/>
        <v>0</v>
      </c>
      <c r="N68" s="336">
        <f>SUM(B68:M68)</f>
        <v>0</v>
      </c>
    </row>
    <row r="69" spans="1:34">
      <c r="A69" s="329" t="s">
        <v>172</v>
      </c>
      <c r="B69" s="358">
        <f t="shared" ref="B69:N69" si="26">SUM(B64:B68)</f>
        <v>0</v>
      </c>
      <c r="C69" s="358">
        <f t="shared" si="26"/>
        <v>0</v>
      </c>
      <c r="D69" s="358">
        <f t="shared" si="26"/>
        <v>0</v>
      </c>
      <c r="E69" s="358">
        <f t="shared" si="26"/>
        <v>0</v>
      </c>
      <c r="F69" s="358">
        <f t="shared" si="26"/>
        <v>0</v>
      </c>
      <c r="G69" s="358">
        <f t="shared" si="26"/>
        <v>0</v>
      </c>
      <c r="H69" s="358">
        <f t="shared" si="26"/>
        <v>0</v>
      </c>
      <c r="I69" s="358">
        <f t="shared" si="26"/>
        <v>0</v>
      </c>
      <c r="J69" s="358">
        <f t="shared" si="26"/>
        <v>0</v>
      </c>
      <c r="K69" s="358">
        <f t="shared" si="26"/>
        <v>0</v>
      </c>
      <c r="L69" s="358">
        <f t="shared" si="26"/>
        <v>0</v>
      </c>
      <c r="M69" s="358">
        <f t="shared" si="26"/>
        <v>0</v>
      </c>
      <c r="N69" s="337">
        <f t="shared" si="26"/>
        <v>0</v>
      </c>
    </row>
    <row r="70" spans="1:34" s="361" customFormat="1" ht="12">
      <c r="A70" s="341"/>
      <c r="B70" s="342"/>
      <c r="C70" s="342"/>
      <c r="D70" s="342"/>
      <c r="E70" s="342"/>
      <c r="F70" s="342"/>
      <c r="G70" s="342"/>
      <c r="H70" s="342"/>
      <c r="I70" s="342"/>
      <c r="J70" s="342"/>
      <c r="K70" s="342"/>
      <c r="L70" s="342"/>
      <c r="M70" s="342"/>
      <c r="N70" s="343"/>
      <c r="O70" s="359"/>
      <c r="P70" s="359"/>
      <c r="Q70" s="359"/>
      <c r="R70" s="359"/>
      <c r="S70" s="359"/>
      <c r="T70" s="359"/>
      <c r="U70" s="359"/>
      <c r="V70" s="359"/>
      <c r="W70" s="359"/>
      <c r="X70" s="359"/>
      <c r="Y70" s="359"/>
      <c r="Z70" s="359"/>
      <c r="AA70" s="359"/>
      <c r="AB70" s="359"/>
      <c r="AC70" s="359"/>
      <c r="AD70" s="359"/>
      <c r="AE70" s="359"/>
      <c r="AF70" s="359"/>
      <c r="AG70" s="359"/>
      <c r="AH70" s="360"/>
    </row>
    <row r="71" spans="1:34">
      <c r="A71" s="329" t="s">
        <v>173</v>
      </c>
      <c r="B71" s="330"/>
      <c r="C71" s="330"/>
      <c r="D71" s="330"/>
      <c r="E71" s="330"/>
      <c r="F71" s="330"/>
      <c r="G71" s="330"/>
      <c r="H71" s="330"/>
      <c r="I71" s="330"/>
      <c r="J71" s="330"/>
      <c r="K71" s="330"/>
      <c r="L71" s="330"/>
      <c r="M71" s="330"/>
      <c r="N71" s="346"/>
    </row>
    <row r="72" spans="1:34">
      <c r="A72" s="332" t="s">
        <v>174</v>
      </c>
      <c r="B72" s="302">
        <v>0</v>
      </c>
      <c r="C72" s="303">
        <v>0</v>
      </c>
      <c r="D72" s="303">
        <v>0</v>
      </c>
      <c r="E72" s="303">
        <v>0</v>
      </c>
      <c r="F72" s="303">
        <v>0</v>
      </c>
      <c r="G72" s="303">
        <v>0</v>
      </c>
      <c r="H72" s="303">
        <v>0</v>
      </c>
      <c r="I72" s="303">
        <v>0</v>
      </c>
      <c r="J72" s="303">
        <v>0</v>
      </c>
      <c r="K72" s="303">
        <v>0</v>
      </c>
      <c r="L72" s="303">
        <v>0</v>
      </c>
      <c r="M72" s="303">
        <v>0</v>
      </c>
      <c r="N72" s="336">
        <f>SUM(B72:M72)</f>
        <v>0</v>
      </c>
    </row>
    <row r="73" spans="1:34">
      <c r="A73" s="332" t="s">
        <v>174</v>
      </c>
      <c r="B73" s="305">
        <v>0</v>
      </c>
      <c r="C73" s="305">
        <v>0</v>
      </c>
      <c r="D73" s="305">
        <v>0</v>
      </c>
      <c r="E73" s="305">
        <v>0</v>
      </c>
      <c r="F73" s="305">
        <v>0</v>
      </c>
      <c r="G73" s="305">
        <v>0</v>
      </c>
      <c r="H73" s="305">
        <v>0</v>
      </c>
      <c r="I73" s="305">
        <v>0</v>
      </c>
      <c r="J73" s="305">
        <v>0</v>
      </c>
      <c r="K73" s="305">
        <v>0</v>
      </c>
      <c r="L73" s="305">
        <v>0</v>
      </c>
      <c r="M73" s="305">
        <v>0</v>
      </c>
      <c r="N73" s="337">
        <f>SUM(B73:M73)</f>
        <v>0</v>
      </c>
    </row>
    <row r="74" spans="1:34">
      <c r="A74" s="329" t="s">
        <v>175</v>
      </c>
      <c r="B74" s="308">
        <f t="shared" ref="B74:N74" si="27">SUM(B72:B73)</f>
        <v>0</v>
      </c>
      <c r="C74" s="309">
        <f t="shared" si="27"/>
        <v>0</v>
      </c>
      <c r="D74" s="309">
        <f t="shared" si="27"/>
        <v>0</v>
      </c>
      <c r="E74" s="309">
        <f t="shared" si="27"/>
        <v>0</v>
      </c>
      <c r="F74" s="309">
        <f t="shared" si="27"/>
        <v>0</v>
      </c>
      <c r="G74" s="309">
        <f t="shared" si="27"/>
        <v>0</v>
      </c>
      <c r="H74" s="309">
        <f t="shared" si="27"/>
        <v>0</v>
      </c>
      <c r="I74" s="309">
        <f t="shared" si="27"/>
        <v>0</v>
      </c>
      <c r="J74" s="309">
        <f t="shared" si="27"/>
        <v>0</v>
      </c>
      <c r="K74" s="309">
        <f t="shared" si="27"/>
        <v>0</v>
      </c>
      <c r="L74" s="309">
        <f t="shared" si="27"/>
        <v>0</v>
      </c>
      <c r="M74" s="309">
        <f t="shared" si="27"/>
        <v>0</v>
      </c>
      <c r="N74" s="362">
        <f t="shared" si="27"/>
        <v>0</v>
      </c>
    </row>
    <row r="75" spans="1:34" s="361" customFormat="1" ht="12">
      <c r="A75" s="341"/>
      <c r="B75" s="363"/>
      <c r="C75" s="363"/>
      <c r="D75" s="363"/>
      <c r="E75" s="363"/>
      <c r="F75" s="363"/>
      <c r="G75" s="363"/>
      <c r="H75" s="363"/>
      <c r="I75" s="363"/>
      <c r="J75" s="363"/>
      <c r="K75" s="363"/>
      <c r="L75" s="363"/>
      <c r="M75" s="363"/>
      <c r="N75" s="364"/>
      <c r="O75" s="359"/>
      <c r="P75" s="359"/>
      <c r="Q75" s="359"/>
      <c r="R75" s="359"/>
      <c r="S75" s="359"/>
      <c r="T75" s="359"/>
      <c r="U75" s="359"/>
      <c r="V75" s="359"/>
      <c r="W75" s="359"/>
      <c r="X75" s="359"/>
      <c r="Y75" s="359"/>
      <c r="Z75" s="359"/>
      <c r="AA75" s="359"/>
      <c r="AB75" s="359"/>
      <c r="AC75" s="359"/>
      <c r="AD75" s="359"/>
      <c r="AE75" s="359"/>
      <c r="AF75" s="359"/>
      <c r="AG75" s="359"/>
      <c r="AH75" s="360"/>
    </row>
    <row r="76" spans="1:34">
      <c r="A76" s="329" t="s">
        <v>141</v>
      </c>
      <c r="B76" s="330"/>
      <c r="C76" s="330"/>
      <c r="D76" s="330"/>
      <c r="E76" s="330"/>
      <c r="F76" s="330"/>
      <c r="G76" s="330"/>
      <c r="H76" s="330"/>
      <c r="I76" s="330"/>
      <c r="J76" s="330"/>
      <c r="K76" s="330"/>
      <c r="L76" s="330"/>
      <c r="M76" s="330"/>
      <c r="N76" s="346"/>
    </row>
    <row r="77" spans="1:34">
      <c r="A77" s="332" t="s">
        <v>176</v>
      </c>
      <c r="B77" s="302">
        <v>0</v>
      </c>
      <c r="C77" s="303">
        <f>B77</f>
        <v>0</v>
      </c>
      <c r="D77" s="303">
        <f t="shared" ref="D77:M77" si="28">C77</f>
        <v>0</v>
      </c>
      <c r="E77" s="303">
        <f t="shared" si="28"/>
        <v>0</v>
      </c>
      <c r="F77" s="303">
        <f t="shared" si="28"/>
        <v>0</v>
      </c>
      <c r="G77" s="303">
        <f t="shared" si="28"/>
        <v>0</v>
      </c>
      <c r="H77" s="303">
        <f t="shared" si="28"/>
        <v>0</v>
      </c>
      <c r="I77" s="303">
        <f t="shared" si="28"/>
        <v>0</v>
      </c>
      <c r="J77" s="303">
        <f t="shared" si="28"/>
        <v>0</v>
      </c>
      <c r="K77" s="303">
        <f t="shared" si="28"/>
        <v>0</v>
      </c>
      <c r="L77" s="303">
        <f t="shared" si="28"/>
        <v>0</v>
      </c>
      <c r="M77" s="303">
        <f t="shared" si="28"/>
        <v>0</v>
      </c>
      <c r="N77" s="336">
        <f>SUM(B77:M77)</f>
        <v>0</v>
      </c>
    </row>
    <row r="78" spans="1:34">
      <c r="A78" s="332" t="s">
        <v>176</v>
      </c>
      <c r="B78" s="305">
        <v>0</v>
      </c>
      <c r="C78" s="305">
        <v>0</v>
      </c>
      <c r="D78" s="305">
        <v>0</v>
      </c>
      <c r="E78" s="305">
        <v>0</v>
      </c>
      <c r="F78" s="305">
        <v>0</v>
      </c>
      <c r="G78" s="305">
        <v>0</v>
      </c>
      <c r="H78" s="305">
        <v>0</v>
      </c>
      <c r="I78" s="305">
        <v>0</v>
      </c>
      <c r="J78" s="305">
        <v>0</v>
      </c>
      <c r="K78" s="305">
        <v>0</v>
      </c>
      <c r="L78" s="305">
        <v>0</v>
      </c>
      <c r="M78" s="305">
        <v>0</v>
      </c>
      <c r="N78" s="337">
        <f>SUM(B78:M78)</f>
        <v>0</v>
      </c>
    </row>
    <row r="79" spans="1:34">
      <c r="A79" s="332" t="s">
        <v>176</v>
      </c>
      <c r="B79" s="302">
        <v>0</v>
      </c>
      <c r="C79" s="303">
        <v>0</v>
      </c>
      <c r="D79" s="303">
        <v>0</v>
      </c>
      <c r="E79" s="303">
        <v>0</v>
      </c>
      <c r="F79" s="303">
        <v>0</v>
      </c>
      <c r="G79" s="303">
        <v>0</v>
      </c>
      <c r="H79" s="303">
        <v>0</v>
      </c>
      <c r="I79" s="303">
        <v>0</v>
      </c>
      <c r="J79" s="303">
        <v>0</v>
      </c>
      <c r="K79" s="303">
        <v>0</v>
      </c>
      <c r="L79" s="303">
        <v>0</v>
      </c>
      <c r="M79" s="303">
        <v>0</v>
      </c>
      <c r="N79" s="336">
        <f>SUM(B79:M79)</f>
        <v>0</v>
      </c>
    </row>
    <row r="80" spans="1:34" s="313" customFormat="1">
      <c r="A80" s="329" t="s">
        <v>177</v>
      </c>
      <c r="B80" s="358">
        <f t="shared" ref="B80:N80" si="29">SUM(B77:B79)</f>
        <v>0</v>
      </c>
      <c r="C80" s="358">
        <f t="shared" si="29"/>
        <v>0</v>
      </c>
      <c r="D80" s="358">
        <f t="shared" si="29"/>
        <v>0</v>
      </c>
      <c r="E80" s="358">
        <f t="shared" si="29"/>
        <v>0</v>
      </c>
      <c r="F80" s="358">
        <f t="shared" si="29"/>
        <v>0</v>
      </c>
      <c r="G80" s="358">
        <f t="shared" si="29"/>
        <v>0</v>
      </c>
      <c r="H80" s="358">
        <f t="shared" si="29"/>
        <v>0</v>
      </c>
      <c r="I80" s="358">
        <f t="shared" si="29"/>
        <v>0</v>
      </c>
      <c r="J80" s="358">
        <f t="shared" si="29"/>
        <v>0</v>
      </c>
      <c r="K80" s="358">
        <f t="shared" si="29"/>
        <v>0</v>
      </c>
      <c r="L80" s="358">
        <f t="shared" si="29"/>
        <v>0</v>
      </c>
      <c r="M80" s="358">
        <f t="shared" si="29"/>
        <v>0</v>
      </c>
      <c r="N80" s="337">
        <f t="shared" si="29"/>
        <v>0</v>
      </c>
      <c r="O80" s="311"/>
      <c r="P80" s="311"/>
      <c r="Q80" s="311"/>
      <c r="R80" s="311"/>
      <c r="S80" s="311"/>
      <c r="T80" s="311"/>
      <c r="U80" s="311"/>
      <c r="V80" s="311"/>
      <c r="W80" s="311"/>
      <c r="X80" s="311"/>
      <c r="Y80" s="311"/>
      <c r="Z80" s="311"/>
      <c r="AA80" s="311"/>
      <c r="AB80" s="311"/>
      <c r="AC80" s="311"/>
      <c r="AD80" s="311"/>
      <c r="AE80" s="311"/>
      <c r="AF80" s="311"/>
      <c r="AG80" s="311"/>
      <c r="AH80" s="312"/>
    </row>
    <row r="81" spans="1:34" s="361" customFormat="1" ht="12">
      <c r="A81" s="365"/>
      <c r="B81" s="366"/>
      <c r="C81" s="366"/>
      <c r="D81" s="366"/>
      <c r="E81" s="366"/>
      <c r="F81" s="366"/>
      <c r="G81" s="366"/>
      <c r="H81" s="366"/>
      <c r="I81" s="366"/>
      <c r="J81" s="366"/>
      <c r="K81" s="366"/>
      <c r="L81" s="366"/>
      <c r="M81" s="366"/>
      <c r="N81" s="367"/>
      <c r="O81" s="359"/>
      <c r="P81" s="359"/>
      <c r="Q81" s="359"/>
      <c r="R81" s="359"/>
      <c r="S81" s="359"/>
      <c r="T81" s="359"/>
      <c r="U81" s="359"/>
      <c r="V81" s="359"/>
      <c r="W81" s="359"/>
      <c r="X81" s="359"/>
      <c r="Y81" s="359"/>
      <c r="Z81" s="359"/>
      <c r="AA81" s="359"/>
      <c r="AB81" s="359"/>
      <c r="AC81" s="359"/>
      <c r="AD81" s="359"/>
      <c r="AE81" s="359"/>
      <c r="AF81" s="359"/>
      <c r="AG81" s="359"/>
      <c r="AH81" s="360"/>
    </row>
    <row r="82" spans="1:34" ht="16">
      <c r="A82" s="368" t="s">
        <v>178</v>
      </c>
      <c r="B82" s="369">
        <f t="shared" ref="B82:N82" si="30">B27+B36+B41+B49+B61+B69+B74+B80</f>
        <v>0</v>
      </c>
      <c r="C82" s="370">
        <f t="shared" si="30"/>
        <v>0</v>
      </c>
      <c r="D82" s="370">
        <f t="shared" si="30"/>
        <v>0</v>
      </c>
      <c r="E82" s="370">
        <f t="shared" si="30"/>
        <v>0</v>
      </c>
      <c r="F82" s="370">
        <f t="shared" si="30"/>
        <v>0</v>
      </c>
      <c r="G82" s="370">
        <f t="shared" si="30"/>
        <v>0</v>
      </c>
      <c r="H82" s="370">
        <f t="shared" si="30"/>
        <v>0</v>
      </c>
      <c r="I82" s="370">
        <f t="shared" si="30"/>
        <v>0</v>
      </c>
      <c r="J82" s="370">
        <f t="shared" si="30"/>
        <v>0</v>
      </c>
      <c r="K82" s="370">
        <f t="shared" si="30"/>
        <v>0</v>
      </c>
      <c r="L82" s="370">
        <f t="shared" si="30"/>
        <v>0</v>
      </c>
      <c r="M82" s="370">
        <f t="shared" si="30"/>
        <v>0</v>
      </c>
      <c r="N82" s="371">
        <f t="shared" si="30"/>
        <v>0</v>
      </c>
    </row>
    <row r="83" spans="1:34" s="361" customFormat="1" ht="12">
      <c r="A83" s="372"/>
      <c r="B83" s="373"/>
      <c r="C83" s="373"/>
      <c r="D83" s="373"/>
      <c r="E83" s="373"/>
      <c r="F83" s="373"/>
      <c r="G83" s="373"/>
      <c r="H83" s="373"/>
      <c r="I83" s="373"/>
      <c r="J83" s="373"/>
      <c r="K83" s="373"/>
      <c r="L83" s="373"/>
      <c r="M83" s="373"/>
      <c r="N83" s="374"/>
      <c r="O83" s="359"/>
      <c r="P83" s="359"/>
      <c r="Q83" s="359"/>
      <c r="R83" s="359"/>
      <c r="S83" s="359"/>
      <c r="T83" s="359"/>
      <c r="U83" s="359"/>
      <c r="V83" s="359"/>
      <c r="W83" s="359"/>
      <c r="X83" s="359"/>
      <c r="Y83" s="359"/>
      <c r="Z83" s="359"/>
      <c r="AA83" s="359"/>
      <c r="AB83" s="359"/>
      <c r="AC83" s="359"/>
      <c r="AD83" s="359"/>
      <c r="AE83" s="359"/>
      <c r="AF83" s="359"/>
      <c r="AG83" s="359"/>
      <c r="AH83" s="360"/>
    </row>
    <row r="84" spans="1:34" ht="14.25" customHeight="1">
      <c r="A84" s="375"/>
      <c r="B84" s="376"/>
      <c r="C84" s="376"/>
      <c r="D84" s="376"/>
      <c r="E84" s="376"/>
      <c r="F84" s="376"/>
      <c r="G84" s="376"/>
      <c r="H84" s="376"/>
      <c r="I84" s="376"/>
      <c r="J84" s="376"/>
      <c r="K84" s="376"/>
      <c r="L84" s="376"/>
      <c r="M84" s="376"/>
      <c r="N84" s="376"/>
    </row>
    <row r="85" spans="1:34" ht="16">
      <c r="A85" s="377" t="s">
        <v>179</v>
      </c>
      <c r="B85" s="378" t="str">
        <f t="shared" ref="B85:N85" si="31">B3</f>
        <v>jan</v>
      </c>
      <c r="C85" s="379" t="str">
        <f t="shared" si="31"/>
        <v>feb</v>
      </c>
      <c r="D85" s="379" t="str">
        <f t="shared" si="31"/>
        <v>mar</v>
      </c>
      <c r="E85" s="379" t="str">
        <f t="shared" si="31"/>
        <v>apr</v>
      </c>
      <c r="F85" s="379" t="str">
        <f t="shared" si="31"/>
        <v>maj</v>
      </c>
      <c r="G85" s="379" t="str">
        <f t="shared" si="31"/>
        <v xml:space="preserve">juni </v>
      </c>
      <c r="H85" s="379" t="str">
        <f t="shared" si="31"/>
        <v>juli</v>
      </c>
      <c r="I85" s="379" t="str">
        <f t="shared" si="31"/>
        <v>aug</v>
      </c>
      <c r="J85" s="379" t="str">
        <f t="shared" si="31"/>
        <v>sept</v>
      </c>
      <c r="K85" s="379" t="str">
        <f t="shared" si="31"/>
        <v>okt</v>
      </c>
      <c r="L85" s="379" t="str">
        <f t="shared" si="31"/>
        <v>nov</v>
      </c>
      <c r="M85" s="379" t="str">
        <f t="shared" si="31"/>
        <v>dec</v>
      </c>
      <c r="N85" s="380" t="str">
        <f t="shared" si="31"/>
        <v>TOTAL</v>
      </c>
    </row>
    <row r="86" spans="1:34">
      <c r="A86" s="381" t="s">
        <v>180</v>
      </c>
      <c r="B86" s="382">
        <f t="shared" ref="B86:N86" si="32">SUM(B10-B82)</f>
        <v>35342.573666666663</v>
      </c>
      <c r="C86" s="383">
        <f t="shared" si="32"/>
        <v>25342.573666666663</v>
      </c>
      <c r="D86" s="383">
        <f t="shared" si="32"/>
        <v>25342.573666666663</v>
      </c>
      <c r="E86" s="383">
        <f t="shared" si="32"/>
        <v>25342.573666666663</v>
      </c>
      <c r="F86" s="383">
        <f t="shared" si="32"/>
        <v>25342.573666666663</v>
      </c>
      <c r="G86" s="383">
        <f t="shared" si="32"/>
        <v>25342.573666666663</v>
      </c>
      <c r="H86" s="383">
        <f t="shared" si="32"/>
        <v>25342.573666666663</v>
      </c>
      <c r="I86" s="383">
        <f t="shared" si="32"/>
        <v>25342.573666666663</v>
      </c>
      <c r="J86" s="383">
        <f t="shared" si="32"/>
        <v>25342.573666666663</v>
      </c>
      <c r="K86" s="383">
        <f t="shared" si="32"/>
        <v>25342.573666666663</v>
      </c>
      <c r="L86" s="383">
        <f t="shared" si="32"/>
        <v>25342.573666666663</v>
      </c>
      <c r="M86" s="383">
        <f t="shared" si="32"/>
        <v>25342.573666666663</v>
      </c>
      <c r="N86" s="384">
        <f t="shared" si="32"/>
        <v>314110.88399999996</v>
      </c>
    </row>
    <row r="87" spans="1:34">
      <c r="A87" s="385" t="s">
        <v>181</v>
      </c>
      <c r="B87" s="386"/>
      <c r="C87" s="386"/>
      <c r="D87" s="386"/>
      <c r="E87" s="386"/>
      <c r="F87" s="386"/>
      <c r="G87" s="386"/>
      <c r="H87" s="386"/>
      <c r="I87" s="386"/>
      <c r="J87" s="386"/>
      <c r="K87" s="386"/>
      <c r="L87" s="386"/>
      <c r="M87" s="386"/>
      <c r="N87" s="387">
        <f>N86</f>
        <v>314110.88399999996</v>
      </c>
    </row>
    <row r="88" spans="1:34">
      <c r="A88" s="385" t="s">
        <v>182</v>
      </c>
      <c r="B88" s="388">
        <f>B86</f>
        <v>35342.573666666663</v>
      </c>
      <c r="C88" s="389">
        <f t="shared" ref="C88:M88" si="33">C86</f>
        <v>25342.573666666663</v>
      </c>
      <c r="D88" s="389">
        <f t="shared" si="33"/>
        <v>25342.573666666663</v>
      </c>
      <c r="E88" s="389">
        <f t="shared" si="33"/>
        <v>25342.573666666663</v>
      </c>
      <c r="F88" s="389">
        <f t="shared" si="33"/>
        <v>25342.573666666663</v>
      </c>
      <c r="G88" s="389">
        <f t="shared" si="33"/>
        <v>25342.573666666663</v>
      </c>
      <c r="H88" s="389">
        <f t="shared" si="33"/>
        <v>25342.573666666663</v>
      </c>
      <c r="I88" s="389">
        <f t="shared" si="33"/>
        <v>25342.573666666663</v>
      </c>
      <c r="J88" s="389">
        <f t="shared" si="33"/>
        <v>25342.573666666663</v>
      </c>
      <c r="K88" s="389">
        <f t="shared" si="33"/>
        <v>25342.573666666663</v>
      </c>
      <c r="L88" s="389">
        <f t="shared" si="33"/>
        <v>25342.573666666663</v>
      </c>
      <c r="M88" s="389">
        <f t="shared" si="33"/>
        <v>25342.573666666663</v>
      </c>
      <c r="N88" s="390">
        <f>N87/12</f>
        <v>26175.906999999996</v>
      </c>
    </row>
    <row r="89" spans="1:34" s="293" customFormat="1">
      <c r="A89" s="391"/>
      <c r="B89" s="392"/>
      <c r="C89" s="392"/>
      <c r="D89" s="392"/>
      <c r="E89" s="392"/>
      <c r="F89" s="392"/>
      <c r="G89" s="392"/>
      <c r="H89" s="392"/>
      <c r="I89" s="392"/>
      <c r="J89" s="392"/>
      <c r="K89" s="392"/>
      <c r="L89" s="392"/>
      <c r="M89" s="392"/>
      <c r="N89" s="393"/>
    </row>
    <row r="90" spans="1:34" s="293" customFormat="1">
      <c r="N90" s="311"/>
    </row>
    <row r="91" spans="1:34">
      <c r="A91" s="293"/>
      <c r="B91" s="293"/>
      <c r="C91" s="293"/>
      <c r="D91" s="293"/>
      <c r="E91" s="293"/>
      <c r="F91" s="293"/>
      <c r="G91" s="293"/>
      <c r="H91" s="293"/>
      <c r="I91" s="293"/>
      <c r="J91" s="293"/>
      <c r="K91" s="293"/>
      <c r="L91" s="293"/>
      <c r="M91" s="293"/>
      <c r="N91" s="311"/>
    </row>
    <row r="92" spans="1:34">
      <c r="A92" s="293"/>
      <c r="B92" s="293"/>
      <c r="C92" s="293"/>
      <c r="D92" s="293"/>
      <c r="E92" s="293"/>
      <c r="F92" s="293"/>
      <c r="G92" s="293"/>
      <c r="H92" s="293"/>
      <c r="I92" s="293"/>
      <c r="J92" s="293"/>
      <c r="K92" s="293"/>
      <c r="L92" s="293"/>
      <c r="M92" s="311"/>
      <c r="N92" s="311"/>
    </row>
    <row r="93" spans="1:34">
      <c r="A93" s="293"/>
      <c r="B93" s="293"/>
      <c r="C93" s="293"/>
      <c r="D93" s="293"/>
      <c r="E93" s="293"/>
      <c r="F93" s="293"/>
      <c r="G93" s="293"/>
      <c r="H93" s="293"/>
      <c r="I93" s="293"/>
      <c r="J93" s="293"/>
      <c r="K93" s="293"/>
      <c r="L93" s="293"/>
      <c r="M93" s="293"/>
      <c r="N93" s="311"/>
    </row>
    <row r="94" spans="1:34">
      <c r="A94" s="293"/>
      <c r="B94" s="293"/>
      <c r="C94" s="293"/>
      <c r="D94" s="293"/>
      <c r="E94" s="293"/>
      <c r="F94" s="293"/>
      <c r="G94" s="293"/>
      <c r="H94" s="293"/>
      <c r="I94" s="293"/>
      <c r="J94" s="293"/>
      <c r="K94" s="293"/>
      <c r="L94" s="293"/>
      <c r="M94" s="293"/>
      <c r="N94" s="311"/>
    </row>
    <row r="95" spans="1:34">
      <c r="A95" s="293"/>
      <c r="B95" s="293"/>
      <c r="C95" s="293"/>
      <c r="D95" s="293"/>
      <c r="E95" s="293"/>
      <c r="F95" s="293"/>
      <c r="G95" s="293"/>
      <c r="H95" s="293"/>
      <c r="I95" s="293"/>
      <c r="J95" s="293"/>
      <c r="K95" s="293"/>
      <c r="L95" s="293"/>
      <c r="M95" s="293"/>
      <c r="N95" s="311"/>
    </row>
    <row r="96" spans="1:34">
      <c r="A96" s="293"/>
      <c r="B96" s="293"/>
      <c r="C96" s="293"/>
      <c r="D96" s="293"/>
      <c r="E96" s="293"/>
      <c r="F96" s="293"/>
      <c r="G96" s="293"/>
      <c r="H96" s="293"/>
      <c r="I96" s="293"/>
      <c r="J96" s="293"/>
      <c r="K96" s="293"/>
      <c r="L96" s="293"/>
      <c r="M96" s="293"/>
      <c r="N96" s="311"/>
    </row>
    <row r="97" spans="1:14">
      <c r="A97" s="293"/>
      <c r="B97" s="293"/>
      <c r="C97" s="293"/>
      <c r="D97" s="293"/>
      <c r="E97" s="293"/>
      <c r="F97" s="293"/>
      <c r="G97" s="293"/>
      <c r="H97" s="293"/>
      <c r="I97" s="293"/>
      <c r="J97" s="293"/>
      <c r="K97" s="293"/>
      <c r="L97" s="293"/>
      <c r="M97" s="293"/>
      <c r="N97" s="311"/>
    </row>
    <row r="98" spans="1:14">
      <c r="A98" s="293"/>
      <c r="B98" s="293"/>
      <c r="C98" s="293"/>
      <c r="D98" s="293"/>
      <c r="E98" s="293"/>
      <c r="F98" s="293"/>
      <c r="G98" s="293"/>
      <c r="H98" s="293"/>
      <c r="I98" s="293"/>
      <c r="J98" s="293"/>
      <c r="K98" s="293"/>
      <c r="L98" s="293"/>
      <c r="M98" s="293"/>
      <c r="N98" s="311"/>
    </row>
    <row r="99" spans="1:14">
      <c r="A99" s="293"/>
      <c r="B99" s="293"/>
      <c r="C99" s="293"/>
      <c r="D99" s="293"/>
      <c r="E99" s="293"/>
      <c r="F99" s="293"/>
      <c r="G99" s="293"/>
      <c r="H99" s="293"/>
      <c r="I99" s="293"/>
      <c r="J99" s="293"/>
      <c r="K99" s="293"/>
      <c r="L99" s="293"/>
      <c r="M99" s="293"/>
      <c r="N99" s="311"/>
    </row>
    <row r="100" spans="1:14">
      <c r="A100" s="293"/>
      <c r="B100" s="293"/>
      <c r="C100" s="293"/>
      <c r="D100" s="293"/>
      <c r="E100" s="293"/>
      <c r="F100" s="293"/>
      <c r="G100" s="293"/>
      <c r="H100" s="293"/>
      <c r="I100" s="293"/>
      <c r="J100" s="293"/>
      <c r="K100" s="293"/>
      <c r="L100" s="293"/>
      <c r="M100" s="293"/>
      <c r="N100" s="311"/>
    </row>
    <row r="101" spans="1:14">
      <c r="A101" s="293"/>
      <c r="B101" s="293"/>
      <c r="C101" s="293"/>
      <c r="D101" s="293"/>
      <c r="E101" s="293"/>
      <c r="F101" s="293"/>
      <c r="G101" s="293"/>
      <c r="H101" s="293"/>
      <c r="I101" s="293"/>
      <c r="J101" s="293"/>
      <c r="K101" s="293"/>
      <c r="L101" s="293"/>
      <c r="M101" s="293"/>
      <c r="N101" s="311"/>
    </row>
    <row r="102" spans="1:14">
      <c r="A102" s="293"/>
      <c r="B102" s="293"/>
      <c r="C102" s="293"/>
      <c r="D102" s="293"/>
      <c r="E102" s="293"/>
      <c r="F102" s="293"/>
      <c r="G102" s="293"/>
      <c r="H102" s="293"/>
      <c r="I102" s="293"/>
      <c r="J102" s="293"/>
      <c r="K102" s="293"/>
      <c r="L102" s="293"/>
      <c r="M102" s="293"/>
      <c r="N102" s="311"/>
    </row>
    <row r="103" spans="1:14">
      <c r="A103" s="293"/>
      <c r="B103" s="293"/>
      <c r="C103" s="293"/>
      <c r="D103" s="293"/>
      <c r="E103" s="293"/>
      <c r="F103" s="293"/>
      <c r="G103" s="293"/>
      <c r="H103" s="293"/>
      <c r="I103" s="293"/>
      <c r="J103" s="293"/>
      <c r="K103" s="293"/>
      <c r="L103" s="293"/>
      <c r="M103" s="293"/>
      <c r="N103" s="311"/>
    </row>
    <row r="104" spans="1:14">
      <c r="A104" s="293"/>
      <c r="B104" s="293"/>
      <c r="C104" s="293"/>
      <c r="D104" s="293"/>
      <c r="E104" s="293"/>
      <c r="F104" s="293"/>
      <c r="G104" s="293"/>
      <c r="H104" s="293"/>
      <c r="I104" s="293"/>
      <c r="J104" s="293"/>
      <c r="K104" s="293"/>
      <c r="L104" s="293"/>
      <c r="M104" s="293"/>
      <c r="N104" s="311"/>
    </row>
    <row r="105" spans="1:14">
      <c r="A105" s="293"/>
      <c r="B105" s="293"/>
      <c r="C105" s="293"/>
      <c r="D105" s="293"/>
      <c r="E105" s="293"/>
      <c r="F105" s="293"/>
      <c r="G105" s="293"/>
      <c r="H105" s="293"/>
      <c r="I105" s="293"/>
      <c r="J105" s="293"/>
      <c r="K105" s="293"/>
      <c r="L105" s="293"/>
      <c r="M105" s="293"/>
      <c r="N105" s="311"/>
    </row>
    <row r="106" spans="1:14">
      <c r="A106" s="293"/>
      <c r="B106" s="293"/>
      <c r="C106" s="293"/>
      <c r="D106" s="293"/>
      <c r="E106" s="293"/>
      <c r="F106" s="293"/>
      <c r="G106" s="293"/>
      <c r="H106" s="293"/>
      <c r="I106" s="293"/>
      <c r="J106" s="293"/>
      <c r="K106" s="293"/>
      <c r="L106" s="293"/>
      <c r="M106" s="293"/>
      <c r="N106" s="311"/>
    </row>
    <row r="107" spans="1:14">
      <c r="A107" s="293"/>
      <c r="B107" s="293"/>
      <c r="C107" s="293"/>
      <c r="D107" s="293"/>
      <c r="E107" s="293"/>
      <c r="F107" s="293"/>
      <c r="G107" s="293"/>
      <c r="H107" s="293"/>
      <c r="I107" s="293"/>
      <c r="J107" s="293"/>
      <c r="K107" s="293"/>
      <c r="L107" s="293"/>
      <c r="M107" s="293"/>
      <c r="N107" s="311"/>
    </row>
    <row r="108" spans="1:14">
      <c r="A108" s="293"/>
      <c r="B108" s="293"/>
      <c r="C108" s="293"/>
      <c r="D108" s="293"/>
      <c r="E108" s="293"/>
      <c r="F108" s="293"/>
      <c r="G108" s="293"/>
      <c r="H108" s="293"/>
      <c r="I108" s="293"/>
      <c r="J108" s="293"/>
      <c r="K108" s="293"/>
      <c r="L108" s="293"/>
      <c r="M108" s="293"/>
      <c r="N108" s="311"/>
    </row>
    <row r="109" spans="1:14">
      <c r="A109" s="293"/>
      <c r="B109" s="293"/>
      <c r="C109" s="293"/>
      <c r="D109" s="293"/>
      <c r="E109" s="293"/>
      <c r="F109" s="293"/>
      <c r="G109" s="293"/>
      <c r="H109" s="293"/>
      <c r="I109" s="293"/>
      <c r="J109" s="293"/>
      <c r="K109" s="293"/>
      <c r="L109" s="293"/>
      <c r="M109" s="293"/>
      <c r="N109" s="311"/>
    </row>
    <row r="110" spans="1:14">
      <c r="A110" s="293"/>
      <c r="B110" s="293"/>
      <c r="C110" s="293"/>
      <c r="D110" s="293"/>
      <c r="E110" s="293"/>
      <c r="F110" s="293"/>
      <c r="G110" s="293"/>
      <c r="H110" s="293"/>
      <c r="I110" s="293"/>
      <c r="J110" s="293"/>
      <c r="K110" s="293"/>
      <c r="L110" s="293"/>
      <c r="M110" s="293"/>
      <c r="N110" s="311"/>
    </row>
    <row r="111" spans="1:14">
      <c r="A111" s="293"/>
      <c r="B111" s="293"/>
      <c r="C111" s="293"/>
      <c r="D111" s="293"/>
      <c r="E111" s="293"/>
      <c r="F111" s="293"/>
      <c r="G111" s="293"/>
      <c r="H111" s="293"/>
      <c r="I111" s="293"/>
      <c r="J111" s="293"/>
      <c r="K111" s="293"/>
      <c r="L111" s="293"/>
      <c r="M111" s="293"/>
      <c r="N111" s="311"/>
    </row>
    <row r="112" spans="1:14">
      <c r="A112" s="293"/>
      <c r="B112" s="293"/>
      <c r="C112" s="293"/>
      <c r="D112" s="293"/>
      <c r="E112" s="293"/>
      <c r="F112" s="293"/>
      <c r="G112" s="293"/>
      <c r="H112" s="293"/>
      <c r="I112" s="293"/>
      <c r="J112" s="293"/>
      <c r="K112" s="293"/>
      <c r="L112" s="293"/>
      <c r="M112" s="293"/>
      <c r="N112" s="311"/>
    </row>
    <row r="113" spans="1:14">
      <c r="A113" s="293"/>
      <c r="B113" s="293"/>
      <c r="C113" s="293"/>
      <c r="D113" s="293"/>
      <c r="E113" s="293"/>
      <c r="F113" s="293"/>
      <c r="G113" s="293"/>
      <c r="H113" s="293"/>
      <c r="I113" s="293"/>
      <c r="J113" s="293"/>
      <c r="K113" s="293"/>
      <c r="L113" s="293"/>
      <c r="M113" s="293"/>
      <c r="N113" s="311"/>
    </row>
    <row r="114" spans="1:14">
      <c r="A114" s="293"/>
      <c r="B114" s="293"/>
      <c r="C114" s="293"/>
      <c r="D114" s="293"/>
      <c r="E114" s="293"/>
      <c r="F114" s="293"/>
      <c r="G114" s="293"/>
      <c r="H114" s="293"/>
      <c r="I114" s="293"/>
      <c r="J114" s="293"/>
      <c r="K114" s="293"/>
      <c r="L114" s="293"/>
      <c r="M114" s="293"/>
      <c r="N114" s="311"/>
    </row>
    <row r="115" spans="1:14">
      <c r="A115" s="293"/>
      <c r="B115" s="293"/>
      <c r="C115" s="293"/>
      <c r="D115" s="293"/>
      <c r="E115" s="293"/>
      <c r="F115" s="293"/>
      <c r="G115" s="293"/>
      <c r="H115" s="293"/>
      <c r="I115" s="293"/>
      <c r="J115" s="293"/>
      <c r="K115" s="293"/>
      <c r="L115" s="293"/>
      <c r="M115" s="293"/>
      <c r="N115" s="311"/>
    </row>
    <row r="116" spans="1:14">
      <c r="A116" s="293"/>
      <c r="B116" s="293"/>
      <c r="C116" s="293"/>
      <c r="D116" s="293"/>
      <c r="E116" s="293"/>
      <c r="F116" s="293"/>
      <c r="G116" s="293"/>
      <c r="H116" s="293"/>
      <c r="I116" s="293"/>
      <c r="J116" s="293"/>
      <c r="K116" s="293"/>
      <c r="L116" s="293"/>
      <c r="M116" s="293"/>
      <c r="N116" s="311"/>
    </row>
    <row r="117" spans="1:14">
      <c r="A117" s="293"/>
      <c r="B117" s="293"/>
      <c r="C117" s="293"/>
      <c r="D117" s="293"/>
      <c r="E117" s="293"/>
      <c r="F117" s="293"/>
      <c r="G117" s="293"/>
      <c r="H117" s="293"/>
      <c r="I117" s="293"/>
      <c r="J117" s="293"/>
      <c r="K117" s="293"/>
      <c r="L117" s="293"/>
      <c r="M117" s="293"/>
      <c r="N117" s="311"/>
    </row>
    <row r="118" spans="1:14">
      <c r="A118" s="293"/>
      <c r="B118" s="293"/>
      <c r="C118" s="293"/>
      <c r="D118" s="293"/>
      <c r="E118" s="293"/>
      <c r="F118" s="293"/>
      <c r="G118" s="293"/>
      <c r="H118" s="293"/>
      <c r="I118" s="293"/>
      <c r="J118" s="293"/>
      <c r="K118" s="293"/>
      <c r="L118" s="293"/>
      <c r="M118" s="293"/>
      <c r="N118" s="311"/>
    </row>
    <row r="119" spans="1:14">
      <c r="A119" s="293"/>
      <c r="B119" s="293"/>
      <c r="C119" s="293"/>
      <c r="D119" s="293"/>
      <c r="E119" s="293"/>
      <c r="F119" s="293"/>
      <c r="G119" s="293"/>
      <c r="H119" s="293"/>
      <c r="I119" s="293"/>
      <c r="J119" s="293"/>
      <c r="K119" s="293"/>
      <c r="L119" s="293"/>
      <c r="M119" s="293"/>
      <c r="N119" s="311"/>
    </row>
    <row r="120" spans="1:14">
      <c r="A120" s="293"/>
      <c r="B120" s="293"/>
      <c r="C120" s="293"/>
      <c r="D120" s="293"/>
      <c r="E120" s="293"/>
      <c r="F120" s="293"/>
      <c r="G120" s="293"/>
      <c r="H120" s="293"/>
      <c r="I120" s="293"/>
      <c r="J120" s="293"/>
      <c r="K120" s="293"/>
      <c r="L120" s="293"/>
      <c r="M120" s="293"/>
      <c r="N120" s="311"/>
    </row>
    <row r="121" spans="1:14">
      <c r="A121" s="293"/>
      <c r="B121" s="293"/>
      <c r="C121" s="293"/>
      <c r="D121" s="293"/>
      <c r="E121" s="293"/>
      <c r="F121" s="293"/>
      <c r="G121" s="293"/>
      <c r="H121" s="293"/>
      <c r="I121" s="293"/>
      <c r="J121" s="293"/>
      <c r="K121" s="293"/>
      <c r="L121" s="293"/>
      <c r="M121" s="293"/>
      <c r="N121" s="311"/>
    </row>
    <row r="122" spans="1:14">
      <c r="A122" s="293"/>
      <c r="B122" s="293"/>
      <c r="C122" s="293"/>
      <c r="D122" s="293"/>
      <c r="E122" s="293"/>
      <c r="F122" s="293"/>
      <c r="G122" s="293"/>
      <c r="H122" s="293"/>
      <c r="I122" s="293"/>
      <c r="J122" s="293"/>
      <c r="K122" s="293"/>
      <c r="L122" s="293"/>
      <c r="M122" s="293"/>
      <c r="N122" s="311"/>
    </row>
    <row r="123" spans="1:14">
      <c r="A123" s="293"/>
      <c r="B123" s="293"/>
      <c r="C123" s="293"/>
      <c r="D123" s="293"/>
      <c r="E123" s="293"/>
      <c r="F123" s="293"/>
      <c r="G123" s="293"/>
      <c r="H123" s="293"/>
      <c r="I123" s="293"/>
      <c r="J123" s="293"/>
      <c r="K123" s="293"/>
      <c r="L123" s="293"/>
      <c r="M123" s="293"/>
      <c r="N123" s="311"/>
    </row>
    <row r="124" spans="1:14">
      <c r="A124" s="293"/>
      <c r="B124" s="293"/>
      <c r="C124" s="293"/>
      <c r="D124" s="293"/>
      <c r="E124" s="293"/>
      <c r="F124" s="293"/>
      <c r="G124" s="293"/>
      <c r="H124" s="293"/>
      <c r="I124" s="293"/>
      <c r="J124" s="293"/>
      <c r="K124" s="293"/>
      <c r="L124" s="293"/>
      <c r="M124" s="293"/>
      <c r="N124" s="311"/>
    </row>
    <row r="125" spans="1:14">
      <c r="A125" s="293"/>
      <c r="B125" s="293"/>
      <c r="C125" s="293"/>
      <c r="D125" s="293"/>
      <c r="E125" s="293"/>
      <c r="F125" s="293"/>
      <c r="G125" s="293"/>
      <c r="H125" s="293"/>
      <c r="I125" s="293"/>
      <c r="J125" s="293"/>
      <c r="K125" s="293"/>
      <c r="L125" s="293"/>
      <c r="M125" s="293"/>
      <c r="N125" s="311"/>
    </row>
    <row r="126" spans="1:14">
      <c r="A126" s="293"/>
      <c r="B126" s="293"/>
      <c r="C126" s="293"/>
      <c r="D126" s="293"/>
      <c r="E126" s="293"/>
      <c r="F126" s="293"/>
      <c r="G126" s="293"/>
      <c r="H126" s="293"/>
      <c r="I126" s="293"/>
      <c r="J126" s="293"/>
      <c r="K126" s="293"/>
      <c r="L126" s="293"/>
      <c r="M126" s="293"/>
      <c r="N126" s="311"/>
    </row>
    <row r="127" spans="1:14">
      <c r="A127" s="293"/>
      <c r="B127" s="293"/>
      <c r="C127" s="293"/>
      <c r="D127" s="293"/>
      <c r="E127" s="293"/>
      <c r="F127" s="293"/>
      <c r="G127" s="293"/>
      <c r="H127" s="293"/>
      <c r="I127" s="293"/>
      <c r="J127" s="293"/>
      <c r="K127" s="293"/>
      <c r="L127" s="293"/>
      <c r="M127" s="293"/>
      <c r="N127" s="311"/>
    </row>
    <row r="128" spans="1:14">
      <c r="A128" s="293"/>
      <c r="B128" s="293"/>
      <c r="C128" s="293"/>
      <c r="D128" s="293"/>
      <c r="E128" s="293"/>
      <c r="F128" s="293"/>
      <c r="G128" s="293"/>
      <c r="H128" s="293"/>
      <c r="I128" s="293"/>
      <c r="J128" s="293"/>
      <c r="K128" s="293"/>
      <c r="L128" s="293"/>
      <c r="M128" s="293"/>
      <c r="N128" s="311"/>
    </row>
    <row r="129" spans="1:14">
      <c r="A129" s="293"/>
      <c r="B129" s="293"/>
      <c r="C129" s="293"/>
      <c r="D129" s="293"/>
      <c r="E129" s="293"/>
      <c r="F129" s="293"/>
      <c r="G129" s="293"/>
      <c r="H129" s="293"/>
      <c r="I129" s="293"/>
      <c r="J129" s="293"/>
      <c r="K129" s="293"/>
      <c r="L129" s="293"/>
      <c r="M129" s="293"/>
      <c r="N129" s="311"/>
    </row>
    <row r="130" spans="1:14">
      <c r="A130" s="293"/>
      <c r="B130" s="293"/>
      <c r="C130" s="293"/>
      <c r="D130" s="293"/>
      <c r="E130" s="293"/>
      <c r="F130" s="293"/>
      <c r="G130" s="293"/>
      <c r="H130" s="293"/>
      <c r="I130" s="293"/>
      <c r="J130" s="293"/>
      <c r="K130" s="293"/>
      <c r="L130" s="293"/>
      <c r="M130" s="293"/>
      <c r="N130" s="311"/>
    </row>
    <row r="131" spans="1:14">
      <c r="A131" s="293"/>
      <c r="B131" s="293"/>
      <c r="C131" s="293"/>
      <c r="D131" s="293"/>
      <c r="E131" s="293"/>
      <c r="F131" s="293"/>
      <c r="G131" s="293"/>
      <c r="H131" s="293"/>
      <c r="I131" s="293"/>
      <c r="J131" s="293"/>
      <c r="K131" s="293"/>
      <c r="L131" s="293"/>
      <c r="M131" s="293"/>
      <c r="N131" s="311"/>
    </row>
    <row r="132" spans="1:14">
      <c r="A132" s="293"/>
      <c r="B132" s="293"/>
      <c r="C132" s="293"/>
      <c r="D132" s="293"/>
      <c r="E132" s="293"/>
      <c r="F132" s="293"/>
      <c r="G132" s="293"/>
      <c r="H132" s="293"/>
      <c r="I132" s="293"/>
      <c r="J132" s="293"/>
      <c r="K132" s="293"/>
      <c r="L132" s="293"/>
      <c r="M132" s="293"/>
      <c r="N132" s="311"/>
    </row>
    <row r="133" spans="1:14">
      <c r="A133" s="293"/>
      <c r="B133" s="293"/>
      <c r="C133" s="293"/>
      <c r="D133" s="293"/>
      <c r="E133" s="293"/>
      <c r="F133" s="293"/>
      <c r="G133" s="293"/>
      <c r="H133" s="293"/>
      <c r="I133" s="293"/>
      <c r="J133" s="293"/>
      <c r="K133" s="293"/>
      <c r="L133" s="293"/>
      <c r="M133" s="293"/>
      <c r="N133" s="311"/>
    </row>
    <row r="134" spans="1:14">
      <c r="A134" s="293"/>
      <c r="B134" s="293"/>
      <c r="C134" s="293"/>
      <c r="D134" s="293"/>
      <c r="E134" s="293"/>
      <c r="F134" s="293"/>
      <c r="G134" s="293"/>
      <c r="H134" s="293"/>
      <c r="I134" s="293"/>
      <c r="J134" s="293"/>
      <c r="K134" s="293"/>
      <c r="L134" s="293"/>
      <c r="M134" s="293"/>
      <c r="N134" s="311"/>
    </row>
    <row r="135" spans="1:14">
      <c r="A135" s="293"/>
      <c r="B135" s="293"/>
      <c r="C135" s="293"/>
      <c r="D135" s="293"/>
      <c r="E135" s="293"/>
      <c r="F135" s="293"/>
      <c r="G135" s="293"/>
      <c r="H135" s="293"/>
      <c r="I135" s="293"/>
      <c r="J135" s="293"/>
      <c r="K135" s="293"/>
      <c r="L135" s="293"/>
      <c r="M135" s="293"/>
      <c r="N135" s="311"/>
    </row>
    <row r="136" spans="1:14">
      <c r="A136" s="293"/>
      <c r="B136" s="293"/>
      <c r="C136" s="293"/>
      <c r="D136" s="293"/>
      <c r="E136" s="293"/>
      <c r="F136" s="293"/>
      <c r="G136" s="293"/>
      <c r="H136" s="293"/>
      <c r="I136" s="293"/>
      <c r="J136" s="293"/>
      <c r="K136" s="293"/>
      <c r="L136" s="293"/>
      <c r="M136" s="293"/>
      <c r="N136" s="311"/>
    </row>
    <row r="137" spans="1:14">
      <c r="A137" s="293"/>
      <c r="B137" s="293"/>
      <c r="C137" s="293"/>
      <c r="D137" s="293"/>
      <c r="E137" s="293"/>
      <c r="F137" s="293"/>
      <c r="G137" s="293"/>
      <c r="H137" s="293"/>
      <c r="I137" s="293"/>
      <c r="J137" s="293"/>
      <c r="K137" s="293"/>
      <c r="L137" s="293"/>
      <c r="M137" s="293"/>
      <c r="N137" s="311"/>
    </row>
    <row r="138" spans="1:14">
      <c r="A138" s="293"/>
      <c r="B138" s="293"/>
      <c r="C138" s="293"/>
      <c r="D138" s="293"/>
      <c r="E138" s="293"/>
      <c r="F138" s="293"/>
      <c r="G138" s="293"/>
      <c r="H138" s="293"/>
      <c r="I138" s="293"/>
      <c r="J138" s="293"/>
      <c r="K138" s="293"/>
      <c r="L138" s="293"/>
      <c r="M138" s="293"/>
      <c r="N138" s="311"/>
    </row>
    <row r="139" spans="1:14">
      <c r="A139" s="293"/>
      <c r="B139" s="293"/>
      <c r="C139" s="293"/>
      <c r="D139" s="293"/>
      <c r="E139" s="293"/>
      <c r="F139" s="293"/>
      <c r="G139" s="293"/>
      <c r="H139" s="293"/>
      <c r="I139" s="293"/>
      <c r="J139" s="293"/>
      <c r="K139" s="293"/>
      <c r="L139" s="293"/>
      <c r="M139" s="293"/>
      <c r="N139" s="311"/>
    </row>
    <row r="140" spans="1:14">
      <c r="A140" s="293"/>
      <c r="B140" s="293"/>
      <c r="C140" s="293"/>
      <c r="D140" s="293"/>
      <c r="E140" s="293"/>
      <c r="F140" s="293"/>
      <c r="G140" s="293"/>
      <c r="H140" s="293"/>
      <c r="I140" s="293"/>
      <c r="J140" s="293"/>
      <c r="K140" s="293"/>
      <c r="L140" s="293"/>
      <c r="M140" s="293"/>
      <c r="N140" s="311"/>
    </row>
    <row r="141" spans="1:14">
      <c r="A141" s="293"/>
      <c r="B141" s="293"/>
      <c r="C141" s="293"/>
      <c r="D141" s="293"/>
      <c r="E141" s="293"/>
      <c r="F141" s="293"/>
      <c r="G141" s="293"/>
      <c r="H141" s="293"/>
      <c r="I141" s="293"/>
      <c r="J141" s="293"/>
      <c r="K141" s="293"/>
      <c r="L141" s="293"/>
      <c r="M141" s="293"/>
      <c r="N141" s="311"/>
    </row>
    <row r="142" spans="1:14">
      <c r="A142" s="293"/>
      <c r="B142" s="293"/>
      <c r="C142" s="293"/>
      <c r="D142" s="293"/>
      <c r="E142" s="293"/>
      <c r="F142" s="293"/>
      <c r="G142" s="293"/>
      <c r="H142" s="293"/>
      <c r="I142" s="293"/>
      <c r="J142" s="293"/>
      <c r="K142" s="293"/>
      <c r="L142" s="293"/>
      <c r="M142" s="293"/>
      <c r="N142" s="311"/>
    </row>
    <row r="143" spans="1:14">
      <c r="A143" s="293"/>
      <c r="B143" s="293"/>
      <c r="C143" s="293"/>
      <c r="D143" s="293"/>
      <c r="E143" s="293"/>
      <c r="F143" s="293"/>
      <c r="G143" s="293"/>
      <c r="H143" s="293"/>
      <c r="I143" s="293"/>
      <c r="J143" s="293"/>
      <c r="K143" s="293"/>
      <c r="L143" s="293"/>
      <c r="M143" s="293"/>
      <c r="N143" s="311"/>
    </row>
    <row r="144" spans="1:14">
      <c r="A144" s="293"/>
      <c r="B144" s="293"/>
      <c r="C144" s="293"/>
      <c r="D144" s="293"/>
      <c r="E144" s="293"/>
      <c r="F144" s="293"/>
      <c r="G144" s="293"/>
      <c r="H144" s="293"/>
      <c r="I144" s="293"/>
      <c r="J144" s="293"/>
      <c r="K144" s="293"/>
      <c r="L144" s="293"/>
      <c r="M144" s="293"/>
      <c r="N144" s="311"/>
    </row>
    <row r="145" spans="1:14">
      <c r="A145" s="293"/>
      <c r="B145" s="293"/>
      <c r="C145" s="293"/>
      <c r="D145" s="293"/>
      <c r="E145" s="293"/>
      <c r="F145" s="293"/>
      <c r="G145" s="293"/>
      <c r="H145" s="293"/>
      <c r="I145" s="293"/>
      <c r="J145" s="293"/>
      <c r="K145" s="293"/>
      <c r="L145" s="293"/>
      <c r="M145" s="293"/>
      <c r="N145" s="311"/>
    </row>
    <row r="146" spans="1:14">
      <c r="A146" s="293"/>
      <c r="B146" s="293"/>
      <c r="C146" s="293"/>
      <c r="D146" s="293"/>
      <c r="E146" s="293"/>
      <c r="F146" s="293"/>
      <c r="G146" s="293"/>
      <c r="H146" s="293"/>
      <c r="I146" s="293"/>
      <c r="J146" s="293"/>
      <c r="K146" s="293"/>
      <c r="L146" s="293"/>
      <c r="M146" s="293"/>
      <c r="N146" s="311"/>
    </row>
    <row r="147" spans="1:14">
      <c r="A147" s="293"/>
      <c r="B147" s="293"/>
      <c r="C147" s="293"/>
      <c r="D147" s="293"/>
      <c r="E147" s="293"/>
      <c r="F147" s="293"/>
      <c r="G147" s="293"/>
      <c r="H147" s="293"/>
      <c r="I147" s="293"/>
      <c r="J147" s="293"/>
      <c r="K147" s="293"/>
      <c r="L147" s="293"/>
      <c r="M147" s="293"/>
      <c r="N147" s="311"/>
    </row>
    <row r="148" spans="1:14">
      <c r="A148" s="293"/>
      <c r="B148" s="293"/>
      <c r="C148" s="293"/>
      <c r="D148" s="293"/>
      <c r="E148" s="293"/>
      <c r="F148" s="293"/>
      <c r="G148" s="293"/>
      <c r="H148" s="293"/>
      <c r="I148" s="293"/>
      <c r="J148" s="293"/>
      <c r="K148" s="293"/>
      <c r="L148" s="293"/>
      <c r="M148" s="293"/>
      <c r="N148" s="311"/>
    </row>
    <row r="149" spans="1:14">
      <c r="A149" s="293"/>
      <c r="B149" s="293"/>
      <c r="C149" s="293"/>
      <c r="D149" s="293"/>
      <c r="E149" s="293"/>
      <c r="F149" s="293"/>
      <c r="G149" s="293"/>
      <c r="H149" s="293"/>
      <c r="I149" s="293"/>
      <c r="J149" s="293"/>
      <c r="K149" s="293"/>
      <c r="L149" s="293"/>
      <c r="M149" s="293"/>
      <c r="N149" s="311"/>
    </row>
    <row r="150" spans="1:14">
      <c r="A150" s="293"/>
      <c r="B150" s="293"/>
      <c r="C150" s="293"/>
      <c r="D150" s="293"/>
      <c r="E150" s="293"/>
      <c r="F150" s="293"/>
      <c r="G150" s="293"/>
      <c r="H150" s="293"/>
      <c r="I150" s="293"/>
      <c r="J150" s="293"/>
      <c r="K150" s="293"/>
      <c r="L150" s="293"/>
      <c r="M150" s="293"/>
      <c r="N150" s="311"/>
    </row>
    <row r="151" spans="1:14">
      <c r="A151" s="293"/>
      <c r="B151" s="293"/>
      <c r="C151" s="293"/>
      <c r="D151" s="293"/>
      <c r="E151" s="293"/>
      <c r="F151" s="293"/>
      <c r="G151" s="293"/>
      <c r="H151" s="293"/>
      <c r="I151" s="293"/>
      <c r="J151" s="293"/>
      <c r="K151" s="293"/>
      <c r="L151" s="293"/>
      <c r="M151" s="293"/>
      <c r="N151" s="311"/>
    </row>
    <row r="152" spans="1:14">
      <c r="A152" s="293"/>
      <c r="B152" s="293"/>
      <c r="C152" s="293"/>
      <c r="D152" s="293"/>
      <c r="E152" s="293"/>
      <c r="F152" s="293"/>
      <c r="G152" s="293"/>
      <c r="H152" s="293"/>
      <c r="I152" s="293"/>
      <c r="J152" s="293"/>
      <c r="K152" s="293"/>
      <c r="L152" s="293"/>
      <c r="M152" s="293"/>
      <c r="N152" s="311"/>
    </row>
    <row r="153" spans="1:14">
      <c r="A153" s="293"/>
      <c r="B153" s="293"/>
      <c r="C153" s="293"/>
      <c r="D153" s="293"/>
      <c r="E153" s="293"/>
      <c r="F153" s="293"/>
      <c r="G153" s="293"/>
      <c r="H153" s="293"/>
      <c r="I153" s="293"/>
      <c r="J153" s="293"/>
      <c r="K153" s="293"/>
      <c r="L153" s="293"/>
      <c r="M153" s="293"/>
      <c r="N153" s="311"/>
    </row>
    <row r="154" spans="1:14">
      <c r="A154" s="293"/>
      <c r="B154" s="293"/>
      <c r="C154" s="293"/>
      <c r="D154" s="293"/>
      <c r="E154" s="293"/>
      <c r="F154" s="293"/>
      <c r="G154" s="293"/>
      <c r="H154" s="293"/>
      <c r="I154" s="293"/>
      <c r="J154" s="293"/>
      <c r="K154" s="293"/>
      <c r="L154" s="293"/>
      <c r="M154" s="293"/>
      <c r="N154" s="311"/>
    </row>
    <row r="155" spans="1:14">
      <c r="A155" s="293"/>
      <c r="B155" s="293"/>
      <c r="C155" s="293"/>
      <c r="D155" s="293"/>
      <c r="E155" s="293"/>
      <c r="F155" s="293"/>
      <c r="G155" s="293"/>
      <c r="H155" s="293"/>
      <c r="I155" s="293"/>
      <c r="J155" s="293"/>
      <c r="K155" s="293"/>
      <c r="L155" s="293"/>
      <c r="M155" s="293"/>
      <c r="N155" s="311"/>
    </row>
    <row r="156" spans="1:14">
      <c r="A156" s="293"/>
      <c r="B156" s="293"/>
      <c r="C156" s="293"/>
      <c r="D156" s="293"/>
      <c r="E156" s="293"/>
      <c r="F156" s="293"/>
      <c r="G156" s="293"/>
      <c r="H156" s="293"/>
      <c r="I156" s="293"/>
      <c r="J156" s="293"/>
      <c r="K156" s="293"/>
      <c r="L156" s="293"/>
      <c r="M156" s="293"/>
      <c r="N156" s="311"/>
    </row>
    <row r="157" spans="1:14">
      <c r="A157" s="293"/>
      <c r="B157" s="293"/>
      <c r="C157" s="293"/>
      <c r="D157" s="293"/>
      <c r="E157" s="293"/>
      <c r="F157" s="293"/>
      <c r="G157" s="293"/>
      <c r="H157" s="293"/>
      <c r="I157" s="293"/>
      <c r="J157" s="293"/>
      <c r="K157" s="293"/>
      <c r="L157" s="293"/>
      <c r="M157" s="293"/>
      <c r="N157" s="311"/>
    </row>
    <row r="158" spans="1:14">
      <c r="A158" s="293"/>
      <c r="B158" s="293"/>
      <c r="C158" s="293"/>
      <c r="D158" s="293"/>
      <c r="E158" s="293"/>
      <c r="F158" s="293"/>
      <c r="G158" s="293"/>
      <c r="H158" s="293"/>
      <c r="I158" s="293"/>
      <c r="J158" s="293"/>
      <c r="K158" s="293"/>
      <c r="L158" s="293"/>
      <c r="M158" s="293"/>
      <c r="N158" s="311"/>
    </row>
    <row r="159" spans="1:14">
      <c r="A159" s="293"/>
      <c r="B159" s="293"/>
      <c r="C159" s="293"/>
      <c r="D159" s="293"/>
      <c r="E159" s="293"/>
      <c r="F159" s="293"/>
      <c r="G159" s="293"/>
      <c r="H159" s="293"/>
      <c r="I159" s="293"/>
      <c r="J159" s="293"/>
      <c r="K159" s="293"/>
      <c r="L159" s="293"/>
      <c r="M159" s="293"/>
      <c r="N159" s="311"/>
    </row>
    <row r="160" spans="1:14">
      <c r="A160" s="293"/>
      <c r="B160" s="293"/>
      <c r="C160" s="293"/>
      <c r="D160" s="293"/>
      <c r="E160" s="293"/>
      <c r="F160" s="293"/>
      <c r="G160" s="293"/>
      <c r="H160" s="293"/>
      <c r="I160" s="293"/>
      <c r="J160" s="293"/>
      <c r="K160" s="293"/>
      <c r="L160" s="293"/>
      <c r="M160" s="293"/>
      <c r="N160" s="311"/>
    </row>
  </sheetData>
  <printOptions horizontalCentered="1" verticalCentered="1"/>
  <pageMargins left="0.19685039370078741" right="0.19685039370078741" top="0.78740157480314965" bottom="0.19685039370078741" header="0.39370078740157483" footer="0.19685039370078741"/>
  <pageSetup paperSize="9" scale="62" orientation="portrait" cellComments="atEnd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EFF04-81F5-DE49-BB38-0BE50DE6EC0B}">
  <dimension ref="B2:J103"/>
  <sheetViews>
    <sheetView topLeftCell="E2" zoomScale="130" zoomScaleNormal="130" workbookViewId="0">
      <selection activeCell="H24" sqref="H24"/>
    </sheetView>
  </sheetViews>
  <sheetFormatPr baseColWidth="10" defaultColWidth="8.6640625" defaultRowHeight="16"/>
  <cols>
    <col min="1" max="1" width="8.6640625" style="5"/>
    <col min="2" max="2" width="16.1640625" style="5" bestFit="1" customWidth="1"/>
    <col min="3" max="3" width="11" style="5" customWidth="1"/>
    <col min="4" max="4" width="8.6640625" style="5"/>
    <col min="5" max="5" width="12.1640625" style="196" customWidth="1"/>
    <col min="6" max="6" width="9.1640625" style="5" customWidth="1"/>
    <col min="7" max="7" width="53.6640625" style="5" customWidth="1"/>
    <col min="8" max="8" width="20.1640625" style="5" customWidth="1"/>
    <col min="9" max="10" width="9.1640625" style="5" customWidth="1"/>
    <col min="11" max="16384" width="8.6640625" style="5"/>
  </cols>
  <sheetData>
    <row r="2" spans="2:10" ht="17" thickBot="1">
      <c r="G2" s="9"/>
    </row>
    <row r="3" spans="2:10" ht="27" customHeight="1">
      <c r="B3" s="916" t="s">
        <v>642</v>
      </c>
      <c r="C3" s="916"/>
      <c r="D3" s="916"/>
      <c r="E3" s="916"/>
      <c r="G3" s="152" t="s">
        <v>643</v>
      </c>
      <c r="H3" s="197">
        <v>0.08</v>
      </c>
    </row>
    <row r="4" spans="2:10" ht="17" thickBot="1">
      <c r="B4" s="198"/>
      <c r="G4" s="154" t="s">
        <v>644</v>
      </c>
      <c r="H4" s="199">
        <v>2.23</v>
      </c>
    </row>
    <row r="5" spans="2:10" ht="28">
      <c r="B5" s="200" t="s">
        <v>645</v>
      </c>
      <c r="C5" s="201" t="s">
        <v>646</v>
      </c>
      <c r="D5" s="201" t="s">
        <v>647</v>
      </c>
      <c r="E5" s="202" t="s">
        <v>648</v>
      </c>
      <c r="G5" s="154" t="s">
        <v>649</v>
      </c>
      <c r="H5" s="203">
        <v>24</v>
      </c>
    </row>
    <row r="6" spans="2:10" ht="17.25" customHeight="1">
      <c r="B6" s="48" t="s">
        <v>24</v>
      </c>
      <c r="C6" s="867">
        <v>25.6</v>
      </c>
      <c r="D6" s="5">
        <v>0.8</v>
      </c>
      <c r="E6" s="204">
        <v>9.1</v>
      </c>
      <c r="G6" s="154" t="s">
        <v>650</v>
      </c>
      <c r="H6" s="203">
        <v>120</v>
      </c>
    </row>
    <row r="7" spans="2:10" ht="17.25" customHeight="1">
      <c r="B7" s="48" t="s">
        <v>651</v>
      </c>
      <c r="C7" s="867">
        <v>25.3</v>
      </c>
      <c r="D7" s="5">
        <v>0.57999999999999996</v>
      </c>
      <c r="E7" s="204">
        <v>8</v>
      </c>
      <c r="G7" s="154" t="s">
        <v>652</v>
      </c>
      <c r="H7" s="199">
        <v>1.1200000000000001</v>
      </c>
    </row>
    <row r="8" spans="2:10" ht="17.25" customHeight="1">
      <c r="B8" s="48" t="s">
        <v>653</v>
      </c>
      <c r="C8" s="867">
        <v>26.1</v>
      </c>
      <c r="D8" s="5">
        <v>0.98</v>
      </c>
      <c r="E8" s="204">
        <v>11.2</v>
      </c>
      <c r="G8" s="154" t="s">
        <v>654</v>
      </c>
      <c r="H8" s="205">
        <v>325800</v>
      </c>
    </row>
    <row r="9" spans="2:10" ht="17.25" customHeight="1">
      <c r="B9" s="48" t="s">
        <v>655</v>
      </c>
      <c r="C9" s="867">
        <v>25.5</v>
      </c>
      <c r="D9" s="5">
        <v>0.75</v>
      </c>
      <c r="E9" s="204">
        <v>8.3000000000000007</v>
      </c>
      <c r="G9" s="154" t="s">
        <v>656</v>
      </c>
      <c r="H9" s="206">
        <v>0.123</v>
      </c>
      <c r="I9" s="868"/>
    </row>
    <row r="10" spans="2:10" ht="17.25" customHeight="1">
      <c r="B10" s="48" t="s">
        <v>657</v>
      </c>
      <c r="C10" s="867">
        <v>24</v>
      </c>
      <c r="D10" s="5">
        <v>0.89</v>
      </c>
      <c r="E10" s="204">
        <v>7.2</v>
      </c>
      <c r="G10" s="154" t="s">
        <v>658</v>
      </c>
      <c r="H10" s="205">
        <v>55600</v>
      </c>
      <c r="J10" s="5" t="s">
        <v>75</v>
      </c>
    </row>
    <row r="11" spans="2:10" ht="17.25" customHeight="1">
      <c r="B11" s="48" t="s">
        <v>659</v>
      </c>
      <c r="C11" s="867">
        <v>26.2</v>
      </c>
      <c r="D11" s="5">
        <v>0</v>
      </c>
      <c r="E11" s="204">
        <v>10.7</v>
      </c>
      <c r="G11" s="123" t="s">
        <v>11</v>
      </c>
      <c r="H11" s="206">
        <v>0.1201</v>
      </c>
    </row>
    <row r="12" spans="2:10" ht="17.25" customHeight="1">
      <c r="B12" s="48" t="s">
        <v>660</v>
      </c>
      <c r="C12" s="867">
        <v>24.3</v>
      </c>
      <c r="D12" s="5">
        <v>0.8</v>
      </c>
      <c r="E12" s="204">
        <v>4.9000000000000004</v>
      </c>
      <c r="G12" s="207" t="s">
        <v>661</v>
      </c>
      <c r="H12" s="208">
        <v>5.1000000000000004E-3</v>
      </c>
      <c r="I12" s="5" t="s">
        <v>75</v>
      </c>
      <c r="J12" s="5" t="s">
        <v>75</v>
      </c>
    </row>
    <row r="13" spans="2:10" ht="17.25" customHeight="1">
      <c r="B13" s="48" t="s">
        <v>662</v>
      </c>
      <c r="C13" s="867">
        <v>26.3</v>
      </c>
      <c r="D13" s="5">
        <v>1.06</v>
      </c>
      <c r="E13" s="204">
        <v>17.100000000000001</v>
      </c>
      <c r="G13" s="207" t="s">
        <v>663</v>
      </c>
      <c r="H13" s="208">
        <v>1.4E-2</v>
      </c>
    </row>
    <row r="14" spans="2:10" ht="17.25" customHeight="1">
      <c r="B14" s="48" t="s">
        <v>664</v>
      </c>
      <c r="C14" s="867">
        <v>24.8</v>
      </c>
      <c r="D14" s="5">
        <v>0.61</v>
      </c>
      <c r="E14" s="204">
        <v>8.1</v>
      </c>
      <c r="G14" s="207" t="s">
        <v>665</v>
      </c>
      <c r="H14" s="209">
        <v>11500000</v>
      </c>
      <c r="J14" s="5" t="s">
        <v>75</v>
      </c>
    </row>
    <row r="15" spans="2:10" ht="17.25" customHeight="1">
      <c r="B15" s="48" t="s">
        <v>666</v>
      </c>
      <c r="C15" s="867">
        <v>25.7</v>
      </c>
      <c r="D15" s="5">
        <v>0.76</v>
      </c>
      <c r="E15" s="204">
        <v>8.8000000000000007</v>
      </c>
      <c r="G15" s="207" t="s">
        <v>667</v>
      </c>
      <c r="H15" s="210">
        <v>0.12</v>
      </c>
    </row>
    <row r="16" spans="2:10" ht="17.25" customHeight="1">
      <c r="B16" s="48" t="s">
        <v>668</v>
      </c>
      <c r="C16" s="867">
        <v>26.1</v>
      </c>
      <c r="D16" s="5">
        <v>0.81</v>
      </c>
      <c r="E16" s="204">
        <v>9.9</v>
      </c>
      <c r="G16" s="207" t="s">
        <v>669</v>
      </c>
      <c r="H16" s="205">
        <v>10056</v>
      </c>
    </row>
    <row r="17" spans="2:9" ht="17.25" customHeight="1">
      <c r="B17" s="48" t="s">
        <v>670</v>
      </c>
      <c r="C17" s="867">
        <v>26.1</v>
      </c>
      <c r="D17" s="5">
        <v>1.05</v>
      </c>
      <c r="E17" s="204">
        <v>8.5</v>
      </c>
      <c r="G17" s="207" t="s">
        <v>671</v>
      </c>
      <c r="H17" s="210">
        <v>0.32</v>
      </c>
    </row>
    <row r="18" spans="2:9" ht="17.25" customHeight="1">
      <c r="B18" s="48" t="s">
        <v>672</v>
      </c>
      <c r="C18" s="867">
        <v>25.7</v>
      </c>
      <c r="D18" s="5">
        <v>1.1399999999999999</v>
      </c>
      <c r="E18" s="204">
        <v>12.5</v>
      </c>
      <c r="G18" s="207" t="s">
        <v>673</v>
      </c>
      <c r="H18" s="205">
        <v>26816</v>
      </c>
    </row>
    <row r="19" spans="2:9" ht="17.25" customHeight="1">
      <c r="B19" s="48" t="s">
        <v>674</v>
      </c>
      <c r="C19" s="867">
        <v>25.8</v>
      </c>
      <c r="D19" s="5">
        <v>0.96</v>
      </c>
      <c r="E19" s="204">
        <v>10.6</v>
      </c>
      <c r="G19" s="123" t="s">
        <v>675</v>
      </c>
      <c r="H19" s="205">
        <v>7000</v>
      </c>
    </row>
    <row r="20" spans="2:9" ht="17.25" customHeight="1">
      <c r="B20" s="48" t="s">
        <v>676</v>
      </c>
      <c r="C20" s="867">
        <v>25.3</v>
      </c>
      <c r="D20" s="5">
        <v>1.08</v>
      </c>
      <c r="E20" s="204">
        <v>8</v>
      </c>
      <c r="G20" s="207" t="s">
        <v>677</v>
      </c>
      <c r="H20" s="211">
        <v>300000</v>
      </c>
    </row>
    <row r="21" spans="2:9" ht="17.25" customHeight="1">
      <c r="B21" s="48" t="s">
        <v>678</v>
      </c>
      <c r="C21" s="867">
        <v>25.5</v>
      </c>
      <c r="D21" s="5">
        <v>0.62</v>
      </c>
      <c r="E21" s="204">
        <v>8.3000000000000007</v>
      </c>
      <c r="G21" s="207" t="s">
        <v>679</v>
      </c>
      <c r="H21" s="212">
        <v>0.22500000000000001</v>
      </c>
    </row>
    <row r="22" spans="2:9" ht="17.25" customHeight="1">
      <c r="B22" s="48" t="s">
        <v>680</v>
      </c>
      <c r="C22" s="867">
        <v>24.57</v>
      </c>
      <c r="D22" s="5">
        <v>0.88</v>
      </c>
      <c r="E22" s="204">
        <v>13</v>
      </c>
      <c r="G22" s="207" t="s">
        <v>681</v>
      </c>
      <c r="H22" s="212">
        <v>0.22500000000000001</v>
      </c>
    </row>
    <row r="23" spans="2:9" ht="17.25" customHeight="1">
      <c r="B23" s="48" t="s">
        <v>682</v>
      </c>
      <c r="C23" s="867">
        <v>26.2</v>
      </c>
      <c r="D23" s="5">
        <v>0.5</v>
      </c>
      <c r="E23" s="204">
        <v>3.1</v>
      </c>
      <c r="G23" s="207" t="s">
        <v>683</v>
      </c>
      <c r="H23" s="210">
        <v>0.8</v>
      </c>
    </row>
    <row r="24" spans="2:9" ht="17.25" customHeight="1">
      <c r="B24" s="48" t="s">
        <v>684</v>
      </c>
      <c r="C24" s="867">
        <v>25.7</v>
      </c>
      <c r="D24" s="5">
        <v>1.03</v>
      </c>
      <c r="E24" s="204">
        <v>13.4</v>
      </c>
      <c r="G24" s="213" t="s">
        <v>685</v>
      </c>
      <c r="H24" s="209">
        <v>3300</v>
      </c>
      <c r="I24" s="5" t="s">
        <v>75</v>
      </c>
    </row>
    <row r="25" spans="2:9" ht="17.25" customHeight="1">
      <c r="B25" s="48" t="s">
        <v>686</v>
      </c>
      <c r="C25" s="867">
        <v>24.88</v>
      </c>
      <c r="D25" s="5">
        <v>0.96</v>
      </c>
      <c r="E25" s="204">
        <v>12</v>
      </c>
      <c r="G25" s="207" t="s">
        <v>687</v>
      </c>
      <c r="H25" s="214">
        <v>0</v>
      </c>
    </row>
    <row r="26" spans="2:9" ht="17.25" customHeight="1">
      <c r="B26" s="48" t="s">
        <v>688</v>
      </c>
      <c r="C26" s="867">
        <v>26.1</v>
      </c>
      <c r="D26" s="5">
        <v>0.65</v>
      </c>
      <c r="E26" s="204">
        <v>7</v>
      </c>
      <c r="G26" s="207" t="s">
        <v>689</v>
      </c>
      <c r="H26" s="209"/>
    </row>
    <row r="27" spans="2:9" ht="17.25" customHeight="1">
      <c r="B27" s="48" t="s">
        <v>690</v>
      </c>
      <c r="C27" s="867">
        <v>24.24</v>
      </c>
      <c r="D27" s="5">
        <v>0.39</v>
      </c>
      <c r="E27" s="204">
        <v>5.0999999999999996</v>
      </c>
      <c r="G27" s="207" t="s">
        <v>691</v>
      </c>
      <c r="H27" s="209"/>
    </row>
    <row r="28" spans="2:9" ht="17.25" customHeight="1">
      <c r="B28" s="48" t="s">
        <v>692</v>
      </c>
      <c r="C28" s="867">
        <v>23.6</v>
      </c>
      <c r="D28" s="5">
        <v>0.75</v>
      </c>
      <c r="E28" s="204">
        <v>5.9</v>
      </c>
      <c r="G28" s="207" t="s">
        <v>693</v>
      </c>
      <c r="H28" s="208"/>
    </row>
    <row r="29" spans="2:9" ht="17.25" customHeight="1">
      <c r="B29" s="48" t="s">
        <v>694</v>
      </c>
      <c r="C29" s="867">
        <v>24.6</v>
      </c>
      <c r="D29" s="5">
        <v>0.8</v>
      </c>
      <c r="E29" s="204">
        <v>6.5</v>
      </c>
      <c r="G29" s="207" t="s">
        <v>695</v>
      </c>
      <c r="H29" s="206">
        <v>4.4999999999999998E-2</v>
      </c>
    </row>
    <row r="30" spans="2:9" ht="17.25" customHeight="1">
      <c r="B30" s="48" t="s">
        <v>696</v>
      </c>
      <c r="C30" s="867">
        <v>24.59</v>
      </c>
      <c r="D30" s="5">
        <v>0.81</v>
      </c>
      <c r="E30" s="204">
        <v>5.5</v>
      </c>
      <c r="G30" s="207" t="s">
        <v>697</v>
      </c>
      <c r="H30" s="209">
        <v>224500</v>
      </c>
    </row>
    <row r="31" spans="2:9" ht="17.25" customHeight="1">
      <c r="B31" s="48" t="s">
        <v>698</v>
      </c>
      <c r="C31" s="867">
        <v>25.4</v>
      </c>
      <c r="D31" s="5">
        <v>0.85</v>
      </c>
      <c r="E31" s="204">
        <v>11.1</v>
      </c>
      <c r="G31" s="207" t="s">
        <v>699</v>
      </c>
      <c r="H31" s="205">
        <v>2900</v>
      </c>
    </row>
    <row r="32" spans="2:9" ht="17.25" customHeight="1">
      <c r="B32" s="48" t="s">
        <v>700</v>
      </c>
      <c r="C32" s="867">
        <v>25.8</v>
      </c>
      <c r="D32" s="5">
        <v>1.1599999999999999</v>
      </c>
      <c r="E32" s="204">
        <v>15.9</v>
      </c>
      <c r="G32" s="123" t="s">
        <v>701</v>
      </c>
      <c r="H32" s="205">
        <v>104800</v>
      </c>
    </row>
    <row r="33" spans="2:9" ht="17.25" customHeight="1">
      <c r="B33" s="48" t="s">
        <v>702</v>
      </c>
      <c r="C33" s="867">
        <v>26.3</v>
      </c>
      <c r="D33" s="5">
        <v>0.95</v>
      </c>
      <c r="E33" s="204">
        <v>12.7</v>
      </c>
      <c r="G33" s="123" t="s">
        <v>703</v>
      </c>
      <c r="H33" s="205">
        <v>52400</v>
      </c>
    </row>
    <row r="34" spans="2:9" ht="17.25" customHeight="1">
      <c r="B34" s="48" t="s">
        <v>704</v>
      </c>
      <c r="C34" s="867">
        <v>25.7</v>
      </c>
      <c r="D34" s="5">
        <v>0.85</v>
      </c>
      <c r="E34" s="204">
        <v>10.9</v>
      </c>
      <c r="G34" s="154" t="s">
        <v>705</v>
      </c>
      <c r="H34" s="205">
        <v>51600</v>
      </c>
    </row>
    <row r="35" spans="2:9" ht="17.25" customHeight="1">
      <c r="B35" s="48" t="s">
        <v>706</v>
      </c>
      <c r="C35" s="867">
        <v>25.52</v>
      </c>
      <c r="D35" s="5">
        <v>0.98</v>
      </c>
      <c r="E35" s="204">
        <v>7.9</v>
      </c>
      <c r="G35" s="207" t="s">
        <v>707</v>
      </c>
      <c r="H35" s="205">
        <v>611800</v>
      </c>
      <c r="I35" s="5" t="s">
        <v>75</v>
      </c>
    </row>
    <row r="36" spans="2:9" ht="17.25" customHeight="1">
      <c r="B36" s="48" t="s">
        <v>708</v>
      </c>
      <c r="C36" s="867">
        <v>25.82</v>
      </c>
      <c r="D36" s="5">
        <v>0.63</v>
      </c>
      <c r="E36" s="204">
        <v>9.5</v>
      </c>
      <c r="G36" s="123" t="s">
        <v>709</v>
      </c>
      <c r="H36" s="205">
        <v>65500</v>
      </c>
    </row>
    <row r="37" spans="2:9" ht="17.25" customHeight="1">
      <c r="B37" s="48" t="s">
        <v>710</v>
      </c>
      <c r="C37" s="867">
        <v>23.7</v>
      </c>
      <c r="D37" s="5">
        <v>0.75</v>
      </c>
      <c r="E37" s="204">
        <v>5.4</v>
      </c>
      <c r="G37" s="154" t="s">
        <v>711</v>
      </c>
      <c r="H37" s="206">
        <v>0.52070000000000005</v>
      </c>
    </row>
    <row r="38" spans="2:9" ht="17.25" customHeight="1">
      <c r="B38" s="48" t="s">
        <v>712</v>
      </c>
      <c r="C38" s="867">
        <v>25.4</v>
      </c>
      <c r="D38" s="5">
        <v>0.99</v>
      </c>
      <c r="E38" s="204">
        <v>9.9</v>
      </c>
      <c r="G38" s="154" t="s">
        <v>713</v>
      </c>
      <c r="H38" s="206">
        <v>0.42</v>
      </c>
    </row>
    <row r="39" spans="2:9" ht="17.25" customHeight="1">
      <c r="B39" s="48" t="s">
        <v>714</v>
      </c>
      <c r="C39" s="867">
        <v>25.6</v>
      </c>
      <c r="D39" s="5">
        <v>0.69</v>
      </c>
      <c r="E39" s="204">
        <v>6.6</v>
      </c>
      <c r="G39" s="123" t="s">
        <v>16</v>
      </c>
      <c r="H39" s="210">
        <v>0</v>
      </c>
    </row>
    <row r="40" spans="2:9" ht="17.25" customHeight="1">
      <c r="B40" s="48" t="s">
        <v>715</v>
      </c>
      <c r="C40" s="867">
        <v>26.21</v>
      </c>
      <c r="D40" s="5">
        <v>1.19</v>
      </c>
      <c r="E40" s="204">
        <v>16.5</v>
      </c>
      <c r="G40" s="207" t="s">
        <v>716</v>
      </c>
      <c r="H40" s="215">
        <v>0.08</v>
      </c>
    </row>
    <row r="41" spans="2:9" ht="17.25" customHeight="1">
      <c r="B41" s="48" t="s">
        <v>717</v>
      </c>
      <c r="C41" s="867">
        <v>25.3</v>
      </c>
      <c r="D41" s="5">
        <v>0.96</v>
      </c>
      <c r="E41" s="204">
        <v>8.1</v>
      </c>
      <c r="G41" s="207" t="s">
        <v>718</v>
      </c>
      <c r="H41" s="205">
        <v>-100000</v>
      </c>
    </row>
    <row r="42" spans="2:9" ht="17.25" customHeight="1">
      <c r="B42" s="48" t="s">
        <v>719</v>
      </c>
      <c r="C42" s="867">
        <v>25.5</v>
      </c>
      <c r="D42" s="5">
        <v>1.08</v>
      </c>
      <c r="E42" s="204">
        <v>11.5</v>
      </c>
      <c r="G42" s="207" t="s">
        <v>720</v>
      </c>
      <c r="H42" s="205">
        <v>-50000</v>
      </c>
    </row>
    <row r="43" spans="2:9" ht="17.25" customHeight="1">
      <c r="B43" s="48" t="s">
        <v>721</v>
      </c>
      <c r="C43" s="867">
        <v>25.69</v>
      </c>
      <c r="D43" s="5">
        <v>0.79</v>
      </c>
      <c r="E43" s="204">
        <v>8.6999999999999993</v>
      </c>
      <c r="G43" s="147" t="s">
        <v>14</v>
      </c>
      <c r="H43" s="216">
        <v>0.15</v>
      </c>
    </row>
    <row r="44" spans="2:9" ht="17.25" customHeight="1">
      <c r="B44" s="48" t="s">
        <v>722</v>
      </c>
      <c r="C44" s="867">
        <v>25.4</v>
      </c>
      <c r="D44" s="5">
        <v>0.72</v>
      </c>
      <c r="E44" s="204">
        <v>6.5</v>
      </c>
    </row>
    <row r="45" spans="2:9" ht="17.25" customHeight="1">
      <c r="B45" s="48" t="s">
        <v>723</v>
      </c>
      <c r="C45" s="867">
        <v>24.6</v>
      </c>
      <c r="D45" s="5">
        <v>0.8</v>
      </c>
      <c r="E45" s="204">
        <v>6.3</v>
      </c>
    </row>
    <row r="46" spans="2:9" ht="17.25" customHeight="1">
      <c r="B46" s="48" t="s">
        <v>724</v>
      </c>
      <c r="C46" s="867">
        <v>23.7</v>
      </c>
      <c r="D46" s="5">
        <v>0.62</v>
      </c>
      <c r="E46" s="204">
        <v>8.5</v>
      </c>
    </row>
    <row r="47" spans="2:9" ht="17.25" customHeight="1">
      <c r="B47" s="48" t="s">
        <v>725</v>
      </c>
      <c r="C47" s="867">
        <v>25.1</v>
      </c>
      <c r="D47" s="5">
        <v>0.97</v>
      </c>
      <c r="E47" s="204">
        <v>9.1</v>
      </c>
    </row>
    <row r="48" spans="2:9" ht="17.25" customHeight="1">
      <c r="B48" s="48" t="s">
        <v>726</v>
      </c>
      <c r="C48" s="867">
        <v>25</v>
      </c>
      <c r="D48" s="5">
        <v>0.9</v>
      </c>
      <c r="E48" s="204">
        <v>6.5</v>
      </c>
    </row>
    <row r="49" spans="2:5" ht="17.25" customHeight="1">
      <c r="B49" s="48" t="s">
        <v>727</v>
      </c>
      <c r="C49" s="867">
        <v>25.7</v>
      </c>
      <c r="D49" s="5">
        <v>1.2</v>
      </c>
      <c r="E49" s="204">
        <v>13.2</v>
      </c>
    </row>
    <row r="50" spans="2:5" ht="17.25" customHeight="1">
      <c r="B50" s="48" t="s">
        <v>728</v>
      </c>
      <c r="C50" s="867">
        <v>24.2</v>
      </c>
      <c r="D50" s="5">
        <v>1.01</v>
      </c>
      <c r="E50" s="204">
        <v>16.600000000000001</v>
      </c>
    </row>
    <row r="51" spans="2:5" ht="17.25" customHeight="1">
      <c r="B51" s="48" t="s">
        <v>729</v>
      </c>
      <c r="C51" s="867">
        <v>26.1</v>
      </c>
      <c r="D51" s="5">
        <v>0.98</v>
      </c>
      <c r="E51" s="204">
        <v>12.4</v>
      </c>
    </row>
    <row r="52" spans="2:5" ht="17.25" customHeight="1">
      <c r="B52" s="48" t="s">
        <v>730</v>
      </c>
      <c r="C52" s="867">
        <v>25.5</v>
      </c>
      <c r="D52" s="5">
        <v>0.92</v>
      </c>
      <c r="E52" s="204">
        <v>11.1</v>
      </c>
    </row>
    <row r="53" spans="2:5" ht="17.25" customHeight="1">
      <c r="B53" s="48" t="s">
        <v>731</v>
      </c>
      <c r="C53" s="867">
        <v>23.5</v>
      </c>
      <c r="D53" s="5">
        <v>0.8</v>
      </c>
      <c r="E53" s="204">
        <v>5.0999999999999996</v>
      </c>
    </row>
    <row r="54" spans="2:5" ht="17.25" customHeight="1">
      <c r="B54" s="48" t="s">
        <v>732</v>
      </c>
      <c r="C54" s="867">
        <v>25.26</v>
      </c>
      <c r="D54" s="5">
        <v>0.87</v>
      </c>
      <c r="E54" s="204">
        <v>5.3</v>
      </c>
    </row>
    <row r="55" spans="2:5" ht="17.25" customHeight="1">
      <c r="B55" s="48" t="s">
        <v>733</v>
      </c>
      <c r="C55" s="867">
        <v>26.3</v>
      </c>
      <c r="D55" s="5">
        <v>1.1399999999999999</v>
      </c>
      <c r="E55" s="204">
        <v>12.2</v>
      </c>
    </row>
    <row r="56" spans="2:5" ht="17.25" customHeight="1">
      <c r="B56" s="48" t="s">
        <v>734</v>
      </c>
      <c r="C56" s="867">
        <v>25.31</v>
      </c>
      <c r="D56" s="5">
        <v>1.05</v>
      </c>
      <c r="E56" s="204">
        <v>9.6</v>
      </c>
    </row>
    <row r="57" spans="2:5" ht="17.25" customHeight="1">
      <c r="B57" s="48" t="s">
        <v>735</v>
      </c>
      <c r="C57" s="867">
        <v>25.7</v>
      </c>
      <c r="D57" s="5">
        <v>1.27</v>
      </c>
      <c r="E57" s="204">
        <v>15.4</v>
      </c>
    </row>
    <row r="58" spans="2:5" ht="17.25" customHeight="1">
      <c r="B58" s="48" t="s">
        <v>736</v>
      </c>
      <c r="C58" s="867">
        <v>26.3</v>
      </c>
      <c r="D58" s="5">
        <v>1.23</v>
      </c>
      <c r="E58" s="204">
        <v>17.399999999999999</v>
      </c>
    </row>
    <row r="59" spans="2:5" ht="17.25" customHeight="1">
      <c r="B59" s="48" t="s">
        <v>737</v>
      </c>
      <c r="C59" s="867">
        <v>24.38</v>
      </c>
      <c r="D59" s="5">
        <v>0.6</v>
      </c>
      <c r="E59" s="204">
        <v>6.7</v>
      </c>
    </row>
    <row r="60" spans="2:5" ht="17.25" customHeight="1">
      <c r="B60" s="48" t="s">
        <v>738</v>
      </c>
      <c r="C60" s="867">
        <v>26.3</v>
      </c>
      <c r="D60" s="5">
        <v>1.3</v>
      </c>
      <c r="E60" s="204">
        <v>12.7</v>
      </c>
    </row>
    <row r="61" spans="2:5" ht="17.25" customHeight="1">
      <c r="B61" s="48" t="s">
        <v>739</v>
      </c>
      <c r="C61" s="867">
        <v>25.9</v>
      </c>
      <c r="D61" s="5">
        <v>1.1499999999999999</v>
      </c>
      <c r="E61" s="204">
        <v>15.7</v>
      </c>
    </row>
    <row r="62" spans="2:5" ht="17.25" customHeight="1">
      <c r="B62" s="48" t="s">
        <v>740</v>
      </c>
      <c r="C62" s="867">
        <v>25.8</v>
      </c>
      <c r="D62" s="5">
        <v>0.9</v>
      </c>
      <c r="E62" s="204">
        <v>6.8</v>
      </c>
    </row>
    <row r="63" spans="2:5" ht="17.25" customHeight="1">
      <c r="B63" s="48" t="s">
        <v>741</v>
      </c>
      <c r="C63" s="867">
        <v>25.8</v>
      </c>
      <c r="D63" s="5">
        <v>1.2</v>
      </c>
      <c r="E63" s="204">
        <v>15.3</v>
      </c>
    </row>
    <row r="64" spans="2:5" ht="17.25" customHeight="1">
      <c r="B64" s="48" t="s">
        <v>742</v>
      </c>
      <c r="C64" s="867">
        <v>26</v>
      </c>
      <c r="D64" s="5">
        <v>1</v>
      </c>
      <c r="E64" s="204">
        <v>16.8</v>
      </c>
    </row>
    <row r="65" spans="2:5" ht="17.25" customHeight="1">
      <c r="B65" s="48" t="s">
        <v>743</v>
      </c>
      <c r="C65" s="867">
        <v>26</v>
      </c>
      <c r="D65" s="5">
        <v>1.04</v>
      </c>
      <c r="E65" s="204">
        <v>15.1</v>
      </c>
    </row>
    <row r="66" spans="2:5" ht="17.25" customHeight="1">
      <c r="B66" s="48" t="s">
        <v>744</v>
      </c>
      <c r="C66" s="867">
        <v>26.3</v>
      </c>
      <c r="D66" s="5">
        <v>1</v>
      </c>
      <c r="E66" s="204">
        <v>12.8</v>
      </c>
    </row>
    <row r="67" spans="2:5" ht="17.25" customHeight="1">
      <c r="B67" s="48" t="s">
        <v>745</v>
      </c>
      <c r="C67" s="867">
        <v>25</v>
      </c>
      <c r="D67" s="5">
        <v>0.98</v>
      </c>
      <c r="E67" s="204">
        <v>9.8000000000000007</v>
      </c>
    </row>
    <row r="68" spans="2:5" ht="17.25" customHeight="1">
      <c r="B68" s="48" t="s">
        <v>746</v>
      </c>
      <c r="C68" s="867">
        <v>25.1</v>
      </c>
      <c r="D68" s="5">
        <v>0.95</v>
      </c>
      <c r="E68" s="204">
        <v>14.4</v>
      </c>
    </row>
    <row r="69" spans="2:5" ht="17.25" customHeight="1">
      <c r="B69" s="48" t="s">
        <v>747</v>
      </c>
      <c r="C69" s="867">
        <v>25.5</v>
      </c>
      <c r="D69" s="5">
        <v>0.68</v>
      </c>
      <c r="E69" s="204">
        <v>5.7</v>
      </c>
    </row>
    <row r="70" spans="2:5" ht="17.25" customHeight="1">
      <c r="B70" s="48" t="s">
        <v>748</v>
      </c>
      <c r="C70" s="867">
        <v>26.3</v>
      </c>
      <c r="D70" s="5">
        <v>0.98</v>
      </c>
      <c r="E70" s="204">
        <v>12.3</v>
      </c>
    </row>
    <row r="71" spans="2:5" ht="17.25" customHeight="1">
      <c r="B71" s="48" t="s">
        <v>749</v>
      </c>
      <c r="C71" s="867">
        <v>26</v>
      </c>
      <c r="D71" s="5">
        <v>0.89</v>
      </c>
      <c r="E71" s="204">
        <v>13.9</v>
      </c>
    </row>
    <row r="72" spans="2:5" ht="17.25" customHeight="1">
      <c r="B72" s="48" t="s">
        <v>750</v>
      </c>
      <c r="C72" s="867">
        <v>25.83</v>
      </c>
      <c r="D72" s="5">
        <v>1.2</v>
      </c>
      <c r="E72" s="204">
        <v>8.9</v>
      </c>
    </row>
    <row r="73" spans="2:5" ht="17.25" customHeight="1">
      <c r="B73" s="48" t="s">
        <v>751</v>
      </c>
      <c r="C73" s="867">
        <v>25</v>
      </c>
      <c r="D73" s="5">
        <v>1.05</v>
      </c>
      <c r="E73" s="204">
        <v>16.399999999999999</v>
      </c>
    </row>
    <row r="74" spans="2:5" ht="17.25" customHeight="1">
      <c r="B74" s="48" t="s">
        <v>752</v>
      </c>
      <c r="C74" s="867">
        <v>26.1</v>
      </c>
      <c r="D74" s="5">
        <v>0.95</v>
      </c>
      <c r="E74" s="204">
        <v>7</v>
      </c>
    </row>
    <row r="75" spans="2:5" ht="17.25" customHeight="1">
      <c r="B75" s="48" t="s">
        <v>753</v>
      </c>
      <c r="C75" s="867">
        <v>25.2</v>
      </c>
      <c r="D75" s="5">
        <v>0.84</v>
      </c>
      <c r="E75" s="204">
        <v>7.4</v>
      </c>
    </row>
    <row r="76" spans="2:5" ht="17.25" customHeight="1">
      <c r="B76" s="48" t="s">
        <v>754</v>
      </c>
      <c r="C76" s="867">
        <v>23.52</v>
      </c>
      <c r="D76" s="5">
        <v>0.56999999999999995</v>
      </c>
      <c r="E76" s="204">
        <v>9.5</v>
      </c>
    </row>
    <row r="77" spans="2:5" ht="17.25" customHeight="1">
      <c r="B77" s="48" t="s">
        <v>755</v>
      </c>
      <c r="C77" s="867">
        <v>25.7</v>
      </c>
      <c r="D77" s="5">
        <v>0.72</v>
      </c>
      <c r="E77" s="204">
        <v>7.8</v>
      </c>
    </row>
    <row r="78" spans="2:5" ht="17.25" customHeight="1">
      <c r="B78" s="48" t="s">
        <v>756</v>
      </c>
      <c r="C78" s="867">
        <v>25.9</v>
      </c>
      <c r="D78" s="5">
        <v>1.2</v>
      </c>
      <c r="E78" s="204">
        <v>10.5</v>
      </c>
    </row>
    <row r="79" spans="2:5" ht="17.25" customHeight="1">
      <c r="B79" s="48" t="s">
        <v>757</v>
      </c>
      <c r="C79" s="867">
        <v>25.5</v>
      </c>
      <c r="D79" s="5">
        <v>0.95</v>
      </c>
      <c r="E79" s="204">
        <v>11</v>
      </c>
    </row>
    <row r="80" spans="2:5" ht="17.25" customHeight="1">
      <c r="B80" s="48" t="s">
        <v>758</v>
      </c>
      <c r="C80" s="867">
        <v>26</v>
      </c>
      <c r="D80" s="5">
        <v>0.86</v>
      </c>
      <c r="E80" s="204">
        <v>8.6</v>
      </c>
    </row>
    <row r="81" spans="2:5" ht="17.25" customHeight="1">
      <c r="B81" s="48" t="s">
        <v>759</v>
      </c>
      <c r="C81" s="867">
        <v>25.5</v>
      </c>
      <c r="D81" s="5">
        <v>1.0900000000000001</v>
      </c>
      <c r="E81" s="204">
        <v>11.6</v>
      </c>
    </row>
    <row r="82" spans="2:5" ht="17.25" customHeight="1">
      <c r="B82" s="48" t="s">
        <v>760</v>
      </c>
      <c r="C82" s="867">
        <v>26.1</v>
      </c>
      <c r="D82" s="5">
        <v>0.96</v>
      </c>
      <c r="E82" s="204">
        <v>11.1</v>
      </c>
    </row>
    <row r="83" spans="2:5" ht="17.25" customHeight="1">
      <c r="B83" s="48" t="s">
        <v>761</v>
      </c>
      <c r="C83" s="867">
        <v>24.99</v>
      </c>
      <c r="D83" s="5">
        <v>0.89</v>
      </c>
      <c r="E83" s="204">
        <v>7.9</v>
      </c>
    </row>
    <row r="84" spans="2:5" ht="17.25" customHeight="1">
      <c r="B84" s="48" t="s">
        <v>762</v>
      </c>
      <c r="C84" s="867">
        <v>26.3</v>
      </c>
      <c r="D84" s="5">
        <v>0.95</v>
      </c>
      <c r="E84" s="204">
        <v>9.8000000000000007</v>
      </c>
    </row>
    <row r="85" spans="2:5" ht="17.25" customHeight="1">
      <c r="B85" s="48" t="s">
        <v>763</v>
      </c>
      <c r="C85" s="867">
        <v>26</v>
      </c>
      <c r="D85" s="5">
        <v>1.1000000000000001</v>
      </c>
      <c r="E85" s="204">
        <v>8.3000000000000007</v>
      </c>
    </row>
    <row r="86" spans="2:5" ht="17.25" customHeight="1">
      <c r="B86" s="48" t="s">
        <v>764</v>
      </c>
      <c r="C86" s="867">
        <v>25.3</v>
      </c>
      <c r="D86" s="5">
        <v>1.2</v>
      </c>
      <c r="E86" s="204">
        <v>15.5</v>
      </c>
    </row>
    <row r="87" spans="2:5" ht="17.25" customHeight="1">
      <c r="B87" s="48" t="s">
        <v>765</v>
      </c>
      <c r="C87" s="867">
        <v>26.3</v>
      </c>
      <c r="D87" s="5">
        <v>1.02</v>
      </c>
      <c r="E87" s="204">
        <v>8.8000000000000007</v>
      </c>
    </row>
    <row r="88" spans="2:5" ht="17.25" customHeight="1">
      <c r="B88" s="48" t="s">
        <v>766</v>
      </c>
      <c r="C88" s="867">
        <v>25.9</v>
      </c>
      <c r="D88" s="5">
        <v>0.98</v>
      </c>
      <c r="E88" s="204">
        <v>14.2</v>
      </c>
    </row>
    <row r="89" spans="2:5" ht="17.25" customHeight="1">
      <c r="B89" s="48" t="s">
        <v>767</v>
      </c>
      <c r="C89" s="867">
        <v>25.7</v>
      </c>
      <c r="D89" s="5">
        <v>0.91</v>
      </c>
      <c r="E89" s="204">
        <v>13.5</v>
      </c>
    </row>
    <row r="90" spans="2:5" ht="17.25" customHeight="1">
      <c r="B90" s="48" t="s">
        <v>768</v>
      </c>
      <c r="C90" s="867">
        <v>25.5</v>
      </c>
      <c r="D90" s="5">
        <v>1.27</v>
      </c>
      <c r="E90" s="204">
        <v>11.2</v>
      </c>
    </row>
    <row r="91" spans="2:5" ht="17.25" customHeight="1">
      <c r="B91" s="48" t="s">
        <v>769</v>
      </c>
      <c r="C91" s="867">
        <v>25.3</v>
      </c>
      <c r="D91" s="5">
        <v>0.61</v>
      </c>
      <c r="E91" s="204">
        <v>6</v>
      </c>
    </row>
    <row r="92" spans="2:5" ht="17.25" customHeight="1">
      <c r="B92" s="48" t="s">
        <v>770</v>
      </c>
      <c r="C92" s="867">
        <v>24.1</v>
      </c>
      <c r="D92" s="5">
        <v>1.1599999999999999</v>
      </c>
      <c r="E92" s="204">
        <v>10.8</v>
      </c>
    </row>
    <row r="93" spans="2:5" ht="17.25" customHeight="1">
      <c r="B93" s="48" t="s">
        <v>771</v>
      </c>
      <c r="C93" s="867">
        <v>25.6</v>
      </c>
      <c r="D93" s="5">
        <v>0.8</v>
      </c>
      <c r="E93" s="204">
        <v>8.6</v>
      </c>
    </row>
    <row r="94" spans="2:5" ht="17.25" customHeight="1">
      <c r="B94" s="48" t="s">
        <v>772</v>
      </c>
      <c r="C94" s="867">
        <v>25.1</v>
      </c>
      <c r="D94" s="5">
        <v>0.95</v>
      </c>
      <c r="E94" s="204">
        <v>17.7</v>
      </c>
    </row>
    <row r="95" spans="2:5" ht="17.25" customHeight="1">
      <c r="B95" s="48" t="s">
        <v>773</v>
      </c>
      <c r="C95" s="867">
        <v>25.8</v>
      </c>
      <c r="D95" s="5">
        <v>1.06</v>
      </c>
      <c r="E95" s="204">
        <v>9</v>
      </c>
    </row>
    <row r="96" spans="2:5" ht="17.25" customHeight="1">
      <c r="B96" s="48" t="s">
        <v>774</v>
      </c>
      <c r="C96" s="867">
        <v>23.4</v>
      </c>
      <c r="D96" s="5">
        <v>0.89</v>
      </c>
      <c r="E96" s="204">
        <v>10.5</v>
      </c>
    </row>
    <row r="97" spans="2:5" ht="17.25" customHeight="1">
      <c r="B97" s="48" t="s">
        <v>775</v>
      </c>
      <c r="C97" s="867">
        <v>26.3</v>
      </c>
      <c r="D97" s="5">
        <v>1.18</v>
      </c>
      <c r="E97" s="204">
        <v>9.3000000000000007</v>
      </c>
    </row>
    <row r="98" spans="2:5" ht="17.25" customHeight="1">
      <c r="B98" s="48" t="s">
        <v>776</v>
      </c>
      <c r="C98" s="867">
        <v>25.5</v>
      </c>
      <c r="D98" s="5">
        <v>0.93</v>
      </c>
      <c r="E98" s="204">
        <v>11.5</v>
      </c>
    </row>
    <row r="99" spans="2:5" ht="17.25" customHeight="1">
      <c r="B99" s="48" t="s">
        <v>777</v>
      </c>
      <c r="C99" s="867">
        <v>26.3</v>
      </c>
      <c r="D99" s="5">
        <v>1.02</v>
      </c>
      <c r="E99" s="204">
        <v>13.5</v>
      </c>
    </row>
    <row r="100" spans="2:5" ht="17.25" customHeight="1">
      <c r="B100" s="48" t="s">
        <v>778</v>
      </c>
      <c r="C100" s="867">
        <v>26.1</v>
      </c>
      <c r="D100" s="5">
        <v>1.05</v>
      </c>
      <c r="E100" s="204">
        <v>11.1</v>
      </c>
    </row>
    <row r="101" spans="2:5" ht="17.25" customHeight="1">
      <c r="B101" s="48" t="s">
        <v>779</v>
      </c>
      <c r="C101" s="867">
        <v>25.6</v>
      </c>
      <c r="D101" s="5">
        <v>0.95</v>
      </c>
      <c r="E101" s="204">
        <v>7.8</v>
      </c>
    </row>
    <row r="102" spans="2:5" ht="17.25" customHeight="1">
      <c r="B102" s="48" t="s">
        <v>780</v>
      </c>
      <c r="C102" s="867">
        <v>25.6</v>
      </c>
      <c r="D102" s="5">
        <v>0.98</v>
      </c>
      <c r="E102" s="204">
        <v>7.4</v>
      </c>
    </row>
    <row r="103" spans="2:5" ht="17.25" customHeight="1">
      <c r="B103" s="63" t="s">
        <v>781</v>
      </c>
      <c r="C103" s="867">
        <v>24.52</v>
      </c>
      <c r="D103" s="217">
        <v>0.74</v>
      </c>
      <c r="E103" s="218">
        <v>6</v>
      </c>
    </row>
  </sheetData>
  <mergeCells count="1">
    <mergeCell ref="B3:E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83363-41EE-4980-A180-02C96BFDE04A}">
  <sheetPr>
    <tabColor theme="4"/>
  </sheetPr>
  <dimension ref="A2:O57"/>
  <sheetViews>
    <sheetView zoomScale="103" workbookViewId="0">
      <selection activeCell="E10" sqref="E10"/>
    </sheetView>
  </sheetViews>
  <sheetFormatPr baseColWidth="10" defaultColWidth="9" defaultRowHeight="18"/>
  <cols>
    <col min="1" max="2" width="9" style="756"/>
    <col min="3" max="3" width="28" style="756" customWidth="1"/>
    <col min="4" max="4" width="10.1640625" style="756" customWidth="1"/>
    <col min="5" max="5" width="26.5" style="757" customWidth="1"/>
    <col min="6" max="6" width="14.1640625" style="756" customWidth="1"/>
    <col min="7" max="8" width="9" style="756"/>
    <col min="9" max="9" width="21.6640625" style="756" customWidth="1"/>
    <col min="10" max="10" width="9" style="756"/>
    <col min="11" max="11" width="17.6640625" style="756" customWidth="1"/>
    <col min="12" max="14" width="9" style="756"/>
    <col min="15" max="15" width="10.6640625" style="756" customWidth="1"/>
    <col min="16" max="16384" width="9" style="756"/>
  </cols>
  <sheetData>
    <row r="2" spans="1:12" ht="20">
      <c r="A2" s="748" t="s">
        <v>183</v>
      </c>
      <c r="G2" s="748" t="s">
        <v>184</v>
      </c>
    </row>
    <row r="5" spans="1:12">
      <c r="A5" s="758" t="s">
        <v>185</v>
      </c>
      <c r="B5" s="759"/>
      <c r="C5" s="759"/>
      <c r="D5" s="760" t="s">
        <v>186</v>
      </c>
      <c r="E5" s="761">
        <v>6995000</v>
      </c>
      <c r="G5" s="758" t="s">
        <v>187</v>
      </c>
      <c r="H5" s="759"/>
      <c r="I5" s="759"/>
      <c r="J5" s="760" t="s">
        <v>186</v>
      </c>
      <c r="K5" s="762">
        <f>E5</f>
        <v>6995000</v>
      </c>
    </row>
    <row r="6" spans="1:12" ht="19" thickBot="1"/>
    <row r="7" spans="1:12">
      <c r="A7" s="789"/>
      <c r="B7" s="801"/>
      <c r="C7" s="801"/>
      <c r="D7" s="801"/>
      <c r="E7" s="802"/>
      <c r="G7" s="765" t="s">
        <v>188</v>
      </c>
      <c r="H7" s="766"/>
      <c r="I7" s="766"/>
      <c r="J7" s="766"/>
      <c r="K7" s="767"/>
    </row>
    <row r="8" spans="1:12">
      <c r="A8" s="752" t="s">
        <v>189</v>
      </c>
      <c r="B8" s="749"/>
      <c r="C8" s="747"/>
      <c r="D8" s="750" t="s">
        <v>186</v>
      </c>
      <c r="E8" s="803">
        <v>3000000</v>
      </c>
      <c r="F8" s="795">
        <v>0.8</v>
      </c>
      <c r="G8" s="768"/>
      <c r="K8" s="769"/>
    </row>
    <row r="9" spans="1:12">
      <c r="A9" s="752" t="s">
        <v>190</v>
      </c>
      <c r="B9" s="749"/>
      <c r="C9" s="747"/>
      <c r="D9" s="750" t="s">
        <v>186</v>
      </c>
      <c r="E9" s="803">
        <v>500000</v>
      </c>
      <c r="F9" s="796"/>
      <c r="G9" s="749" t="s">
        <v>191</v>
      </c>
      <c r="H9" s="747"/>
      <c r="I9" s="747"/>
      <c r="J9" s="750" t="s">
        <v>186</v>
      </c>
      <c r="K9" s="751">
        <f>'Realkredit finansiering'!E7</f>
        <v>2937329.6391752576</v>
      </c>
      <c r="L9" s="798" t="s">
        <v>192</v>
      </c>
    </row>
    <row r="10" spans="1:12">
      <c r="A10" s="752" t="s">
        <v>193</v>
      </c>
      <c r="B10" s="749"/>
      <c r="C10" s="747"/>
      <c r="D10" s="750"/>
      <c r="E10" s="804"/>
      <c r="F10" s="796"/>
      <c r="G10" s="749" t="s">
        <v>194</v>
      </c>
      <c r="H10" s="747"/>
      <c r="I10" s="747"/>
      <c r="J10" s="750" t="s">
        <v>186</v>
      </c>
      <c r="K10" s="751">
        <f>IF(K18&gt;0,Banklån!D16,0)</f>
        <v>0</v>
      </c>
      <c r="L10" s="798" t="s">
        <v>195</v>
      </c>
    </row>
    <row r="11" spans="1:12">
      <c r="A11" s="752"/>
      <c r="B11" s="790" t="s">
        <v>196</v>
      </c>
      <c r="C11" s="747"/>
      <c r="D11" s="750"/>
      <c r="E11" s="804">
        <f>0.6%*E5+1850</f>
        <v>43820</v>
      </c>
      <c r="F11" s="796"/>
      <c r="G11" s="749" t="s">
        <v>197</v>
      </c>
      <c r="H11" s="747"/>
      <c r="I11" s="747"/>
      <c r="J11" s="750" t="s">
        <v>186</v>
      </c>
      <c r="K11" s="751">
        <f>E15</f>
        <v>424430</v>
      </c>
      <c r="L11" s="772"/>
    </row>
    <row r="12" spans="1:12">
      <c r="A12" s="770"/>
      <c r="B12" s="790" t="s">
        <v>198</v>
      </c>
      <c r="E12" s="753">
        <v>5000</v>
      </c>
      <c r="F12" s="797"/>
      <c r="G12" s="749"/>
      <c r="H12" s="747"/>
      <c r="I12" s="747"/>
      <c r="J12" s="750"/>
      <c r="K12" s="751"/>
      <c r="L12" s="772"/>
    </row>
    <row r="13" spans="1:12" ht="19" thickBot="1">
      <c r="A13" s="770"/>
      <c r="B13" s="790" t="s">
        <v>199</v>
      </c>
      <c r="D13" s="792"/>
      <c r="E13" s="803">
        <v>6750</v>
      </c>
      <c r="F13" s="797"/>
      <c r="G13" s="775" t="s">
        <v>84</v>
      </c>
      <c r="H13" s="776"/>
      <c r="I13" s="776"/>
      <c r="J13" s="777" t="s">
        <v>186</v>
      </c>
      <c r="K13" s="778">
        <f>K9+K10+K11</f>
        <v>3361759.6391752576</v>
      </c>
    </row>
    <row r="14" spans="1:12">
      <c r="A14" s="770"/>
      <c r="B14" s="747" t="s">
        <v>200</v>
      </c>
      <c r="D14" s="792"/>
      <c r="E14" s="805">
        <v>20000</v>
      </c>
      <c r="F14" s="797"/>
    </row>
    <row r="15" spans="1:12" ht="19" thickBot="1">
      <c r="A15" s="752" t="s">
        <v>201</v>
      </c>
      <c r="B15" s="747"/>
      <c r="D15" s="792"/>
      <c r="E15" s="753">
        <f>E9-E11-E12-E13-E14</f>
        <v>424430</v>
      </c>
      <c r="F15" s="795">
        <f>E15/E5</f>
        <v>6.0676197283774123E-2</v>
      </c>
    </row>
    <row r="16" spans="1:12" ht="19" thickBot="1">
      <c r="A16" s="770"/>
      <c r="B16" s="747"/>
      <c r="D16" s="792"/>
      <c r="E16" s="806"/>
      <c r="F16" s="797"/>
      <c r="G16" s="786" t="s">
        <v>202</v>
      </c>
      <c r="H16" s="787"/>
      <c r="I16" s="787"/>
      <c r="J16" s="788" t="s">
        <v>186</v>
      </c>
      <c r="K16" s="816">
        <f>K13-K5</f>
        <v>-3633240.3608247424</v>
      </c>
      <c r="L16" s="799" t="s">
        <v>203</v>
      </c>
    </row>
    <row r="17" spans="1:12" ht="19" thickBot="1">
      <c r="A17" s="773" t="s">
        <v>204</v>
      </c>
      <c r="B17" s="807"/>
      <c r="C17" s="774"/>
      <c r="D17" s="808" t="s">
        <v>186</v>
      </c>
      <c r="E17" s="809">
        <f>E5-E8-E15</f>
        <v>3570570</v>
      </c>
      <c r="F17" s="800">
        <f>E17/E5</f>
        <v>0.51044603288062906</v>
      </c>
    </row>
    <row r="18" spans="1:12" ht="19" thickBot="1">
      <c r="F18" s="795">
        <f>F8+F15+F17</f>
        <v>1.3711222301644033</v>
      </c>
      <c r="G18" s="817" t="s">
        <v>205</v>
      </c>
      <c r="H18" s="818"/>
      <c r="I18" s="818"/>
      <c r="J18" s="787"/>
      <c r="K18" s="819">
        <v>0</v>
      </c>
    </row>
    <row r="19" spans="1:12" ht="19" thickBot="1">
      <c r="G19" s="747"/>
      <c r="H19" s="747"/>
      <c r="I19" s="747"/>
      <c r="J19" s="750"/>
      <c r="K19" s="791"/>
    </row>
    <row r="20" spans="1:12">
      <c r="A20" s="765" t="s">
        <v>206</v>
      </c>
      <c r="B20" s="766"/>
      <c r="C20" s="766"/>
      <c r="D20" s="766"/>
      <c r="E20" s="779"/>
      <c r="G20" s="790"/>
      <c r="H20" s="747"/>
      <c r="I20" s="747"/>
      <c r="J20" s="750"/>
      <c r="K20" s="791"/>
    </row>
    <row r="21" spans="1:12">
      <c r="A21" s="768"/>
      <c r="E21" s="771"/>
      <c r="G21" s="747"/>
      <c r="H21" s="747"/>
      <c r="I21" s="747"/>
      <c r="J21" s="750"/>
      <c r="K21" s="791"/>
    </row>
    <row r="22" spans="1:12">
      <c r="A22" s="755" t="s">
        <v>207</v>
      </c>
      <c r="B22" s="747"/>
      <c r="C22" s="747"/>
      <c r="D22" s="750" t="s">
        <v>186</v>
      </c>
      <c r="E22" s="751">
        <f>'Realkredit finansiering'!B9</f>
        <v>62670.360824742267</v>
      </c>
      <c r="K22" s="757"/>
    </row>
    <row r="23" spans="1:12">
      <c r="A23" s="755" t="s">
        <v>208</v>
      </c>
      <c r="B23" s="747"/>
      <c r="C23" s="747"/>
      <c r="D23" s="750" t="s">
        <v>186</v>
      </c>
      <c r="E23" s="754">
        <f>IF(K18&gt;0,Banklån!D14,0)</f>
        <v>0</v>
      </c>
      <c r="G23" s="782"/>
      <c r="K23" s="783"/>
      <c r="L23" s="799"/>
    </row>
    <row r="24" spans="1:12">
      <c r="A24" s="768"/>
      <c r="E24" s="771"/>
      <c r="G24" s="790"/>
      <c r="H24" s="747"/>
      <c r="I24" s="791"/>
      <c r="J24" s="750"/>
      <c r="K24" s="791"/>
    </row>
    <row r="25" spans="1:12" ht="19" thickBot="1">
      <c r="A25" s="775" t="s">
        <v>209</v>
      </c>
      <c r="B25" s="776"/>
      <c r="C25" s="776"/>
      <c r="D25" s="776"/>
      <c r="E25" s="778">
        <f>E22+E23</f>
        <v>62670.360824742267</v>
      </c>
      <c r="G25" s="747"/>
      <c r="H25" s="747"/>
      <c r="I25" s="747"/>
      <c r="J25" s="750"/>
      <c r="K25" s="791"/>
    </row>
    <row r="26" spans="1:12">
      <c r="A26" s="790"/>
      <c r="B26" s="747"/>
      <c r="C26" s="747"/>
      <c r="D26" s="747"/>
      <c r="E26" s="791"/>
      <c r="K26" s="757"/>
    </row>
    <row r="27" spans="1:12">
      <c r="A27" s="790"/>
      <c r="B27" s="747"/>
      <c r="C27" s="747"/>
      <c r="D27" s="750"/>
      <c r="E27" s="791"/>
      <c r="G27" s="782"/>
      <c r="I27" s="757"/>
      <c r="K27" s="783"/>
      <c r="L27" s="781"/>
    </row>
    <row r="28" spans="1:12">
      <c r="A28" s="822" t="s">
        <v>210</v>
      </c>
      <c r="G28" s="782"/>
      <c r="K28" s="783"/>
      <c r="L28" s="784"/>
    </row>
    <row r="29" spans="1:12" ht="19" thickBot="1"/>
    <row r="30" spans="1:12">
      <c r="A30" s="810" t="s">
        <v>211</v>
      </c>
      <c r="B30" s="764"/>
      <c r="C30" s="764"/>
      <c r="D30" s="764"/>
      <c r="E30" s="811"/>
      <c r="F30" s="764"/>
      <c r="G30" s="764"/>
      <c r="H30" s="764"/>
      <c r="I30" s="812"/>
      <c r="L30" s="785"/>
    </row>
    <row r="31" spans="1:12">
      <c r="A31" s="770" t="s">
        <v>212</v>
      </c>
      <c r="I31" s="780"/>
      <c r="L31" s="785"/>
    </row>
    <row r="32" spans="1:12">
      <c r="A32" s="770" t="s">
        <v>213</v>
      </c>
      <c r="B32" s="747"/>
      <c r="C32" s="747"/>
      <c r="D32" s="793"/>
      <c r="E32" s="794"/>
      <c r="I32" s="780"/>
      <c r="L32" s="785"/>
    </row>
    <row r="33" spans="1:15">
      <c r="A33" s="770" t="s">
        <v>214</v>
      </c>
      <c r="E33" s="783"/>
      <c r="I33" s="780"/>
    </row>
    <row r="34" spans="1:15" ht="19" thickBot="1">
      <c r="A34" s="813" t="s">
        <v>215</v>
      </c>
      <c r="B34" s="774"/>
      <c r="C34" s="774"/>
      <c r="D34" s="774"/>
      <c r="E34" s="814"/>
      <c r="F34" s="774"/>
      <c r="G34" s="774"/>
      <c r="H34" s="774"/>
      <c r="I34" s="815"/>
      <c r="K34" s="757"/>
    </row>
    <row r="35" spans="1:15">
      <c r="K35" s="757"/>
    </row>
    <row r="36" spans="1:15">
      <c r="A36" s="782"/>
      <c r="D36" s="792"/>
      <c r="E36" s="783"/>
      <c r="I36" s="757"/>
      <c r="K36" s="757"/>
    </row>
    <row r="37" spans="1:15" ht="19" thickBot="1">
      <c r="A37" s="747"/>
      <c r="B37" s="747"/>
      <c r="C37" s="747"/>
      <c r="D37" s="793"/>
      <c r="E37" s="794"/>
      <c r="K37" s="757"/>
    </row>
    <row r="38" spans="1:15">
      <c r="A38" s="763" t="s">
        <v>216</v>
      </c>
      <c r="B38" s="764"/>
      <c r="C38" s="764"/>
      <c r="D38" s="764"/>
      <c r="E38" s="820"/>
      <c r="F38" s="812"/>
      <c r="H38" s="821" t="s">
        <v>217</v>
      </c>
      <c r="I38" s="764"/>
      <c r="J38" s="764"/>
      <c r="K38" s="811"/>
      <c r="L38" s="764"/>
      <c r="M38" s="764"/>
      <c r="N38" s="764"/>
      <c r="O38" s="812"/>
    </row>
    <row r="39" spans="1:15">
      <c r="A39" s="770" t="s">
        <v>218</v>
      </c>
      <c r="F39" s="780"/>
      <c r="H39" s="770" t="s">
        <v>219</v>
      </c>
      <c r="K39" s="757"/>
      <c r="O39" s="780"/>
    </row>
    <row r="40" spans="1:15" ht="19" thickBot="1">
      <c r="A40" s="813" t="s">
        <v>220</v>
      </c>
      <c r="B40" s="774"/>
      <c r="C40" s="774"/>
      <c r="D40" s="774"/>
      <c r="E40" s="814"/>
      <c r="F40" s="815"/>
      <c r="H40" s="813" t="s">
        <v>221</v>
      </c>
      <c r="I40" s="774"/>
      <c r="J40" s="774"/>
      <c r="K40" s="774"/>
      <c r="L40" s="774"/>
      <c r="M40" s="774"/>
      <c r="N40" s="774"/>
      <c r="O40" s="815"/>
    </row>
    <row r="41" spans="1:15">
      <c r="A41" s="782"/>
      <c r="D41" s="792"/>
      <c r="E41" s="783"/>
    </row>
    <row r="43" spans="1:15" ht="19" thickBot="1">
      <c r="E43" s="782"/>
      <c r="I43" s="757"/>
    </row>
    <row r="44" spans="1:15">
      <c r="A44" s="763" t="s">
        <v>222</v>
      </c>
      <c r="B44" s="764"/>
      <c r="C44" s="764"/>
      <c r="D44" s="764"/>
      <c r="E44" s="820"/>
      <c r="F44" s="812"/>
      <c r="I44" s="757"/>
    </row>
    <row r="45" spans="1:15" ht="19" thickBot="1">
      <c r="A45" s="813" t="s">
        <v>223</v>
      </c>
      <c r="B45" s="774"/>
      <c r="C45" s="774"/>
      <c r="D45" s="774"/>
      <c r="E45" s="814"/>
      <c r="F45" s="815"/>
      <c r="I45" s="757"/>
    </row>
    <row r="46" spans="1:15">
      <c r="G46" s="747"/>
      <c r="H46" s="793"/>
      <c r="I46" s="794"/>
    </row>
    <row r="47" spans="1:15">
      <c r="E47" s="782"/>
      <c r="I47" s="783"/>
    </row>
    <row r="48" spans="1:15">
      <c r="E48" s="756"/>
      <c r="I48" s="757"/>
    </row>
    <row r="49" spans="1:9">
      <c r="E49" s="756"/>
      <c r="I49" s="757"/>
    </row>
    <row r="50" spans="1:9">
      <c r="A50" s="782"/>
      <c r="H50" s="792"/>
      <c r="I50" s="783"/>
    </row>
    <row r="53" spans="1:9">
      <c r="A53" s="747"/>
      <c r="B53" s="747"/>
      <c r="C53" s="747"/>
      <c r="D53" s="793"/>
      <c r="E53" s="794"/>
    </row>
    <row r="54" spans="1:9">
      <c r="A54" s="782"/>
      <c r="E54" s="783"/>
    </row>
    <row r="57" spans="1:9">
      <c r="A57" s="782"/>
      <c r="D57" s="792"/>
      <c r="E57" s="783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937E6-F0BA-874D-99C5-0888BAB755D7}">
  <sheetPr>
    <tabColor theme="4"/>
    <pageSetUpPr fitToPage="1"/>
  </sheetPr>
  <dimension ref="B4:H25"/>
  <sheetViews>
    <sheetView topLeftCell="A8" zoomScale="95" zoomScaleNormal="95" workbookViewId="0">
      <selection activeCell="D13" sqref="D13"/>
    </sheetView>
  </sheetViews>
  <sheetFormatPr baseColWidth="10" defaultColWidth="9.1640625" defaultRowHeight="15"/>
  <cols>
    <col min="1" max="1" width="9.1640625" style="219"/>
    <col min="2" max="2" width="38.6640625" style="219" customWidth="1"/>
    <col min="3" max="3" width="9.1640625" style="219"/>
    <col min="4" max="4" width="14" style="219" bestFit="1" customWidth="1"/>
    <col min="5" max="6" width="9.1640625" style="219"/>
    <col min="7" max="7" width="12.1640625" style="219" bestFit="1" customWidth="1"/>
    <col min="8" max="16384" width="9.1640625" style="219"/>
  </cols>
  <sheetData>
    <row r="4" spans="2:8" ht="21">
      <c r="D4" s="222" t="s">
        <v>224</v>
      </c>
    </row>
    <row r="6" spans="2:8" ht="19">
      <c r="B6" s="223" t="s">
        <v>225</v>
      </c>
      <c r="C6" s="223"/>
      <c r="D6" s="224">
        <f>'Hvordan finansieres boligen'!K18</f>
        <v>0</v>
      </c>
      <c r="E6" s="223" t="s">
        <v>226</v>
      </c>
      <c r="F6" s="223"/>
      <c r="G6" s="223"/>
      <c r="H6" s="223"/>
    </row>
    <row r="7" spans="2:8" ht="19">
      <c r="B7" s="223" t="s">
        <v>227</v>
      </c>
      <c r="C7" s="223"/>
      <c r="D7" s="223">
        <v>30</v>
      </c>
      <c r="E7" s="223" t="s">
        <v>228</v>
      </c>
      <c r="F7" s="223"/>
      <c r="G7" s="223"/>
      <c r="H7" s="223"/>
    </row>
    <row r="8" spans="2:8" ht="19">
      <c r="B8" s="223" t="s">
        <v>229</v>
      </c>
      <c r="C8" s="223"/>
      <c r="D8" s="223">
        <v>12</v>
      </c>
      <c r="E8" s="223"/>
      <c r="F8" s="223"/>
      <c r="G8" s="223"/>
      <c r="H8" s="223"/>
    </row>
    <row r="9" spans="2:8" ht="19">
      <c r="B9" s="223" t="s">
        <v>230</v>
      </c>
      <c r="C9" s="223"/>
      <c r="D9" s="225">
        <v>0.05</v>
      </c>
      <c r="E9" s="223" t="s">
        <v>231</v>
      </c>
      <c r="F9" s="223"/>
      <c r="G9" s="223"/>
      <c r="H9" s="223"/>
    </row>
    <row r="10" spans="2:8" ht="19">
      <c r="B10" s="223"/>
      <c r="C10" s="223"/>
      <c r="D10" s="223"/>
      <c r="E10" s="223"/>
      <c r="F10" s="223"/>
      <c r="G10" s="223"/>
      <c r="H10" s="223"/>
    </row>
    <row r="11" spans="2:8" ht="19">
      <c r="B11" s="226" t="s">
        <v>232</v>
      </c>
      <c r="C11" s="223"/>
      <c r="D11" s="223"/>
      <c r="E11" s="223"/>
      <c r="F11" s="223"/>
      <c r="G11" s="223"/>
      <c r="H11" s="223"/>
    </row>
    <row r="12" spans="2:8" ht="19">
      <c r="B12" s="223" t="s">
        <v>233</v>
      </c>
      <c r="C12" s="223"/>
      <c r="D12" s="227">
        <f>1825+1.45%*D6</f>
        <v>1825</v>
      </c>
      <c r="E12" s="223"/>
      <c r="F12" s="223"/>
      <c r="G12" s="223"/>
      <c r="H12" s="223"/>
    </row>
    <row r="13" spans="2:8" ht="22">
      <c r="B13" s="223" t="s">
        <v>234</v>
      </c>
      <c r="C13" s="223"/>
      <c r="D13" s="228">
        <v>5690</v>
      </c>
      <c r="E13" s="223" t="s">
        <v>235</v>
      </c>
      <c r="F13" s="223"/>
      <c r="G13" s="223"/>
      <c r="H13" s="223"/>
    </row>
    <row r="14" spans="2:8" ht="19">
      <c r="B14" s="223" t="s">
        <v>236</v>
      </c>
      <c r="C14" s="223"/>
      <c r="D14" s="224">
        <f>D12+D13</f>
        <v>7515</v>
      </c>
      <c r="E14" s="223"/>
      <c r="F14" s="223"/>
      <c r="G14" s="223"/>
      <c r="H14" s="223"/>
    </row>
    <row r="15" spans="2:8" ht="19">
      <c r="B15" s="223"/>
      <c r="C15" s="223"/>
      <c r="D15" s="223"/>
      <c r="E15" s="223"/>
      <c r="F15" s="223"/>
      <c r="G15" s="223"/>
      <c r="H15" s="223"/>
    </row>
    <row r="16" spans="2:8" ht="19">
      <c r="B16" s="223" t="s">
        <v>237</v>
      </c>
      <c r="C16" s="223"/>
      <c r="D16" s="227">
        <f>D6-D14</f>
        <v>-7515</v>
      </c>
      <c r="E16" s="223"/>
      <c r="F16" s="223"/>
      <c r="G16" s="223"/>
      <c r="H16" s="223"/>
    </row>
    <row r="17" spans="2:8" ht="19">
      <c r="B17" s="223"/>
      <c r="C17" s="223"/>
      <c r="D17" s="223"/>
      <c r="E17" s="223"/>
      <c r="F17" s="223"/>
      <c r="G17" s="223"/>
      <c r="H17" s="223"/>
    </row>
    <row r="18" spans="2:8" ht="19">
      <c r="B18" s="223"/>
      <c r="C18" s="223"/>
      <c r="D18" s="223"/>
      <c r="E18" s="223"/>
      <c r="F18" s="223"/>
      <c r="G18" s="223"/>
      <c r="H18" s="223"/>
    </row>
    <row r="19" spans="2:8" ht="19">
      <c r="B19" s="223" t="s">
        <v>238</v>
      </c>
      <c r="C19" s="223"/>
      <c r="D19" s="229">
        <f>PMT(D9/D8,D7*D8,D6)</f>
        <v>0</v>
      </c>
      <c r="E19" s="223"/>
      <c r="F19" s="223"/>
      <c r="G19" s="223"/>
      <c r="H19" s="223"/>
    </row>
    <row r="20" spans="2:8" ht="19">
      <c r="B20" s="223" t="s">
        <v>239</v>
      </c>
      <c r="C20" s="223"/>
      <c r="D20" s="229" t="e">
        <f>-CUMIPMT(D9/D8,D8*D7,D6,1,D8,0)</f>
        <v>#NUM!</v>
      </c>
      <c r="E20" s="223"/>
      <c r="F20" s="223"/>
      <c r="G20" s="223"/>
      <c r="H20" s="223"/>
    </row>
    <row r="21" spans="2:8" ht="19">
      <c r="B21" s="223" t="s">
        <v>240</v>
      </c>
      <c r="C21" s="223"/>
      <c r="D21" s="229" t="e">
        <f>1/3*D20</f>
        <v>#NUM!</v>
      </c>
      <c r="E21" s="223"/>
      <c r="F21" s="223"/>
      <c r="G21" s="223"/>
      <c r="H21" s="223"/>
    </row>
    <row r="22" spans="2:8" ht="19">
      <c r="B22" s="230" t="s">
        <v>241</v>
      </c>
      <c r="C22" s="230"/>
      <c r="D22" s="231" t="e">
        <f>D19+(D21/D8)</f>
        <v>#NUM!</v>
      </c>
      <c r="E22" s="232" t="s">
        <v>242</v>
      </c>
      <c r="F22" s="223"/>
      <c r="G22" s="223"/>
      <c r="H22" s="223"/>
    </row>
    <row r="24" spans="2:8">
      <c r="B24" s="219" t="s">
        <v>243</v>
      </c>
      <c r="D24" s="233" t="e">
        <f>RATE(D7*D8,D19,D16)</f>
        <v>#NUM!</v>
      </c>
    </row>
    <row r="25" spans="2:8">
      <c r="B25" s="234" t="s">
        <v>244</v>
      </c>
      <c r="C25" s="234"/>
      <c r="D25" s="235" t="e">
        <f>(1+D24)^D8-1</f>
        <v>#NUM!</v>
      </c>
    </row>
  </sheetData>
  <pageMargins left="0.70866141732283472" right="0.70866141732283472" top="0.74803149606299213" bottom="0.74803149606299213" header="0.31496062992125984" footer="0.31496062992125984"/>
  <pageSetup paperSize="9" scale="2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900AA-B5E5-4C41-AB49-B1C488705A68}">
  <sheetPr>
    <tabColor theme="4"/>
  </sheetPr>
  <dimension ref="A1:V52"/>
  <sheetViews>
    <sheetView tabSelected="1" zoomScale="92" zoomScaleNormal="92" workbookViewId="0">
      <selection activeCell="E5" sqref="E5"/>
    </sheetView>
  </sheetViews>
  <sheetFormatPr baseColWidth="10" defaultColWidth="8.6640625" defaultRowHeight="15"/>
  <cols>
    <col min="1" max="1" width="41.6640625" style="236" customWidth="1"/>
    <col min="2" max="2" width="15.1640625" style="236" customWidth="1"/>
    <col min="3" max="3" width="37.5" style="236" customWidth="1"/>
    <col min="4" max="4" width="40.1640625" style="236" customWidth="1"/>
    <col min="5" max="5" width="14.5" style="236" bestFit="1" customWidth="1"/>
    <col min="6" max="6" width="15.1640625" style="236" customWidth="1"/>
    <col min="7" max="7" width="14.5" style="236" bestFit="1" customWidth="1"/>
    <col min="8" max="8" width="15.1640625" style="236" customWidth="1"/>
    <col min="9" max="9" width="14.5" style="236" customWidth="1"/>
    <col min="10" max="10" width="29.1640625" style="236" customWidth="1"/>
    <col min="11" max="12" width="13.5" style="236" customWidth="1"/>
    <col min="13" max="18" width="13.5" style="236" hidden="1" customWidth="1"/>
    <col min="19" max="19" width="8.6640625" style="236"/>
    <col min="20" max="20" width="26.1640625" style="236" customWidth="1"/>
    <col min="21" max="21" width="8.6640625" style="236"/>
    <col min="22" max="22" width="14.5" style="236" bestFit="1" customWidth="1"/>
    <col min="23" max="16384" width="8.6640625" style="236"/>
  </cols>
  <sheetData>
    <row r="1" spans="1:22" ht="30" customHeight="1">
      <c r="D1" s="917" t="s">
        <v>245</v>
      </c>
      <c r="E1" s="917" t="s">
        <v>246</v>
      </c>
      <c r="F1" s="917" t="s">
        <v>247</v>
      </c>
      <c r="G1" s="917" t="s">
        <v>786</v>
      </c>
      <c r="H1" s="917" t="s">
        <v>248</v>
      </c>
    </row>
    <row r="2" spans="1:22" ht="17" thickBot="1">
      <c r="A2" s="237" t="s">
        <v>249</v>
      </c>
      <c r="B2" s="238">
        <v>4000000</v>
      </c>
      <c r="C2" s="239" t="s">
        <v>250</v>
      </c>
      <c r="D2" s="918"/>
      <c r="E2" s="918"/>
      <c r="F2" s="918"/>
      <c r="G2" s="918"/>
      <c r="H2" s="918"/>
      <c r="J2" s="240"/>
    </row>
    <row r="3" spans="1:22" ht="16">
      <c r="A3" s="237" t="s">
        <v>251</v>
      </c>
      <c r="B3" s="241">
        <f>'Hvordan finansieres boligen'!E8</f>
        <v>3000000</v>
      </c>
      <c r="C3" s="242">
        <v>0.8</v>
      </c>
      <c r="D3" s="243" t="s">
        <v>252</v>
      </c>
      <c r="E3" s="244">
        <f>E5/E4*100</f>
        <v>3092783.5051546395</v>
      </c>
      <c r="F3" s="244">
        <f>F5/F4*100</f>
        <v>3000000</v>
      </c>
      <c r="G3" s="244">
        <f>G5/G4*100</f>
        <v>3015075.3768844223</v>
      </c>
      <c r="H3" s="245">
        <f>H5/H4*100</f>
        <v>3000000</v>
      </c>
      <c r="I3" s="246"/>
    </row>
    <row r="4" spans="1:22" ht="16">
      <c r="D4" s="247" t="s">
        <v>253</v>
      </c>
      <c r="E4" s="248">
        <v>97</v>
      </c>
      <c r="F4" s="249">
        <v>100</v>
      </c>
      <c r="G4" s="248">
        <v>99.5</v>
      </c>
      <c r="H4" s="250">
        <v>100</v>
      </c>
    </row>
    <row r="5" spans="1:22" ht="16">
      <c r="A5" s="237" t="s">
        <v>254</v>
      </c>
      <c r="D5" s="251" t="s">
        <v>255</v>
      </c>
      <c r="E5" s="244">
        <f>B3</f>
        <v>3000000</v>
      </c>
      <c r="F5" s="252">
        <f>B3</f>
        <v>3000000</v>
      </c>
      <c r="G5" s="252">
        <f>B3</f>
        <v>3000000</v>
      </c>
      <c r="H5" s="253">
        <f>B3</f>
        <v>3000000</v>
      </c>
      <c r="I5" s="254"/>
      <c r="T5" s="236" t="s">
        <v>75</v>
      </c>
      <c r="V5" s="246" t="s">
        <v>75</v>
      </c>
    </row>
    <row r="6" spans="1:22" ht="16">
      <c r="A6" s="236" t="s">
        <v>233</v>
      </c>
      <c r="B6" s="241">
        <f>1.45%*E3+1825</f>
        <v>46670.360824742267</v>
      </c>
      <c r="D6" s="255" t="s">
        <v>256</v>
      </c>
      <c r="E6" s="252">
        <f>B9</f>
        <v>62670.360824742267</v>
      </c>
      <c r="F6" s="252">
        <f>E6</f>
        <v>62670.360824742267</v>
      </c>
      <c r="G6" s="252">
        <f>F6</f>
        <v>62670.360824742267</v>
      </c>
      <c r="H6" s="253">
        <f>G6</f>
        <v>62670.360824742267</v>
      </c>
      <c r="I6" s="241"/>
    </row>
    <row r="7" spans="1:22" ht="16">
      <c r="A7" s="236" t="s">
        <v>257</v>
      </c>
      <c r="B7" s="238">
        <v>10000</v>
      </c>
      <c r="D7" s="251" t="s">
        <v>258</v>
      </c>
      <c r="E7" s="252">
        <f>E5-E6</f>
        <v>2937329.6391752576</v>
      </c>
      <c r="F7" s="244">
        <f>F5-F6</f>
        <v>2937329.6391752576</v>
      </c>
      <c r="G7" s="244">
        <f>G5-G6</f>
        <v>2937329.6391752576</v>
      </c>
      <c r="H7" s="245">
        <f>H5-H6</f>
        <v>2937329.6391752576</v>
      </c>
      <c r="I7" s="256"/>
      <c r="J7" s="257"/>
    </row>
    <row r="8" spans="1:22" ht="16">
      <c r="A8" s="236" t="s">
        <v>259</v>
      </c>
      <c r="B8" s="258">
        <f>0.2%*B3</f>
        <v>6000</v>
      </c>
      <c r="D8" s="247"/>
      <c r="E8" s="247"/>
      <c r="F8" s="247"/>
      <c r="G8" s="247"/>
      <c r="H8" s="259"/>
    </row>
    <row r="9" spans="1:22" ht="16">
      <c r="A9" s="236" t="s">
        <v>84</v>
      </c>
      <c r="B9" s="260">
        <f>SUM(B6:B8)</f>
        <v>62670.360824742267</v>
      </c>
      <c r="D9" s="247" t="s">
        <v>260</v>
      </c>
      <c r="E9" s="261">
        <v>3.5000000000000003E-2</v>
      </c>
      <c r="F9" s="261">
        <v>2.5999999999999999E-2</v>
      </c>
      <c r="G9" s="262">
        <v>0.04</v>
      </c>
      <c r="H9" s="263">
        <v>2.4292000000000001E-2</v>
      </c>
      <c r="I9" s="264"/>
    </row>
    <row r="10" spans="1:22" ht="16">
      <c r="D10" s="247" t="s">
        <v>261</v>
      </c>
      <c r="E10" s="261">
        <v>6.8120000000000003E-3</v>
      </c>
      <c r="F10" s="261">
        <v>8.5640000000000004E-3</v>
      </c>
      <c r="G10" s="262">
        <f>E10+0.002752</f>
        <v>9.5639999999999996E-3</v>
      </c>
      <c r="H10" s="263">
        <f>0.008564+0.002752</f>
        <v>1.1316E-2</v>
      </c>
      <c r="I10" s="264"/>
    </row>
    <row r="11" spans="1:22" ht="16">
      <c r="D11" s="247" t="s">
        <v>262</v>
      </c>
      <c r="E11" s="265">
        <f>E10+E9</f>
        <v>4.1812000000000002E-2</v>
      </c>
      <c r="F11" s="265">
        <f>F10+F9</f>
        <v>3.4563999999999998E-2</v>
      </c>
      <c r="G11" s="266">
        <f>G10+G9</f>
        <v>4.9563999999999997E-2</v>
      </c>
      <c r="H11" s="267">
        <f>H10+H9</f>
        <v>3.5608000000000001E-2</v>
      </c>
      <c r="I11" s="264"/>
    </row>
    <row r="12" spans="1:22" ht="16">
      <c r="D12" s="247" t="s">
        <v>263</v>
      </c>
      <c r="E12" s="268">
        <v>30</v>
      </c>
      <c r="F12" s="268">
        <v>30</v>
      </c>
      <c r="G12" s="268">
        <v>30</v>
      </c>
      <c r="H12" s="269">
        <v>30</v>
      </c>
    </row>
    <row r="13" spans="1:22" ht="16">
      <c r="D13" s="247" t="s">
        <v>264</v>
      </c>
      <c r="E13" s="247">
        <v>12</v>
      </c>
      <c r="F13" s="247">
        <f>E13</f>
        <v>12</v>
      </c>
      <c r="G13" s="247">
        <f>F13</f>
        <v>12</v>
      </c>
      <c r="H13" s="259">
        <f>G13</f>
        <v>12</v>
      </c>
    </row>
    <row r="14" spans="1:22" ht="16">
      <c r="D14" s="247" t="s">
        <v>265</v>
      </c>
      <c r="E14" s="247">
        <f>E13*E12</f>
        <v>360</v>
      </c>
      <c r="F14" s="247">
        <f>F13*F12</f>
        <v>360</v>
      </c>
      <c r="G14" s="247">
        <f>G13*G12</f>
        <v>360</v>
      </c>
      <c r="H14" s="259">
        <f>H13*H12</f>
        <v>360</v>
      </c>
    </row>
    <row r="15" spans="1:22" ht="17" thickBot="1">
      <c r="D15" s="247"/>
      <c r="E15" s="247"/>
      <c r="F15" s="247"/>
      <c r="G15" s="247"/>
      <c r="H15" s="259"/>
      <c r="I15" s="264"/>
      <c r="K15" s="270"/>
    </row>
    <row r="16" spans="1:22" ht="16">
      <c r="D16" s="271" t="s">
        <v>266</v>
      </c>
      <c r="E16" s="272">
        <f>-PMT(E9/E13,E14,E3)</f>
        <v>13887.98003532447</v>
      </c>
      <c r="F16" s="272">
        <f>-PMT(F9/F13,F14,F5)</f>
        <v>12010.191346091053</v>
      </c>
      <c r="G16" s="272">
        <f>G3*G9/G13</f>
        <v>10050.251256281408</v>
      </c>
      <c r="H16" s="273">
        <f>H5*H9/H13</f>
        <v>6073</v>
      </c>
      <c r="I16" s="246"/>
      <c r="K16" s="246"/>
    </row>
    <row r="17" spans="4:11" ht="16">
      <c r="D17" s="247" t="s">
        <v>267</v>
      </c>
      <c r="E17" s="244">
        <f>E16*E13</f>
        <v>166655.76042389363</v>
      </c>
      <c r="F17" s="244">
        <f>F16*F13</f>
        <v>144122.29615309264</v>
      </c>
      <c r="G17" s="244">
        <f>G16*G13</f>
        <v>120603.0150753769</v>
      </c>
      <c r="H17" s="245">
        <f>H16*H13</f>
        <v>72876</v>
      </c>
      <c r="I17" s="246"/>
      <c r="J17" s="274"/>
      <c r="K17" s="246"/>
    </row>
    <row r="18" spans="4:11" ht="16">
      <c r="D18" s="247" t="s">
        <v>268</v>
      </c>
      <c r="E18" s="244" cm="1">
        <f t="array" aca="1" ref="E18" ca="1">SUMPRODUCT(FV(E9/E13, ROW(INDIRECT("1:" &amp; E13))-1, PMT(E9/E13, E14, -E3, 0, 0), -E3, 0)) * E10/E13</f>
        <v>20883.896032550474</v>
      </c>
      <c r="F18" s="244" cm="1">
        <f t="array" aca="1" ref="F18" ca="1">SUMPRODUCT(FV(F9/F13, ROW(INDIRECT("1:" &amp; F13))-1, PMT(F9/F13, F14, -F3, 0, 0), -F3, 0)) * F10/F13</f>
        <v>25430.575334436024</v>
      </c>
      <c r="G18" s="244">
        <f>G3*G10/G13*G13</f>
        <v>28836.180904522611</v>
      </c>
      <c r="H18" s="245">
        <f>H5*H10/H13*H13</f>
        <v>33948</v>
      </c>
    </row>
    <row r="19" spans="4:11" ht="16">
      <c r="D19" s="247" t="s">
        <v>269</v>
      </c>
      <c r="E19" s="244">
        <f ca="1">SUM(E17:E18)</f>
        <v>187539.65645644412</v>
      </c>
      <c r="F19" s="244">
        <f ca="1">SUM(F17:F18)</f>
        <v>169552.87148752867</v>
      </c>
      <c r="G19" s="244">
        <f>SUM(G17:G18)</f>
        <v>149439.19597989949</v>
      </c>
      <c r="H19" s="245">
        <f>SUM(H17:H18)</f>
        <v>106824</v>
      </c>
      <c r="I19" s="246"/>
      <c r="J19" s="274"/>
    </row>
    <row r="20" spans="4:11" ht="16">
      <c r="D20" s="247"/>
      <c r="E20" s="244"/>
      <c r="F20" s="244"/>
      <c r="G20" s="244"/>
      <c r="H20" s="245"/>
      <c r="J20" s="274"/>
    </row>
    <row r="21" spans="4:11" ht="16">
      <c r="D21" s="247" t="s">
        <v>270</v>
      </c>
      <c r="E21" s="244">
        <f>-CUMIPMT(E9/E13,E14,E3,1,E13,0)</f>
        <v>107301.2861331865</v>
      </c>
      <c r="F21" s="244">
        <f>-CUMIPMT(F9/F13,F14,F3,1,F13,0)</f>
        <v>77206.323995251863</v>
      </c>
      <c r="G21" s="244">
        <f>G17</f>
        <v>120603.0150753769</v>
      </c>
      <c r="H21" s="245">
        <f>H17</f>
        <v>72876</v>
      </c>
    </row>
    <row r="22" spans="4:11" ht="16">
      <c r="D22" s="247" t="s">
        <v>271</v>
      </c>
      <c r="E22" s="244">
        <f>-CUMPRINC(E9/E13,E14,E3,1,1*E13,0)</f>
        <v>59354.474290707134</v>
      </c>
      <c r="F22" s="244">
        <f>F17-F21</f>
        <v>66915.972157840777</v>
      </c>
      <c r="G22" s="244">
        <v>0</v>
      </c>
      <c r="H22" s="245">
        <v>0</v>
      </c>
      <c r="I22" s="246"/>
      <c r="J22" s="274"/>
    </row>
    <row r="23" spans="4:11" ht="16">
      <c r="D23" s="247"/>
      <c r="E23" s="244"/>
      <c r="F23" s="244"/>
      <c r="G23" s="244"/>
      <c r="H23" s="245"/>
    </row>
    <row r="24" spans="4:11" ht="16">
      <c r="D24" s="247" t="s">
        <v>272</v>
      </c>
      <c r="E24" s="244">
        <f ca="1">E19-1/3*(E18+E21)</f>
        <v>144811.26240119847</v>
      </c>
      <c r="F24" s="244">
        <f ca="1">F19-1/3*(F18+F21)</f>
        <v>135340.57171096603</v>
      </c>
      <c r="G24" s="244">
        <f>G19-1/3*(G18+G21)</f>
        <v>99626.130653266329</v>
      </c>
      <c r="H24" s="245">
        <f>H19-1/3*(H18+H21)</f>
        <v>71216</v>
      </c>
      <c r="I24" s="246"/>
    </row>
    <row r="25" spans="4:11" ht="16">
      <c r="D25" s="275" t="s">
        <v>273</v>
      </c>
      <c r="E25" s="276">
        <f ca="1">E24/E13</f>
        <v>12067.605200099873</v>
      </c>
      <c r="F25" s="276">
        <f ca="1">F24/F13</f>
        <v>11278.380975913837</v>
      </c>
      <c r="G25" s="276">
        <f>G24/G13</f>
        <v>8302.1775544388602</v>
      </c>
      <c r="H25" s="277">
        <f>H24/H13</f>
        <v>5934.666666666667</v>
      </c>
      <c r="I25" s="278"/>
      <c r="J25" s="279"/>
      <c r="K25" s="280"/>
    </row>
    <row r="26" spans="4:11" ht="16">
      <c r="D26" s="247"/>
      <c r="E26" s="244"/>
      <c r="F26" s="244"/>
      <c r="G26" s="244"/>
      <c r="H26" s="245"/>
    </row>
    <row r="27" spans="4:11" ht="16">
      <c r="D27" s="251" t="s">
        <v>274</v>
      </c>
      <c r="E27" s="276">
        <f ca="1">E19/12</f>
        <v>15628.304704703676</v>
      </c>
      <c r="F27" s="276">
        <f ca="1">F19/12</f>
        <v>14129.405957294055</v>
      </c>
      <c r="G27" s="276">
        <f>G19/12</f>
        <v>12453.266331658291</v>
      </c>
      <c r="H27" s="277">
        <f>H19/12</f>
        <v>8902</v>
      </c>
      <c r="I27" s="281"/>
    </row>
    <row r="28" spans="4:11" ht="17" thickBot="1">
      <c r="D28" s="282" t="s">
        <v>275</v>
      </c>
      <c r="E28" s="283">
        <f ca="1">E24/12</f>
        <v>12067.605200099873</v>
      </c>
      <c r="F28" s="283">
        <f ca="1">F24/12</f>
        <v>11278.380975913837</v>
      </c>
      <c r="G28" s="283">
        <f>G24/12</f>
        <v>8302.1775544388602</v>
      </c>
      <c r="H28" s="284">
        <f>H24/12</f>
        <v>5934.666666666667</v>
      </c>
      <c r="I28" s="281"/>
    </row>
    <row r="30" spans="4:11">
      <c r="E30" s="270"/>
      <c r="F30" s="270"/>
      <c r="G30" s="270"/>
      <c r="H30" s="270"/>
    </row>
    <row r="31" spans="4:11">
      <c r="E31" s="285"/>
      <c r="F31" s="285"/>
      <c r="G31" s="285"/>
      <c r="H31" s="285"/>
    </row>
    <row r="35" spans="5:8" ht="16">
      <c r="E35" s="264"/>
      <c r="F35" s="264"/>
      <c r="G35" s="264"/>
      <c r="H35" s="264"/>
    </row>
    <row r="36" spans="5:8">
      <c r="E36" s="285"/>
      <c r="F36" s="285"/>
      <c r="G36" s="285"/>
      <c r="H36" s="285"/>
    </row>
    <row r="49" spans="2:3">
      <c r="B49" s="236" t="s">
        <v>75</v>
      </c>
    </row>
    <row r="52" spans="2:3">
      <c r="C52" s="237"/>
    </row>
  </sheetData>
  <mergeCells count="5">
    <mergeCell ref="D1:D2"/>
    <mergeCell ref="E1:E2"/>
    <mergeCell ref="F1:F2"/>
    <mergeCell ref="G1:G2"/>
    <mergeCell ref="H1:H2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DBD4F-98B4-E54D-AF0C-3A212EB297D7}">
  <sheetPr>
    <tabColor theme="4"/>
  </sheetPr>
  <dimension ref="A1:G124"/>
  <sheetViews>
    <sheetView zoomScale="125" workbookViewId="0">
      <selection activeCell="K28" sqref="K28"/>
    </sheetView>
  </sheetViews>
  <sheetFormatPr baseColWidth="10" defaultColWidth="8.6640625" defaultRowHeight="15"/>
  <cols>
    <col min="1" max="1" width="8.6640625" style="236"/>
    <col min="2" max="2" width="12" style="290" customWidth="1"/>
    <col min="3" max="3" width="20.1640625" style="236" customWidth="1"/>
    <col min="4" max="4" width="19.1640625" style="236" customWidth="1"/>
    <col min="5" max="5" width="10.6640625" style="236" customWidth="1"/>
    <col min="6" max="6" width="19.1640625" style="236" customWidth="1"/>
    <col min="7" max="7" width="11" style="236" customWidth="1"/>
    <col min="8" max="16384" width="8.6640625" style="236"/>
  </cols>
  <sheetData>
    <row r="1" spans="1:7">
      <c r="A1" s="921" t="s">
        <v>276</v>
      </c>
      <c r="B1" s="922" t="s">
        <v>277</v>
      </c>
      <c r="C1" s="922" t="s">
        <v>278</v>
      </c>
      <c r="D1" s="922" t="s">
        <v>279</v>
      </c>
      <c r="E1" s="922" t="s">
        <v>280</v>
      </c>
      <c r="F1" s="922" t="s">
        <v>281</v>
      </c>
      <c r="G1" s="919" t="s">
        <v>282</v>
      </c>
    </row>
    <row r="2" spans="1:7">
      <c r="A2" s="921"/>
      <c r="B2" s="922"/>
      <c r="C2" s="922"/>
      <c r="D2" s="922"/>
      <c r="E2" s="922"/>
      <c r="F2" s="922"/>
      <c r="G2" s="920"/>
    </row>
    <row r="3" spans="1:7">
      <c r="A3" s="286">
        <v>0</v>
      </c>
      <c r="B3" s="287">
        <f>'Realkredit finansiering'!F5</f>
        <v>3000000</v>
      </c>
      <c r="C3" s="287"/>
      <c r="D3" s="287"/>
      <c r="E3" s="287"/>
      <c r="F3" s="287"/>
      <c r="G3" s="288"/>
    </row>
    <row r="4" spans="1:7">
      <c r="A4" s="286">
        <v>1</v>
      </c>
      <c r="B4" s="287">
        <f t="shared" ref="B4:B67" si="0">B3-D4</f>
        <v>2994489.8086539088</v>
      </c>
      <c r="C4" s="289">
        <f>'Realkredit finansiering'!$F$9/'Realkredit finansiering'!$F$13*'F5'!B3</f>
        <v>6500</v>
      </c>
      <c r="D4" s="289">
        <f t="shared" ref="D4:D67" si="1">E4-C4</f>
        <v>5510.1913460910528</v>
      </c>
      <c r="E4" s="289">
        <f>'Realkredit finansiering'!$F$16</f>
        <v>12010.191346091053</v>
      </c>
      <c r="F4" s="289">
        <f>'Realkredit finansiering'!$F$10/'Realkredit finansiering'!$F$13*'F5'!B3</f>
        <v>2141</v>
      </c>
      <c r="G4" s="288">
        <f t="shared" ref="G4:G67" si="2">E4+F4</f>
        <v>14151.191346091053</v>
      </c>
    </row>
    <row r="5" spans="1:7">
      <c r="A5" s="286">
        <v>2</v>
      </c>
      <c r="B5" s="287">
        <f t="shared" si="0"/>
        <v>2988967.6785599012</v>
      </c>
      <c r="C5" s="289">
        <f>'Realkredit finansiering'!$F$9/'Realkredit finansiering'!$F$13*'F5'!B4</f>
        <v>6488.0612520834684</v>
      </c>
      <c r="D5" s="289">
        <f t="shared" si="1"/>
        <v>5522.1300940075844</v>
      </c>
      <c r="E5" s="289">
        <f>'Realkredit finansiering'!$F$16</f>
        <v>12010.191346091053</v>
      </c>
      <c r="F5" s="289">
        <f>'Realkredit finansiering'!$F$10/'Realkredit finansiering'!$F$13*'F5'!B4</f>
        <v>2137.0675601093399</v>
      </c>
      <c r="G5" s="288">
        <f t="shared" si="2"/>
        <v>14147.258906200394</v>
      </c>
    </row>
    <row r="6" spans="1:7">
      <c r="A6" s="286">
        <v>3</v>
      </c>
      <c r="B6" s="287">
        <f t="shared" si="0"/>
        <v>2983433.5838506897</v>
      </c>
      <c r="C6" s="289">
        <f>'Realkredit finansiering'!$F$9/'Realkredit finansiering'!$F$13*'F5'!B5</f>
        <v>6476.0966368797854</v>
      </c>
      <c r="D6" s="289">
        <f t="shared" si="1"/>
        <v>5534.0947092112674</v>
      </c>
      <c r="E6" s="289">
        <f>'Realkredit finansiering'!$F$16</f>
        <v>12010.191346091053</v>
      </c>
      <c r="F6" s="289">
        <f>'Realkredit finansiering'!$F$10/'Realkredit finansiering'!$F$13*'F5'!B5</f>
        <v>2133.1265999322495</v>
      </c>
      <c r="G6" s="288">
        <f t="shared" si="2"/>
        <v>14143.317946023302</v>
      </c>
    </row>
    <row r="7" spans="1:7">
      <c r="A7" s="286">
        <v>4</v>
      </c>
      <c r="B7" s="287">
        <f t="shared" si="0"/>
        <v>2977887.4986029416</v>
      </c>
      <c r="C7" s="289">
        <f>'Realkredit finansiering'!$F$9/'Realkredit finansiering'!$F$13*'F5'!B6</f>
        <v>6464.1060983431607</v>
      </c>
      <c r="D7" s="289">
        <f t="shared" si="1"/>
        <v>5546.085247747892</v>
      </c>
      <c r="E7" s="289">
        <f>'Realkredit finansiering'!$F$16</f>
        <v>12010.191346091053</v>
      </c>
      <c r="F7" s="289">
        <f>'Realkredit finansiering'!$F$10/'Realkredit finansiering'!$F$13*'F5'!B6</f>
        <v>2129.1771010081088</v>
      </c>
      <c r="G7" s="288">
        <f t="shared" si="2"/>
        <v>14139.368447099161</v>
      </c>
    </row>
    <row r="8" spans="1:7">
      <c r="A8" s="286">
        <v>5</v>
      </c>
      <c r="B8" s="287">
        <f t="shared" si="0"/>
        <v>2972329.3968371567</v>
      </c>
      <c r="C8" s="289">
        <f>'Realkredit finansiering'!$F$9/'Realkredit finansiering'!$F$13*'F5'!B7</f>
        <v>6452.0895803063731</v>
      </c>
      <c r="D8" s="289">
        <f t="shared" si="1"/>
        <v>5558.1017657846796</v>
      </c>
      <c r="E8" s="289">
        <f>'Realkredit finansiering'!$F$16</f>
        <v>12010.191346091053</v>
      </c>
      <c r="F8" s="289">
        <f>'Realkredit finansiering'!$F$10/'Realkredit finansiering'!$F$13*'F5'!B7</f>
        <v>2125.2190448362994</v>
      </c>
      <c r="G8" s="288">
        <f t="shared" si="2"/>
        <v>14135.410390927353</v>
      </c>
    </row>
    <row r="9" spans="1:7">
      <c r="A9" s="286">
        <v>6</v>
      </c>
      <c r="B9" s="287">
        <f t="shared" si="0"/>
        <v>2966759.2525175461</v>
      </c>
      <c r="C9" s="289">
        <f>'Realkredit finansiering'!$F$9/'Realkredit finansiering'!$F$13*'F5'!B8</f>
        <v>6440.0470264805062</v>
      </c>
      <c r="D9" s="289">
        <f t="shared" si="1"/>
        <v>5570.1443196105465</v>
      </c>
      <c r="E9" s="289">
        <f>'Realkredit finansiering'!$F$16</f>
        <v>12010.191346091053</v>
      </c>
      <c r="F9" s="289">
        <f>'Realkredit finansiering'!$F$10/'Realkredit finansiering'!$F$13*'F5'!B8</f>
        <v>2121.2524128761174</v>
      </c>
      <c r="G9" s="288">
        <f t="shared" si="2"/>
        <v>14131.443758967171</v>
      </c>
    </row>
    <row r="10" spans="1:7">
      <c r="A10" s="286">
        <v>7</v>
      </c>
      <c r="B10" s="287">
        <f t="shared" si="0"/>
        <v>2961177.0395519095</v>
      </c>
      <c r="C10" s="289">
        <f>'Realkredit finansiering'!$F$9/'Realkredit finansiering'!$F$13*'F5'!B9</f>
        <v>6427.9783804546832</v>
      </c>
      <c r="D10" s="289">
        <f t="shared" si="1"/>
        <v>5582.2129656363695</v>
      </c>
      <c r="E10" s="289">
        <f>'Realkredit finansiering'!$F$16</f>
        <v>12010.191346091053</v>
      </c>
      <c r="F10" s="289">
        <f>'Realkredit finansiering'!$F$10/'Realkredit finansiering'!$F$13*'F5'!B9</f>
        <v>2117.2771865466889</v>
      </c>
      <c r="G10" s="288">
        <f t="shared" si="2"/>
        <v>14127.468532637742</v>
      </c>
    </row>
    <row r="11" spans="1:7">
      <c r="A11" s="286">
        <v>8</v>
      </c>
      <c r="B11" s="287">
        <f t="shared" si="0"/>
        <v>2955582.7317915144</v>
      </c>
      <c r="C11" s="289">
        <f>'Realkredit finansiering'!$F$9/'Realkredit finansiering'!$F$13*'F5'!B10</f>
        <v>6415.883585695804</v>
      </c>
      <c r="D11" s="289">
        <f t="shared" si="1"/>
        <v>5594.3077603952488</v>
      </c>
      <c r="E11" s="289">
        <f>'Realkredit finansiering'!$F$16</f>
        <v>12010.191346091053</v>
      </c>
      <c r="F11" s="289">
        <f>'Realkredit finansiering'!$F$10/'Realkredit finansiering'!$F$13*'F5'!B10</f>
        <v>2113.2933472268796</v>
      </c>
      <c r="G11" s="288">
        <f t="shared" si="2"/>
        <v>14123.484693317932</v>
      </c>
    </row>
    <row r="12" spans="1:7">
      <c r="A12" s="286">
        <v>9</v>
      </c>
      <c r="B12" s="287">
        <f t="shared" si="0"/>
        <v>2949976.3030309714</v>
      </c>
      <c r="C12" s="289">
        <f>'Realkredit finansiering'!$F$9/'Realkredit finansiering'!$F$13*'F5'!B11</f>
        <v>6403.7625855482811</v>
      </c>
      <c r="D12" s="289">
        <f t="shared" si="1"/>
        <v>5606.4287605427717</v>
      </c>
      <c r="E12" s="289">
        <f>'Realkredit finansiering'!$F$16</f>
        <v>12010.191346091053</v>
      </c>
      <c r="F12" s="289">
        <f>'Realkredit finansiering'!$F$10/'Realkredit finansiering'!$F$13*'F5'!B11</f>
        <v>2109.3008762552108</v>
      </c>
      <c r="G12" s="288">
        <f t="shared" si="2"/>
        <v>14119.492222346264</v>
      </c>
    </row>
    <row r="13" spans="1:7">
      <c r="A13" s="286">
        <v>10</v>
      </c>
      <c r="B13" s="287">
        <f t="shared" si="0"/>
        <v>2944357.7270081141</v>
      </c>
      <c r="C13" s="289">
        <f>'Realkredit finansiering'!$F$9/'Realkredit finansiering'!$F$13*'F5'!B12</f>
        <v>6391.6153232337711</v>
      </c>
      <c r="D13" s="289">
        <f t="shared" si="1"/>
        <v>5618.5760228572817</v>
      </c>
      <c r="E13" s="289">
        <f>'Realkredit finansiering'!$F$16</f>
        <v>12010.191346091053</v>
      </c>
      <c r="F13" s="289">
        <f>'Realkredit finansiering'!$F$10/'Realkredit finansiering'!$F$13*'F5'!B12</f>
        <v>2105.2997549297702</v>
      </c>
      <c r="G13" s="288">
        <f t="shared" si="2"/>
        <v>14115.491101020823</v>
      </c>
    </row>
    <row r="14" spans="1:7">
      <c r="A14" s="286">
        <v>11</v>
      </c>
      <c r="B14" s="287">
        <f t="shared" si="0"/>
        <v>2938726.977403874</v>
      </c>
      <c r="C14" s="289">
        <f>'Realkredit finansiering'!$F$9/'Realkredit finansiering'!$F$13*'F5'!B13</f>
        <v>6379.4417418509138</v>
      </c>
      <c r="D14" s="289">
        <f t="shared" si="1"/>
        <v>5630.749604240139</v>
      </c>
      <c r="E14" s="289">
        <f>'Realkredit finansiering'!$F$16</f>
        <v>12010.191346091053</v>
      </c>
      <c r="F14" s="289">
        <f>'Realkredit finansiering'!$F$10/'Realkredit finansiering'!$F$13*'F5'!B13</f>
        <v>2101.2899645081243</v>
      </c>
      <c r="G14" s="288">
        <f t="shared" si="2"/>
        <v>14111.481310599178</v>
      </c>
    </row>
    <row r="15" spans="1:7">
      <c r="A15" s="286">
        <v>12</v>
      </c>
      <c r="B15" s="287">
        <f t="shared" si="0"/>
        <v>2933084.027842158</v>
      </c>
      <c r="C15" s="289">
        <f>'Realkredit finansiering'!$F$9/'Realkredit finansiering'!$F$13*'F5'!B14</f>
        <v>6367.24178437506</v>
      </c>
      <c r="D15" s="289">
        <f t="shared" si="1"/>
        <v>5642.9495617159928</v>
      </c>
      <c r="E15" s="289">
        <f>'Realkredit finansiering'!$F$16</f>
        <v>12010.191346091053</v>
      </c>
      <c r="F15" s="289">
        <f>'Realkredit finansiering'!$F$10/'Realkredit finansiering'!$F$13*'F5'!B14</f>
        <v>2097.2714862072316</v>
      </c>
      <c r="G15" s="288">
        <f t="shared" si="2"/>
        <v>14107.462832298284</v>
      </c>
    </row>
    <row r="16" spans="1:7">
      <c r="A16" s="286">
        <v>13</v>
      </c>
      <c r="B16" s="287">
        <f t="shared" si="0"/>
        <v>2927428.8518897248</v>
      </c>
      <c r="C16" s="289">
        <f>'Realkredit finansiering'!$F$9/'Realkredit finansiering'!$F$13*'F5'!B15</f>
        <v>6355.0153936580091</v>
      </c>
      <c r="D16" s="289">
        <f t="shared" si="1"/>
        <v>5655.1759524330437</v>
      </c>
      <c r="E16" s="289">
        <f>'Realkredit finansiering'!$F$16</f>
        <v>12010.191346091053</v>
      </c>
      <c r="F16" s="289">
        <f>'Realkredit finansiering'!$F$10/'Realkredit finansiering'!$F$13*'F5'!B15</f>
        <v>2093.2443012033536</v>
      </c>
      <c r="G16" s="288">
        <f t="shared" si="2"/>
        <v>14103.435647294405</v>
      </c>
    </row>
    <row r="17" spans="1:7">
      <c r="A17" s="286">
        <v>14</v>
      </c>
      <c r="B17" s="287">
        <f t="shared" si="0"/>
        <v>2921761.4230560614</v>
      </c>
      <c r="C17" s="289">
        <f>'Realkredit finansiering'!$F$9/'Realkredit finansiering'!$F$13*'F5'!B16</f>
        <v>6342.7625124277365</v>
      </c>
      <c r="D17" s="289">
        <f t="shared" si="1"/>
        <v>5667.4288336633163</v>
      </c>
      <c r="E17" s="289">
        <f>'Realkredit finansiering'!$F$16</f>
        <v>12010.191346091053</v>
      </c>
      <c r="F17" s="289">
        <f>'Realkredit finansiering'!$F$10/'Realkredit finansiering'!$F$13*'F5'!B16</f>
        <v>2089.2083906319672</v>
      </c>
      <c r="G17" s="288">
        <f t="shared" si="2"/>
        <v>14099.39973672302</v>
      </c>
    </row>
    <row r="18" spans="1:7">
      <c r="A18" s="286">
        <v>15</v>
      </c>
      <c r="B18" s="287">
        <f t="shared" si="0"/>
        <v>2916081.7147932583</v>
      </c>
      <c r="C18" s="289">
        <f>'Realkredit finansiering'!$F$9/'Realkredit finansiering'!$F$13*'F5'!B17</f>
        <v>6330.4830832881325</v>
      </c>
      <c r="D18" s="289">
        <f t="shared" si="1"/>
        <v>5679.7082628029202</v>
      </c>
      <c r="E18" s="289">
        <f>'Realkredit finansiering'!$F$16</f>
        <v>12010.191346091053</v>
      </c>
      <c r="F18" s="289">
        <f>'Realkredit finansiering'!$F$10/'Realkredit finansiering'!$F$13*'F5'!B17</f>
        <v>2085.163735587676</v>
      </c>
      <c r="G18" s="288">
        <f t="shared" si="2"/>
        <v>14095.355081678728</v>
      </c>
    </row>
    <row r="19" spans="1:7">
      <c r="A19" s="286">
        <v>16</v>
      </c>
      <c r="B19" s="287">
        <f t="shared" si="0"/>
        <v>2910389.7004958862</v>
      </c>
      <c r="C19" s="289">
        <f>'Realkredit finansiering'!$F$9/'Realkredit finansiering'!$F$13*'F5'!B18</f>
        <v>6318.1770487187259</v>
      </c>
      <c r="D19" s="289">
        <f t="shared" si="1"/>
        <v>5692.0142973723268</v>
      </c>
      <c r="E19" s="289">
        <f>'Realkredit finansiering'!$F$16</f>
        <v>12010.191346091053</v>
      </c>
      <c r="F19" s="289">
        <f>'Realkredit finansiering'!$F$10/'Realkredit finansiering'!$F$13*'F5'!B18</f>
        <v>2081.110317124122</v>
      </c>
      <c r="G19" s="288">
        <f t="shared" si="2"/>
        <v>14091.301663215174</v>
      </c>
    </row>
    <row r="20" spans="1:7">
      <c r="A20" s="286">
        <v>17</v>
      </c>
      <c r="B20" s="287">
        <f t="shared" si="0"/>
        <v>2904685.3535008696</v>
      </c>
      <c r="C20" s="289">
        <f>'Realkredit finansiering'!$F$9/'Realkredit finansiering'!$F$13*'F5'!B19</f>
        <v>6305.84435107442</v>
      </c>
      <c r="D20" s="289">
        <f t="shared" si="1"/>
        <v>5704.3469950166327</v>
      </c>
      <c r="E20" s="289">
        <f>'Realkredit finansiering'!$F$16</f>
        <v>12010.191346091053</v>
      </c>
      <c r="F20" s="289">
        <f>'Realkredit finansiering'!$F$10/'Realkredit finansiering'!$F$13*'F5'!B19</f>
        <v>2077.0481162538977</v>
      </c>
      <c r="G20" s="288">
        <f t="shared" si="2"/>
        <v>14087.239462344951</v>
      </c>
    </row>
    <row r="21" spans="1:7">
      <c r="A21" s="286">
        <v>18</v>
      </c>
      <c r="B21" s="287">
        <f t="shared" si="0"/>
        <v>2898968.6470873635</v>
      </c>
      <c r="C21" s="289">
        <f>'Realkredit finansiering'!$F$9/'Realkredit finansiering'!$F$13*'F5'!B20</f>
        <v>6293.4849325852174</v>
      </c>
      <c r="D21" s="289">
        <f t="shared" si="1"/>
        <v>5716.7064135058354</v>
      </c>
      <c r="E21" s="289">
        <f>'Realkredit finansiering'!$F$16</f>
        <v>12010.191346091053</v>
      </c>
      <c r="F21" s="289">
        <f>'Realkredit finansiering'!$F$10/'Realkredit finansiering'!$F$13*'F5'!B20</f>
        <v>2072.9771139484542</v>
      </c>
      <c r="G21" s="288">
        <f t="shared" si="2"/>
        <v>14083.168460039507</v>
      </c>
    </row>
    <row r="22" spans="1:7">
      <c r="A22" s="286">
        <v>19</v>
      </c>
      <c r="B22" s="287">
        <f t="shared" si="0"/>
        <v>2893239.5544766285</v>
      </c>
      <c r="C22" s="289">
        <f>'Realkredit finansiering'!$F$9/'Realkredit finansiering'!$F$13*'F5'!B21</f>
        <v>6281.098735355954</v>
      </c>
      <c r="D22" s="289">
        <f t="shared" si="1"/>
        <v>5729.0926107350988</v>
      </c>
      <c r="E22" s="289">
        <f>'Realkredit finansiering'!$F$16</f>
        <v>12010.191346091053</v>
      </c>
      <c r="F22" s="289">
        <f>'Realkredit finansiering'!$F$10/'Realkredit finansiering'!$F$13*'F5'!B21</f>
        <v>2068.8972911380151</v>
      </c>
      <c r="G22" s="288">
        <f t="shared" si="2"/>
        <v>14079.088637229068</v>
      </c>
    </row>
    <row r="23" spans="1:7">
      <c r="A23" s="286">
        <v>20</v>
      </c>
      <c r="B23" s="287">
        <f t="shared" si="0"/>
        <v>2887498.0488319034</v>
      </c>
      <c r="C23" s="289">
        <f>'Realkredit finansiering'!$F$9/'Realkredit finansiering'!$F$13*'F5'!B22</f>
        <v>6268.6857013660283</v>
      </c>
      <c r="D23" s="289">
        <f t="shared" si="1"/>
        <v>5741.5056447250245</v>
      </c>
      <c r="E23" s="289">
        <f>'Realkredit finansiering'!$F$16</f>
        <v>12010.191346091053</v>
      </c>
      <c r="F23" s="289">
        <f>'Realkredit finansiering'!$F$10/'Realkredit finansiering'!$F$13*'F5'!B22</f>
        <v>2064.8086287114875</v>
      </c>
      <c r="G23" s="288">
        <f t="shared" si="2"/>
        <v>14074.99997480254</v>
      </c>
    </row>
    <row r="24" spans="1:7">
      <c r="A24" s="286">
        <v>21</v>
      </c>
      <c r="B24" s="287">
        <f t="shared" si="0"/>
        <v>2881744.1032582815</v>
      </c>
      <c r="C24" s="289">
        <f>'Realkredit finansiering'!$F$9/'Realkredit finansiering'!$F$13*'F5'!B23</f>
        <v>6256.2457724691239</v>
      </c>
      <c r="D24" s="289">
        <f t="shared" si="1"/>
        <v>5753.9455736219288</v>
      </c>
      <c r="E24" s="289">
        <f>'Realkredit finansiering'!$F$16</f>
        <v>12010.191346091053</v>
      </c>
      <c r="F24" s="289">
        <f>'Realkredit finansiering'!$F$10/'Realkredit finansiering'!$F$13*'F5'!B23</f>
        <v>2060.7111075163684</v>
      </c>
      <c r="G24" s="288">
        <f t="shared" si="2"/>
        <v>14070.902453607421</v>
      </c>
    </row>
    <row r="25" spans="1:7">
      <c r="A25" s="286">
        <v>22</v>
      </c>
      <c r="B25" s="287">
        <f t="shared" si="0"/>
        <v>2875977.6908025835</v>
      </c>
      <c r="C25" s="289">
        <f>'Realkredit finansiering'!$F$9/'Realkredit finansiering'!$F$13*'F5'!B24</f>
        <v>6243.7788903929431</v>
      </c>
      <c r="D25" s="289">
        <f t="shared" si="1"/>
        <v>5766.4124556981096</v>
      </c>
      <c r="E25" s="289">
        <f>'Realkredit finansiering'!$F$16</f>
        <v>12010.191346091053</v>
      </c>
      <c r="F25" s="289">
        <f>'Realkredit finansiering'!$F$10/'Realkredit finansiering'!$F$13*'F5'!B24</f>
        <v>2056.6047083586604</v>
      </c>
      <c r="G25" s="288">
        <f t="shared" si="2"/>
        <v>14066.796054449713</v>
      </c>
    </row>
    <row r="26" spans="1:7">
      <c r="A26" s="286">
        <v>23</v>
      </c>
      <c r="B26" s="287">
        <f t="shared" si="0"/>
        <v>2870198.7844532314</v>
      </c>
      <c r="C26" s="289">
        <f>'Realkredit finansiering'!$F$9/'Realkredit finansiering'!$F$13*'F5'!B25</f>
        <v>6231.2849967389302</v>
      </c>
      <c r="D26" s="289">
        <f t="shared" si="1"/>
        <v>5778.9063493521226</v>
      </c>
      <c r="E26" s="289">
        <f>'Realkredit finansiering'!$F$16</f>
        <v>12010.191346091053</v>
      </c>
      <c r="F26" s="289">
        <f>'Realkredit finansiering'!$F$10/'Realkredit finansiering'!$F$13*'F5'!B25</f>
        <v>2052.489412002777</v>
      </c>
      <c r="G26" s="288">
        <f t="shared" si="2"/>
        <v>14062.680758093829</v>
      </c>
    </row>
    <row r="27" spans="1:7">
      <c r="A27" s="286">
        <v>24</v>
      </c>
      <c r="B27" s="287">
        <f t="shared" si="0"/>
        <v>2864407.3571401224</v>
      </c>
      <c r="C27" s="289">
        <f>'Realkredit finansiering'!$F$9/'Realkredit finansiering'!$F$13*'F5'!B26</f>
        <v>6218.7640329820015</v>
      </c>
      <c r="D27" s="289">
        <f t="shared" si="1"/>
        <v>5791.4273131090513</v>
      </c>
      <c r="E27" s="289">
        <f>'Realkredit finansiering'!$F$16</f>
        <v>12010.191346091053</v>
      </c>
      <c r="F27" s="289">
        <f>'Realkredit finansiering'!$F$10/'Realkredit finansiering'!$F$13*'F5'!B26</f>
        <v>2048.3651991714564</v>
      </c>
      <c r="G27" s="288">
        <f t="shared" si="2"/>
        <v>14058.556545262509</v>
      </c>
    </row>
    <row r="28" spans="1:7">
      <c r="A28" s="286">
        <v>25</v>
      </c>
      <c r="B28" s="287">
        <f t="shared" si="0"/>
        <v>2858603.3817345016</v>
      </c>
      <c r="C28" s="289">
        <f>'Realkredit finansiering'!$F$9/'Realkredit finansiering'!$F$13*'F5'!B27</f>
        <v>6206.2159404702652</v>
      </c>
      <c r="D28" s="289">
        <f t="shared" si="1"/>
        <v>5803.9754056207876</v>
      </c>
      <c r="E28" s="289">
        <f>'Realkredit finansiering'!$F$16</f>
        <v>12010.191346091053</v>
      </c>
      <c r="F28" s="289">
        <f>'Realkredit finansiering'!$F$10/'Realkredit finansiering'!$F$13*'F5'!B27</f>
        <v>2044.2320505456676</v>
      </c>
      <c r="G28" s="288">
        <f t="shared" si="2"/>
        <v>14054.423396636721</v>
      </c>
    </row>
    <row r="29" spans="1:7">
      <c r="A29" s="286">
        <v>26</v>
      </c>
      <c r="B29" s="287">
        <f t="shared" si="0"/>
        <v>2852786.8310488351</v>
      </c>
      <c r="C29" s="289">
        <f>'Realkredit finansiering'!$F$9/'Realkredit finansiering'!$F$13*'F5'!B28</f>
        <v>6193.6406604247532</v>
      </c>
      <c r="D29" s="289">
        <f t="shared" si="1"/>
        <v>5816.5506856662996</v>
      </c>
      <c r="E29" s="289">
        <f>'Realkredit finansiering'!$F$16</f>
        <v>12010.191346091053</v>
      </c>
      <c r="F29" s="289">
        <f>'Realkredit finansiering'!$F$10/'Realkredit finansiering'!$F$13*'F5'!B28</f>
        <v>2040.0899467645227</v>
      </c>
      <c r="G29" s="288">
        <f t="shared" si="2"/>
        <v>14050.281292855576</v>
      </c>
    </row>
    <row r="30" spans="1:7">
      <c r="A30" s="286">
        <v>27</v>
      </c>
      <c r="B30" s="287">
        <f t="shared" si="0"/>
        <v>2846957.6778366831</v>
      </c>
      <c r="C30" s="289">
        <f>'Realkredit finansiering'!$F$9/'Realkredit finansiering'!$F$13*'F5'!B29</f>
        <v>6181.0381339391424</v>
      </c>
      <c r="D30" s="289">
        <f t="shared" si="1"/>
        <v>5829.1532121519103</v>
      </c>
      <c r="E30" s="289">
        <f>'Realkredit finansiering'!$F$16</f>
        <v>12010.191346091053</v>
      </c>
      <c r="F30" s="289">
        <f>'Realkredit finansiering'!$F$10/'Realkredit finansiering'!$F$13*'F5'!B29</f>
        <v>2035.9388684251853</v>
      </c>
      <c r="G30" s="288">
        <f t="shared" si="2"/>
        <v>14046.130214516237</v>
      </c>
    </row>
    <row r="31" spans="1:7">
      <c r="A31" s="286">
        <v>28</v>
      </c>
      <c r="B31" s="287">
        <f t="shared" si="0"/>
        <v>2841115.8947925717</v>
      </c>
      <c r="C31" s="289">
        <f>'Realkredit finansiering'!$F$9/'Realkredit finansiering'!$F$13*'F5'!B30</f>
        <v>6168.4083019794798</v>
      </c>
      <c r="D31" s="289">
        <f t="shared" si="1"/>
        <v>5841.783044111573</v>
      </c>
      <c r="E31" s="289">
        <f>'Realkredit finansiering'!$F$16</f>
        <v>12010.191346091053</v>
      </c>
      <c r="F31" s="289">
        <f>'Realkredit finansiering'!$F$10/'Realkredit finansiering'!$F$13*'F5'!B30</f>
        <v>2031.7787960827795</v>
      </c>
      <c r="G31" s="288">
        <f t="shared" si="2"/>
        <v>14041.970142173832</v>
      </c>
    </row>
    <row r="32" spans="1:7">
      <c r="A32" s="286">
        <v>29</v>
      </c>
      <c r="B32" s="287">
        <f t="shared" si="0"/>
        <v>2835261.4545518644</v>
      </c>
      <c r="C32" s="289">
        <f>'Realkredit finansiering'!$F$9/'Realkredit finansiering'!$F$13*'F5'!B31</f>
        <v>6155.7511053839053</v>
      </c>
      <c r="D32" s="289">
        <f t="shared" si="1"/>
        <v>5854.4402407071475</v>
      </c>
      <c r="E32" s="289">
        <f>'Realkredit finansiering'!$F$16</f>
        <v>12010.191346091053</v>
      </c>
      <c r="F32" s="289">
        <f>'Realkredit finansiering'!$F$10/'Realkredit finansiering'!$F$13*'F5'!B31</f>
        <v>2027.6097102502988</v>
      </c>
      <c r="G32" s="288">
        <f t="shared" si="2"/>
        <v>14037.801056341352</v>
      </c>
    </row>
    <row r="33" spans="1:7">
      <c r="A33" s="286">
        <v>30</v>
      </c>
      <c r="B33" s="287">
        <f t="shared" si="0"/>
        <v>2829394.3296906357</v>
      </c>
      <c r="C33" s="289">
        <f>'Realkredit finansiering'!$F$9/'Realkredit finansiering'!$F$13*'F5'!B32</f>
        <v>6143.0664848623728</v>
      </c>
      <c r="D33" s="289">
        <f t="shared" si="1"/>
        <v>5867.1248612286799</v>
      </c>
      <c r="E33" s="289">
        <f>'Realkredit finansiering'!$F$16</f>
        <v>12010.191346091053</v>
      </c>
      <c r="F33" s="289">
        <f>'Realkredit finansiering'!$F$10/'Realkredit finansiering'!$F$13*'F5'!B32</f>
        <v>2023.431591398514</v>
      </c>
      <c r="G33" s="288">
        <f t="shared" si="2"/>
        <v>14033.622937489567</v>
      </c>
    </row>
    <row r="34" spans="1:7">
      <c r="A34" s="286">
        <v>31</v>
      </c>
      <c r="B34" s="287">
        <f t="shared" si="0"/>
        <v>2823514.4927255409</v>
      </c>
      <c r="C34" s="289">
        <f>'Realkredit finansiering'!$F$9/'Realkredit finansiering'!$F$13*'F5'!B33</f>
        <v>6130.3543809963767</v>
      </c>
      <c r="D34" s="289">
        <f t="shared" si="1"/>
        <v>5879.8369650946761</v>
      </c>
      <c r="E34" s="289">
        <f>'Realkredit finansiering'!$F$16</f>
        <v>12010.191346091053</v>
      </c>
      <c r="F34" s="289">
        <f>'Realkredit finansiering'!$F$10/'Realkredit finansiering'!$F$13*'F5'!B33</f>
        <v>2019.2444199558838</v>
      </c>
      <c r="G34" s="288">
        <f t="shared" si="2"/>
        <v>14029.435766046936</v>
      </c>
    </row>
    <row r="35" spans="1:7">
      <c r="A35" s="286">
        <v>32</v>
      </c>
      <c r="B35" s="287">
        <f t="shared" si="0"/>
        <v>2817621.9161136886</v>
      </c>
      <c r="C35" s="289">
        <f>'Realkredit finansiering'!$F$9/'Realkredit finansiering'!$F$13*'F5'!B34</f>
        <v>6117.6147342386712</v>
      </c>
      <c r="D35" s="289">
        <f t="shared" si="1"/>
        <v>5892.5766118523816</v>
      </c>
      <c r="E35" s="289">
        <f>'Realkredit finansiering'!$F$16</f>
        <v>12010.191346091053</v>
      </c>
      <c r="F35" s="289">
        <f>'Realkredit finansiering'!$F$10/'Realkredit finansiering'!$F$13*'F5'!B34</f>
        <v>2015.0481763084611</v>
      </c>
      <c r="G35" s="288">
        <f t="shared" si="2"/>
        <v>14025.239522399514</v>
      </c>
    </row>
    <row r="36" spans="1:7">
      <c r="A36" s="286">
        <v>33</v>
      </c>
      <c r="B36" s="287">
        <f t="shared" si="0"/>
        <v>2811716.5722525106</v>
      </c>
      <c r="C36" s="289">
        <f>'Realkredit finansiering'!$F$9/'Realkredit finansiering'!$F$13*'F5'!B35</f>
        <v>6104.8474849129916</v>
      </c>
      <c r="D36" s="289">
        <f t="shared" si="1"/>
        <v>5905.3438611780612</v>
      </c>
      <c r="E36" s="289">
        <f>'Realkredit finansiering'!$F$16</f>
        <v>12010.191346091053</v>
      </c>
      <c r="F36" s="289">
        <f>'Realkredit finansiering'!$F$10/'Realkredit finansiering'!$F$13*'F5'!B35</f>
        <v>2010.8428407998026</v>
      </c>
      <c r="G36" s="288">
        <f t="shared" si="2"/>
        <v>14021.034186890854</v>
      </c>
    </row>
    <row r="37" spans="1:7">
      <c r="A37" s="286">
        <v>34</v>
      </c>
      <c r="B37" s="287">
        <f t="shared" si="0"/>
        <v>2805798.4334796332</v>
      </c>
      <c r="C37" s="289">
        <f>'Realkredit finansiering'!$F$9/'Realkredit finansiering'!$F$13*'F5'!B36</f>
        <v>6092.052573213773</v>
      </c>
      <c r="D37" s="289">
        <f t="shared" si="1"/>
        <v>5918.1387728772797</v>
      </c>
      <c r="E37" s="289">
        <f>'Realkredit finansiering'!$F$16</f>
        <v>12010.191346091053</v>
      </c>
      <c r="F37" s="289">
        <f>'Realkredit finansiering'!$F$10/'Realkredit finansiering'!$F$13*'F5'!B36</f>
        <v>2006.6283937308751</v>
      </c>
      <c r="G37" s="288">
        <f t="shared" si="2"/>
        <v>14016.819739821927</v>
      </c>
    </row>
    <row r="38" spans="1:7">
      <c r="A38" s="286">
        <v>35</v>
      </c>
      <c r="B38" s="287">
        <f t="shared" si="0"/>
        <v>2799867.472072748</v>
      </c>
      <c r="C38" s="289">
        <f>'Realkredit finansiering'!$F$9/'Realkredit finansiering'!$F$13*'F5'!B37</f>
        <v>6079.2299392058712</v>
      </c>
      <c r="D38" s="289">
        <f t="shared" si="1"/>
        <v>5930.9614068851815</v>
      </c>
      <c r="E38" s="289">
        <f>'Realkredit finansiering'!$F$16</f>
        <v>12010.191346091053</v>
      </c>
      <c r="F38" s="289">
        <f>'Realkredit finansiering'!$F$10/'Realkredit finansiering'!$F$13*'F5'!B37</f>
        <v>2002.4048153599649</v>
      </c>
      <c r="G38" s="288">
        <f t="shared" si="2"/>
        <v>14012.596161451018</v>
      </c>
    </row>
    <row r="39" spans="1:7">
      <c r="A39" s="286">
        <v>36</v>
      </c>
      <c r="B39" s="287">
        <f t="shared" si="0"/>
        <v>2793923.6602494814</v>
      </c>
      <c r="C39" s="289">
        <f>'Realkredit finansiering'!$F$9/'Realkredit finansiering'!$F$13*'F5'!B38</f>
        <v>6066.3795228242871</v>
      </c>
      <c r="D39" s="289">
        <f t="shared" si="1"/>
        <v>5943.8118232667657</v>
      </c>
      <c r="E39" s="289">
        <f>'Realkredit finansiering'!$F$16</f>
        <v>12010.191346091053</v>
      </c>
      <c r="F39" s="289">
        <f>'Realkredit finansiering'!$F$10/'Realkredit finansiering'!$F$13*'F5'!B38</f>
        <v>1998.1720859025845</v>
      </c>
      <c r="G39" s="288">
        <f t="shared" si="2"/>
        <v>14008.363431993637</v>
      </c>
    </row>
    <row r="40" spans="1:7">
      <c r="A40" s="286">
        <v>37</v>
      </c>
      <c r="B40" s="287">
        <f t="shared" si="0"/>
        <v>2787966.9701672643</v>
      </c>
      <c r="C40" s="289">
        <f>'Realkredit finansiering'!$F$9/'Realkredit finansiering'!$F$13*'F5'!B39</f>
        <v>6053.5012638738763</v>
      </c>
      <c r="D40" s="289">
        <f t="shared" si="1"/>
        <v>5956.6900822171765</v>
      </c>
      <c r="E40" s="289">
        <f>'Realkredit finansiering'!$F$16</f>
        <v>12010.191346091053</v>
      </c>
      <c r="F40" s="289">
        <f>'Realkredit finansiering'!$F$10/'Realkredit finansiering'!$F$13*'F5'!B39</f>
        <v>1993.9301855313799</v>
      </c>
      <c r="G40" s="288">
        <f t="shared" si="2"/>
        <v>14004.121531622433</v>
      </c>
    </row>
    <row r="41" spans="1:7">
      <c r="A41" s="286">
        <v>38</v>
      </c>
      <c r="B41" s="287">
        <f t="shared" si="0"/>
        <v>2781997.3739232025</v>
      </c>
      <c r="C41" s="289">
        <f>'Realkredit finansiering'!$F$9/'Realkredit finansiering'!$F$13*'F5'!B40</f>
        <v>6040.5951020290722</v>
      </c>
      <c r="D41" s="289">
        <f t="shared" si="1"/>
        <v>5969.5962440619805</v>
      </c>
      <c r="E41" s="289">
        <f>'Realkredit finansiering'!$F$16</f>
        <v>12010.191346091053</v>
      </c>
      <c r="F41" s="289">
        <f>'Realkredit finansiering'!$F$10/'Realkredit finansiering'!$F$13*'F5'!B40</f>
        <v>1989.6790943760377</v>
      </c>
      <c r="G41" s="288">
        <f t="shared" si="2"/>
        <v>13999.87044046709</v>
      </c>
    </row>
    <row r="42" spans="1:7">
      <c r="A42" s="286">
        <v>39</v>
      </c>
      <c r="B42" s="287">
        <f t="shared" si="0"/>
        <v>2776014.843553945</v>
      </c>
      <c r="C42" s="289">
        <f>'Realkredit finansiering'!$F$9/'Realkredit finansiering'!$F$13*'F5'!B41</f>
        <v>6027.6609768336048</v>
      </c>
      <c r="D42" s="289">
        <f t="shared" si="1"/>
        <v>5982.530369257448</v>
      </c>
      <c r="E42" s="289">
        <f>'Realkredit finansiering'!$F$16</f>
        <v>12010.191346091053</v>
      </c>
      <c r="F42" s="289">
        <f>'Realkredit finansiering'!$F$10/'Realkredit finansiering'!$F$13*'F5'!B41</f>
        <v>1985.4187925231922</v>
      </c>
      <c r="G42" s="288">
        <f t="shared" si="2"/>
        <v>13995.610138614245</v>
      </c>
    </row>
    <row r="43" spans="1:7">
      <c r="A43" s="286">
        <v>40</v>
      </c>
      <c r="B43" s="287">
        <f t="shared" si="0"/>
        <v>2770019.351035554</v>
      </c>
      <c r="C43" s="289">
        <f>'Realkredit finansiering'!$F$9/'Realkredit finansiering'!$F$13*'F5'!B42</f>
        <v>6014.6988277002138</v>
      </c>
      <c r="D43" s="289">
        <f t="shared" si="1"/>
        <v>5995.492518390839</v>
      </c>
      <c r="E43" s="289">
        <f>'Realkredit finansiering'!$F$16</f>
        <v>12010.191346091053</v>
      </c>
      <c r="F43" s="289">
        <f>'Realkredit finansiering'!$F$10/'Realkredit finansiering'!$F$13*'F5'!B42</f>
        <v>1981.1492600163322</v>
      </c>
      <c r="G43" s="288">
        <f t="shared" si="2"/>
        <v>13991.340606107386</v>
      </c>
    </row>
    <row r="44" spans="1:7">
      <c r="A44" s="286">
        <v>41</v>
      </c>
      <c r="B44" s="287">
        <f t="shared" si="0"/>
        <v>2764010.8682833733</v>
      </c>
      <c r="C44" s="289">
        <f>'Realkredit finansiering'!$F$9/'Realkredit finansiering'!$F$13*'F5'!B43</f>
        <v>6001.7085939103663</v>
      </c>
      <c r="D44" s="289">
        <f t="shared" si="1"/>
        <v>6008.4827521806865</v>
      </c>
      <c r="E44" s="289">
        <f>'Realkredit finansiering'!$F$16</f>
        <v>12010.191346091053</v>
      </c>
      <c r="F44" s="289">
        <f>'Realkredit finansiering'!$F$10/'Realkredit finansiering'!$F$13*'F5'!B43</f>
        <v>1976.870476855707</v>
      </c>
      <c r="G44" s="288">
        <f t="shared" si="2"/>
        <v>13987.06182294676</v>
      </c>
    </row>
    <row r="45" spans="1:7">
      <c r="A45" s="286">
        <v>42</v>
      </c>
      <c r="B45" s="287">
        <f t="shared" si="0"/>
        <v>2757989.367151896</v>
      </c>
      <c r="C45" s="289">
        <f>'Realkredit finansiering'!$F$9/'Realkredit finansiering'!$F$13*'F5'!B44</f>
        <v>5988.6902146139755</v>
      </c>
      <c r="D45" s="289">
        <f t="shared" si="1"/>
        <v>6021.5011314770773</v>
      </c>
      <c r="E45" s="289">
        <f>'Realkredit finansiering'!$F$16</f>
        <v>12010.191346091053</v>
      </c>
      <c r="F45" s="289">
        <f>'Realkredit finansiering'!$F$10/'Realkredit finansiering'!$F$13*'F5'!B44</f>
        <v>1972.5824229982343</v>
      </c>
      <c r="G45" s="288">
        <f t="shared" si="2"/>
        <v>13982.773769089286</v>
      </c>
    </row>
    <row r="46" spans="1:7">
      <c r="A46" s="286">
        <v>43</v>
      </c>
      <c r="B46" s="287">
        <f t="shared" si="0"/>
        <v>2751954.8194346339</v>
      </c>
      <c r="C46" s="289">
        <f>'Realkredit finansiering'!$F$9/'Realkredit finansiering'!$F$13*'F5'!B45</f>
        <v>5975.6436288291079</v>
      </c>
      <c r="D46" s="289">
        <f t="shared" si="1"/>
        <v>6034.5477172619449</v>
      </c>
      <c r="E46" s="289">
        <f>'Realkredit finansiering'!$F$16</f>
        <v>12010.191346091053</v>
      </c>
      <c r="F46" s="289">
        <f>'Realkredit finansiering'!$F$10/'Realkredit finansiering'!$F$13*'F5'!B45</f>
        <v>1968.2850783574031</v>
      </c>
      <c r="G46" s="288">
        <f t="shared" si="2"/>
        <v>13978.476424448456</v>
      </c>
    </row>
    <row r="47" spans="1:7">
      <c r="A47" s="286">
        <v>44</v>
      </c>
      <c r="B47" s="287">
        <f t="shared" si="0"/>
        <v>2745907.1968639847</v>
      </c>
      <c r="C47" s="289">
        <f>'Realkredit finansiering'!$F$9/'Realkredit finansiering'!$F$13*'F5'!B46</f>
        <v>5962.5687754417067</v>
      </c>
      <c r="D47" s="289">
        <f t="shared" si="1"/>
        <v>6047.622570649346</v>
      </c>
      <c r="E47" s="289">
        <f>'Realkredit finansiering'!$F$16</f>
        <v>12010.191346091053</v>
      </c>
      <c r="F47" s="289">
        <f>'Realkredit finansiering'!$F$10/'Realkredit finansiering'!$F$13*'F5'!B46</f>
        <v>1963.9784228031838</v>
      </c>
      <c r="G47" s="288">
        <f t="shared" si="2"/>
        <v>13974.169768894237</v>
      </c>
    </row>
    <row r="48" spans="1:7">
      <c r="A48" s="286">
        <v>45</v>
      </c>
      <c r="B48" s="287">
        <f t="shared" si="0"/>
        <v>2739846.4711110988</v>
      </c>
      <c r="C48" s="289">
        <f>'Realkredit finansiering'!$F$9/'Realkredit finansiering'!$F$13*'F5'!B47</f>
        <v>5949.4655932053001</v>
      </c>
      <c r="D48" s="289">
        <f t="shared" si="1"/>
        <v>6060.7257528857526</v>
      </c>
      <c r="E48" s="289">
        <f>'Realkredit finansiering'!$F$16</f>
        <v>12010.191346091053</v>
      </c>
      <c r="F48" s="289">
        <f>'Realkredit finansiering'!$F$10/'Realkredit finansiering'!$F$13*'F5'!B47</f>
        <v>1959.6624361619306</v>
      </c>
      <c r="G48" s="288">
        <f t="shared" si="2"/>
        <v>13969.853782252983</v>
      </c>
    </row>
    <row r="49" spans="1:7">
      <c r="A49" s="286">
        <v>46</v>
      </c>
      <c r="B49" s="287">
        <f t="shared" si="0"/>
        <v>2733772.6137857484</v>
      </c>
      <c r="C49" s="289">
        <f>'Realkredit finansiering'!$F$9/'Realkredit finansiering'!$F$13*'F5'!B48</f>
        <v>5936.3340207407136</v>
      </c>
      <c r="D49" s="289">
        <f t="shared" si="1"/>
        <v>6073.8573253503391</v>
      </c>
      <c r="E49" s="289">
        <f>'Realkredit finansiering'!$F$16</f>
        <v>12010.191346091053</v>
      </c>
      <c r="F49" s="289">
        <f>'Realkredit finansiering'!$F$10/'Realkredit finansiering'!$F$13*'F5'!B48</f>
        <v>1955.3370982162876</v>
      </c>
      <c r="G49" s="288">
        <f t="shared" si="2"/>
        <v>13965.52844430734</v>
      </c>
    </row>
    <row r="50" spans="1:7">
      <c r="A50" s="286">
        <v>47</v>
      </c>
      <c r="B50" s="287">
        <f t="shared" si="0"/>
        <v>2727685.5964361932</v>
      </c>
      <c r="C50" s="289">
        <f>'Realkredit finansiering'!$F$9/'Realkredit finansiering'!$F$13*'F5'!B49</f>
        <v>5923.1739965357874</v>
      </c>
      <c r="D50" s="289">
        <f t="shared" si="1"/>
        <v>6087.0173495552654</v>
      </c>
      <c r="E50" s="289">
        <f>'Realkredit finansiering'!$F$16</f>
        <v>12010.191346091053</v>
      </c>
      <c r="F50" s="289">
        <f>'Realkredit finansiering'!$F$10/'Realkredit finansiering'!$F$13*'F5'!B49</f>
        <v>1951.0023887050959</v>
      </c>
      <c r="G50" s="288">
        <f t="shared" si="2"/>
        <v>13961.193734796148</v>
      </c>
    </row>
    <row r="51" spans="1:7">
      <c r="A51" s="286">
        <v>48</v>
      </c>
      <c r="B51" s="287">
        <f t="shared" si="0"/>
        <v>2721585.3905490474</v>
      </c>
      <c r="C51" s="289">
        <f>'Realkredit finansiering'!$F$9/'Realkredit finansiering'!$F$13*'F5'!B50</f>
        <v>5909.9854589450852</v>
      </c>
      <c r="D51" s="289">
        <f t="shared" si="1"/>
        <v>6100.2058871459676</v>
      </c>
      <c r="E51" s="289">
        <f>'Realkredit finansiering'!$F$16</f>
        <v>12010.191346091053</v>
      </c>
      <c r="F51" s="289">
        <f>'Realkredit finansiering'!$F$10/'Realkredit finansiering'!$F$13*'F5'!B50</f>
        <v>1946.6582873232967</v>
      </c>
      <c r="G51" s="288">
        <f t="shared" si="2"/>
        <v>13956.849633414349</v>
      </c>
    </row>
    <row r="52" spans="1:7">
      <c r="A52" s="286">
        <v>49</v>
      </c>
      <c r="B52" s="287">
        <f t="shared" si="0"/>
        <v>2715471.9675491462</v>
      </c>
      <c r="C52" s="289">
        <f>'Realkredit finansiering'!$F$9/'Realkredit finansiering'!$F$13*'F5'!B51</f>
        <v>5896.7683461896022</v>
      </c>
      <c r="D52" s="289">
        <f t="shared" si="1"/>
        <v>6113.4229999014506</v>
      </c>
      <c r="E52" s="289">
        <f>'Realkredit finansiering'!$F$16</f>
        <v>12010.191346091053</v>
      </c>
      <c r="F52" s="289">
        <f>'Realkredit finansiering'!$F$10/'Realkredit finansiering'!$F$13*'F5'!B51</f>
        <v>1942.3047737218369</v>
      </c>
      <c r="G52" s="288">
        <f t="shared" si="2"/>
        <v>13952.496119812889</v>
      </c>
    </row>
    <row r="53" spans="1:7">
      <c r="A53" s="286">
        <v>50</v>
      </c>
      <c r="B53" s="287">
        <f t="shared" si="0"/>
        <v>2709345.2987994114</v>
      </c>
      <c r="C53" s="289">
        <f>'Realkredit finansiering'!$F$9/'Realkredit finansiering'!$F$13*'F5'!B52</f>
        <v>5883.5225963564826</v>
      </c>
      <c r="D53" s="289">
        <f t="shared" si="1"/>
        <v>6126.6687497345702</v>
      </c>
      <c r="E53" s="289">
        <f>'Realkredit finansiering'!$F$16</f>
        <v>12010.191346091053</v>
      </c>
      <c r="F53" s="289">
        <f>'Realkredit finansiering'!$F$10/'Realkredit finansiering'!$F$13*'F5'!B52</f>
        <v>1937.9418275075741</v>
      </c>
      <c r="G53" s="288">
        <f t="shared" si="2"/>
        <v>13948.133173598628</v>
      </c>
    </row>
    <row r="54" spans="1:7">
      <c r="A54" s="286">
        <v>51</v>
      </c>
      <c r="B54" s="287">
        <f t="shared" si="0"/>
        <v>2703205.3556007189</v>
      </c>
      <c r="C54" s="289">
        <f>'Realkredit finansiering'!$F$9/'Realkredit finansiering'!$F$13*'F5'!B53</f>
        <v>5870.2481473987245</v>
      </c>
      <c r="D54" s="289">
        <f t="shared" si="1"/>
        <v>6139.9431986923282</v>
      </c>
      <c r="E54" s="289">
        <f>'Realkredit finansiering'!$F$16</f>
        <v>12010.191346091053</v>
      </c>
      <c r="F54" s="289">
        <f>'Realkredit finansiering'!$F$10/'Realkredit finansiering'!$F$13*'F5'!B53</f>
        <v>1933.56942824318</v>
      </c>
      <c r="G54" s="288">
        <f t="shared" si="2"/>
        <v>13943.760774334232</v>
      </c>
    </row>
    <row r="55" spans="1:7">
      <c r="A55" s="286">
        <v>52</v>
      </c>
      <c r="B55" s="287">
        <f t="shared" si="0"/>
        <v>2697052.1091917627</v>
      </c>
      <c r="C55" s="289">
        <f>'Realkredit finansiering'!$F$9/'Realkredit finansiering'!$F$13*'F5'!B54</f>
        <v>5856.944937134891</v>
      </c>
      <c r="D55" s="289">
        <f t="shared" si="1"/>
        <v>6153.2464089561618</v>
      </c>
      <c r="E55" s="289">
        <f>'Realkredit finansiering'!$F$16</f>
        <v>12010.191346091053</v>
      </c>
      <c r="F55" s="289">
        <f>'Realkredit finansiering'!$F$10/'Realkredit finansiering'!$F$13*'F5'!B54</f>
        <v>1929.1875554470464</v>
      </c>
      <c r="G55" s="288">
        <f t="shared" si="2"/>
        <v>13939.378901538099</v>
      </c>
    </row>
    <row r="56" spans="1:7">
      <c r="A56" s="286">
        <v>53</v>
      </c>
      <c r="B56" s="287">
        <f t="shared" si="0"/>
        <v>2690885.5307489205</v>
      </c>
      <c r="C56" s="289">
        <f>'Realkredit finansiering'!$F$9/'Realkredit finansiering'!$F$13*'F5'!B55</f>
        <v>5843.6129032488188</v>
      </c>
      <c r="D56" s="289">
        <f t="shared" si="1"/>
        <v>6166.5784428422339</v>
      </c>
      <c r="E56" s="289">
        <f>'Realkredit finansiering'!$F$16</f>
        <v>12010.191346091053</v>
      </c>
      <c r="F56" s="289">
        <f>'Realkredit finansiering'!$F$10/'Realkredit finansiering'!$F$13*'F5'!B55</f>
        <v>1924.7961885931882</v>
      </c>
      <c r="G56" s="288">
        <f t="shared" si="2"/>
        <v>13934.987534684242</v>
      </c>
    </row>
    <row r="57" spans="1:7">
      <c r="A57" s="286">
        <v>54</v>
      </c>
      <c r="B57" s="287">
        <f t="shared" si="0"/>
        <v>2684705.5913861189</v>
      </c>
      <c r="C57" s="289">
        <f>'Realkredit finansiering'!$F$9/'Realkredit finansiering'!$F$13*'F5'!B56</f>
        <v>5830.2519832893277</v>
      </c>
      <c r="D57" s="289">
        <f t="shared" si="1"/>
        <v>6179.9393628017251</v>
      </c>
      <c r="E57" s="289">
        <f>'Realkredit finansiering'!$F$16</f>
        <v>12010.191346091053</v>
      </c>
      <c r="F57" s="289">
        <f>'Realkredit finansiering'!$F$10/'Realkredit finansiering'!$F$13*'F5'!B56</f>
        <v>1920.3953071111464</v>
      </c>
      <c r="G57" s="288">
        <f t="shared" si="2"/>
        <v>13930.586653202199</v>
      </c>
    </row>
    <row r="58" spans="1:7">
      <c r="A58" s="286">
        <v>55</v>
      </c>
      <c r="B58" s="287">
        <f t="shared" si="0"/>
        <v>2678512.2621546979</v>
      </c>
      <c r="C58" s="289">
        <f>'Realkredit finansiering'!$F$9/'Realkredit finansiering'!$F$13*'F5'!B57</f>
        <v>5816.8621146699243</v>
      </c>
      <c r="D58" s="289">
        <f t="shared" si="1"/>
        <v>6193.3292314211285</v>
      </c>
      <c r="E58" s="289">
        <f>'Realkredit finansiering'!$F$16</f>
        <v>12010.191346091053</v>
      </c>
      <c r="F58" s="289">
        <f>'Realkredit finansiering'!$F$10/'Realkredit finansiering'!$F$13*'F5'!B57</f>
        <v>1915.9848903858936</v>
      </c>
      <c r="G58" s="288">
        <f t="shared" si="2"/>
        <v>13926.176236476946</v>
      </c>
    </row>
    <row r="59" spans="1:7">
      <c r="A59" s="286">
        <v>56</v>
      </c>
      <c r="B59" s="287">
        <f t="shared" si="0"/>
        <v>2672305.5140432753</v>
      </c>
      <c r="C59" s="289">
        <f>'Realkredit finansiering'!$F$9/'Realkredit finansiering'!$F$13*'F5'!B58</f>
        <v>5803.4432346685116</v>
      </c>
      <c r="D59" s="289">
        <f t="shared" si="1"/>
        <v>6206.7481114225411</v>
      </c>
      <c r="E59" s="289">
        <f>'Realkredit finansiering'!$F$16</f>
        <v>12010.191346091053</v>
      </c>
      <c r="F59" s="289">
        <f>'Realkredit finansiering'!$F$10/'Realkredit finansiering'!$F$13*'F5'!B58</f>
        <v>1911.5649177577361</v>
      </c>
      <c r="G59" s="288">
        <f t="shared" si="2"/>
        <v>13921.756263848789</v>
      </c>
    </row>
    <row r="60" spans="1:7">
      <c r="A60" s="286">
        <v>57</v>
      </c>
      <c r="B60" s="287">
        <f t="shared" si="0"/>
        <v>2666085.3179776114</v>
      </c>
      <c r="C60" s="289">
        <f>'Realkredit finansiering'!$F$9/'Realkredit finansiering'!$F$13*'F5'!B59</f>
        <v>5789.9952804270961</v>
      </c>
      <c r="D60" s="289">
        <f t="shared" si="1"/>
        <v>6220.1960656639567</v>
      </c>
      <c r="E60" s="289">
        <f>'Realkredit finansiering'!$F$16</f>
        <v>12010.191346091053</v>
      </c>
      <c r="F60" s="289">
        <f>'Realkredit finansiering'!$F$10/'Realkredit finansiering'!$F$13*'F5'!B59</f>
        <v>1907.1353685222175</v>
      </c>
      <c r="G60" s="288">
        <f t="shared" si="2"/>
        <v>13917.326714613271</v>
      </c>
    </row>
    <row r="61" spans="1:7">
      <c r="A61" s="286">
        <v>58</v>
      </c>
      <c r="B61" s="287">
        <f t="shared" si="0"/>
        <v>2659851.6448204718</v>
      </c>
      <c r="C61" s="289">
        <f>'Realkredit finansiering'!$F$9/'Realkredit finansiering'!$F$13*'F5'!B60</f>
        <v>5776.5181889514915</v>
      </c>
      <c r="D61" s="289">
        <f t="shared" si="1"/>
        <v>6233.6731571395612</v>
      </c>
      <c r="E61" s="289">
        <f>'Realkredit finansiering'!$F$16</f>
        <v>12010.191346091053</v>
      </c>
      <c r="F61" s="289">
        <f>'Realkredit finansiering'!$F$10/'Realkredit finansiering'!$F$13*'F5'!B60</f>
        <v>1902.6962219300221</v>
      </c>
      <c r="G61" s="288">
        <f t="shared" si="2"/>
        <v>13912.887568021075</v>
      </c>
    </row>
    <row r="62" spans="1:7">
      <c r="A62" s="286">
        <v>59</v>
      </c>
      <c r="B62" s="287">
        <f t="shared" si="0"/>
        <v>2653604.4653714919</v>
      </c>
      <c r="C62" s="289">
        <f>'Realkredit finansiering'!$F$9/'Realkredit finansiering'!$F$13*'F5'!B61</f>
        <v>5763.0118971110223</v>
      </c>
      <c r="D62" s="289">
        <f t="shared" si="1"/>
        <v>6247.1794489800304</v>
      </c>
      <c r="E62" s="289">
        <f>'Realkredit finansiering'!$F$16</f>
        <v>12010.191346091053</v>
      </c>
      <c r="F62" s="289">
        <f>'Realkredit finansiering'!$F$10/'Realkredit finansiering'!$F$13*'F5'!B61</f>
        <v>1898.2474571868768</v>
      </c>
      <c r="G62" s="288">
        <f t="shared" si="2"/>
        <v>13908.43880327793</v>
      </c>
    </row>
    <row r="63" spans="1:7">
      <c r="A63" s="286">
        <v>60</v>
      </c>
      <c r="B63" s="287">
        <f t="shared" si="0"/>
        <v>2647343.7503670389</v>
      </c>
      <c r="C63" s="289">
        <f>'Realkredit finansiering'!$F$9/'Realkredit finansiering'!$F$13*'F5'!B62</f>
        <v>5749.476341638232</v>
      </c>
      <c r="D63" s="289">
        <f t="shared" si="1"/>
        <v>6260.7150044528207</v>
      </c>
      <c r="E63" s="289">
        <f>'Realkredit finansiering'!$F$16</f>
        <v>12010.191346091053</v>
      </c>
      <c r="F63" s="289">
        <f>'Realkredit finansiering'!$F$10/'Realkredit finansiering'!$F$13*'F5'!B62</f>
        <v>1893.7890534534547</v>
      </c>
      <c r="G63" s="288">
        <f t="shared" si="2"/>
        <v>13903.980399544507</v>
      </c>
    </row>
    <row r="64" spans="1:7">
      <c r="A64" s="286">
        <v>61</v>
      </c>
      <c r="B64" s="287">
        <f t="shared" si="0"/>
        <v>2641069.4704800765</v>
      </c>
      <c r="C64" s="289">
        <f>'Realkredit finansiering'!$F$9/'Realkredit finansiering'!$F$13*'F5'!B63</f>
        <v>5735.9114591285843</v>
      </c>
      <c r="D64" s="289">
        <f t="shared" si="1"/>
        <v>6274.2798869624685</v>
      </c>
      <c r="E64" s="289">
        <f>'Realkredit finansiering'!$F$16</f>
        <v>12010.191346091053</v>
      </c>
      <c r="F64" s="289">
        <f>'Realkredit finansiering'!$F$10/'Realkredit finansiering'!$F$13*'F5'!B63</f>
        <v>1889.3209898452769</v>
      </c>
      <c r="G64" s="288">
        <f t="shared" si="2"/>
        <v>13899.51233593633</v>
      </c>
    </row>
    <row r="65" spans="1:7">
      <c r="A65" s="286">
        <v>62</v>
      </c>
      <c r="B65" s="287">
        <f t="shared" si="0"/>
        <v>2634781.5963200256</v>
      </c>
      <c r="C65" s="289">
        <f>'Realkredit finansiering'!$F$9/'Realkredit finansiering'!$F$13*'F5'!B64</f>
        <v>5722.3171860401653</v>
      </c>
      <c r="D65" s="289">
        <f t="shared" si="1"/>
        <v>6287.8741600508874</v>
      </c>
      <c r="E65" s="289">
        <f>'Realkredit finansiering'!$F$16</f>
        <v>12010.191346091053</v>
      </c>
      <c r="F65" s="289">
        <f>'Realkredit finansiering'!$F$10/'Realkredit finansiering'!$F$13*'F5'!B64</f>
        <v>1884.8432454326146</v>
      </c>
      <c r="G65" s="288">
        <f t="shared" si="2"/>
        <v>13895.034591523667</v>
      </c>
    </row>
    <row r="66" spans="1:7">
      <c r="A66" s="286">
        <v>63</v>
      </c>
      <c r="B66" s="287">
        <f t="shared" si="0"/>
        <v>2628480.098432628</v>
      </c>
      <c r="C66" s="289">
        <f>'Realkredit finansiering'!$F$9/'Realkredit finansiering'!$F$13*'F5'!B65</f>
        <v>5708.6934586933885</v>
      </c>
      <c r="D66" s="289">
        <f t="shared" si="1"/>
        <v>6301.4978873976643</v>
      </c>
      <c r="E66" s="289">
        <f>'Realkredit finansiering'!$F$16</f>
        <v>12010.191346091053</v>
      </c>
      <c r="F66" s="289">
        <f>'Realkredit finansiering'!$F$10/'Realkredit finansiering'!$F$13*'F5'!B65</f>
        <v>1880.3557992403917</v>
      </c>
      <c r="G66" s="288">
        <f t="shared" si="2"/>
        <v>13890.547145331444</v>
      </c>
    </row>
    <row r="67" spans="1:7">
      <c r="A67" s="286">
        <v>64</v>
      </c>
      <c r="B67" s="287">
        <f t="shared" si="0"/>
        <v>2622164.9472998078</v>
      </c>
      <c r="C67" s="289">
        <f>'Realkredit finansiering'!$F$9/'Realkredit finansiering'!$F$13*'F5'!B66</f>
        <v>5695.040213270694</v>
      </c>
      <c r="D67" s="289">
        <f t="shared" si="1"/>
        <v>6315.1511328203587</v>
      </c>
      <c r="E67" s="289">
        <f>'Realkredit finansiering'!$F$16</f>
        <v>12010.191346091053</v>
      </c>
      <c r="F67" s="289">
        <f>'Realkredit finansiering'!$F$10/'Realkredit finansiering'!$F$13*'F5'!B66</f>
        <v>1875.8586302480855</v>
      </c>
      <c r="G67" s="288">
        <f t="shared" si="2"/>
        <v>13886.049976339138</v>
      </c>
    </row>
    <row r="68" spans="1:7">
      <c r="A68" s="286">
        <v>65</v>
      </c>
      <c r="B68" s="287">
        <f t="shared" ref="B68:B123" si="3">B67-D68</f>
        <v>2615836.1133395331</v>
      </c>
      <c r="C68" s="289">
        <f>'Realkredit finansiering'!$F$9/'Realkredit finansiering'!$F$13*'F5'!B67</f>
        <v>5681.3573858162499</v>
      </c>
      <c r="D68" s="289">
        <f t="shared" ref="D68:D123" si="4">E68-C68</f>
        <v>6328.8339602748028</v>
      </c>
      <c r="E68" s="289">
        <f>'Realkredit finansiering'!$F$16</f>
        <v>12010.191346091053</v>
      </c>
      <c r="F68" s="289">
        <f>'Realkredit finansiering'!$F$10/'Realkredit finansiering'!$F$13*'F5'!B67</f>
        <v>1871.3517173896296</v>
      </c>
      <c r="G68" s="288">
        <f t="shared" ref="G68:G123" si="5">E68+F68</f>
        <v>13881.543063480682</v>
      </c>
    </row>
    <row r="69" spans="1:7">
      <c r="A69" s="286">
        <v>66</v>
      </c>
      <c r="B69" s="287">
        <f t="shared" si="3"/>
        <v>2609493.5669056778</v>
      </c>
      <c r="C69" s="289">
        <f>'Realkredit finansiering'!$F$9/'Realkredit finansiering'!$F$13*'F5'!B68</f>
        <v>5667.6449122356544</v>
      </c>
      <c r="D69" s="289">
        <f t="shared" si="4"/>
        <v>6342.5464338553984</v>
      </c>
      <c r="E69" s="289">
        <f>'Realkredit finansiering'!$F$16</f>
        <v>12010.191346091053</v>
      </c>
      <c r="F69" s="289">
        <f>'Realkredit finansiering'!$F$10/'Realkredit finansiering'!$F$13*'F5'!B68</f>
        <v>1866.8350395533134</v>
      </c>
      <c r="G69" s="288">
        <f t="shared" si="5"/>
        <v>13877.026385644367</v>
      </c>
    </row>
    <row r="70" spans="1:7">
      <c r="A70" s="286">
        <v>67</v>
      </c>
      <c r="B70" s="287">
        <f t="shared" si="3"/>
        <v>2603137.2782878825</v>
      </c>
      <c r="C70" s="289">
        <f>'Realkredit finansiering'!$F$9/'Realkredit finansiering'!$F$13*'F5'!B69</f>
        <v>5653.9027282956349</v>
      </c>
      <c r="D70" s="289">
        <f t="shared" si="4"/>
        <v>6356.2886177954178</v>
      </c>
      <c r="E70" s="289">
        <f>'Realkredit finansiering'!$F$16</f>
        <v>12010.191346091053</v>
      </c>
      <c r="F70" s="289">
        <f>'Realkredit finansiering'!$F$10/'Realkredit finansiering'!$F$13*'F5'!B69</f>
        <v>1862.3085755816855</v>
      </c>
      <c r="G70" s="288">
        <f t="shared" si="5"/>
        <v>13872.499921672737</v>
      </c>
    </row>
    <row r="71" spans="1:7">
      <c r="A71" s="286">
        <v>68</v>
      </c>
      <c r="B71" s="287">
        <f t="shared" si="3"/>
        <v>2596767.2177114151</v>
      </c>
      <c r="C71" s="289">
        <f>'Realkredit finansiering'!$F$9/'Realkredit finansiering'!$F$13*'F5'!B70</f>
        <v>5640.1307696237454</v>
      </c>
      <c r="D71" s="289">
        <f t="shared" si="4"/>
        <v>6370.0605764673073</v>
      </c>
      <c r="E71" s="289">
        <f>'Realkredit finansiering'!$F$16</f>
        <v>12010.191346091053</v>
      </c>
      <c r="F71" s="289">
        <f>'Realkredit finansiering'!$F$10/'Realkredit finansiering'!$F$13*'F5'!B70</f>
        <v>1857.7723042714522</v>
      </c>
      <c r="G71" s="288">
        <f t="shared" si="5"/>
        <v>13867.963650362504</v>
      </c>
    </row>
    <row r="72" spans="1:7">
      <c r="A72" s="286">
        <v>69</v>
      </c>
      <c r="B72" s="287">
        <f t="shared" si="3"/>
        <v>2590383.3553370321</v>
      </c>
      <c r="C72" s="289">
        <f>'Realkredit finansiering'!$F$9/'Realkredit finansiering'!$F$13*'F5'!B71</f>
        <v>5626.3289717080661</v>
      </c>
      <c r="D72" s="289">
        <f t="shared" si="4"/>
        <v>6383.8623743829867</v>
      </c>
      <c r="E72" s="289">
        <f>'Realkredit finansiering'!$F$16</f>
        <v>12010.191346091053</v>
      </c>
      <c r="F72" s="289">
        <f>'Realkredit finansiering'!$F$10/'Realkredit finansiering'!$F$13*'F5'!B71</f>
        <v>1853.2262043733801</v>
      </c>
      <c r="G72" s="288">
        <f t="shared" si="5"/>
        <v>13863.417550464434</v>
      </c>
    </row>
    <row r="73" spans="1:7">
      <c r="A73" s="286">
        <v>70</v>
      </c>
      <c r="B73" s="287">
        <f t="shared" si="3"/>
        <v>2583985.6612608382</v>
      </c>
      <c r="C73" s="289">
        <f>'Realkredit finansiering'!$F$9/'Realkredit finansiering'!$F$13*'F5'!B72</f>
        <v>5612.4972698969023</v>
      </c>
      <c r="D73" s="289">
        <f t="shared" si="4"/>
        <v>6397.6940761941505</v>
      </c>
      <c r="E73" s="289">
        <f>'Realkredit finansiering'!$F$16</f>
        <v>12010.191346091053</v>
      </c>
      <c r="F73" s="289">
        <f>'Realkredit finansiering'!$F$10/'Realkredit finansiering'!$F$13*'F5'!B72</f>
        <v>1848.6702545921953</v>
      </c>
      <c r="G73" s="288">
        <f t="shared" si="5"/>
        <v>13858.861600683249</v>
      </c>
    </row>
    <row r="74" spans="1:7">
      <c r="A74" s="286">
        <v>71</v>
      </c>
      <c r="B74" s="287">
        <f t="shared" si="3"/>
        <v>2577574.1055141455</v>
      </c>
      <c r="C74" s="289">
        <f>'Realkredit finansiering'!$F$9/'Realkredit finansiering'!$F$13*'F5'!B73</f>
        <v>5598.6355993984826</v>
      </c>
      <c r="D74" s="289">
        <f t="shared" si="4"/>
        <v>6411.5557466925702</v>
      </c>
      <c r="E74" s="289">
        <f>'Realkredit finansiering'!$F$16</f>
        <v>12010.191346091053</v>
      </c>
      <c r="F74" s="289">
        <f>'Realkredit finansiering'!$F$10/'Realkredit finansiering'!$F$13*'F5'!B73</f>
        <v>1844.1044335864849</v>
      </c>
      <c r="G74" s="288">
        <f t="shared" si="5"/>
        <v>13854.295779677537</v>
      </c>
    </row>
    <row r="75" spans="1:7">
      <c r="A75" s="286">
        <v>72</v>
      </c>
      <c r="B75" s="287">
        <f t="shared" si="3"/>
        <v>2571148.6580633349</v>
      </c>
      <c r="C75" s="289">
        <f>'Realkredit finansiering'!$F$9/'Realkredit finansiering'!$F$13*'F5'!B74</f>
        <v>5584.7438952806478</v>
      </c>
      <c r="D75" s="289">
        <f t="shared" si="4"/>
        <v>6425.4474508104049</v>
      </c>
      <c r="E75" s="289">
        <f>'Realkredit finansiering'!$F$16</f>
        <v>12010.191346091053</v>
      </c>
      <c r="F75" s="289">
        <f>'Realkredit finansiering'!$F$10/'Realkredit finansiering'!$F$13*'F5'!B74</f>
        <v>1839.5287199685952</v>
      </c>
      <c r="G75" s="288">
        <f t="shared" si="5"/>
        <v>13849.720066059648</v>
      </c>
    </row>
    <row r="76" spans="1:7">
      <c r="A76" s="286">
        <v>73</v>
      </c>
      <c r="B76" s="287">
        <f t="shared" si="3"/>
        <v>2564709.2888097144</v>
      </c>
      <c r="C76" s="289">
        <f>'Realkredit finansiering'!$F$9/'Realkredit finansiering'!$F$13*'F5'!B75</f>
        <v>5570.8220924705583</v>
      </c>
      <c r="D76" s="289">
        <f t="shared" si="4"/>
        <v>6439.3692536204944</v>
      </c>
      <c r="E76" s="289">
        <f>'Realkredit finansiering'!$F$16</f>
        <v>12010.191346091053</v>
      </c>
      <c r="F76" s="289">
        <f>'Realkredit finansiering'!$F$10/'Realkredit finansiering'!$F$13*'F5'!B75</f>
        <v>1834.9430923045334</v>
      </c>
      <c r="G76" s="288">
        <f t="shared" si="5"/>
        <v>13845.134438395586</v>
      </c>
    </row>
    <row r="77" spans="1:7">
      <c r="A77" s="286">
        <v>74</v>
      </c>
      <c r="B77" s="287">
        <f t="shared" si="3"/>
        <v>2558255.9675893779</v>
      </c>
      <c r="C77" s="289">
        <f>'Realkredit finansiering'!$F$9/'Realkredit finansiering'!$F$13*'F5'!B76</f>
        <v>5556.8701257543808</v>
      </c>
      <c r="D77" s="289">
        <f t="shared" si="4"/>
        <v>6453.321220336672</v>
      </c>
      <c r="E77" s="289">
        <f>'Realkredit finansiering'!$F$16</f>
        <v>12010.191346091053</v>
      </c>
      <c r="F77" s="289">
        <f>'Realkredit finansiering'!$F$10/'Realkredit finansiering'!$F$13*'F5'!B76</f>
        <v>1830.3475291138664</v>
      </c>
      <c r="G77" s="288">
        <f t="shared" si="5"/>
        <v>13840.538875204918</v>
      </c>
    </row>
    <row r="78" spans="1:7">
      <c r="A78" s="286">
        <v>75</v>
      </c>
      <c r="B78" s="287">
        <f t="shared" si="3"/>
        <v>2551788.6641730638</v>
      </c>
      <c r="C78" s="289">
        <f>'Realkredit finansiering'!$F$9/'Realkredit finansiering'!$F$13*'F5'!B77</f>
        <v>5542.8879297769854</v>
      </c>
      <c r="D78" s="289">
        <f t="shared" si="4"/>
        <v>6467.3034163140674</v>
      </c>
      <c r="E78" s="289">
        <f>'Realkredit finansiering'!$F$16</f>
        <v>12010.191346091053</v>
      </c>
      <c r="F78" s="289">
        <f>'Realkredit finansiering'!$F$10/'Realkredit finansiering'!$F$13*'F5'!B77</f>
        <v>1825.7420088696194</v>
      </c>
      <c r="G78" s="288">
        <f t="shared" si="5"/>
        <v>13835.933354960673</v>
      </c>
    </row>
    <row r="79" spans="1:7">
      <c r="A79" s="286">
        <v>76</v>
      </c>
      <c r="B79" s="287">
        <f t="shared" si="3"/>
        <v>2545307.3482660144</v>
      </c>
      <c r="C79" s="289">
        <f>'Realkredit finansiering'!$F$9/'Realkredit finansiering'!$F$13*'F5'!B78</f>
        <v>5528.8754390416379</v>
      </c>
      <c r="D79" s="289">
        <f t="shared" si="4"/>
        <v>6481.3159070494148</v>
      </c>
      <c r="E79" s="289">
        <f>'Realkredit finansiering'!$F$16</f>
        <v>12010.191346091053</v>
      </c>
      <c r="F79" s="289">
        <f>'Realkredit finansiering'!$F$10/'Realkredit finansiering'!$F$13*'F5'!B78</f>
        <v>1821.1265099981767</v>
      </c>
      <c r="G79" s="288">
        <f t="shared" si="5"/>
        <v>13831.31785608923</v>
      </c>
    </row>
    <row r="80" spans="1:7">
      <c r="A80" s="286">
        <v>77</v>
      </c>
      <c r="B80" s="287">
        <f t="shared" si="3"/>
        <v>2538811.989507833</v>
      </c>
      <c r="C80" s="289">
        <f>'Realkredit finansiering'!$F$9/'Realkredit finansiering'!$F$13*'F5'!B79</f>
        <v>5514.8325879096974</v>
      </c>
      <c r="D80" s="289">
        <f t="shared" si="4"/>
        <v>6495.3587581813554</v>
      </c>
      <c r="E80" s="289">
        <f>'Realkredit finansiering'!$F$16</f>
        <v>12010.191346091053</v>
      </c>
      <c r="F80" s="289">
        <f>'Realkredit finansiering'!$F$10/'Realkredit finansiering'!$F$13*'F5'!B79</f>
        <v>1816.5010108791789</v>
      </c>
      <c r="G80" s="288">
        <f t="shared" si="5"/>
        <v>13826.692356970232</v>
      </c>
    </row>
    <row r="81" spans="1:7">
      <c r="A81" s="286">
        <v>78</v>
      </c>
      <c r="B81" s="287">
        <f t="shared" si="3"/>
        <v>2532302.5574723422</v>
      </c>
      <c r="C81" s="289">
        <f>'Realkredit finansiering'!$F$9/'Realkredit finansiering'!$F$13*'F5'!B80</f>
        <v>5500.7593106003051</v>
      </c>
      <c r="D81" s="289">
        <f t="shared" si="4"/>
        <v>6509.4320354907477</v>
      </c>
      <c r="E81" s="289">
        <f>'Realkredit finansiering'!$F$16</f>
        <v>12010.191346091053</v>
      </c>
      <c r="F81" s="289">
        <f>'Realkredit finansiering'!$F$10/'Realkredit finansiering'!$F$13*'F5'!B80</f>
        <v>1811.8654898454236</v>
      </c>
      <c r="G81" s="288">
        <f t="shared" si="5"/>
        <v>13822.056835936477</v>
      </c>
    </row>
    <row r="82" spans="1:7">
      <c r="A82" s="286">
        <v>79</v>
      </c>
      <c r="B82" s="287">
        <f t="shared" si="3"/>
        <v>2525779.0216674414</v>
      </c>
      <c r="C82" s="289">
        <f>'Realkredit finansiering'!$F$9/'Realkredit finansiering'!$F$13*'F5'!B81</f>
        <v>5486.6555411900745</v>
      </c>
      <c r="D82" s="289">
        <f t="shared" si="4"/>
        <v>6523.5358049009783</v>
      </c>
      <c r="E82" s="289">
        <f>'Realkredit finansiering'!$F$16</f>
        <v>12010.191346091053</v>
      </c>
      <c r="F82" s="289">
        <f>'Realkredit finansiering'!$F$10/'Realkredit finansiering'!$F$13*'F5'!B81</f>
        <v>1807.2199251827617</v>
      </c>
      <c r="G82" s="288">
        <f t="shared" si="5"/>
        <v>13817.411271273815</v>
      </c>
    </row>
    <row r="83" spans="1:7">
      <c r="A83" s="286">
        <v>80</v>
      </c>
      <c r="B83" s="287">
        <f t="shared" si="3"/>
        <v>2519241.3515349631</v>
      </c>
      <c r="C83" s="289">
        <f>'Realkredit finansiering'!$F$9/'Realkredit finansiering'!$F$13*'F5'!B82</f>
        <v>5472.5212136127893</v>
      </c>
      <c r="D83" s="289">
        <f t="shared" si="4"/>
        <v>6537.6701324782634</v>
      </c>
      <c r="E83" s="289">
        <f>'Realkredit finansiering'!$F$16</f>
        <v>12010.191346091053</v>
      </c>
      <c r="F83" s="289">
        <f>'Realkredit finansiering'!$F$10/'Realkredit finansiering'!$F$13*'F5'!B82</f>
        <v>1802.5642951299974</v>
      </c>
      <c r="G83" s="288">
        <f t="shared" si="5"/>
        <v>13812.755641221051</v>
      </c>
    </row>
    <row r="84" spans="1:7">
      <c r="A84" s="286">
        <v>81</v>
      </c>
      <c r="B84" s="287">
        <f t="shared" si="3"/>
        <v>2512689.5164505313</v>
      </c>
      <c r="C84" s="289">
        <f>'Realkredit finansiering'!$F$9/'Realkredit finansiering'!$F$13*'F5'!B83</f>
        <v>5458.3562616590862</v>
      </c>
      <c r="D84" s="289">
        <f t="shared" si="4"/>
        <v>6551.8350844319666</v>
      </c>
      <c r="E84" s="289">
        <f>'Realkredit finansiering'!$F$16</f>
        <v>12010.191346091053</v>
      </c>
      <c r="F84" s="289">
        <f>'Realkredit finansiering'!$F$10/'Realkredit finansiering'!$F$13*'F5'!B83</f>
        <v>1797.8985778787855</v>
      </c>
      <c r="G84" s="288">
        <f t="shared" si="5"/>
        <v>13808.089923969837</v>
      </c>
    </row>
    <row r="85" spans="1:7">
      <c r="A85" s="286">
        <v>82</v>
      </c>
      <c r="B85" s="287">
        <f t="shared" si="3"/>
        <v>2506123.4857234163</v>
      </c>
      <c r="C85" s="289">
        <f>'Realkredit finansiering'!$F$9/'Realkredit finansiering'!$F$13*'F5'!B84</f>
        <v>5444.1606189761505</v>
      </c>
      <c r="D85" s="289">
        <f t="shared" si="4"/>
        <v>6566.0307271149022</v>
      </c>
      <c r="E85" s="289">
        <f>'Realkredit finansiering'!$F$16</f>
        <v>12010.191346091053</v>
      </c>
      <c r="F85" s="289">
        <f>'Realkredit finansiering'!$F$10/'Realkredit finansiering'!$F$13*'F5'!B84</f>
        <v>1793.2227515735292</v>
      </c>
      <c r="G85" s="288">
        <f t="shared" si="5"/>
        <v>13803.414097664581</v>
      </c>
    </row>
    <row r="86" spans="1:7">
      <c r="A86" s="286">
        <v>83</v>
      </c>
      <c r="B86" s="287">
        <f t="shared" si="3"/>
        <v>2499543.2285963926</v>
      </c>
      <c r="C86" s="289">
        <f>'Realkredit finansiering'!$F$9/'Realkredit finansiering'!$F$13*'F5'!B85</f>
        <v>5429.9342190674015</v>
      </c>
      <c r="D86" s="289">
        <f t="shared" si="4"/>
        <v>6580.2571270236513</v>
      </c>
      <c r="E86" s="289">
        <f>'Realkredit finansiering'!$F$16</f>
        <v>12010.191346091053</v>
      </c>
      <c r="F86" s="289">
        <f>'Realkredit finansiering'!$F$10/'Realkredit finansiering'!$F$13*'F5'!B85</f>
        <v>1788.5367943112783</v>
      </c>
      <c r="G86" s="288">
        <f t="shared" si="5"/>
        <v>13798.728140402331</v>
      </c>
    </row>
    <row r="87" spans="1:7">
      <c r="A87" s="286">
        <v>84</v>
      </c>
      <c r="B87" s="287">
        <f t="shared" si="3"/>
        <v>2492948.7142455936</v>
      </c>
      <c r="C87" s="289">
        <f>'Realkredit finansiering'!$F$9/'Realkredit finansiering'!$F$13*'F5'!B86</f>
        <v>5415.6769952921832</v>
      </c>
      <c r="D87" s="289">
        <f t="shared" si="4"/>
        <v>6594.5143507988696</v>
      </c>
      <c r="E87" s="289">
        <f>'Realkredit finansiering'!$F$16</f>
        <v>12010.191346091053</v>
      </c>
      <c r="F87" s="289">
        <f>'Realkredit finansiering'!$F$10/'Realkredit finansiering'!$F$13*'F5'!B86</f>
        <v>1783.8406841416256</v>
      </c>
      <c r="G87" s="288">
        <f t="shared" si="5"/>
        <v>13794.032030232678</v>
      </c>
    </row>
    <row r="88" spans="1:7">
      <c r="A88" s="286">
        <v>85</v>
      </c>
      <c r="B88" s="287">
        <f t="shared" si="3"/>
        <v>2486339.9117803681</v>
      </c>
      <c r="C88" s="289">
        <f>'Realkredit finansiering'!$F$9/'Realkredit finansiering'!$F$13*'F5'!B87</f>
        <v>5401.3888808654528</v>
      </c>
      <c r="D88" s="289">
        <f t="shared" si="4"/>
        <v>6608.8024652255999</v>
      </c>
      <c r="E88" s="289">
        <f>'Realkredit finansiering'!$F$16</f>
        <v>12010.191346091053</v>
      </c>
      <c r="F88" s="289">
        <f>'Realkredit finansiering'!$F$10/'Realkredit finansiering'!$F$13*'F5'!B87</f>
        <v>1779.1343990666055</v>
      </c>
      <c r="G88" s="288">
        <f t="shared" si="5"/>
        <v>13789.325745157657</v>
      </c>
    </row>
    <row r="89" spans="1:7">
      <c r="A89" s="286">
        <v>86</v>
      </c>
      <c r="B89" s="287">
        <f t="shared" si="3"/>
        <v>2479716.7902431344</v>
      </c>
      <c r="C89" s="289">
        <f>'Realkredit finansiering'!$F$9/'Realkredit finansiering'!$F$13*'F5'!B88</f>
        <v>5387.0698088574636</v>
      </c>
      <c r="D89" s="289">
        <f t="shared" si="4"/>
        <v>6623.1215372335892</v>
      </c>
      <c r="E89" s="289">
        <f>'Realkredit finansiering'!$F$16</f>
        <v>12010.191346091053</v>
      </c>
      <c r="F89" s="289">
        <f>'Realkredit finansiering'!$F$10/'Realkredit finansiering'!$F$13*'F5'!B88</f>
        <v>1774.4179170405894</v>
      </c>
      <c r="G89" s="288">
        <f t="shared" si="5"/>
        <v>13784.609263131642</v>
      </c>
    </row>
    <row r="90" spans="1:7">
      <c r="A90" s="286">
        <v>87</v>
      </c>
      <c r="B90" s="287">
        <f t="shared" si="3"/>
        <v>2473079.3186092367</v>
      </c>
      <c r="C90" s="289">
        <f>'Realkredit finansiering'!$F$9/'Realkredit finansiering'!$F$13*'F5'!B89</f>
        <v>5372.7197121934578</v>
      </c>
      <c r="D90" s="289">
        <f t="shared" si="4"/>
        <v>6637.471633897595</v>
      </c>
      <c r="E90" s="289">
        <f>'Realkredit finansiering'!$F$16</f>
        <v>12010.191346091053</v>
      </c>
      <c r="F90" s="289">
        <f>'Realkredit finansiering'!$F$10/'Realkredit finansiering'!$F$13*'F5'!B89</f>
        <v>1769.6912159701837</v>
      </c>
      <c r="G90" s="288">
        <f t="shared" si="5"/>
        <v>13779.882562061237</v>
      </c>
    </row>
    <row r="91" spans="1:7">
      <c r="A91" s="286">
        <v>88</v>
      </c>
      <c r="B91" s="287">
        <f t="shared" si="3"/>
        <v>2466427.4657867989</v>
      </c>
      <c r="C91" s="289">
        <f>'Realkredit finansiering'!$F$9/'Realkredit finansiering'!$F$13*'F5'!B90</f>
        <v>5358.3385236533459</v>
      </c>
      <c r="D91" s="289">
        <f t="shared" si="4"/>
        <v>6651.8528224377069</v>
      </c>
      <c r="E91" s="289">
        <f>'Realkredit finansiering'!$F$16</f>
        <v>12010.191346091053</v>
      </c>
      <c r="F91" s="289">
        <f>'Realkredit finansiering'!$F$10/'Realkredit finansiering'!$F$13*'F5'!B90</f>
        <v>1764.9542737141253</v>
      </c>
      <c r="G91" s="288">
        <f t="shared" si="5"/>
        <v>13775.145619805178</v>
      </c>
    </row>
    <row r="92" spans="1:7">
      <c r="A92" s="286">
        <v>89</v>
      </c>
      <c r="B92" s="287">
        <f t="shared" si="3"/>
        <v>2459761.200616579</v>
      </c>
      <c r="C92" s="289">
        <f>'Realkredit finansiering'!$F$9/'Realkredit finansiering'!$F$13*'F5'!B91</f>
        <v>5343.9261758713974</v>
      </c>
      <c r="D92" s="289">
        <f t="shared" si="4"/>
        <v>6666.2651702196554</v>
      </c>
      <c r="E92" s="289">
        <f>'Realkredit finansiering'!$F$16</f>
        <v>12010.191346091053</v>
      </c>
      <c r="F92" s="289">
        <f>'Realkredit finansiering'!$F$10/'Realkredit finansiering'!$F$13*'F5'!B91</f>
        <v>1760.2070680831789</v>
      </c>
      <c r="G92" s="288">
        <f t="shared" si="5"/>
        <v>13770.398414174231</v>
      </c>
    </row>
    <row r="93" spans="1:7">
      <c r="A93" s="286">
        <v>90</v>
      </c>
      <c r="B93" s="287">
        <f t="shared" si="3"/>
        <v>2453080.491871824</v>
      </c>
      <c r="C93" s="289">
        <f>'Realkredit finansiering'!$F$9/'Realkredit finansiering'!$F$13*'F5'!B92</f>
        <v>5329.4826013359207</v>
      </c>
      <c r="D93" s="289">
        <f t="shared" si="4"/>
        <v>6680.7087447551321</v>
      </c>
      <c r="E93" s="289">
        <f>'Realkredit finansiering'!$F$16</f>
        <v>12010.191346091053</v>
      </c>
      <c r="F93" s="289">
        <f>'Realkredit finansiering'!$F$10/'Realkredit finansiering'!$F$13*'F5'!B92</f>
        <v>1755.449576840032</v>
      </c>
      <c r="G93" s="288">
        <f t="shared" si="5"/>
        <v>13765.640922931085</v>
      </c>
    </row>
    <row r="94" spans="1:7">
      <c r="A94" s="286">
        <v>91</v>
      </c>
      <c r="B94" s="287">
        <f t="shared" si="3"/>
        <v>2446385.3082581218</v>
      </c>
      <c r="C94" s="289">
        <f>'Realkredit finansiering'!$F$9/'Realkredit finansiering'!$F$13*'F5'!B93</f>
        <v>5315.0077323889518</v>
      </c>
      <c r="D94" s="289">
        <f t="shared" si="4"/>
        <v>6695.183613702101</v>
      </c>
      <c r="E94" s="289">
        <f>'Realkredit finansiering'!$F$16</f>
        <v>12010.191346091053</v>
      </c>
      <c r="F94" s="289">
        <f>'Realkredit finansiering'!$F$10/'Realkredit finansiering'!$F$13*'F5'!B93</f>
        <v>1750.6817776991918</v>
      </c>
      <c r="G94" s="288">
        <f t="shared" si="5"/>
        <v>13760.873123790245</v>
      </c>
    </row>
    <row r="95" spans="1:7">
      <c r="A95" s="286">
        <v>92</v>
      </c>
      <c r="B95" s="287">
        <f t="shared" si="3"/>
        <v>2439675.6184132565</v>
      </c>
      <c r="C95" s="289">
        <f>'Realkredit finansiering'!$F$9/'Realkredit finansiering'!$F$13*'F5'!B94</f>
        <v>5300.50150122593</v>
      </c>
      <c r="D95" s="289">
        <f t="shared" si="4"/>
        <v>6709.6898448651227</v>
      </c>
      <c r="E95" s="289">
        <f>'Realkredit finansiering'!$F$16</f>
        <v>12010.191346091053</v>
      </c>
      <c r="F95" s="289">
        <f>'Realkredit finansiering'!$F$10/'Realkredit finansiering'!$F$13*'F5'!B94</f>
        <v>1745.9036483268796</v>
      </c>
      <c r="G95" s="288">
        <f t="shared" si="5"/>
        <v>13756.094994417932</v>
      </c>
    </row>
    <row r="96" spans="1:7">
      <c r="A96" s="286">
        <v>93</v>
      </c>
      <c r="B96" s="287">
        <f t="shared" si="3"/>
        <v>2432951.3909070608</v>
      </c>
      <c r="C96" s="289">
        <f>'Realkredit finansiering'!$F$9/'Realkredit finansiering'!$F$13*'F5'!B95</f>
        <v>5285.9638398953884</v>
      </c>
      <c r="D96" s="289">
        <f t="shared" si="4"/>
        <v>6724.2275061956643</v>
      </c>
      <c r="E96" s="289">
        <f>'Realkredit finansiering'!$F$16</f>
        <v>12010.191346091053</v>
      </c>
      <c r="F96" s="289">
        <f>'Realkredit finansiering'!$F$10/'Realkredit finansiering'!$F$13*'F5'!B95</f>
        <v>1741.1151663409275</v>
      </c>
      <c r="G96" s="288">
        <f t="shared" si="5"/>
        <v>13751.30651243198</v>
      </c>
    </row>
    <row r="97" spans="1:7">
      <c r="A97" s="286">
        <v>94</v>
      </c>
      <c r="B97" s="287">
        <f t="shared" si="3"/>
        <v>2426212.5942412685</v>
      </c>
      <c r="C97" s="289">
        <f>'Realkredit finansiering'!$F$9/'Realkredit finansiering'!$F$13*'F5'!B96</f>
        <v>5271.3946802986311</v>
      </c>
      <c r="D97" s="289">
        <f t="shared" si="4"/>
        <v>6738.7966657924217</v>
      </c>
      <c r="E97" s="289">
        <f>'Realkredit finansiering'!$F$16</f>
        <v>12010.191346091053</v>
      </c>
      <c r="F97" s="289">
        <f>'Realkredit finansiering'!$F$10/'Realkredit finansiering'!$F$13*'F5'!B96</f>
        <v>1736.3163093106725</v>
      </c>
      <c r="G97" s="288">
        <f t="shared" si="5"/>
        <v>13746.507655401725</v>
      </c>
    </row>
    <row r="98" spans="1:7">
      <c r="A98" s="286">
        <v>95</v>
      </c>
      <c r="B98" s="287">
        <f t="shared" si="3"/>
        <v>2419459.1968493666</v>
      </c>
      <c r="C98" s="289">
        <f>'Realkredit finansiering'!$F$9/'Realkredit finansiering'!$F$13*'F5'!B97</f>
        <v>5256.7939541894148</v>
      </c>
      <c r="D98" s="289">
        <f t="shared" si="4"/>
        <v>6753.397391901638</v>
      </c>
      <c r="E98" s="289">
        <f>'Realkredit finansiering'!$F$16</f>
        <v>12010.191346091053</v>
      </c>
      <c r="F98" s="289">
        <f>'Realkredit finansiering'!$F$10/'Realkredit finansiering'!$F$13*'F5'!B97</f>
        <v>1731.5070547568521</v>
      </c>
      <c r="G98" s="288">
        <f t="shared" si="5"/>
        <v>13741.698400847905</v>
      </c>
    </row>
    <row r="99" spans="1:7">
      <c r="A99" s="286">
        <v>96</v>
      </c>
      <c r="B99" s="287">
        <f t="shared" si="3"/>
        <v>2412691.1670964491</v>
      </c>
      <c r="C99" s="289">
        <f>'Realkredit finansiering'!$F$9/'Realkredit finansiering'!$F$13*'F5'!B98</f>
        <v>5242.1615931736278</v>
      </c>
      <c r="D99" s="289">
        <f t="shared" si="4"/>
        <v>6768.029752917425</v>
      </c>
      <c r="E99" s="289">
        <f>'Realkredit finansiering'!$F$16</f>
        <v>12010.191346091053</v>
      </c>
      <c r="F99" s="289">
        <f>'Realkredit finansiering'!$F$10/'Realkredit finansiering'!$F$13*'F5'!B98</f>
        <v>1726.687380151498</v>
      </c>
      <c r="G99" s="288">
        <f t="shared" si="5"/>
        <v>13736.87872624255</v>
      </c>
    </row>
    <row r="100" spans="1:7">
      <c r="A100" s="286">
        <v>97</v>
      </c>
      <c r="B100" s="287">
        <f t="shared" si="3"/>
        <v>2405908.4732790668</v>
      </c>
      <c r="C100" s="289">
        <f>'Realkredit finansiering'!$F$9/'Realkredit finansiering'!$F$13*'F5'!B99</f>
        <v>5227.4975287089728</v>
      </c>
      <c r="D100" s="289">
        <f t="shared" si="4"/>
        <v>6782.6938173820799</v>
      </c>
      <c r="E100" s="289">
        <f>'Realkredit finansiering'!$F$16</f>
        <v>12010.191346091053</v>
      </c>
      <c r="F100" s="289">
        <f>'Realkredit finansiering'!$F$10/'Realkredit finansiering'!$F$13*'F5'!B99</f>
        <v>1721.8572629178325</v>
      </c>
      <c r="G100" s="288">
        <f t="shared" si="5"/>
        <v>13732.048609008885</v>
      </c>
    </row>
    <row r="101" spans="1:7">
      <c r="A101" s="286">
        <v>98</v>
      </c>
      <c r="B101" s="287">
        <f t="shared" si="3"/>
        <v>2399111.0836250805</v>
      </c>
      <c r="C101" s="289">
        <f>'Realkredit finansiering'!$F$9/'Realkredit finansiering'!$F$13*'F5'!B100</f>
        <v>5212.8016921046446</v>
      </c>
      <c r="D101" s="289">
        <f t="shared" si="4"/>
        <v>6797.3896539864081</v>
      </c>
      <c r="E101" s="289">
        <f>'Realkredit finansiering'!$F$16</f>
        <v>12010.191346091053</v>
      </c>
      <c r="F101" s="289">
        <f>'Realkredit finansiering'!$F$10/'Realkredit finansiering'!$F$13*'F5'!B100</f>
        <v>1717.0166804301607</v>
      </c>
      <c r="G101" s="288">
        <f t="shared" si="5"/>
        <v>13727.208026521213</v>
      </c>
    </row>
    <row r="102" spans="1:7">
      <c r="A102" s="286">
        <v>99</v>
      </c>
      <c r="B102" s="287">
        <f t="shared" si="3"/>
        <v>2392298.9662935105</v>
      </c>
      <c r="C102" s="289">
        <f>'Realkredit finansiering'!$F$9/'Realkredit finansiering'!$F$13*'F5'!B101</f>
        <v>5198.0740145210075</v>
      </c>
      <c r="D102" s="289">
        <f t="shared" si="4"/>
        <v>6812.1173315700453</v>
      </c>
      <c r="E102" s="289">
        <f>'Realkredit finansiering'!$F$16</f>
        <v>12010.191346091053</v>
      </c>
      <c r="F102" s="289">
        <f>'Realkredit finansiering'!$F$10/'Realkredit finansiering'!$F$13*'F5'!B101</f>
        <v>1712.1656100137659</v>
      </c>
      <c r="G102" s="288">
        <f t="shared" si="5"/>
        <v>13722.356956104819</v>
      </c>
    </row>
    <row r="103" spans="1:7">
      <c r="A103" s="286">
        <v>100</v>
      </c>
      <c r="B103" s="287">
        <f t="shared" si="3"/>
        <v>2385472.0893743886</v>
      </c>
      <c r="C103" s="289">
        <f>'Realkredit finansiering'!$F$9/'Realkredit finansiering'!$F$13*'F5'!B102</f>
        <v>5183.314426969273</v>
      </c>
      <c r="D103" s="289">
        <f t="shared" si="4"/>
        <v>6826.8769191217798</v>
      </c>
      <c r="E103" s="289">
        <f>'Realkredit finansiering'!$F$16</f>
        <v>12010.191346091053</v>
      </c>
      <c r="F103" s="289">
        <f>'Realkredit finansiering'!$F$10/'Realkredit finansiering'!$F$13*'F5'!B102</f>
        <v>1707.304028944802</v>
      </c>
      <c r="G103" s="288">
        <f t="shared" si="5"/>
        <v>13717.495375035855</v>
      </c>
    </row>
    <row r="104" spans="1:7">
      <c r="A104" s="286">
        <v>101</v>
      </c>
      <c r="B104" s="287">
        <f t="shared" si="3"/>
        <v>2378630.4208886088</v>
      </c>
      <c r="C104" s="289">
        <f>'Realkredit finansiering'!$F$9/'Realkredit finansiering'!$F$13*'F5'!B103</f>
        <v>5168.5228603111746</v>
      </c>
      <c r="D104" s="289">
        <f t="shared" si="4"/>
        <v>6841.6684857798782</v>
      </c>
      <c r="E104" s="289">
        <f>'Realkredit finansiering'!$F$16</f>
        <v>12010.191346091053</v>
      </c>
      <c r="F104" s="289">
        <f>'Realkredit finansiering'!$F$10/'Realkredit finansiering'!$F$13*'F5'!B103</f>
        <v>1702.4319144501887</v>
      </c>
      <c r="G104" s="288">
        <f t="shared" si="5"/>
        <v>13712.623260541241</v>
      </c>
    </row>
    <row r="105" spans="1:7">
      <c r="A105" s="286">
        <v>102</v>
      </c>
      <c r="B105" s="287">
        <f t="shared" si="3"/>
        <v>2371773.9287877763</v>
      </c>
      <c r="C105" s="289">
        <f>'Realkredit finansiering'!$F$9/'Realkredit finansiering'!$F$13*'F5'!B104</f>
        <v>5153.6992452586519</v>
      </c>
      <c r="D105" s="289">
        <f t="shared" si="4"/>
        <v>6856.4921008324009</v>
      </c>
      <c r="E105" s="289">
        <f>'Realkredit finansiering'!$F$16</f>
        <v>12010.191346091053</v>
      </c>
      <c r="F105" s="289">
        <f>'Realkredit finansiering'!$F$10/'Realkredit finansiering'!$F$13*'F5'!B104</f>
        <v>1697.5492437075038</v>
      </c>
      <c r="G105" s="288">
        <f t="shared" si="5"/>
        <v>13707.740589798557</v>
      </c>
    </row>
    <row r="106" spans="1:7">
      <c r="A106" s="286">
        <v>103</v>
      </c>
      <c r="B106" s="287">
        <f t="shared" si="3"/>
        <v>2364902.5809540586</v>
      </c>
      <c r="C106" s="289">
        <f>'Realkredit finansiering'!$F$9/'Realkredit finansiering'!$F$13*'F5'!B105</f>
        <v>5138.8435123735153</v>
      </c>
      <c r="D106" s="289">
        <f t="shared" si="4"/>
        <v>6871.3478337175375</v>
      </c>
      <c r="E106" s="289">
        <f>'Realkredit finansiering'!$F$16</f>
        <v>12010.191346091053</v>
      </c>
      <c r="F106" s="289">
        <f>'Realkredit finansiering'!$F$10/'Realkredit finansiering'!$F$13*'F5'!B105</f>
        <v>1692.6559938448763</v>
      </c>
      <c r="G106" s="288">
        <f t="shared" si="5"/>
        <v>13702.847339935928</v>
      </c>
    </row>
    <row r="107" spans="1:7">
      <c r="A107" s="286">
        <v>104</v>
      </c>
      <c r="B107" s="287">
        <f t="shared" si="3"/>
        <v>2358016.3452000348</v>
      </c>
      <c r="C107" s="289">
        <f>'Realkredit finansiering'!$F$9/'Realkredit finansiering'!$F$13*'F5'!B106</f>
        <v>5123.9555920671264</v>
      </c>
      <c r="D107" s="289">
        <f t="shared" si="4"/>
        <v>6886.2357540239263</v>
      </c>
      <c r="E107" s="289">
        <f>'Realkredit finansiering'!$F$16</f>
        <v>12010.191346091053</v>
      </c>
      <c r="F107" s="289">
        <f>'Realkredit finansiering'!$F$10/'Realkredit finansiering'!$F$13*'F5'!B106</f>
        <v>1687.7521419408799</v>
      </c>
      <c r="G107" s="288">
        <f t="shared" si="5"/>
        <v>13697.943488031933</v>
      </c>
    </row>
    <row r="108" spans="1:7">
      <c r="A108" s="286">
        <v>105</v>
      </c>
      <c r="B108" s="287">
        <f t="shared" si="3"/>
        <v>2351115.1892685439</v>
      </c>
      <c r="C108" s="289">
        <f>'Realkredit finansiering'!$F$9/'Realkredit finansiering'!$F$13*'F5'!B107</f>
        <v>5109.0354146000755</v>
      </c>
      <c r="D108" s="289">
        <f t="shared" si="4"/>
        <v>6901.1559314909773</v>
      </c>
      <c r="E108" s="289">
        <f>'Realkredit finansiering'!$F$16</f>
        <v>12010.191346091053</v>
      </c>
      <c r="F108" s="289">
        <f>'Realkredit finansiering'!$F$10/'Realkredit finansiering'!$F$13*'F5'!B107</f>
        <v>1682.837665024425</v>
      </c>
      <c r="G108" s="288">
        <f t="shared" si="5"/>
        <v>13693.029011115477</v>
      </c>
    </row>
    <row r="109" spans="1:7">
      <c r="A109" s="286">
        <v>106</v>
      </c>
      <c r="B109" s="287">
        <f t="shared" si="3"/>
        <v>2344199.0808325345</v>
      </c>
      <c r="C109" s="289">
        <f>'Realkredit finansiering'!$F$9/'Realkredit finansiering'!$F$13*'F5'!B108</f>
        <v>5094.0829100818446</v>
      </c>
      <c r="D109" s="289">
        <f t="shared" si="4"/>
        <v>6916.1084360092082</v>
      </c>
      <c r="E109" s="289">
        <f>'Realkredit finansiering'!$F$16</f>
        <v>12010.191346091053</v>
      </c>
      <c r="F109" s="289">
        <f>'Realkredit finansiering'!$F$10/'Realkredit finansiering'!$F$13*'F5'!B108</f>
        <v>1677.9125400746509</v>
      </c>
      <c r="G109" s="288">
        <f t="shared" si="5"/>
        <v>13688.103886165703</v>
      </c>
    </row>
    <row r="110" spans="1:7">
      <c r="A110" s="286">
        <v>107</v>
      </c>
      <c r="B110" s="287">
        <f t="shared" si="3"/>
        <v>2337267.9874949139</v>
      </c>
      <c r="C110" s="289">
        <f>'Realkredit finansiering'!$F$9/'Realkredit finansiering'!$F$13*'F5'!B109</f>
        <v>5079.0980084704915</v>
      </c>
      <c r="D110" s="289">
        <f t="shared" si="4"/>
        <v>6931.0933376205612</v>
      </c>
      <c r="E110" s="289">
        <f>'Realkredit finansiering'!$F$16</f>
        <v>12010.191346091053</v>
      </c>
      <c r="F110" s="289">
        <f>'Realkredit finansiering'!$F$10/'Realkredit finansiering'!$F$13*'F5'!B109</f>
        <v>1672.9767440208188</v>
      </c>
      <c r="G110" s="288">
        <f t="shared" si="5"/>
        <v>13683.168090111871</v>
      </c>
    </row>
    <row r="111" spans="1:7">
      <c r="A111" s="286">
        <v>108</v>
      </c>
      <c r="B111" s="287">
        <f t="shared" si="3"/>
        <v>2330321.876788395</v>
      </c>
      <c r="C111" s="289">
        <f>'Realkredit finansiering'!$F$9/'Realkredit finansiering'!$F$13*'F5'!B110</f>
        <v>5064.080639572313</v>
      </c>
      <c r="D111" s="289">
        <f t="shared" si="4"/>
        <v>6946.1107065187398</v>
      </c>
      <c r="E111" s="289">
        <f>'Realkredit finansiering'!$F$16</f>
        <v>12010.191346091053</v>
      </c>
      <c r="F111" s="289">
        <f>'Realkredit finansiering'!$F$10/'Realkredit finansiering'!$F$13*'F5'!B110</f>
        <v>1668.0302537422035</v>
      </c>
      <c r="G111" s="288">
        <f t="shared" si="5"/>
        <v>13678.221599833256</v>
      </c>
    </row>
    <row r="112" spans="1:7">
      <c r="A112" s="286">
        <v>109</v>
      </c>
      <c r="B112" s="287">
        <f t="shared" si="3"/>
        <v>2323360.7161753452</v>
      </c>
      <c r="C112" s="289">
        <f>'Realkredit finansiering'!$F$9/'Realkredit finansiering'!$F$13*'F5'!B111</f>
        <v>5049.0307330415226</v>
      </c>
      <c r="D112" s="289">
        <f t="shared" si="4"/>
        <v>6961.1606130495302</v>
      </c>
      <c r="E112" s="289">
        <f>'Realkredit finansiering'!$F$16</f>
        <v>12010.191346091053</v>
      </c>
      <c r="F112" s="289">
        <f>'Realkredit finansiering'!$F$10/'Realkredit finansiering'!$F$13*'F5'!B111</f>
        <v>1663.0730460679847</v>
      </c>
      <c r="G112" s="288">
        <f t="shared" si="5"/>
        <v>13673.264392159037</v>
      </c>
    </row>
    <row r="113" spans="1:7">
      <c r="A113" s="286">
        <v>110</v>
      </c>
      <c r="B113" s="287">
        <f t="shared" si="3"/>
        <v>2316384.4730476341</v>
      </c>
      <c r="C113" s="289">
        <f>'Realkredit finansiering'!$F$9/'Realkredit finansiering'!$F$13*'F5'!B112</f>
        <v>5033.9482183799146</v>
      </c>
      <c r="D113" s="289">
        <f t="shared" si="4"/>
        <v>6976.2431277111382</v>
      </c>
      <c r="E113" s="289">
        <f>'Realkredit finansiering'!$F$16</f>
        <v>12010.191346091053</v>
      </c>
      <c r="F113" s="289">
        <f>'Realkredit finansiering'!$F$10/'Realkredit finansiering'!$F$13*'F5'!B112</f>
        <v>1658.1050977771381</v>
      </c>
      <c r="G113" s="288">
        <f t="shared" si="5"/>
        <v>13668.29644386819</v>
      </c>
    </row>
    <row r="114" spans="1:7">
      <c r="A114" s="286">
        <v>111</v>
      </c>
      <c r="B114" s="287">
        <f t="shared" si="3"/>
        <v>2309393.1147264796</v>
      </c>
      <c r="C114" s="289">
        <f>'Realkredit finansiering'!$F$9/'Realkredit finansiering'!$F$13*'F5'!B113</f>
        <v>5018.8330249365399</v>
      </c>
      <c r="D114" s="289">
        <f t="shared" si="4"/>
        <v>6991.3583211545129</v>
      </c>
      <c r="E114" s="289">
        <f>'Realkredit finansiering'!$F$16</f>
        <v>12010.191346091053</v>
      </c>
      <c r="F114" s="289">
        <f>'Realkredit finansiering'!$F$10/'Realkredit finansiering'!$F$13*'F5'!B113</f>
        <v>1653.1263855983284</v>
      </c>
      <c r="G114" s="288">
        <f t="shared" si="5"/>
        <v>13663.317731689382</v>
      </c>
    </row>
    <row r="115" spans="1:7">
      <c r="A115" s="286">
        <v>112</v>
      </c>
      <c r="B115" s="287">
        <f t="shared" si="3"/>
        <v>2302386.608462296</v>
      </c>
      <c r="C115" s="289">
        <f>'Realkredit finansiering'!$F$9/'Realkredit finansiering'!$F$13*'F5'!B114</f>
        <v>5003.6850819073725</v>
      </c>
      <c r="D115" s="289">
        <f t="shared" si="4"/>
        <v>7006.5062641836803</v>
      </c>
      <c r="E115" s="289">
        <f>'Realkredit finansiering'!$F$16</f>
        <v>12010.191346091053</v>
      </c>
      <c r="F115" s="289">
        <f>'Realkredit finansiering'!$F$10/'Realkredit finansiering'!$F$13*'F5'!B114</f>
        <v>1648.1368862097977</v>
      </c>
      <c r="G115" s="288">
        <f t="shared" si="5"/>
        <v>13658.32823230085</v>
      </c>
    </row>
    <row r="116" spans="1:7">
      <c r="A116" s="286">
        <v>113</v>
      </c>
      <c r="B116" s="287">
        <f t="shared" si="3"/>
        <v>2295364.9214345398</v>
      </c>
      <c r="C116" s="289">
        <f>'Realkredit finansiering'!$F$9/'Realkredit finansiering'!$F$13*'F5'!B115</f>
        <v>4988.5043183349744</v>
      </c>
      <c r="D116" s="289">
        <f t="shared" si="4"/>
        <v>7021.6870277560784</v>
      </c>
      <c r="E116" s="289">
        <f>'Realkredit finansiering'!$F$16</f>
        <v>12010.191346091053</v>
      </c>
      <c r="F116" s="289">
        <f>'Realkredit finansiering'!$F$10/'Realkredit finansiering'!$F$13*'F5'!B115</f>
        <v>1643.1365762392586</v>
      </c>
      <c r="G116" s="288">
        <f t="shared" si="5"/>
        <v>13653.327922330311</v>
      </c>
    </row>
    <row r="117" spans="1:7">
      <c r="A117" s="286">
        <v>114</v>
      </c>
      <c r="B117" s="287">
        <f t="shared" si="3"/>
        <v>2288328.0207515568</v>
      </c>
      <c r="C117" s="289">
        <f>'Realkredit finansiering'!$F$9/'Realkredit finansiering'!$F$13*'F5'!B116</f>
        <v>4973.2906631081696</v>
      </c>
      <c r="D117" s="289">
        <f t="shared" si="4"/>
        <v>7036.9006829828832</v>
      </c>
      <c r="E117" s="289">
        <f>'Realkredit finansiering'!$F$16</f>
        <v>12010.191346091053</v>
      </c>
      <c r="F117" s="289">
        <f>'Realkredit finansiering'!$F$10/'Realkredit finansiering'!$F$13*'F5'!B116</f>
        <v>1638.1254322637833</v>
      </c>
      <c r="G117" s="288">
        <f t="shared" si="5"/>
        <v>13648.316778354836</v>
      </c>
    </row>
    <row r="118" spans="1:7">
      <c r="A118" s="286">
        <v>115</v>
      </c>
      <c r="B118" s="287">
        <f t="shared" si="3"/>
        <v>2281275.8734504273</v>
      </c>
      <c r="C118" s="289">
        <f>'Realkredit finansiering'!$F$9/'Realkredit finansiering'!$F$13*'F5'!B117</f>
        <v>4958.0440449617063</v>
      </c>
      <c r="D118" s="289">
        <f t="shared" si="4"/>
        <v>7052.1473011293465</v>
      </c>
      <c r="E118" s="289">
        <f>'Realkredit finansiering'!$F$16</f>
        <v>12010.191346091053</v>
      </c>
      <c r="F118" s="289">
        <f>'Realkredit finansiering'!$F$10/'Realkredit finansiering'!$F$13*'F5'!B117</f>
        <v>1633.1034308096944</v>
      </c>
      <c r="G118" s="288">
        <f t="shared" si="5"/>
        <v>13643.294776900748</v>
      </c>
    </row>
    <row r="119" spans="1:7">
      <c r="A119" s="286">
        <v>116</v>
      </c>
      <c r="B119" s="287">
        <f t="shared" si="3"/>
        <v>2274208.4464968122</v>
      </c>
      <c r="C119" s="289">
        <f>'Realkredit finansiering'!$F$9/'Realkredit finansiering'!$F$13*'F5'!B118</f>
        <v>4942.7643924759259</v>
      </c>
      <c r="D119" s="289">
        <f t="shared" si="4"/>
        <v>7067.4269536151269</v>
      </c>
      <c r="E119" s="289">
        <f>'Realkredit finansiering'!$F$16</f>
        <v>12010.191346091053</v>
      </c>
      <c r="F119" s="289">
        <f>'Realkredit finansiering'!$F$10/'Realkredit finansiering'!$F$13*'F5'!B118</f>
        <v>1628.070548352455</v>
      </c>
      <c r="G119" s="288">
        <f t="shared" si="5"/>
        <v>13638.261894443507</v>
      </c>
    </row>
    <row r="120" spans="1:7">
      <c r="A120" s="286">
        <v>117</v>
      </c>
      <c r="B120" s="287">
        <f t="shared" si="3"/>
        <v>2267125.7067847974</v>
      </c>
      <c r="C120" s="289">
        <f>'Realkredit finansiering'!$F$9/'Realkredit finansiering'!$F$13*'F5'!B119</f>
        <v>4927.4516340764258</v>
      </c>
      <c r="D120" s="289">
        <f t="shared" si="4"/>
        <v>7082.739712014627</v>
      </c>
      <c r="E120" s="289">
        <f>'Realkredit finansiering'!$F$16</f>
        <v>12010.191346091053</v>
      </c>
      <c r="F120" s="289">
        <f>'Realkredit finansiering'!$F$10/'Realkredit finansiering'!$F$13*'F5'!B119</f>
        <v>1623.0267613165583</v>
      </c>
      <c r="G120" s="288">
        <f t="shared" si="5"/>
        <v>13633.218107407611</v>
      </c>
    </row>
    <row r="121" spans="1:7">
      <c r="A121" s="286">
        <v>118</v>
      </c>
      <c r="B121" s="287">
        <f t="shared" si="3"/>
        <v>2260027.6211367399</v>
      </c>
      <c r="C121" s="289">
        <f>'Realkredit finansiering'!$F$9/'Realkredit finansiering'!$F$13*'F5'!B120</f>
        <v>4912.1056980337271</v>
      </c>
      <c r="D121" s="289">
        <f t="shared" si="4"/>
        <v>7098.0856480573257</v>
      </c>
      <c r="E121" s="289">
        <f>'Realkredit finansiering'!$F$16</f>
        <v>12010.191346091053</v>
      </c>
      <c r="F121" s="289">
        <f>'Realkredit finansiering'!$F$10/'Realkredit finansiering'!$F$13*'F5'!B120</f>
        <v>1617.9720460754172</v>
      </c>
      <c r="G121" s="288">
        <f t="shared" si="5"/>
        <v>13628.163392166471</v>
      </c>
    </row>
    <row r="122" spans="1:7">
      <c r="A122" s="286">
        <v>119</v>
      </c>
      <c r="B122" s="287">
        <f t="shared" si="3"/>
        <v>2252914.1563031119</v>
      </c>
      <c r="C122" s="289">
        <f>'Realkredit finansiering'!$F$9/'Realkredit finansiering'!$F$13*'F5'!B121</f>
        <v>4896.7265124629357</v>
      </c>
      <c r="D122" s="289">
        <f t="shared" si="4"/>
        <v>7113.464833628117</v>
      </c>
      <c r="E122" s="289">
        <f>'Realkredit finansiering'!$F$16</f>
        <v>12010.191346091053</v>
      </c>
      <c r="F122" s="289">
        <f>'Realkredit finansiering'!$F$10/'Realkredit finansiering'!$F$13*'F5'!B121</f>
        <v>1612.9063789512534</v>
      </c>
      <c r="G122" s="288">
        <f t="shared" si="5"/>
        <v>13623.097725042306</v>
      </c>
    </row>
    <row r="123" spans="1:7">
      <c r="A123" s="286">
        <v>120</v>
      </c>
      <c r="B123" s="287">
        <f t="shared" si="3"/>
        <v>2245785.2789623444</v>
      </c>
      <c r="C123" s="289">
        <f>'Realkredit finansiering'!$F$9/'Realkredit finansiering'!$F$13*'F5'!B122</f>
        <v>4881.3140053234092</v>
      </c>
      <c r="D123" s="289">
        <f t="shared" si="4"/>
        <v>7128.8773407676435</v>
      </c>
      <c r="E123" s="289">
        <f>'Realkredit finansiering'!$F$16</f>
        <v>12010.191346091053</v>
      </c>
      <c r="F123" s="289">
        <f>'Realkredit finansiering'!$F$10/'Realkredit finansiering'!$F$13*'F5'!B122</f>
        <v>1607.8297362149876</v>
      </c>
      <c r="G123" s="288">
        <f t="shared" si="5"/>
        <v>13618.021082306041</v>
      </c>
    </row>
    <row r="124" spans="1:7">
      <c r="F124" s="241"/>
    </row>
  </sheetData>
  <sheetProtection sheet="1" objects="1" scenarios="1"/>
  <mergeCells count="7">
    <mergeCell ref="G1:G2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E6214-C131-9F47-9875-5E9058B4D63A}">
  <sheetPr>
    <tabColor rgb="FFFF0000"/>
    <pageSetUpPr fitToPage="1"/>
  </sheetPr>
  <dimension ref="A1:AN386"/>
  <sheetViews>
    <sheetView zoomScale="120" zoomScaleNormal="120" workbookViewId="0">
      <selection activeCell="I45" sqref="I45"/>
    </sheetView>
  </sheetViews>
  <sheetFormatPr baseColWidth="10" defaultColWidth="8.6640625" defaultRowHeight="13"/>
  <cols>
    <col min="1" max="1" width="1.6640625" style="1" customWidth="1"/>
    <col min="2" max="2" width="51.6640625" style="5" customWidth="1"/>
    <col min="3" max="3" width="14" style="5" customWidth="1"/>
    <col min="4" max="4" width="14.5" style="4" customWidth="1"/>
    <col min="5" max="5" width="5.5" style="4" customWidth="1"/>
    <col min="6" max="6" width="37.5" style="4" customWidth="1"/>
    <col min="7" max="7" width="9.5" style="4" customWidth="1"/>
    <col min="8" max="8" width="12.1640625" style="4" customWidth="1"/>
    <col min="9" max="9" width="12.5" style="5" customWidth="1"/>
    <col min="10" max="10" width="13.5" style="5" customWidth="1"/>
    <col min="11" max="11" width="11.6640625" style="5" customWidth="1"/>
    <col min="12" max="12" width="14.5" style="5" customWidth="1"/>
    <col min="13" max="25" width="13.5" style="5" customWidth="1"/>
    <col min="26" max="27" width="11" style="5" customWidth="1"/>
    <col min="28" max="28" width="14.1640625" style="5" customWidth="1"/>
    <col min="29" max="40" width="11" style="5" customWidth="1"/>
    <col min="41" max="16384" width="8.6640625" style="5"/>
  </cols>
  <sheetData>
    <row r="1" spans="1:32" ht="19" thickBot="1">
      <c r="B1" s="2" t="s">
        <v>0</v>
      </c>
      <c r="C1" s="3" t="s">
        <v>1</v>
      </c>
      <c r="D1" s="2"/>
      <c r="F1" s="5"/>
      <c r="G1" s="5"/>
      <c r="H1" s="5"/>
    </row>
    <row r="2" spans="1:32" ht="14" thickBot="1">
      <c r="B2" s="6"/>
      <c r="C2" s="7" t="s">
        <v>2</v>
      </c>
      <c r="D2" s="8"/>
      <c r="F2" s="9"/>
      <c r="I2" s="906" t="str">
        <f>C2</f>
        <v>Person</v>
      </c>
      <c r="J2" s="907"/>
      <c r="K2" s="908"/>
      <c r="L2" s="908"/>
    </row>
    <row r="3" spans="1:32">
      <c r="B3" s="10" t="s">
        <v>3</v>
      </c>
      <c r="C3" s="11">
        <v>0</v>
      </c>
      <c r="D3" s="12"/>
      <c r="F3" s="13"/>
      <c r="G3" s="14"/>
      <c r="H3" s="15"/>
      <c r="I3" s="909" t="s">
        <v>4</v>
      </c>
      <c r="J3" s="911" t="s">
        <v>5</v>
      </c>
      <c r="K3" s="913"/>
      <c r="L3" s="914"/>
    </row>
    <row r="4" spans="1:32" ht="14" thickBot="1">
      <c r="B4" s="16" t="s">
        <v>6</v>
      </c>
      <c r="C4" s="17">
        <v>0</v>
      </c>
      <c r="D4" s="12"/>
      <c r="F4" s="18" t="s">
        <v>7</v>
      </c>
      <c r="G4" s="19" t="s">
        <v>8</v>
      </c>
      <c r="H4" s="20" t="s">
        <v>9</v>
      </c>
      <c r="I4" s="910"/>
      <c r="J4" s="912"/>
      <c r="K4" s="913"/>
      <c r="L4" s="914"/>
    </row>
    <row r="5" spans="1:32">
      <c r="B5" s="16" t="s">
        <v>10</v>
      </c>
      <c r="C5" s="17">
        <v>0</v>
      </c>
      <c r="D5" s="21"/>
      <c r="F5" s="10" t="s">
        <v>11</v>
      </c>
      <c r="G5" s="22">
        <f>Bundskat</f>
        <v>0.1201</v>
      </c>
      <c r="H5" s="23">
        <f>Personfradrag</f>
        <v>51600</v>
      </c>
      <c r="I5" s="24">
        <f>IF(C35&gt;=0,C31+C35-H5,C31-H5)</f>
        <v>-51600</v>
      </c>
      <c r="J5" s="25">
        <f>+IF(I5&gt;0,G5*I5,0)</f>
        <v>0</v>
      </c>
      <c r="K5" s="4"/>
      <c r="L5" s="4"/>
      <c r="N5" s="4"/>
    </row>
    <row r="6" spans="1:32">
      <c r="B6" s="16" t="s">
        <v>12</v>
      </c>
      <c r="C6" s="26" t="s">
        <v>13</v>
      </c>
      <c r="D6" s="12"/>
      <c r="F6" s="16" t="s">
        <v>14</v>
      </c>
      <c r="G6" s="27">
        <f>Topskat</f>
        <v>0.15</v>
      </c>
      <c r="H6" s="28">
        <f>TopSkatGranse</f>
        <v>611800</v>
      </c>
      <c r="I6" s="29">
        <f>MAX((C70-$H$6),0)</f>
        <v>0</v>
      </c>
      <c r="J6" s="30">
        <f>G6*I6</f>
        <v>0</v>
      </c>
      <c r="K6" s="4"/>
      <c r="L6" s="9"/>
      <c r="N6" s="4"/>
    </row>
    <row r="7" spans="1:32">
      <c r="B7" s="16" t="s">
        <v>15</v>
      </c>
      <c r="C7" s="17">
        <v>0</v>
      </c>
      <c r="D7" s="12"/>
      <c r="F7" s="16" t="s">
        <v>16</v>
      </c>
      <c r="G7" s="27">
        <f>Sundhedsbidrag</f>
        <v>0</v>
      </c>
      <c r="H7" s="28">
        <f>Personfradrag</f>
        <v>51600</v>
      </c>
      <c r="I7" s="29">
        <f>($C$45+AB29)-(H7+AB43)</f>
        <v>-51600</v>
      </c>
      <c r="J7" s="30">
        <f>+IF(I7&gt;0,I7*G7,0)</f>
        <v>0</v>
      </c>
      <c r="K7" s="4"/>
      <c r="L7" s="9"/>
      <c r="N7" s="4"/>
    </row>
    <row r="8" spans="1:32">
      <c r="B8" s="16" t="s">
        <v>17</v>
      </c>
      <c r="C8" s="17">
        <v>0</v>
      </c>
      <c r="D8" s="31"/>
      <c r="F8" s="16" t="s">
        <v>18</v>
      </c>
      <c r="G8" s="27">
        <f>C13</f>
        <v>0.25600000000000001</v>
      </c>
      <c r="H8" s="28">
        <f>Personfradrag</f>
        <v>51600</v>
      </c>
      <c r="I8" s="29">
        <f>($C$45+AB29)-(H8+AB44)</f>
        <v>-51600</v>
      </c>
      <c r="J8" s="30">
        <f>+IF(I8&gt;0,$C$13*I8,0)</f>
        <v>0</v>
      </c>
      <c r="K8" s="4"/>
      <c r="L8" s="9"/>
      <c r="N8" s="4"/>
    </row>
    <row r="9" spans="1:32" ht="14" thickBot="1">
      <c r="B9" s="32" t="s">
        <v>19</v>
      </c>
      <c r="C9" s="33">
        <v>0</v>
      </c>
      <c r="D9" s="12"/>
      <c r="F9" s="16" t="s">
        <v>20</v>
      </c>
      <c r="G9" s="27">
        <f>C14</f>
        <v>0</v>
      </c>
      <c r="H9" s="28">
        <f>Personfradrag</f>
        <v>51600</v>
      </c>
      <c r="I9" s="29">
        <f>($C$45+AB29)-(H9+AB45)</f>
        <v>-51600</v>
      </c>
      <c r="J9" s="30">
        <f>+IF(I9&gt;0,$C$14*I9,0)</f>
        <v>0</v>
      </c>
      <c r="K9" s="4"/>
      <c r="L9" s="9"/>
      <c r="N9" s="4"/>
    </row>
    <row r="10" spans="1:32" ht="14" thickBot="1">
      <c r="B10" s="16" t="s">
        <v>21</v>
      </c>
      <c r="C10" s="17">
        <v>0</v>
      </c>
      <c r="D10" s="27"/>
      <c r="F10" s="34"/>
      <c r="G10" s="35"/>
      <c r="H10" s="36"/>
      <c r="I10" s="37"/>
      <c r="J10" s="38">
        <f>SUM(J5:J9)</f>
        <v>0</v>
      </c>
      <c r="K10" s="4"/>
      <c r="L10" s="9"/>
      <c r="N10" s="4"/>
    </row>
    <row r="11" spans="1:32">
      <c r="B11" s="16" t="s">
        <v>22</v>
      </c>
      <c r="C11" s="26" t="s">
        <v>13</v>
      </c>
      <c r="D11" s="27"/>
      <c r="F11" s="29"/>
      <c r="I11" s="39"/>
      <c r="J11" s="40"/>
      <c r="K11" s="41"/>
      <c r="L11" s="42"/>
    </row>
    <row r="12" spans="1:32" ht="14" thickBot="1">
      <c r="B12" s="43" t="s">
        <v>23</v>
      </c>
      <c r="C12" s="44" t="s">
        <v>24</v>
      </c>
      <c r="D12" s="12"/>
      <c r="F12" s="45" t="s">
        <v>25</v>
      </c>
      <c r="G12" s="27"/>
      <c r="I12" s="29"/>
      <c r="J12" s="46">
        <f>IF(C35&gt;=0,0,IF(C35&gt;=GranseNegKIEnlig,TillagNegKI*C35,TillagNegKI*GranseNegKIEnlig))</f>
        <v>0</v>
      </c>
      <c r="K12" s="4"/>
      <c r="L12" s="42"/>
    </row>
    <row r="13" spans="1:32">
      <c r="B13" s="16" t="s">
        <v>26</v>
      </c>
      <c r="C13" s="47">
        <f>VLOOKUP($C$12,Skattesatser!$B$6:$E$103,2)/100</f>
        <v>0.25600000000000001</v>
      </c>
      <c r="D13" s="8"/>
      <c r="F13" s="48" t="s">
        <v>27</v>
      </c>
      <c r="G13" s="5"/>
      <c r="I13" s="49">
        <f>IF($C$73&gt;SkraatSkatteloftPI,$C$73-SkraatSkatteloftPI,0)</f>
        <v>5.3999999999999604E-3</v>
      </c>
      <c r="J13" s="46">
        <f>-I13*C75</f>
        <v>0</v>
      </c>
      <c r="K13" s="50"/>
      <c r="L13" s="51"/>
    </row>
    <row r="14" spans="1:32" s="54" customFormat="1">
      <c r="A14" s="52"/>
      <c r="B14" s="16" t="s">
        <v>28</v>
      </c>
      <c r="C14" s="47">
        <f>IF(C11="ja",VLOOKUP($C$12,Skattesatser!$B$6:$E$103,3)/100,0)</f>
        <v>0</v>
      </c>
      <c r="D14" s="53"/>
      <c r="F14" s="48" t="s">
        <v>29</v>
      </c>
      <c r="G14" s="5"/>
      <c r="H14" s="4"/>
      <c r="I14" s="49">
        <f>IF($C$73&gt;SkraatSkatteloftKI,$C$73-SkraatSkatteloftKI,0)</f>
        <v>0.10610000000000003</v>
      </c>
      <c r="J14" s="46">
        <f>-I14*C76</f>
        <v>0</v>
      </c>
      <c r="K14" s="4"/>
      <c r="L14" s="4"/>
    </row>
    <row r="15" spans="1:32" s="54" customFormat="1" ht="14" thickBot="1">
      <c r="A15" s="52"/>
      <c r="B15" s="16" t="s">
        <v>30</v>
      </c>
      <c r="C15" s="47">
        <f>VLOOKUP($C$12,Skattesatser!$B$6:$E$103,4)/1000</f>
        <v>9.1000000000000004E-3</v>
      </c>
      <c r="D15" s="55"/>
      <c r="F15" s="48"/>
      <c r="G15" s="5"/>
      <c r="H15" s="4"/>
      <c r="I15" s="56"/>
      <c r="J15" s="30">
        <f>SUM(J10:J14)</f>
        <v>0</v>
      </c>
      <c r="K15" s="4"/>
      <c r="L15" s="9"/>
    </row>
    <row r="16" spans="1:32" s="54" customFormat="1" ht="14" thickBot="1">
      <c r="A16" s="52"/>
      <c r="B16" s="57" t="s">
        <v>31</v>
      </c>
      <c r="C16" s="11">
        <v>0</v>
      </c>
      <c r="D16" s="53"/>
      <c r="F16" s="45"/>
      <c r="G16" s="58"/>
      <c r="H16" s="4"/>
      <c r="I16" s="56"/>
      <c r="J16" s="59"/>
      <c r="K16" s="4"/>
      <c r="L16" s="58"/>
      <c r="AF16" s="5"/>
    </row>
    <row r="17" spans="1:32" s="54" customFormat="1">
      <c r="A17" s="52"/>
      <c r="B17" s="48" t="s">
        <v>32</v>
      </c>
      <c r="C17" s="17">
        <v>0</v>
      </c>
      <c r="D17" s="53"/>
      <c r="F17" s="60"/>
      <c r="G17" s="61"/>
      <c r="H17" s="61"/>
      <c r="I17" s="62"/>
      <c r="J17" s="25"/>
      <c r="L17" s="9"/>
      <c r="AF17" s="5"/>
    </row>
    <row r="18" spans="1:32" s="54" customFormat="1" ht="14" thickBot="1">
      <c r="A18" s="52"/>
      <c r="B18" s="63" t="s">
        <v>33</v>
      </c>
      <c r="C18" s="64">
        <v>0</v>
      </c>
      <c r="D18" s="53"/>
      <c r="F18" s="45" t="s">
        <v>34</v>
      </c>
      <c r="I18" s="65"/>
      <c r="J18" s="30">
        <f>J15+C27</f>
        <v>0</v>
      </c>
      <c r="L18" s="9"/>
      <c r="AF18" s="5"/>
    </row>
    <row r="19" spans="1:32" s="67" customFormat="1" ht="15" thickBot="1">
      <c r="A19" s="66"/>
      <c r="D19" s="68"/>
      <c r="F19" s="69" t="s">
        <v>35</v>
      </c>
      <c r="I19" s="70"/>
      <c r="J19" s="30">
        <f>+F63</f>
        <v>0</v>
      </c>
      <c r="K19" s="54"/>
      <c r="L19" s="9"/>
      <c r="AF19" s="5"/>
    </row>
    <row r="20" spans="1:32" s="67" customFormat="1">
      <c r="A20" s="66"/>
      <c r="B20" s="71" t="s">
        <v>36</v>
      </c>
      <c r="C20" s="72">
        <v>0</v>
      </c>
      <c r="D20" s="73"/>
      <c r="E20" s="74"/>
      <c r="F20" s="45" t="s">
        <v>37</v>
      </c>
      <c r="I20" s="70"/>
      <c r="J20" s="30">
        <f>F64</f>
        <v>0</v>
      </c>
      <c r="L20" s="9"/>
      <c r="AB20" s="5"/>
      <c r="AC20" s="5"/>
      <c r="AD20" s="5"/>
      <c r="AE20" s="5"/>
      <c r="AF20" s="5"/>
    </row>
    <row r="21" spans="1:32" s="67" customFormat="1">
      <c r="A21" s="66"/>
      <c r="B21" s="45" t="s">
        <v>38</v>
      </c>
      <c r="C21" s="75">
        <v>0</v>
      </c>
      <c r="D21" s="4"/>
      <c r="E21" s="74"/>
      <c r="F21" s="45" t="s">
        <v>39</v>
      </c>
      <c r="I21" s="70"/>
      <c r="J21" s="30">
        <f>-C18</f>
        <v>0</v>
      </c>
      <c r="L21" s="9"/>
      <c r="AB21" s="5"/>
      <c r="AC21" s="5"/>
      <c r="AD21" s="5"/>
      <c r="AE21" s="5"/>
      <c r="AF21" s="5"/>
    </row>
    <row r="22" spans="1:32" ht="14" thickBot="1">
      <c r="B22" s="45" t="s">
        <v>40</v>
      </c>
      <c r="C22" s="76">
        <f>C21*C20</f>
        <v>0</v>
      </c>
      <c r="D22" s="12"/>
      <c r="F22" s="45"/>
      <c r="G22" s="67"/>
      <c r="H22" s="67"/>
      <c r="I22" s="70"/>
      <c r="J22" s="30"/>
      <c r="K22" s="67"/>
      <c r="L22" s="9"/>
    </row>
    <row r="23" spans="1:32" ht="17" thickBot="1">
      <c r="B23" s="45" t="s">
        <v>41</v>
      </c>
      <c r="C23" s="77">
        <v>0</v>
      </c>
      <c r="F23" s="78" t="s">
        <v>42</v>
      </c>
      <c r="G23" s="79"/>
      <c r="H23" s="79"/>
      <c r="I23" s="80"/>
      <c r="J23" s="81">
        <f>SUM(J18:J21)</f>
        <v>0</v>
      </c>
      <c r="L23" s="82"/>
      <c r="M23" s="4"/>
    </row>
    <row r="24" spans="1:32" ht="14" thickBot="1">
      <c r="B24" s="83" t="s">
        <v>43</v>
      </c>
      <c r="C24" s="84">
        <f>IF(C6="ja",FriTelefon,0)</f>
        <v>0</v>
      </c>
    </row>
    <row r="25" spans="1:32" s="67" customFormat="1" ht="15" thickBot="1">
      <c r="A25" s="85"/>
      <c r="B25" s="86" t="s">
        <v>44</v>
      </c>
      <c r="C25" s="87">
        <f>C20-C22+C23+C24</f>
        <v>0</v>
      </c>
      <c r="D25" s="68"/>
      <c r="E25" s="74"/>
      <c r="F25" s="4"/>
      <c r="G25" s="4"/>
      <c r="H25" s="4"/>
      <c r="I25" s="5"/>
      <c r="J25" s="5"/>
      <c r="K25" s="5"/>
      <c r="L25" s="5"/>
      <c r="AA25" s="5"/>
      <c r="AB25" s="5"/>
      <c r="AC25" s="5"/>
      <c r="AD25" s="5"/>
      <c r="AE25" s="5"/>
    </row>
    <row r="26" spans="1:32" ht="15.75" customHeight="1" thickTop="1">
      <c r="A26" s="52"/>
      <c r="B26" s="88"/>
      <c r="C26" s="89"/>
      <c r="D26" s="5"/>
      <c r="F26" s="900" t="s">
        <v>45</v>
      </c>
      <c r="G26" s="901"/>
      <c r="H26" s="902"/>
      <c r="I26" s="906" t="str">
        <f>C2</f>
        <v>Person</v>
      </c>
      <c r="J26" s="907"/>
    </row>
    <row r="27" spans="1:32" ht="14" thickBot="1">
      <c r="A27" s="52"/>
      <c r="B27" s="88" t="s">
        <v>46</v>
      </c>
      <c r="C27" s="90">
        <f>ArbBidrag*C25</f>
        <v>0</v>
      </c>
      <c r="D27" s="12"/>
      <c r="F27" s="903"/>
      <c r="G27" s="904"/>
      <c r="H27" s="905"/>
      <c r="I27" s="91" t="s">
        <v>47</v>
      </c>
      <c r="J27" s="92" t="s">
        <v>48</v>
      </c>
      <c r="K27" s="93"/>
      <c r="L27" s="94"/>
    </row>
    <row r="28" spans="1:32" ht="16">
      <c r="A28" s="52"/>
      <c r="B28" s="45" t="s">
        <v>49</v>
      </c>
      <c r="C28" s="17">
        <v>0</v>
      </c>
      <c r="D28" s="12"/>
      <c r="F28" s="95" t="s">
        <v>50</v>
      </c>
      <c r="G28" s="96"/>
      <c r="H28" s="97"/>
      <c r="I28" s="24">
        <f>C20+C23+C28</f>
        <v>0</v>
      </c>
      <c r="J28" s="97">
        <f>I28/12</f>
        <v>0</v>
      </c>
      <c r="K28" s="4"/>
      <c r="L28" s="4"/>
    </row>
    <row r="29" spans="1:32" ht="16">
      <c r="A29" s="52"/>
      <c r="B29" s="45" t="s">
        <v>51</v>
      </c>
      <c r="C29" s="90">
        <f>IF(C3&gt;RatepensionMax,RatepensionMax,C3)</f>
        <v>0</v>
      </c>
      <c r="D29" s="68"/>
      <c r="F29" s="98" t="s">
        <v>52</v>
      </c>
      <c r="H29" s="59"/>
      <c r="I29" s="29">
        <f>C22</f>
        <v>0</v>
      </c>
      <c r="J29" s="59">
        <f>I29/12</f>
        <v>0</v>
      </c>
      <c r="K29" s="4"/>
      <c r="L29" s="4"/>
    </row>
    <row r="30" spans="1:32" ht="17" thickBot="1">
      <c r="A30" s="52"/>
      <c r="B30" s="45" t="s">
        <v>53</v>
      </c>
      <c r="C30" s="90">
        <f>+C4</f>
        <v>0</v>
      </c>
      <c r="D30" s="99"/>
      <c r="F30" s="98" t="s">
        <v>54</v>
      </c>
      <c r="H30" s="59"/>
      <c r="I30" s="29">
        <f>J23</f>
        <v>0</v>
      </c>
      <c r="J30" s="59">
        <f>I30/12</f>
        <v>0</v>
      </c>
      <c r="K30" s="100"/>
      <c r="L30" s="4"/>
    </row>
    <row r="31" spans="1:32" ht="17" thickBot="1">
      <c r="A31" s="52"/>
      <c r="B31" s="86" t="s">
        <v>55</v>
      </c>
      <c r="C31" s="101">
        <f>C25-C27+C28-C29-C30</f>
        <v>0</v>
      </c>
      <c r="F31" s="102" t="s">
        <v>45</v>
      </c>
      <c r="G31" s="79"/>
      <c r="H31" s="103"/>
      <c r="I31" s="104">
        <f>I28-I29-I30</f>
        <v>0</v>
      </c>
      <c r="J31" s="105">
        <f>I31/12</f>
        <v>0</v>
      </c>
      <c r="K31" s="106"/>
      <c r="L31" s="106"/>
      <c r="Z31" s="4"/>
    </row>
    <row r="32" spans="1:32" ht="14" thickTop="1">
      <c r="A32" s="52"/>
      <c r="B32" s="45"/>
      <c r="C32" s="16"/>
      <c r="Z32" s="4"/>
    </row>
    <row r="33" spans="1:27">
      <c r="B33" s="45" t="s">
        <v>56</v>
      </c>
      <c r="C33" s="17">
        <v>0</v>
      </c>
      <c r="H33" s="107"/>
    </row>
    <row r="34" spans="1:27" ht="14" thickBot="1">
      <c r="B34" s="108" t="s">
        <v>57</v>
      </c>
      <c r="C34" s="17">
        <v>0</v>
      </c>
      <c r="D34" s="12"/>
    </row>
    <row r="35" spans="1:27" ht="15" thickBot="1">
      <c r="B35" s="86" t="s">
        <v>58</v>
      </c>
      <c r="C35" s="101">
        <f>+C33-C34</f>
        <v>0</v>
      </c>
      <c r="D35" s="68"/>
    </row>
    <row r="36" spans="1:27" ht="14" thickTop="1">
      <c r="B36" s="88"/>
      <c r="C36" s="109"/>
      <c r="D36" s="9"/>
    </row>
    <row r="37" spans="1:27" s="67" customFormat="1" ht="16">
      <c r="A37" s="66"/>
      <c r="B37" s="69" t="s">
        <v>59</v>
      </c>
      <c r="C37" s="90">
        <f>MIN(+($C$25+$C$22*3)*BFradragProc,BFradragMax)</f>
        <v>0</v>
      </c>
      <c r="D37" s="110"/>
      <c r="E37" s="111"/>
      <c r="F37" s="111"/>
      <c r="H37" s="111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1:27">
      <c r="B38" s="69" t="s">
        <v>60</v>
      </c>
      <c r="C38" s="90">
        <f>MAX(0,MIN(+($C$25+$C$22*3-Jfradraggranse)*Jfradragproc,JfradragMax))</f>
        <v>0</v>
      </c>
      <c r="D38" s="5"/>
    </row>
    <row r="39" spans="1:27" ht="14.25" customHeight="1">
      <c r="B39" s="69" t="s">
        <v>61</v>
      </c>
      <c r="C39" s="90">
        <f>IF(C5&lt;=52,MIN(+(C3+C4+C22*3)*EPENfradragProc,EPENfradragMax),MIN(+(C3+C4+C22*3)*EPENSeniorProc,EPENSeniorMax))</f>
        <v>0</v>
      </c>
    </row>
    <row r="40" spans="1:27">
      <c r="B40" s="69" t="s">
        <v>62</v>
      </c>
      <c r="C40" s="90">
        <f>IF(C7&gt;FagforeningMax,FagforeningMax,C7)+C8</f>
        <v>0</v>
      </c>
    </row>
    <row r="41" spans="1:27">
      <c r="B41" s="69" t="s">
        <v>63</v>
      </c>
      <c r="C41" s="90">
        <f>+$H$56</f>
        <v>0</v>
      </c>
    </row>
    <row r="42" spans="1:27" ht="14" thickBot="1">
      <c r="B42" s="69" t="s">
        <v>64</v>
      </c>
      <c r="C42" s="17">
        <v>0</v>
      </c>
    </row>
    <row r="43" spans="1:27" ht="15" thickBot="1">
      <c r="B43" s="86" t="s">
        <v>65</v>
      </c>
      <c r="C43" s="101">
        <f>SUM(C37:C42)</f>
        <v>0</v>
      </c>
    </row>
    <row r="44" spans="1:27" ht="15" thickTop="1" thickBot="1">
      <c r="B44" s="112"/>
      <c r="C44" s="113"/>
    </row>
    <row r="45" spans="1:27" ht="17" thickBot="1">
      <c r="B45" s="114" t="s">
        <v>66</v>
      </c>
      <c r="C45" s="115">
        <f>+C31+C35-C43</f>
        <v>0</v>
      </c>
    </row>
    <row r="49" spans="1:40" ht="14" thickBot="1"/>
    <row r="50" spans="1:40" ht="14" thickBot="1">
      <c r="B50" s="116" t="s">
        <v>67</v>
      </c>
      <c r="D50" s="117"/>
    </row>
    <row r="51" spans="1:40" ht="14" thickBot="1">
      <c r="D51" s="117"/>
    </row>
    <row r="52" spans="1:40" ht="14" thickBot="1">
      <c r="B52" s="118" t="s">
        <v>68</v>
      </c>
      <c r="D52" s="117"/>
    </row>
    <row r="53" spans="1:40">
      <c r="B53" s="13"/>
      <c r="C53" s="119" t="s">
        <v>69</v>
      </c>
      <c r="D53" s="119" t="s">
        <v>70</v>
      </c>
      <c r="E53" s="120" t="s">
        <v>71</v>
      </c>
      <c r="F53" s="121" t="s">
        <v>72</v>
      </c>
      <c r="G53" s="121" t="s">
        <v>73</v>
      </c>
      <c r="H53" s="122" t="s">
        <v>74</v>
      </c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4"/>
      <c r="AA53" s="4" t="s">
        <v>75</v>
      </c>
    </row>
    <row r="54" spans="1:40">
      <c r="B54" s="123" t="s">
        <v>76</v>
      </c>
      <c r="C54" s="124">
        <f>BeFradragHojSats</f>
        <v>2.23</v>
      </c>
      <c r="D54" s="125">
        <f>C10</f>
        <v>0</v>
      </c>
      <c r="E54" s="126">
        <f>C9</f>
        <v>0</v>
      </c>
      <c r="F54" s="125">
        <f>BeFradragKmMin</f>
        <v>24</v>
      </c>
      <c r="G54" s="127">
        <f>IF(E54&gt;F54,MIN(E54,BeFradragKmMax)-F54,0)</f>
        <v>0</v>
      </c>
      <c r="H54" s="128">
        <f>+(D54*G54)*C54</f>
        <v>0</v>
      </c>
      <c r="I54" s="4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4"/>
    </row>
    <row r="55" spans="1:40">
      <c r="B55" s="123" t="s">
        <v>77</v>
      </c>
      <c r="C55" s="124">
        <f>BeFradragLavSats</f>
        <v>1.1200000000000001</v>
      </c>
      <c r="D55" s="125">
        <f>C10</f>
        <v>0</v>
      </c>
      <c r="E55" s="126">
        <f>MAX(E54-BeFradragKmMax,0)</f>
        <v>0</v>
      </c>
      <c r="F55" s="125"/>
      <c r="G55" s="127">
        <f>MAX(E55,0)</f>
        <v>0</v>
      </c>
      <c r="H55" s="128">
        <f>+(D55*G55)*C55</f>
        <v>0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</row>
    <row r="56" spans="1:40">
      <c r="B56" s="129" t="s">
        <v>78</v>
      </c>
      <c r="C56" s="124"/>
      <c r="D56" s="130"/>
      <c r="E56" s="130"/>
      <c r="F56" s="125"/>
      <c r="G56" s="130"/>
      <c r="H56" s="128">
        <f>SUM(H54:H55)</f>
        <v>0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</row>
    <row r="57" spans="1:40">
      <c r="B57" s="123"/>
      <c r="C57" s="124"/>
      <c r="D57" s="130"/>
      <c r="E57" s="130"/>
      <c r="F57" s="125"/>
      <c r="G57" s="130"/>
      <c r="H57" s="128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</row>
    <row r="58" spans="1:40">
      <c r="B58" s="129" t="s">
        <v>79</v>
      </c>
      <c r="C58" s="124"/>
      <c r="D58" s="130"/>
      <c r="E58" s="130"/>
      <c r="F58" s="125"/>
      <c r="G58" s="130"/>
      <c r="H58" s="128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</row>
    <row r="59" spans="1:40" s="137" customFormat="1" ht="17" thickBot="1">
      <c r="A59" s="131"/>
      <c r="B59" s="132"/>
      <c r="C59" s="133"/>
      <c r="D59" s="134"/>
      <c r="E59" s="134"/>
      <c r="F59" s="135"/>
      <c r="G59" s="134"/>
      <c r="H59" s="136"/>
      <c r="I59" s="5"/>
      <c r="K59" s="138"/>
      <c r="L59" s="138"/>
      <c r="M59" s="138"/>
      <c r="N59" s="138"/>
      <c r="O59" s="138"/>
      <c r="P59" s="138"/>
      <c r="Q59" s="138"/>
      <c r="R59" s="138"/>
      <c r="S59" s="138"/>
      <c r="T59" s="138"/>
      <c r="U59" s="138"/>
      <c r="V59" s="138"/>
      <c r="W59" s="138"/>
      <c r="X59" s="138"/>
      <c r="Y59" s="138"/>
      <c r="Z59" s="138"/>
      <c r="AA59" s="138"/>
      <c r="AB59" s="138"/>
      <c r="AC59" s="138"/>
      <c r="AD59" s="138"/>
      <c r="AE59" s="138"/>
      <c r="AF59" s="138"/>
      <c r="AG59" s="138"/>
      <c r="AH59" s="138"/>
      <c r="AI59" s="138"/>
      <c r="AJ59" s="138"/>
      <c r="AK59" s="138"/>
      <c r="AL59" s="138"/>
      <c r="AM59" s="138"/>
      <c r="AN59" s="138"/>
    </row>
    <row r="60" spans="1:40" s="137" customFormat="1" ht="16">
      <c r="A60" s="131"/>
      <c r="B60" s="5"/>
      <c r="C60" s="139"/>
      <c r="D60" s="140"/>
      <c r="E60" s="4"/>
      <c r="F60" s="140"/>
      <c r="G60" s="4"/>
      <c r="H60" s="4"/>
      <c r="I60" s="5"/>
      <c r="J60" s="82"/>
      <c r="K60" s="138"/>
      <c r="L60" s="138"/>
      <c r="M60" s="138"/>
      <c r="N60" s="138"/>
      <c r="O60" s="138"/>
      <c r="P60" s="138"/>
      <c r="Q60" s="138"/>
      <c r="R60" s="138"/>
      <c r="S60" s="138"/>
      <c r="T60" s="138"/>
      <c r="U60" s="138"/>
      <c r="V60" s="138"/>
      <c r="W60" s="138"/>
      <c r="X60" s="138"/>
      <c r="Y60" s="138"/>
      <c r="Z60" s="138"/>
      <c r="AA60" s="138"/>
      <c r="AB60" s="138"/>
      <c r="AC60" s="138"/>
      <c r="AD60" s="138"/>
      <c r="AE60" s="138"/>
      <c r="AF60" s="138"/>
      <c r="AG60" s="138"/>
      <c r="AH60" s="138"/>
      <c r="AI60" s="138"/>
      <c r="AJ60" s="138"/>
      <c r="AK60" s="138"/>
      <c r="AL60" s="138"/>
      <c r="AM60" s="138"/>
      <c r="AN60" s="138"/>
    </row>
    <row r="61" spans="1:40" ht="14" thickBot="1">
      <c r="C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</row>
    <row r="62" spans="1:40">
      <c r="B62" s="141" t="s">
        <v>80</v>
      </c>
      <c r="C62" s="142" t="s">
        <v>81</v>
      </c>
      <c r="D62" s="142" t="s">
        <v>82</v>
      </c>
      <c r="E62" s="142" t="s">
        <v>83</v>
      </c>
      <c r="F62" s="143" t="s">
        <v>84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</row>
    <row r="63" spans="1:40">
      <c r="B63" s="123" t="s">
        <v>35</v>
      </c>
      <c r="C63" s="144">
        <f>EjVSkatMin</f>
        <v>5.1000000000000004E-3</v>
      </c>
      <c r="D63" s="144">
        <f>EjVSkatMax-C63</f>
        <v>8.8999999999999999E-3</v>
      </c>
      <c r="E63" s="145">
        <f>C16</f>
        <v>0</v>
      </c>
      <c r="F63" s="146">
        <f>IF(E63&lt;Skattesatser!H14,C63*E63*Forsigtighed,C63*E63*Forsigtighed+(E63-Skattesatser!H14)*D63*Forsigtighed)</f>
        <v>0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</row>
    <row r="64" spans="1:40" ht="14" thickBot="1">
      <c r="B64" s="147" t="s">
        <v>37</v>
      </c>
      <c r="C64" s="148">
        <f>C15</f>
        <v>9.1000000000000004E-3</v>
      </c>
      <c r="D64" s="148"/>
      <c r="E64" s="149">
        <f>C17</f>
        <v>0</v>
      </c>
      <c r="F64" s="150">
        <f>E64*C64*Forsigtighed</f>
        <v>0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</row>
    <row r="65" spans="1:40">
      <c r="C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</row>
    <row r="66" spans="1:40" ht="14" thickBot="1">
      <c r="C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</row>
    <row r="67" spans="1:40" ht="14" thickBot="1">
      <c r="B67" s="151" t="s">
        <v>85</v>
      </c>
      <c r="C67" s="118" t="s">
        <v>86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</row>
    <row r="68" spans="1:40">
      <c r="B68" s="152" t="s">
        <v>87</v>
      </c>
      <c r="C68" s="153">
        <f>+C31</f>
        <v>0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</row>
    <row r="69" spans="1:40">
      <c r="B69" s="154" t="s">
        <v>88</v>
      </c>
      <c r="C69" s="155">
        <f>MAX(C35+C31,C31)</f>
        <v>0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</row>
    <row r="70" spans="1:40">
      <c r="B70" s="154" t="s">
        <v>89</v>
      </c>
      <c r="C70" s="155">
        <f>C68+C72</f>
        <v>0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</row>
    <row r="71" spans="1:40">
      <c r="B71" s="154" t="s">
        <v>90</v>
      </c>
      <c r="C71" s="155">
        <f>MAX(C35,0)</f>
        <v>0</v>
      </c>
      <c r="I71" s="156"/>
    </row>
    <row r="72" spans="1:40">
      <c r="B72" s="154" t="s">
        <v>91</v>
      </c>
      <c r="C72" s="155">
        <f>IF((C71+D71)&gt;KItilTopskatEnlig,C71+D71-KItilTopskatEnlig,0)</f>
        <v>0</v>
      </c>
    </row>
    <row r="73" spans="1:40">
      <c r="B73" s="123" t="s">
        <v>92</v>
      </c>
      <c r="C73" s="157">
        <f>SUM(G5:G8)</f>
        <v>0.52610000000000001</v>
      </c>
    </row>
    <row r="74" spans="1:40" s="4" customFormat="1">
      <c r="A74" s="1"/>
      <c r="B74" s="154" t="s">
        <v>93</v>
      </c>
      <c r="C74" s="155">
        <f>IF(C70&gt;TopSkatGranse,C70-TopSkatGranse,0)</f>
        <v>0</v>
      </c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</row>
    <row r="75" spans="1:40" s="4" customFormat="1">
      <c r="A75" s="1"/>
      <c r="B75" s="158" t="s">
        <v>94</v>
      </c>
      <c r="C75" s="155">
        <f>IF(C68&gt;TopSkatGranse,C68-TopSkatGranse,0)</f>
        <v>0</v>
      </c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</row>
    <row r="76" spans="1:40" s="4" customFormat="1" ht="14" thickBot="1">
      <c r="A76" s="1"/>
      <c r="B76" s="159" t="s">
        <v>95</v>
      </c>
      <c r="C76" s="160">
        <f>C74-C75</f>
        <v>0</v>
      </c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</row>
    <row r="102" spans="1:40" s="4" customFormat="1">
      <c r="A102" s="1"/>
      <c r="B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</row>
    <row r="103" spans="1:40" s="4" customFormat="1">
      <c r="A103" s="1"/>
      <c r="B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</row>
    <row r="104" spans="1:40" s="4" customFormat="1">
      <c r="A104" s="1"/>
      <c r="B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</row>
    <row r="105" spans="1:40" s="4" customFormat="1">
      <c r="A105" s="1"/>
      <c r="B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</row>
    <row r="106" spans="1:40" s="4" customFormat="1">
      <c r="A106" s="1"/>
      <c r="B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</row>
    <row r="107" spans="1:40" s="4" customFormat="1">
      <c r="A107" s="1"/>
      <c r="B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</row>
    <row r="108" spans="1:40" s="4" customFormat="1">
      <c r="A108" s="1"/>
      <c r="B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</row>
    <row r="109" spans="1:40" s="4" customFormat="1">
      <c r="A109" s="1"/>
      <c r="B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</row>
    <row r="110" spans="1:40" s="4" customFormat="1">
      <c r="A110" s="1"/>
      <c r="B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</row>
    <row r="111" spans="1:40" s="4" customFormat="1">
      <c r="A111" s="1"/>
      <c r="B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</row>
    <row r="112" spans="1:40" s="4" customFormat="1">
      <c r="A112" s="1"/>
      <c r="B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</row>
    <row r="113" spans="1:40" s="4" customFormat="1">
      <c r="A113" s="1"/>
      <c r="B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</row>
    <row r="114" spans="1:40" s="4" customFormat="1">
      <c r="A114" s="1"/>
      <c r="B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</row>
    <row r="115" spans="1:40" s="4" customFormat="1">
      <c r="A115" s="1"/>
      <c r="B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</row>
    <row r="116" spans="1:40" s="4" customFormat="1">
      <c r="A116" s="1"/>
      <c r="B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</row>
    <row r="117" spans="1:40" s="4" customFormat="1">
      <c r="A117" s="1"/>
      <c r="B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</row>
    <row r="118" spans="1:40" s="4" customFormat="1">
      <c r="A118" s="1"/>
      <c r="B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</row>
    <row r="119" spans="1:40" s="4" customFormat="1">
      <c r="A119" s="1"/>
      <c r="B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</row>
    <row r="120" spans="1:40" s="4" customFormat="1">
      <c r="A120" s="1"/>
      <c r="B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</row>
    <row r="121" spans="1:40" s="4" customFormat="1">
      <c r="A121" s="1"/>
      <c r="B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</row>
    <row r="122" spans="1:40" s="4" customFormat="1">
      <c r="A122" s="1"/>
      <c r="B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</row>
    <row r="123" spans="1:40" s="4" customFormat="1">
      <c r="A123" s="1"/>
      <c r="B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</row>
    <row r="124" spans="1:40" s="4" customFormat="1">
      <c r="A124" s="1"/>
      <c r="B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</row>
    <row r="125" spans="1:40" s="4" customFormat="1">
      <c r="A125" s="1"/>
      <c r="B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</row>
    <row r="126" spans="1:40" s="4" customFormat="1">
      <c r="A126" s="1"/>
      <c r="B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</row>
    <row r="127" spans="1:40" s="4" customFormat="1">
      <c r="A127" s="1"/>
      <c r="B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</row>
    <row r="128" spans="1:40" s="4" customFormat="1">
      <c r="A128" s="1"/>
      <c r="B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</row>
    <row r="129" spans="1:40" s="4" customFormat="1">
      <c r="A129" s="1"/>
      <c r="B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</row>
    <row r="130" spans="1:40" s="4" customFormat="1">
      <c r="A130" s="1"/>
      <c r="B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</row>
    <row r="131" spans="1:40" s="4" customFormat="1">
      <c r="A131" s="1"/>
      <c r="B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</row>
    <row r="132" spans="1:40" s="4" customFormat="1">
      <c r="A132" s="1"/>
      <c r="B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</row>
    <row r="133" spans="1:40" s="4" customFormat="1">
      <c r="A133" s="1"/>
      <c r="B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</row>
    <row r="134" spans="1:40" s="4" customFormat="1">
      <c r="A134" s="1"/>
      <c r="B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</row>
    <row r="135" spans="1:40" s="4" customFormat="1">
      <c r="A135" s="1"/>
      <c r="B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</row>
    <row r="136" spans="1:40" s="4" customFormat="1">
      <c r="A136" s="1"/>
      <c r="B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</row>
    <row r="137" spans="1:40" s="4" customFormat="1">
      <c r="A137" s="1"/>
      <c r="B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</row>
    <row r="138" spans="1:40" s="4" customFormat="1">
      <c r="A138" s="1"/>
      <c r="B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</row>
    <row r="139" spans="1:40" s="4" customFormat="1">
      <c r="A139" s="1"/>
      <c r="B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</row>
    <row r="140" spans="1:40" s="4" customFormat="1">
      <c r="A140" s="1"/>
      <c r="B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</row>
    <row r="141" spans="1:40" s="4" customFormat="1">
      <c r="A141" s="1"/>
      <c r="B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</row>
    <row r="142" spans="1:40" s="4" customFormat="1">
      <c r="A142" s="1"/>
      <c r="B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</row>
    <row r="143" spans="1:40" s="4" customFormat="1">
      <c r="A143" s="1"/>
      <c r="B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</row>
    <row r="144" spans="1:40" s="4" customFormat="1">
      <c r="A144" s="1"/>
      <c r="B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</row>
    <row r="145" spans="1:40" s="4" customFormat="1">
      <c r="A145" s="1"/>
      <c r="B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</row>
    <row r="146" spans="1:40" s="4" customFormat="1">
      <c r="A146" s="1"/>
      <c r="B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</row>
    <row r="147" spans="1:40" s="4" customFormat="1">
      <c r="A147" s="1"/>
      <c r="B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</row>
    <row r="148" spans="1:40" s="4" customFormat="1">
      <c r="A148" s="1"/>
      <c r="B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</row>
    <row r="149" spans="1:40" s="4" customFormat="1">
      <c r="A149" s="1"/>
      <c r="B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</row>
    <row r="150" spans="1:40" s="4" customFormat="1">
      <c r="A150" s="1"/>
      <c r="B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</row>
    <row r="151" spans="1:40" s="4" customFormat="1">
      <c r="A151" s="1"/>
      <c r="B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</row>
    <row r="152" spans="1:40" s="4" customFormat="1">
      <c r="A152" s="1"/>
      <c r="B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</row>
    <row r="153" spans="1:40" s="4" customFormat="1">
      <c r="A153" s="1"/>
      <c r="B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</row>
    <row r="154" spans="1:40" s="4" customFormat="1">
      <c r="A154" s="1"/>
      <c r="B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</row>
    <row r="155" spans="1:40" s="4" customFormat="1">
      <c r="A155" s="1"/>
      <c r="B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</row>
    <row r="156" spans="1:40" s="4" customFormat="1">
      <c r="A156" s="1"/>
      <c r="B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</row>
    <row r="157" spans="1:40" s="4" customFormat="1">
      <c r="A157" s="1"/>
      <c r="B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</row>
    <row r="158" spans="1:40" s="4" customFormat="1">
      <c r="A158" s="1"/>
      <c r="B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</row>
    <row r="159" spans="1:40" s="4" customFormat="1">
      <c r="A159" s="1"/>
      <c r="B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</row>
    <row r="160" spans="1:40" s="4" customFormat="1">
      <c r="A160" s="1"/>
      <c r="B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</row>
    <row r="161" spans="1:40" s="4" customFormat="1">
      <c r="A161" s="1"/>
      <c r="B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</row>
    <row r="162" spans="1:40" s="4" customFormat="1">
      <c r="A162" s="1"/>
      <c r="B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</row>
    <row r="163" spans="1:40" s="4" customFormat="1">
      <c r="A163" s="1"/>
      <c r="B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</row>
    <row r="164" spans="1:40" s="4" customFormat="1">
      <c r="A164" s="1"/>
      <c r="B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</row>
    <row r="165" spans="1:40" s="4" customFormat="1">
      <c r="A165" s="1"/>
      <c r="B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</row>
    <row r="166" spans="1:40" s="4" customFormat="1">
      <c r="A166" s="1"/>
      <c r="B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</row>
    <row r="167" spans="1:40" s="4" customFormat="1">
      <c r="A167" s="1"/>
      <c r="B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</row>
    <row r="168" spans="1:40" s="4" customFormat="1">
      <c r="A168" s="1"/>
      <c r="B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</row>
    <row r="169" spans="1:40" s="4" customFormat="1">
      <c r="A169" s="1"/>
      <c r="B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</row>
    <row r="170" spans="1:40" s="4" customFormat="1">
      <c r="A170" s="1"/>
      <c r="B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</row>
    <row r="171" spans="1:40" s="4" customFormat="1">
      <c r="A171" s="1"/>
      <c r="B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</row>
    <row r="172" spans="1:40" s="4" customFormat="1">
      <c r="A172" s="1"/>
      <c r="B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</row>
    <row r="173" spans="1:40" s="4" customFormat="1">
      <c r="A173" s="1"/>
      <c r="B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</row>
    <row r="174" spans="1:40" s="4" customFormat="1">
      <c r="A174" s="1"/>
      <c r="B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</row>
    <row r="175" spans="1:40" s="4" customFormat="1">
      <c r="A175" s="1"/>
      <c r="B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</row>
    <row r="176" spans="1:40" s="4" customFormat="1">
      <c r="A176" s="1"/>
      <c r="B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</row>
    <row r="177" spans="1:40" s="4" customFormat="1">
      <c r="A177" s="1"/>
      <c r="B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</row>
    <row r="178" spans="1:40" s="4" customFormat="1">
      <c r="A178" s="1"/>
      <c r="B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</row>
    <row r="179" spans="1:40" s="4" customFormat="1">
      <c r="A179" s="1"/>
      <c r="B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</row>
    <row r="180" spans="1:40" s="4" customFormat="1">
      <c r="A180" s="1"/>
      <c r="B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</row>
    <row r="181" spans="1:40" s="4" customFormat="1">
      <c r="A181" s="1"/>
      <c r="B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</row>
    <row r="182" spans="1:40" s="4" customFormat="1">
      <c r="A182" s="1"/>
      <c r="B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</row>
    <row r="183" spans="1:40" s="4" customFormat="1">
      <c r="A183" s="1"/>
      <c r="B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</row>
    <row r="184" spans="1:40" s="4" customFormat="1">
      <c r="A184" s="1"/>
      <c r="B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</row>
    <row r="185" spans="1:40" s="4" customFormat="1">
      <c r="A185" s="1"/>
      <c r="B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</row>
    <row r="186" spans="1:40" s="4" customFormat="1">
      <c r="A186" s="1"/>
      <c r="B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</row>
    <row r="187" spans="1:40" s="4" customFormat="1">
      <c r="A187" s="1"/>
      <c r="B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</row>
    <row r="188" spans="1:40" s="4" customFormat="1">
      <c r="A188" s="1"/>
      <c r="B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</row>
    <row r="189" spans="1:40" s="4" customFormat="1">
      <c r="A189" s="1"/>
      <c r="B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</row>
    <row r="190" spans="1:40" s="4" customFormat="1">
      <c r="A190" s="1"/>
      <c r="B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</row>
    <row r="191" spans="1:40" s="4" customFormat="1">
      <c r="A191" s="1"/>
      <c r="B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</row>
    <row r="192" spans="1:40" s="4" customFormat="1">
      <c r="A192" s="1"/>
      <c r="B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</row>
    <row r="193" spans="1:40" s="4" customFormat="1">
      <c r="A193" s="1"/>
      <c r="B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</row>
    <row r="194" spans="1:40" s="4" customFormat="1">
      <c r="A194" s="1"/>
      <c r="B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</row>
    <row r="195" spans="1:40" s="4" customFormat="1">
      <c r="A195" s="1"/>
      <c r="B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</row>
    <row r="196" spans="1:40" s="4" customFormat="1">
      <c r="A196" s="1"/>
      <c r="B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</row>
    <row r="197" spans="1:40" s="4" customFormat="1">
      <c r="A197" s="1"/>
      <c r="B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</row>
    <row r="198" spans="1:40" s="4" customFormat="1">
      <c r="A198" s="1"/>
      <c r="B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</row>
    <row r="199" spans="1:40" s="4" customFormat="1">
      <c r="A199" s="1"/>
      <c r="B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</row>
    <row r="200" spans="1:40" s="4" customFormat="1">
      <c r="A200" s="1"/>
      <c r="B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</row>
    <row r="201" spans="1:40" s="4" customFormat="1">
      <c r="A201" s="1"/>
      <c r="B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</row>
    <row r="202" spans="1:40" s="4" customFormat="1">
      <c r="A202" s="1"/>
      <c r="B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</row>
    <row r="203" spans="1:40" s="4" customFormat="1">
      <c r="A203" s="1"/>
      <c r="B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</row>
    <row r="204" spans="1:40" s="4" customFormat="1">
      <c r="A204" s="1"/>
      <c r="B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</row>
    <row r="205" spans="1:40" s="4" customFormat="1">
      <c r="A205" s="1"/>
      <c r="B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</row>
    <row r="206" spans="1:40" s="4" customFormat="1">
      <c r="A206" s="1"/>
      <c r="B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</row>
    <row r="207" spans="1:40" s="4" customFormat="1">
      <c r="A207" s="1"/>
      <c r="B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</row>
    <row r="208" spans="1:40" s="4" customFormat="1">
      <c r="A208" s="1"/>
      <c r="B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</row>
    <row r="209" spans="1:40" s="4" customFormat="1">
      <c r="A209" s="1"/>
      <c r="B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</row>
    <row r="210" spans="1:40" s="4" customFormat="1">
      <c r="A210" s="1"/>
      <c r="B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</row>
    <row r="211" spans="1:40" s="4" customFormat="1">
      <c r="A211" s="1"/>
      <c r="B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</row>
    <row r="212" spans="1:40" s="4" customFormat="1">
      <c r="A212" s="1"/>
      <c r="B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</row>
    <row r="213" spans="1:40" s="4" customFormat="1">
      <c r="A213" s="1"/>
      <c r="B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</row>
    <row r="214" spans="1:40" s="4" customFormat="1">
      <c r="A214" s="1"/>
      <c r="B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</row>
    <row r="215" spans="1:40" s="4" customFormat="1">
      <c r="A215" s="1"/>
      <c r="B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</row>
    <row r="216" spans="1:40" s="4" customFormat="1">
      <c r="A216" s="1"/>
      <c r="B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</row>
    <row r="217" spans="1:40" s="4" customFormat="1">
      <c r="A217" s="1"/>
      <c r="B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</row>
    <row r="218" spans="1:40" s="4" customFormat="1">
      <c r="A218" s="1"/>
      <c r="B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</row>
    <row r="219" spans="1:40" s="4" customFormat="1">
      <c r="A219" s="1"/>
      <c r="B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</row>
    <row r="220" spans="1:40" s="4" customFormat="1">
      <c r="A220" s="1"/>
      <c r="B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</row>
    <row r="221" spans="1:40" s="4" customFormat="1">
      <c r="A221" s="1"/>
      <c r="B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</row>
    <row r="222" spans="1:40" s="4" customFormat="1">
      <c r="A222" s="1"/>
      <c r="B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</row>
    <row r="223" spans="1:40" s="4" customFormat="1">
      <c r="A223" s="1"/>
      <c r="B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</row>
    <row r="224" spans="1:40" s="4" customFormat="1">
      <c r="A224" s="1"/>
      <c r="B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</row>
    <row r="225" spans="1:40" s="4" customFormat="1">
      <c r="A225" s="1"/>
      <c r="B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</row>
    <row r="226" spans="1:40" s="4" customFormat="1">
      <c r="A226" s="1"/>
      <c r="B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</row>
    <row r="227" spans="1:40" s="4" customFormat="1">
      <c r="A227" s="1"/>
      <c r="B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</row>
    <row r="228" spans="1:40" s="4" customFormat="1">
      <c r="A228" s="1"/>
      <c r="B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</row>
    <row r="229" spans="1:40" s="4" customFormat="1">
      <c r="A229" s="1"/>
      <c r="B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</row>
    <row r="230" spans="1:40" s="4" customFormat="1">
      <c r="A230" s="1"/>
      <c r="B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</row>
    <row r="231" spans="1:40" s="4" customFormat="1">
      <c r="A231" s="1"/>
      <c r="B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</row>
    <row r="232" spans="1:40" s="4" customFormat="1">
      <c r="A232" s="1"/>
      <c r="B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</row>
    <row r="233" spans="1:40" s="4" customFormat="1">
      <c r="A233" s="1"/>
      <c r="B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</row>
    <row r="234" spans="1:40" s="4" customFormat="1">
      <c r="A234" s="1"/>
      <c r="B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</row>
    <row r="235" spans="1:40" s="4" customFormat="1">
      <c r="A235" s="1"/>
      <c r="B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</row>
    <row r="236" spans="1:40" s="4" customFormat="1">
      <c r="A236" s="1"/>
      <c r="B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</row>
    <row r="237" spans="1:40" s="4" customFormat="1">
      <c r="A237" s="1"/>
      <c r="B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</row>
    <row r="238" spans="1:40" s="4" customFormat="1">
      <c r="A238" s="1"/>
      <c r="B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</row>
    <row r="239" spans="1:40" s="4" customFormat="1">
      <c r="A239" s="1"/>
      <c r="B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</row>
    <row r="240" spans="1:40" s="4" customFormat="1">
      <c r="A240" s="1"/>
      <c r="B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</row>
    <row r="241" spans="1:40" s="4" customFormat="1">
      <c r="A241" s="1"/>
      <c r="B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</row>
    <row r="242" spans="1:40" s="4" customFormat="1">
      <c r="A242" s="1"/>
      <c r="B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</row>
    <row r="243" spans="1:40" s="4" customFormat="1">
      <c r="A243" s="1"/>
      <c r="B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</row>
    <row r="244" spans="1:40" s="4" customFormat="1">
      <c r="A244" s="1"/>
      <c r="B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</row>
    <row r="245" spans="1:40" s="4" customFormat="1">
      <c r="A245" s="1"/>
      <c r="B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</row>
    <row r="246" spans="1:40" s="4" customFormat="1">
      <c r="A246" s="1"/>
      <c r="B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</row>
    <row r="247" spans="1:40" s="4" customFormat="1">
      <c r="A247" s="1"/>
      <c r="B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</row>
    <row r="248" spans="1:40" s="4" customFormat="1">
      <c r="A248" s="1"/>
      <c r="B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</row>
    <row r="249" spans="1:40" s="4" customFormat="1">
      <c r="A249" s="1"/>
      <c r="B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</row>
    <row r="250" spans="1:40" s="4" customFormat="1">
      <c r="A250" s="1"/>
      <c r="B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</row>
    <row r="251" spans="1:40" s="4" customFormat="1">
      <c r="A251" s="1"/>
      <c r="B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</row>
    <row r="252" spans="1:40" s="4" customFormat="1">
      <c r="A252" s="1"/>
      <c r="B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</row>
    <row r="253" spans="1:40" s="4" customFormat="1">
      <c r="A253" s="1"/>
      <c r="B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</row>
    <row r="254" spans="1:40" s="4" customFormat="1">
      <c r="A254" s="1"/>
      <c r="B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</row>
    <row r="255" spans="1:40" s="4" customFormat="1">
      <c r="A255" s="1"/>
      <c r="B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</row>
    <row r="256" spans="1:40" s="4" customFormat="1">
      <c r="A256" s="1"/>
      <c r="B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</row>
    <row r="257" spans="1:40" s="4" customFormat="1">
      <c r="A257" s="1"/>
      <c r="B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</row>
    <row r="258" spans="1:40" s="4" customFormat="1">
      <c r="A258" s="1"/>
      <c r="B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</row>
    <row r="259" spans="1:40" s="4" customFormat="1">
      <c r="A259" s="1"/>
      <c r="B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</row>
    <row r="260" spans="1:40" s="4" customFormat="1">
      <c r="A260" s="1"/>
      <c r="B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</row>
    <row r="261" spans="1:40" s="4" customFormat="1">
      <c r="A261" s="1"/>
      <c r="B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</row>
    <row r="262" spans="1:40" s="4" customFormat="1">
      <c r="A262" s="1"/>
      <c r="B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</row>
    <row r="263" spans="1:40" s="4" customFormat="1">
      <c r="A263" s="1"/>
      <c r="B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</row>
    <row r="264" spans="1:40" s="4" customFormat="1">
      <c r="A264" s="1"/>
      <c r="B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</row>
    <row r="265" spans="1:40" s="4" customFormat="1">
      <c r="A265" s="1"/>
      <c r="B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</row>
    <row r="266" spans="1:40" s="4" customFormat="1">
      <c r="A266" s="1"/>
      <c r="B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</row>
    <row r="267" spans="1:40" s="4" customFormat="1">
      <c r="A267" s="1"/>
      <c r="B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</row>
    <row r="268" spans="1:40" s="4" customFormat="1">
      <c r="A268" s="1"/>
      <c r="B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</row>
    <row r="269" spans="1:40" s="4" customFormat="1">
      <c r="A269" s="1"/>
      <c r="B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</row>
    <row r="270" spans="1:40" s="4" customFormat="1">
      <c r="A270" s="1"/>
      <c r="B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</row>
    <row r="271" spans="1:40" s="4" customFormat="1">
      <c r="A271" s="1"/>
      <c r="B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</row>
    <row r="272" spans="1:40" s="4" customFormat="1">
      <c r="A272" s="1"/>
      <c r="B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</row>
    <row r="273" spans="1:40" s="4" customFormat="1">
      <c r="A273" s="1"/>
      <c r="B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</row>
    <row r="274" spans="1:40" s="4" customFormat="1">
      <c r="A274" s="1"/>
      <c r="B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</row>
    <row r="275" spans="1:40" s="4" customFormat="1">
      <c r="A275" s="1"/>
      <c r="B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</row>
    <row r="276" spans="1:40" s="4" customFormat="1">
      <c r="A276" s="1"/>
      <c r="B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</row>
    <row r="277" spans="1:40" s="4" customFormat="1">
      <c r="A277" s="1"/>
      <c r="B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</row>
    <row r="278" spans="1:40" s="4" customFormat="1">
      <c r="A278" s="1"/>
      <c r="B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</row>
    <row r="279" spans="1:40" s="4" customFormat="1">
      <c r="A279" s="1"/>
      <c r="B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</row>
    <row r="280" spans="1:40" s="4" customFormat="1">
      <c r="A280" s="1"/>
      <c r="B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</row>
    <row r="281" spans="1:40" s="4" customFormat="1">
      <c r="A281" s="1"/>
      <c r="B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</row>
    <row r="282" spans="1:40" s="4" customFormat="1">
      <c r="A282" s="1"/>
      <c r="B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</row>
    <row r="283" spans="1:40" s="4" customFormat="1">
      <c r="A283" s="1"/>
      <c r="B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</row>
    <row r="284" spans="1:40" s="4" customFormat="1">
      <c r="A284" s="1"/>
      <c r="B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</row>
    <row r="285" spans="1:40" s="4" customFormat="1">
      <c r="A285" s="1"/>
      <c r="B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</row>
    <row r="286" spans="1:40" s="4" customFormat="1">
      <c r="A286" s="1"/>
      <c r="B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</row>
    <row r="287" spans="1:40" s="4" customFormat="1">
      <c r="A287" s="1"/>
      <c r="B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</row>
    <row r="288" spans="1:40" s="4" customFormat="1">
      <c r="A288" s="1"/>
      <c r="B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</row>
    <row r="289" spans="1:40" s="4" customFormat="1">
      <c r="A289" s="1"/>
      <c r="B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</row>
    <row r="290" spans="1:40" s="4" customFormat="1">
      <c r="A290" s="1"/>
      <c r="B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</row>
    <row r="291" spans="1:40" s="4" customFormat="1">
      <c r="A291" s="1"/>
      <c r="B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</row>
    <row r="292" spans="1:40" s="4" customFormat="1">
      <c r="A292" s="1"/>
      <c r="B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</row>
    <row r="293" spans="1:40" s="4" customFormat="1">
      <c r="A293" s="1"/>
      <c r="B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</row>
    <row r="294" spans="1:40" s="4" customFormat="1">
      <c r="A294" s="1"/>
      <c r="B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</row>
    <row r="295" spans="1:40" s="4" customFormat="1">
      <c r="A295" s="1"/>
      <c r="B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</row>
    <row r="296" spans="1:40" s="4" customFormat="1">
      <c r="A296" s="1"/>
      <c r="B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</row>
    <row r="297" spans="1:40" s="4" customFormat="1">
      <c r="A297" s="1"/>
      <c r="B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</row>
    <row r="298" spans="1:40" s="4" customFormat="1">
      <c r="A298" s="1"/>
      <c r="B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</row>
    <row r="299" spans="1:40" s="4" customFormat="1">
      <c r="A299" s="1"/>
      <c r="B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</row>
    <row r="300" spans="1:40" s="4" customFormat="1">
      <c r="A300" s="1"/>
      <c r="B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</row>
    <row r="301" spans="1:40" s="4" customFormat="1">
      <c r="A301" s="1"/>
      <c r="B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</row>
    <row r="302" spans="1:40" s="4" customFormat="1">
      <c r="A302" s="1"/>
      <c r="B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</row>
    <row r="303" spans="1:40" s="4" customFormat="1">
      <c r="A303" s="1"/>
      <c r="B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</row>
    <row r="304" spans="1:40" s="4" customFormat="1">
      <c r="A304" s="1"/>
      <c r="B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</row>
    <row r="305" spans="1:40" s="4" customFormat="1">
      <c r="A305" s="1"/>
      <c r="B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</row>
    <row r="306" spans="1:40" s="4" customFormat="1">
      <c r="A306" s="1"/>
      <c r="B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</row>
    <row r="307" spans="1:40" s="4" customFormat="1">
      <c r="A307" s="1"/>
      <c r="B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</row>
    <row r="308" spans="1:40" s="4" customFormat="1">
      <c r="A308" s="1"/>
      <c r="B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</row>
    <row r="309" spans="1:40" s="4" customFormat="1">
      <c r="A309" s="1"/>
      <c r="B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</row>
    <row r="310" spans="1:40" s="4" customFormat="1">
      <c r="A310" s="1"/>
      <c r="B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</row>
    <row r="311" spans="1:40" s="4" customFormat="1">
      <c r="A311" s="1"/>
      <c r="B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</row>
    <row r="312" spans="1:40" s="4" customFormat="1">
      <c r="A312" s="1"/>
      <c r="B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</row>
    <row r="313" spans="1:40" s="4" customFormat="1">
      <c r="A313" s="1"/>
      <c r="B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</row>
    <row r="314" spans="1:40" s="4" customFormat="1">
      <c r="A314" s="1"/>
      <c r="B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</row>
    <row r="315" spans="1:40" s="4" customFormat="1">
      <c r="A315" s="1"/>
      <c r="B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</row>
    <row r="316" spans="1:40" s="4" customFormat="1">
      <c r="A316" s="1"/>
      <c r="B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</row>
    <row r="317" spans="1:40" s="4" customFormat="1">
      <c r="A317" s="1"/>
      <c r="B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</row>
    <row r="318" spans="1:40" s="4" customFormat="1">
      <c r="A318" s="1"/>
      <c r="B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</row>
    <row r="319" spans="1:40" s="4" customFormat="1">
      <c r="A319" s="1"/>
      <c r="B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</row>
    <row r="320" spans="1:40" s="4" customFormat="1">
      <c r="A320" s="1"/>
      <c r="B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</row>
    <row r="321" spans="1:40" s="4" customFormat="1">
      <c r="A321" s="1"/>
      <c r="B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</row>
    <row r="322" spans="1:40" s="4" customFormat="1">
      <c r="A322" s="1"/>
      <c r="B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</row>
    <row r="323" spans="1:40" s="4" customFormat="1">
      <c r="A323" s="1"/>
      <c r="B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</row>
    <row r="324" spans="1:40" s="4" customFormat="1">
      <c r="A324" s="1"/>
      <c r="B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</row>
    <row r="325" spans="1:40" s="4" customFormat="1">
      <c r="A325" s="1"/>
      <c r="B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</row>
    <row r="326" spans="1:40" s="4" customFormat="1">
      <c r="A326" s="1"/>
      <c r="B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</row>
    <row r="327" spans="1:40" s="4" customFormat="1">
      <c r="A327" s="1"/>
      <c r="B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</row>
    <row r="328" spans="1:40" s="4" customFormat="1">
      <c r="A328" s="1"/>
      <c r="B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</row>
    <row r="329" spans="1:40" s="4" customFormat="1">
      <c r="A329" s="1"/>
      <c r="B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</row>
    <row r="330" spans="1:40" s="4" customFormat="1">
      <c r="A330" s="1"/>
      <c r="B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</row>
    <row r="331" spans="1:40" s="4" customFormat="1">
      <c r="A331" s="1"/>
      <c r="B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</row>
    <row r="332" spans="1:40" s="4" customFormat="1">
      <c r="A332" s="1"/>
      <c r="B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</row>
    <row r="333" spans="1:40" s="4" customFormat="1">
      <c r="A333" s="1"/>
      <c r="B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</row>
    <row r="334" spans="1:40" s="4" customFormat="1">
      <c r="A334" s="1"/>
      <c r="B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</row>
    <row r="335" spans="1:40" s="4" customFormat="1">
      <c r="A335" s="1"/>
      <c r="B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</row>
    <row r="336" spans="1:40" s="4" customFormat="1">
      <c r="A336" s="1"/>
      <c r="B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</row>
    <row r="337" spans="1:40" s="4" customFormat="1">
      <c r="A337" s="1"/>
      <c r="B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</row>
    <row r="338" spans="1:40" s="4" customFormat="1">
      <c r="A338" s="1"/>
      <c r="B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</row>
    <row r="339" spans="1:40" s="4" customFormat="1">
      <c r="A339" s="1"/>
      <c r="B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</row>
    <row r="340" spans="1:40" s="4" customFormat="1">
      <c r="A340" s="1"/>
      <c r="B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</row>
    <row r="341" spans="1:40" s="4" customFormat="1">
      <c r="A341" s="1"/>
      <c r="B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</row>
    <row r="342" spans="1:40" s="4" customFormat="1">
      <c r="A342" s="1"/>
      <c r="B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</row>
    <row r="343" spans="1:40" s="4" customFormat="1">
      <c r="A343" s="1"/>
      <c r="B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</row>
    <row r="344" spans="1:40" s="4" customFormat="1">
      <c r="A344" s="1"/>
      <c r="B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</row>
    <row r="345" spans="1:40" s="4" customFormat="1">
      <c r="A345" s="1"/>
      <c r="B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</row>
    <row r="346" spans="1:40" s="4" customFormat="1">
      <c r="A346" s="1"/>
      <c r="B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</row>
    <row r="347" spans="1:40" s="4" customFormat="1">
      <c r="A347" s="1"/>
      <c r="B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</row>
    <row r="348" spans="1:40" s="4" customFormat="1">
      <c r="A348" s="1"/>
      <c r="B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</row>
    <row r="349" spans="1:40" s="4" customFormat="1">
      <c r="A349" s="1"/>
      <c r="B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</row>
    <row r="350" spans="1:40" s="4" customFormat="1">
      <c r="A350" s="1"/>
      <c r="B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</row>
    <row r="351" spans="1:40" s="4" customFormat="1">
      <c r="A351" s="1"/>
      <c r="B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</row>
    <row r="352" spans="1:40" s="4" customFormat="1">
      <c r="A352" s="1"/>
      <c r="B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</row>
    <row r="353" spans="1:40" s="4" customFormat="1">
      <c r="A353" s="1"/>
      <c r="B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</row>
    <row r="354" spans="1:40" s="4" customFormat="1">
      <c r="A354" s="1"/>
      <c r="B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</row>
    <row r="355" spans="1:40" s="4" customFormat="1">
      <c r="A355" s="1"/>
      <c r="B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</row>
    <row r="356" spans="1:40" s="4" customFormat="1">
      <c r="A356" s="1"/>
      <c r="B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</row>
    <row r="357" spans="1:40" s="4" customFormat="1">
      <c r="A357" s="1"/>
      <c r="B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</row>
    <row r="358" spans="1:40" s="4" customFormat="1">
      <c r="A358" s="1"/>
      <c r="B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</row>
    <row r="359" spans="1:40" s="4" customFormat="1">
      <c r="A359" s="1"/>
      <c r="B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</row>
    <row r="360" spans="1:40" s="4" customFormat="1">
      <c r="A360" s="1"/>
      <c r="B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</row>
    <row r="361" spans="1:40" s="4" customFormat="1">
      <c r="A361" s="1"/>
      <c r="B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</row>
    <row r="362" spans="1:40" s="4" customFormat="1">
      <c r="A362" s="1"/>
      <c r="B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</row>
    <row r="363" spans="1:40" s="4" customFormat="1">
      <c r="A363" s="1"/>
      <c r="B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</row>
    <row r="364" spans="1:40" s="4" customFormat="1">
      <c r="A364" s="1"/>
      <c r="B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</row>
    <row r="365" spans="1:40" s="4" customFormat="1">
      <c r="A365" s="1"/>
      <c r="B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</row>
    <row r="366" spans="1:40" s="4" customFormat="1">
      <c r="A366" s="1"/>
      <c r="B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</row>
    <row r="367" spans="1:40" s="4" customFormat="1">
      <c r="A367" s="1"/>
      <c r="B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</row>
    <row r="368" spans="1:40" s="4" customFormat="1">
      <c r="A368" s="1"/>
      <c r="B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</row>
    <row r="369" spans="1:40" s="4" customFormat="1">
      <c r="A369" s="1"/>
      <c r="B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</row>
    <row r="370" spans="1:40" s="4" customFormat="1">
      <c r="A370" s="1"/>
      <c r="B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</row>
    <row r="371" spans="1:40" s="4" customFormat="1">
      <c r="A371" s="1"/>
      <c r="B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</row>
    <row r="372" spans="1:40" s="4" customFormat="1">
      <c r="A372" s="1"/>
      <c r="B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</row>
    <row r="373" spans="1:40" s="4" customFormat="1">
      <c r="A373" s="1"/>
      <c r="B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</row>
    <row r="374" spans="1:40" s="4" customFormat="1">
      <c r="A374" s="1"/>
      <c r="B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</row>
    <row r="375" spans="1:40" s="4" customFormat="1">
      <c r="A375" s="1"/>
      <c r="B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</row>
    <row r="376" spans="1:40" s="4" customFormat="1">
      <c r="A376" s="1"/>
      <c r="B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</row>
    <row r="377" spans="1:40" s="4" customFormat="1">
      <c r="A377" s="1"/>
      <c r="B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</row>
    <row r="378" spans="1:40" s="4" customFormat="1">
      <c r="A378" s="1"/>
      <c r="B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</row>
    <row r="379" spans="1:40" s="4" customFormat="1">
      <c r="A379" s="1"/>
      <c r="B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</row>
    <row r="380" spans="1:40" s="4" customFormat="1">
      <c r="A380" s="1"/>
      <c r="B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</row>
    <row r="381" spans="1:40" s="4" customFormat="1">
      <c r="A381" s="1"/>
      <c r="B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</row>
    <row r="382" spans="1:40" s="4" customFormat="1">
      <c r="A382" s="1"/>
      <c r="B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</row>
    <row r="383" spans="1:40" s="4" customFormat="1">
      <c r="A383" s="1"/>
      <c r="B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</row>
    <row r="384" spans="1:40" s="4" customFormat="1">
      <c r="A384" s="1"/>
      <c r="B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</row>
    <row r="385" spans="1:40" s="4" customFormat="1">
      <c r="A385" s="1"/>
      <c r="B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</row>
    <row r="386" spans="1:40" s="4" customFormat="1">
      <c r="A386" s="1"/>
      <c r="B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</row>
  </sheetData>
  <mergeCells count="8">
    <mergeCell ref="F26:H27"/>
    <mergeCell ref="I26:J26"/>
    <mergeCell ref="I2:J2"/>
    <mergeCell ref="K2:L2"/>
    <mergeCell ref="I3:I4"/>
    <mergeCell ref="J3:J4"/>
    <mergeCell ref="K3:K4"/>
    <mergeCell ref="L3:L4"/>
  </mergeCells>
  <pageMargins left="0.74803149606299213" right="0.74803149606299213" top="0.98425196850393704" bottom="0.98425196850393704" header="0" footer="0"/>
  <pageSetup paperSize="9" scale="53" fitToHeight="2" orientation="landscape" horizontalDpi="300" verticalDpi="3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21BFA9F-3F93-9947-B8A4-BEC4A0520688}">
          <x14:formula1>
            <xm:f>Skattesatser!$B$6:$B$103</xm:f>
          </x14:formula1>
          <xm:sqref>C12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45A8D-385C-E24E-92A8-2C4341B74B82}">
  <sheetPr>
    <tabColor rgb="FFFF0000"/>
    <pageSetUpPr fitToPage="1"/>
  </sheetPr>
  <dimension ref="A1:AN393"/>
  <sheetViews>
    <sheetView zoomScale="120" zoomScaleNormal="120" workbookViewId="0">
      <selection activeCell="D20" sqref="D20"/>
    </sheetView>
  </sheetViews>
  <sheetFormatPr baseColWidth="10" defaultColWidth="8.6640625" defaultRowHeight="13"/>
  <cols>
    <col min="1" max="1" width="1.6640625" style="1" customWidth="1"/>
    <col min="2" max="2" width="51.6640625" style="5" customWidth="1"/>
    <col min="3" max="3" width="14" style="5" customWidth="1"/>
    <col min="4" max="4" width="14.5" style="4" customWidth="1"/>
    <col min="5" max="5" width="6.6640625" style="4" customWidth="1"/>
    <col min="6" max="6" width="37.5" style="4" customWidth="1"/>
    <col min="7" max="7" width="9.5" style="4" customWidth="1"/>
    <col min="8" max="8" width="12.1640625" style="4" customWidth="1"/>
    <col min="9" max="9" width="12.5" style="5" customWidth="1"/>
    <col min="10" max="10" width="13.5" style="5" customWidth="1"/>
    <col min="11" max="11" width="11.6640625" style="5" customWidth="1"/>
    <col min="12" max="12" width="14.5" style="5" customWidth="1"/>
    <col min="13" max="25" width="13.5" style="5" customWidth="1"/>
    <col min="26" max="27" width="11" style="5" customWidth="1"/>
    <col min="28" max="28" width="14.1640625" style="5" customWidth="1"/>
    <col min="29" max="40" width="11" style="5" customWidth="1"/>
    <col min="41" max="16384" width="8.6640625" style="5"/>
  </cols>
  <sheetData>
    <row r="1" spans="1:32" ht="19" thickBot="1">
      <c r="B1" s="2" t="s">
        <v>96</v>
      </c>
      <c r="C1" s="915" t="s">
        <v>1</v>
      </c>
      <c r="D1" s="915"/>
      <c r="F1" s="5"/>
      <c r="G1" s="5"/>
      <c r="H1" s="5"/>
    </row>
    <row r="2" spans="1:32" ht="14" thickBot="1">
      <c r="B2" s="161" t="s">
        <v>97</v>
      </c>
      <c r="C2" s="7" t="s">
        <v>86</v>
      </c>
      <c r="D2" s="162" t="s">
        <v>98</v>
      </c>
      <c r="F2" s="9"/>
      <c r="I2" s="906" t="str">
        <f>C2</f>
        <v>Person 1</v>
      </c>
      <c r="J2" s="907"/>
      <c r="K2" s="906" t="str">
        <f>D2</f>
        <v>Person 2</v>
      </c>
      <c r="L2" s="907"/>
    </row>
    <row r="3" spans="1:32">
      <c r="B3" s="10" t="s">
        <v>3</v>
      </c>
      <c r="C3" s="11">
        <v>0</v>
      </c>
      <c r="D3" s="163">
        <v>0</v>
      </c>
      <c r="F3" s="13"/>
      <c r="G3" s="14"/>
      <c r="H3" s="15"/>
      <c r="I3" s="909" t="s">
        <v>4</v>
      </c>
      <c r="J3" s="911" t="s">
        <v>5</v>
      </c>
      <c r="K3" s="909" t="s">
        <v>4</v>
      </c>
      <c r="L3" s="911" t="s">
        <v>5</v>
      </c>
    </row>
    <row r="4" spans="1:32" ht="14" thickBot="1">
      <c r="B4" s="16" t="s">
        <v>6</v>
      </c>
      <c r="C4" s="17">
        <v>0</v>
      </c>
      <c r="D4" s="164">
        <v>0</v>
      </c>
      <c r="F4" s="18" t="s">
        <v>7</v>
      </c>
      <c r="G4" s="19" t="s">
        <v>8</v>
      </c>
      <c r="H4" s="20" t="s">
        <v>9</v>
      </c>
      <c r="I4" s="910"/>
      <c r="J4" s="912"/>
      <c r="K4" s="910"/>
      <c r="L4" s="912"/>
    </row>
    <row r="5" spans="1:32">
      <c r="B5" s="16" t="s">
        <v>10</v>
      </c>
      <c r="C5" s="17">
        <v>0</v>
      </c>
      <c r="D5" s="17">
        <v>0</v>
      </c>
      <c r="F5" s="10" t="s">
        <v>11</v>
      </c>
      <c r="G5" s="22">
        <f>Bundskat</f>
        <v>0.1201</v>
      </c>
      <c r="H5" s="23">
        <f>Personfradrag</f>
        <v>51600</v>
      </c>
      <c r="I5" s="24">
        <f>IF($AC$28=1,($C$31+$AC$29),$C$77)-($H$5+$AB$41)</f>
        <v>-103200</v>
      </c>
      <c r="J5" s="25">
        <f>+IF(I5&gt;0,G5*I5,0)</f>
        <v>0</v>
      </c>
      <c r="K5" s="29">
        <f>IF(AC28=1,(D31+AD29),$D$77)-H5</f>
        <v>-51600</v>
      </c>
      <c r="L5" s="59">
        <f>+IF(K5&gt;0,K5*G5,0)</f>
        <v>0</v>
      </c>
    </row>
    <row r="6" spans="1:32">
      <c r="B6" s="16" t="s">
        <v>12</v>
      </c>
      <c r="C6" s="26" t="s">
        <v>13</v>
      </c>
      <c r="D6" s="165" t="s">
        <v>13</v>
      </c>
      <c r="F6" s="16" t="s">
        <v>14</v>
      </c>
      <c r="G6" s="27">
        <f>Topskat</f>
        <v>0.15</v>
      </c>
      <c r="H6" s="28">
        <f>TopSkatGranse</f>
        <v>611800</v>
      </c>
      <c r="I6" s="29">
        <f>MAX((C78-$H$6),0)</f>
        <v>0</v>
      </c>
      <c r="J6" s="30">
        <f>G6*I6</f>
        <v>0</v>
      </c>
      <c r="K6" s="29">
        <f>MAX((D77-$H$6),0)</f>
        <v>0</v>
      </c>
      <c r="L6" s="30">
        <f>G6*K6</f>
        <v>0</v>
      </c>
    </row>
    <row r="7" spans="1:32">
      <c r="B7" s="16" t="s">
        <v>15</v>
      </c>
      <c r="C7" s="17">
        <v>0</v>
      </c>
      <c r="D7" s="164">
        <v>0</v>
      </c>
      <c r="F7" s="16" t="s">
        <v>16</v>
      </c>
      <c r="G7" s="27">
        <f>Sundhedsbidrag</f>
        <v>0</v>
      </c>
      <c r="H7" s="28">
        <f>Personfradrag</f>
        <v>51600</v>
      </c>
      <c r="I7" s="29">
        <f>($C$45+AB29)-(H7+AB43)</f>
        <v>-103200</v>
      </c>
      <c r="J7" s="30">
        <f>+IF(I7&gt;0,I7*G7,0)</f>
        <v>0</v>
      </c>
      <c r="K7" s="29">
        <f>($D$45-AB29)-H7</f>
        <v>-51600</v>
      </c>
      <c r="L7" s="30">
        <f>+IF(K7&gt;0,G7*K7,0)</f>
        <v>0</v>
      </c>
    </row>
    <row r="8" spans="1:32">
      <c r="B8" s="16" t="s">
        <v>17</v>
      </c>
      <c r="C8" s="17">
        <v>0</v>
      </c>
      <c r="D8" s="164">
        <v>0</v>
      </c>
      <c r="F8" s="16" t="s">
        <v>18</v>
      </c>
      <c r="G8" s="27">
        <f>C13</f>
        <v>0.25600000000000001</v>
      </c>
      <c r="H8" s="28">
        <f>Personfradrag</f>
        <v>51600</v>
      </c>
      <c r="I8" s="29">
        <f>($C$45+AB29)-(H8+AB44)</f>
        <v>-103200</v>
      </c>
      <c r="J8" s="30">
        <f>+IF(I8&gt;0,$C$13*I8,0)</f>
        <v>0</v>
      </c>
      <c r="K8" s="29">
        <f>($D$45-AB29)-H8</f>
        <v>-51600</v>
      </c>
      <c r="L8" s="30">
        <f>+IF(K8&gt;0,$D$13*K8,0)</f>
        <v>0</v>
      </c>
    </row>
    <row r="9" spans="1:32" ht="14" thickBot="1">
      <c r="B9" s="32" t="s">
        <v>19</v>
      </c>
      <c r="C9" s="33">
        <v>0</v>
      </c>
      <c r="D9" s="166">
        <v>0</v>
      </c>
      <c r="F9" s="16" t="s">
        <v>20</v>
      </c>
      <c r="G9" s="27">
        <f>C14</f>
        <v>0</v>
      </c>
      <c r="H9" s="28">
        <f>Personfradrag</f>
        <v>51600</v>
      </c>
      <c r="I9" s="29">
        <f>($C$45+AB29)-(H9+AB45)</f>
        <v>-103200</v>
      </c>
      <c r="J9" s="30">
        <f>+IF(I9&gt;0,$C$14*I9,0)</f>
        <v>0</v>
      </c>
      <c r="K9" s="29">
        <f>($D$45-AB29)-H9</f>
        <v>-51600</v>
      </c>
      <c r="L9" s="30">
        <f>+IF(K9&gt;0,$D$14*K9,0)</f>
        <v>0</v>
      </c>
    </row>
    <row r="10" spans="1:32" ht="14" thickBot="1">
      <c r="B10" s="16" t="s">
        <v>21</v>
      </c>
      <c r="C10" s="17">
        <v>0</v>
      </c>
      <c r="D10" s="164">
        <v>0</v>
      </c>
      <c r="F10" s="34"/>
      <c r="G10" s="35"/>
      <c r="H10" s="36"/>
      <c r="I10" s="37"/>
      <c r="J10" s="38">
        <f>SUM(J5:J9)</f>
        <v>0</v>
      </c>
      <c r="K10" s="36"/>
      <c r="L10" s="38">
        <f>SUM(L5:L9)</f>
        <v>0</v>
      </c>
    </row>
    <row r="11" spans="1:32">
      <c r="B11" s="16" t="s">
        <v>22</v>
      </c>
      <c r="C11" s="26" t="s">
        <v>13</v>
      </c>
      <c r="D11" s="165" t="s">
        <v>13</v>
      </c>
      <c r="F11" s="29"/>
      <c r="I11" s="39"/>
      <c r="J11" s="40"/>
      <c r="K11" s="41"/>
      <c r="L11" s="167"/>
    </row>
    <row r="12" spans="1:32" ht="14" thickBot="1">
      <c r="B12" s="43" t="s">
        <v>23</v>
      </c>
      <c r="C12" s="26" t="s">
        <v>24</v>
      </c>
      <c r="D12" s="165" t="str">
        <f>C12</f>
        <v>Albertslund</v>
      </c>
      <c r="F12" s="45" t="s">
        <v>25</v>
      </c>
      <c r="G12" s="27"/>
      <c r="I12" s="29"/>
      <c r="J12" s="46">
        <f>IF(AA29&gt;=0,0,IF(AA29&gt;=GranseNegKIPar,TillagNegKI*AA29,TillagNegKI*GranseNegKIPar))</f>
        <v>0</v>
      </c>
      <c r="K12" s="4"/>
      <c r="L12" s="59"/>
    </row>
    <row r="13" spans="1:32">
      <c r="B13" s="16" t="s">
        <v>26</v>
      </c>
      <c r="C13" s="168">
        <f>VLOOKUP($C$12,Skattesatser!$B$6:$E$103,2)/100</f>
        <v>0.25600000000000001</v>
      </c>
      <c r="D13" s="168">
        <f>VLOOKUP($D$12,Skattesatser!$B$6:$E$103,2)/100</f>
        <v>0.25600000000000001</v>
      </c>
      <c r="F13" s="48" t="s">
        <v>27</v>
      </c>
      <c r="G13" s="5"/>
      <c r="I13" s="49">
        <f>IF($C$81&gt;SkraatSkatteloftPI,$C$81-SkraatSkatteloftPI,0)</f>
        <v>5.3999999999999604E-3</v>
      </c>
      <c r="J13" s="46">
        <f>-I13*C83</f>
        <v>0</v>
      </c>
      <c r="K13" s="50">
        <f>IF($D$81&gt;SkraatSkatteloftPI,$D$81-SkraatSkatteloftPI,0)</f>
        <v>5.3999999999999604E-3</v>
      </c>
      <c r="L13" s="46">
        <f>-K13*D83</f>
        <v>0</v>
      </c>
    </row>
    <row r="14" spans="1:32" s="54" customFormat="1">
      <c r="A14" s="52"/>
      <c r="B14" s="16" t="s">
        <v>28</v>
      </c>
      <c r="C14" s="47">
        <f>IF(C11="ja",VLOOKUP($C$12,Skattesatser!$B$6:$E$103,3)/100,0)</f>
        <v>0</v>
      </c>
      <c r="D14" s="47">
        <f>IF(D11="ja",VLOOKUP($C$12,Skattesatser!$B$6:$E$103,3)/100,0)</f>
        <v>0</v>
      </c>
      <c r="F14" s="48" t="s">
        <v>29</v>
      </c>
      <c r="G14" s="5"/>
      <c r="H14" s="4"/>
      <c r="I14" s="49">
        <f>IF($C$81&gt;SkraatSkatteloftKI,$C$81-SkraatSkatteloftKI,0)</f>
        <v>0.10610000000000003</v>
      </c>
      <c r="J14" s="46">
        <f>-I14*C84</f>
        <v>0</v>
      </c>
      <c r="K14" s="4"/>
      <c r="L14" s="59"/>
    </row>
    <row r="15" spans="1:32" s="54" customFormat="1" ht="14" thickBot="1">
      <c r="A15" s="52"/>
      <c r="B15" s="16" t="s">
        <v>30</v>
      </c>
      <c r="C15" s="169">
        <f>VLOOKUP($C$12,Skattesatser!$B$6:$E$103,4)/1000</f>
        <v>9.1000000000000004E-3</v>
      </c>
      <c r="D15" s="170"/>
      <c r="F15" s="48"/>
      <c r="G15" s="5"/>
      <c r="H15" s="4"/>
      <c r="I15" s="56"/>
      <c r="J15" s="30">
        <f>SUM(J10:J14)</f>
        <v>0</v>
      </c>
      <c r="K15" s="4"/>
      <c r="L15" s="30">
        <f>SUM(L10:L14)</f>
        <v>0</v>
      </c>
    </row>
    <row r="16" spans="1:32" s="54" customFormat="1" ht="14" thickBot="1">
      <c r="A16" s="52"/>
      <c r="B16" s="57" t="s">
        <v>31</v>
      </c>
      <c r="C16" s="17">
        <v>0</v>
      </c>
      <c r="D16" s="171"/>
      <c r="F16" s="45"/>
      <c r="G16" s="58"/>
      <c r="H16" s="4"/>
      <c r="I16" s="56"/>
      <c r="J16" s="59"/>
      <c r="K16" s="4"/>
      <c r="L16" s="172"/>
      <c r="AF16" s="5"/>
    </row>
    <row r="17" spans="1:32" s="54" customFormat="1">
      <c r="A17" s="52"/>
      <c r="B17" s="48" t="s">
        <v>32</v>
      </c>
      <c r="C17" s="17">
        <v>0</v>
      </c>
      <c r="D17" s="171"/>
      <c r="F17" s="60"/>
      <c r="G17" s="61"/>
      <c r="H17" s="61"/>
      <c r="I17" s="62"/>
      <c r="J17" s="25"/>
      <c r="K17" s="62"/>
      <c r="L17" s="25"/>
      <c r="AF17" s="5"/>
    </row>
    <row r="18" spans="1:32" s="54" customFormat="1" ht="14" thickBot="1">
      <c r="A18" s="52"/>
      <c r="B18" s="63" t="s">
        <v>33</v>
      </c>
      <c r="C18" s="64">
        <v>0</v>
      </c>
      <c r="D18" s="173"/>
      <c r="F18" s="45" t="s">
        <v>34</v>
      </c>
      <c r="I18" s="65"/>
      <c r="J18" s="30">
        <f>J15+C27</f>
        <v>0</v>
      </c>
      <c r="K18" s="65"/>
      <c r="L18" s="30">
        <f>L15+D27</f>
        <v>0</v>
      </c>
      <c r="AF18" s="5"/>
    </row>
    <row r="19" spans="1:32" s="67" customFormat="1" ht="14" thickBot="1">
      <c r="A19" s="66"/>
      <c r="F19" s="69" t="s">
        <v>35</v>
      </c>
      <c r="I19" s="70"/>
      <c r="J19" s="30">
        <f>+F71/2</f>
        <v>0</v>
      </c>
      <c r="K19" s="70"/>
      <c r="L19" s="30">
        <f>J19</f>
        <v>0</v>
      </c>
      <c r="AF19" s="5"/>
    </row>
    <row r="20" spans="1:32" s="67" customFormat="1">
      <c r="A20" s="66"/>
      <c r="B20" s="71" t="s">
        <v>36</v>
      </c>
      <c r="C20" s="72">
        <v>0</v>
      </c>
      <c r="D20" s="174">
        <v>0</v>
      </c>
      <c r="E20" s="74"/>
      <c r="F20" s="45" t="s">
        <v>37</v>
      </c>
      <c r="I20" s="70"/>
      <c r="J20" s="30">
        <f>F72/2</f>
        <v>0</v>
      </c>
      <c r="K20" s="70"/>
      <c r="L20" s="30">
        <f>J20</f>
        <v>0</v>
      </c>
      <c r="AB20" s="5"/>
      <c r="AC20" s="5"/>
      <c r="AD20" s="5"/>
      <c r="AE20" s="5"/>
      <c r="AF20" s="5"/>
    </row>
    <row r="21" spans="1:32" s="67" customFormat="1">
      <c r="A21" s="66"/>
      <c r="B21" s="45" t="s">
        <v>38</v>
      </c>
      <c r="C21" s="75">
        <v>0</v>
      </c>
      <c r="D21" s="175">
        <v>0</v>
      </c>
      <c r="E21" s="74"/>
      <c r="F21" s="45" t="s">
        <v>39</v>
      </c>
      <c r="I21" s="70"/>
      <c r="J21" s="30">
        <f>-C18/2</f>
        <v>0</v>
      </c>
      <c r="K21" s="70"/>
      <c r="L21" s="30">
        <f>J21</f>
        <v>0</v>
      </c>
      <c r="AB21" s="5"/>
      <c r="AC21" s="5"/>
      <c r="AD21" s="5"/>
      <c r="AE21" s="5"/>
      <c r="AF21" s="5"/>
    </row>
    <row r="22" spans="1:32" ht="14" thickBot="1">
      <c r="B22" s="45" t="s">
        <v>40</v>
      </c>
      <c r="C22" s="76">
        <f>C21*C20</f>
        <v>0</v>
      </c>
      <c r="D22" s="176">
        <f>D21*D20</f>
        <v>0</v>
      </c>
      <c r="F22" s="45"/>
      <c r="G22" s="67"/>
      <c r="H22" s="67"/>
      <c r="I22" s="70"/>
      <c r="J22" s="30"/>
      <c r="K22" s="70"/>
      <c r="L22" s="30"/>
    </row>
    <row r="23" spans="1:32" ht="17" thickBot="1">
      <c r="B23" s="45" t="s">
        <v>41</v>
      </c>
      <c r="C23" s="77">
        <v>0</v>
      </c>
      <c r="D23" s="177">
        <v>0</v>
      </c>
      <c r="F23" s="78" t="s">
        <v>42</v>
      </c>
      <c r="G23" s="79"/>
      <c r="H23" s="79"/>
      <c r="I23" s="80"/>
      <c r="J23" s="81">
        <f>SUM(J18:J22)</f>
        <v>0</v>
      </c>
      <c r="K23" s="80"/>
      <c r="L23" s="81">
        <f>SUM(L18:L22)</f>
        <v>0</v>
      </c>
      <c r="M23" s="4"/>
    </row>
    <row r="24" spans="1:32" ht="14" thickBot="1">
      <c r="B24" s="83" t="s">
        <v>43</v>
      </c>
      <c r="C24" s="84">
        <f>IF(C6="ja",FriTelefon,0)</f>
        <v>0</v>
      </c>
      <c r="D24" s="178">
        <f>IF(D6="ja",FriTelefon,0)</f>
        <v>0</v>
      </c>
    </row>
    <row r="25" spans="1:32" s="67" customFormat="1" ht="15" thickBot="1">
      <c r="A25" s="85"/>
      <c r="B25" s="86" t="s">
        <v>44</v>
      </c>
      <c r="C25" s="87">
        <f>C20-C22+C23+C24</f>
        <v>0</v>
      </c>
      <c r="D25" s="87">
        <f>D20-D22+D23+D24</f>
        <v>0</v>
      </c>
      <c r="E25" s="74"/>
      <c r="F25" s="4"/>
      <c r="G25" s="4"/>
      <c r="H25" s="4"/>
      <c r="I25" s="5"/>
      <c r="J25" s="5"/>
      <c r="K25" s="5"/>
      <c r="L25" s="5"/>
    </row>
    <row r="26" spans="1:32" ht="15.75" customHeight="1" thickTop="1">
      <c r="A26" s="52"/>
      <c r="B26" s="88"/>
      <c r="C26" s="89"/>
      <c r="D26" s="179"/>
      <c r="F26" s="900" t="s">
        <v>45</v>
      </c>
      <c r="G26" s="901"/>
      <c r="H26" s="902"/>
      <c r="I26" s="906" t="str">
        <f>C2</f>
        <v>Person 1</v>
      </c>
      <c r="J26" s="907"/>
      <c r="K26" s="906" t="str">
        <f>D2</f>
        <v>Person 2</v>
      </c>
      <c r="L26" s="907"/>
      <c r="AB26" s="180" t="s">
        <v>99</v>
      </c>
      <c r="AC26" s="5" t="s">
        <v>100</v>
      </c>
    </row>
    <row r="27" spans="1:32" ht="14" thickBot="1">
      <c r="A27" s="52"/>
      <c r="B27" s="88" t="s">
        <v>46</v>
      </c>
      <c r="C27" s="90">
        <f>ArbBidrag*C25</f>
        <v>0</v>
      </c>
      <c r="D27" s="90">
        <f>ArbBidrag*D25</f>
        <v>0</v>
      </c>
      <c r="F27" s="903"/>
      <c r="G27" s="904"/>
      <c r="H27" s="905"/>
      <c r="I27" s="91" t="s">
        <v>47</v>
      </c>
      <c r="J27" s="92" t="s">
        <v>48</v>
      </c>
      <c r="K27" s="91" t="s">
        <v>47</v>
      </c>
      <c r="L27" s="92" t="s">
        <v>48</v>
      </c>
      <c r="AB27" s="181" t="s">
        <v>101</v>
      </c>
      <c r="AC27" s="5" t="s">
        <v>102</v>
      </c>
      <c r="AD27" s="5" t="s">
        <v>103</v>
      </c>
    </row>
    <row r="28" spans="1:32" ht="17" thickBot="1">
      <c r="A28" s="52"/>
      <c r="B28" s="45" t="s">
        <v>49</v>
      </c>
      <c r="C28" s="17">
        <v>0</v>
      </c>
      <c r="D28" s="164">
        <v>0</v>
      </c>
      <c r="F28" s="95" t="s">
        <v>50</v>
      </c>
      <c r="G28" s="96"/>
      <c r="H28" s="97"/>
      <c r="I28" s="24">
        <f>C20+C23+C28</f>
        <v>0</v>
      </c>
      <c r="J28" s="97">
        <f>I28/12</f>
        <v>0</v>
      </c>
      <c r="K28" s="24">
        <f>D20+D23+D28</f>
        <v>0</v>
      </c>
      <c r="L28" s="97">
        <f>K28/12</f>
        <v>0</v>
      </c>
      <c r="AB28" s="181" t="s">
        <v>104</v>
      </c>
      <c r="AC28" s="5">
        <f>IF(AA29&lt;0,0,IF((C35+0.00000001)*(D35+0.0000001)&lt;0,1,0))</f>
        <v>0</v>
      </c>
    </row>
    <row r="29" spans="1:32" ht="17" thickBot="1">
      <c r="A29" s="52"/>
      <c r="B29" s="45" t="s">
        <v>51</v>
      </c>
      <c r="C29" s="90">
        <f>IF(C3&gt;RatepensionMax,RatepensionMax,C3)</f>
        <v>0</v>
      </c>
      <c r="D29" s="90">
        <f>IF(D3&gt;RatepensionMax,RatepensionMax,D3)</f>
        <v>0</v>
      </c>
      <c r="F29" s="98" t="s">
        <v>52</v>
      </c>
      <c r="H29" s="59"/>
      <c r="I29" s="29">
        <f>C22</f>
        <v>0</v>
      </c>
      <c r="J29" s="59">
        <f>I29/12</f>
        <v>0</v>
      </c>
      <c r="K29" s="29">
        <f>D22</f>
        <v>0</v>
      </c>
      <c r="L29" s="59">
        <f>K29/12</f>
        <v>0</v>
      </c>
      <c r="AA29" s="182">
        <f>SUM(C35:D35)</f>
        <v>0</v>
      </c>
      <c r="AB29" s="183">
        <f>IF(D45&lt;0,IF(D31-D43&lt;0,D35,D35+D31-D43),0)</f>
        <v>0</v>
      </c>
      <c r="AC29" s="5">
        <f>IF(AC28=1,C35+D35,0)</f>
        <v>0</v>
      </c>
      <c r="AD29" s="5">
        <f>IF(AC28=1,0,D35)</f>
        <v>0</v>
      </c>
    </row>
    <row r="30" spans="1:32" ht="17" thickBot="1">
      <c r="A30" s="52"/>
      <c r="B30" s="45" t="s">
        <v>53</v>
      </c>
      <c r="C30" s="90">
        <f>+C4</f>
        <v>0</v>
      </c>
      <c r="D30" s="59">
        <f>+D4</f>
        <v>0</v>
      </c>
      <c r="F30" s="98" t="s">
        <v>54</v>
      </c>
      <c r="H30" s="59"/>
      <c r="I30" s="29">
        <f>J23</f>
        <v>0</v>
      </c>
      <c r="J30" s="59">
        <f>I30/12</f>
        <v>0</v>
      </c>
      <c r="K30" s="29">
        <f>L23</f>
        <v>0</v>
      </c>
      <c r="L30" s="59">
        <f>K30/12</f>
        <v>0</v>
      </c>
      <c r="M30" s="4"/>
      <c r="N30" s="184"/>
    </row>
    <row r="31" spans="1:32" ht="17" thickBot="1">
      <c r="A31" s="52"/>
      <c r="B31" s="86" t="s">
        <v>55</v>
      </c>
      <c r="C31" s="101">
        <f>C25-C27+C28-C29-C30</f>
        <v>0</v>
      </c>
      <c r="D31" s="101">
        <f>D25-D27+D28-D29-D30</f>
        <v>0</v>
      </c>
      <c r="F31" s="102" t="s">
        <v>45</v>
      </c>
      <c r="G31" s="79"/>
      <c r="H31" s="103"/>
      <c r="I31" s="104">
        <f>I28-I29-I30</f>
        <v>0</v>
      </c>
      <c r="J31" s="105">
        <f>I31/12</f>
        <v>0</v>
      </c>
      <c r="K31" s="104">
        <f>K28-K29-K30</f>
        <v>0</v>
      </c>
      <c r="L31" s="105">
        <f>K31/12</f>
        <v>0</v>
      </c>
      <c r="Z31" s="4"/>
    </row>
    <row r="32" spans="1:32" ht="14" thickTop="1">
      <c r="A32" s="52"/>
      <c r="B32" s="45"/>
      <c r="C32" s="16"/>
      <c r="D32" s="167"/>
      <c r="Z32" s="4"/>
    </row>
    <row r="33" spans="1:28">
      <c r="B33" s="45" t="s">
        <v>56</v>
      </c>
      <c r="C33" s="17">
        <v>0</v>
      </c>
      <c r="D33" s="164">
        <v>0</v>
      </c>
      <c r="H33" s="107"/>
    </row>
    <row r="34" spans="1:28" ht="14" thickBot="1">
      <c r="B34" s="108" t="s">
        <v>57</v>
      </c>
      <c r="C34" s="17">
        <v>0</v>
      </c>
      <c r="D34" s="164">
        <v>0</v>
      </c>
    </row>
    <row r="35" spans="1:28" ht="15" thickBot="1">
      <c r="B35" s="86" t="s">
        <v>58</v>
      </c>
      <c r="C35" s="101">
        <f>+C33-C34</f>
        <v>0</v>
      </c>
      <c r="D35" s="185">
        <f>+D33-D34</f>
        <v>0</v>
      </c>
    </row>
    <row r="36" spans="1:28" ht="14" thickTop="1">
      <c r="B36" s="88"/>
      <c r="C36" s="109"/>
      <c r="D36" s="186"/>
    </row>
    <row r="37" spans="1:28" s="67" customFormat="1" ht="14" thickBot="1">
      <c r="A37" s="66"/>
      <c r="B37" s="69" t="s">
        <v>59</v>
      </c>
      <c r="C37" s="90">
        <f>MIN(+(C25+C22*3)*BFradragProc,BFradragMax)</f>
        <v>0</v>
      </c>
      <c r="D37" s="90">
        <f>MIN(+(D25+D22*3)*BFradragProc,BFradragMax)</f>
        <v>0</v>
      </c>
      <c r="E37" s="111"/>
      <c r="F37" s="111"/>
      <c r="H37" s="111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1:28">
      <c r="B38" s="69" t="s">
        <v>60</v>
      </c>
      <c r="C38" s="90">
        <f>MAX(0,MIN(+($C$25+C22*3-Jfradraggranse)*Jfradragproc,JfradragMax))</f>
        <v>0</v>
      </c>
      <c r="D38" s="90">
        <f>MAX(0,MIN(+($D$25+D22*3-Jfradraggranse)*Jfradragproc,JfradragMax))</f>
        <v>0</v>
      </c>
      <c r="AB38" s="180" t="s">
        <v>99</v>
      </c>
    </row>
    <row r="39" spans="1:28" ht="14.25" customHeight="1">
      <c r="B39" s="69" t="s">
        <v>61</v>
      </c>
      <c r="C39" s="90">
        <f>IF(C5&lt;=52,MIN(+(C3+C4+C22*3)*EPENfradragProc,EPENfradragMax),MIN(+(C3+C4+C22*3)*EPENSeniorProc,EPENSeniorMax))</f>
        <v>0</v>
      </c>
      <c r="D39" s="90">
        <f>IF(D5&lt;=52,MIN(+(D3+D4+D22*3)*EPENfradragProc,EPENfradragMax),MIN(+(D3+D4+D22*3)*EPENSeniorProc,EPENSeniorMax))</f>
        <v>0</v>
      </c>
      <c r="AB39" s="181" t="s">
        <v>105</v>
      </c>
    </row>
    <row r="40" spans="1:28">
      <c r="B40" s="69" t="s">
        <v>62</v>
      </c>
      <c r="C40" s="90">
        <f>IF(C7&gt;FagforeningMax,FagforeningMax,C7)+C8</f>
        <v>0</v>
      </c>
      <c r="D40" s="90">
        <f>IF(D7&gt;FagforeningMax,FagforeningMax,D7)+D8</f>
        <v>0</v>
      </c>
      <c r="AB40" s="181" t="s">
        <v>104</v>
      </c>
    </row>
    <row r="41" spans="1:28" ht="16">
      <c r="B41" s="69" t="s">
        <v>63</v>
      </c>
      <c r="C41" s="90">
        <f>+$H$56</f>
        <v>0</v>
      </c>
      <c r="D41" s="90">
        <f>H65</f>
        <v>0</v>
      </c>
      <c r="AB41" s="187">
        <f>IF(D77&gt;H5,0,H5-D77)</f>
        <v>51600</v>
      </c>
    </row>
    <row r="42" spans="1:28" ht="14" thickBot="1">
      <c r="B42" s="69" t="s">
        <v>64</v>
      </c>
      <c r="C42" s="17">
        <v>0</v>
      </c>
      <c r="D42" s="164">
        <v>0</v>
      </c>
      <c r="AB42" s="188"/>
    </row>
    <row r="43" spans="1:28" ht="17" thickBot="1">
      <c r="B43" s="86" t="s">
        <v>65</v>
      </c>
      <c r="C43" s="101">
        <f>SUM(C37:C42)</f>
        <v>0</v>
      </c>
      <c r="D43" s="185">
        <f>SUM(D37:D42)</f>
        <v>0</v>
      </c>
      <c r="AB43" s="187">
        <f>IF($D$45&lt;0,H7,IF($D$45&gt;H7,0,H7-$D$45))</f>
        <v>51600</v>
      </c>
    </row>
    <row r="44" spans="1:28" ht="18" thickTop="1" thickBot="1">
      <c r="B44" s="112"/>
      <c r="C44" s="113"/>
      <c r="D44" s="30"/>
      <c r="AB44" s="187">
        <f>IF($D$45&lt;0,H8,IF($D$45&gt;H8,0,H8-$D$45))</f>
        <v>51600</v>
      </c>
    </row>
    <row r="45" spans="1:28" ht="17" thickBot="1">
      <c r="B45" s="114" t="s">
        <v>66</v>
      </c>
      <c r="C45" s="115">
        <f>+C31+C35-C43</f>
        <v>0</v>
      </c>
      <c r="D45" s="189">
        <f>+D31+D35-D43</f>
        <v>0</v>
      </c>
      <c r="AB45" s="183">
        <f>IF($D$45&lt;0,H9,IF($D$45&gt;H9,0,H9-$D$45))</f>
        <v>51600</v>
      </c>
    </row>
    <row r="49" spans="1:40" ht="14" thickBot="1"/>
    <row r="50" spans="1:40" ht="14" thickBot="1">
      <c r="B50" s="116" t="s">
        <v>67</v>
      </c>
      <c r="D50" s="117"/>
    </row>
    <row r="51" spans="1:40" ht="14" thickBot="1">
      <c r="D51" s="117"/>
    </row>
    <row r="52" spans="1:40" ht="14" thickBot="1">
      <c r="B52" s="118" t="s">
        <v>68</v>
      </c>
      <c r="D52" s="117"/>
    </row>
    <row r="53" spans="1:40">
      <c r="B53" s="13"/>
      <c r="C53" s="119" t="s">
        <v>69</v>
      </c>
      <c r="D53" s="119" t="s">
        <v>70</v>
      </c>
      <c r="E53" s="120" t="s">
        <v>71</v>
      </c>
      <c r="F53" s="121" t="s">
        <v>72</v>
      </c>
      <c r="G53" s="121" t="s">
        <v>73</v>
      </c>
      <c r="H53" s="122" t="s">
        <v>74</v>
      </c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4"/>
      <c r="AA53" s="4" t="s">
        <v>75</v>
      </c>
    </row>
    <row r="54" spans="1:40">
      <c r="B54" s="123" t="s">
        <v>76</v>
      </c>
      <c r="C54" s="124">
        <f>BeFradragHojSats</f>
        <v>2.23</v>
      </c>
      <c r="D54" s="125">
        <f>C10</f>
        <v>0</v>
      </c>
      <c r="E54" s="126">
        <f>C9</f>
        <v>0</v>
      </c>
      <c r="F54" s="125">
        <f>BeFradragKmMin</f>
        <v>24</v>
      </c>
      <c r="G54" s="127">
        <f>IF(E54&gt;F54,MIN(E54,BeFradragKmMax)-F54,0)</f>
        <v>0</v>
      </c>
      <c r="H54" s="128">
        <f>+(D54*G54)*C54</f>
        <v>0</v>
      </c>
      <c r="I54" s="4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4"/>
    </row>
    <row r="55" spans="1:40">
      <c r="B55" s="123" t="s">
        <v>77</v>
      </c>
      <c r="C55" s="124">
        <f>BeFradragLavSats</f>
        <v>1.1200000000000001</v>
      </c>
      <c r="D55" s="125">
        <f>C10</f>
        <v>0</v>
      </c>
      <c r="E55" s="126">
        <f>MAX(E54-BeFradragKmMax,0)</f>
        <v>0</v>
      </c>
      <c r="F55" s="125"/>
      <c r="G55" s="127">
        <f>MAX(E55,0)</f>
        <v>0</v>
      </c>
      <c r="H55" s="128">
        <f>+(D55*G55)*C55</f>
        <v>0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</row>
    <row r="56" spans="1:40">
      <c r="B56" s="129" t="s">
        <v>78</v>
      </c>
      <c r="C56" s="124"/>
      <c r="D56" s="130"/>
      <c r="E56" s="130"/>
      <c r="F56" s="125"/>
      <c r="G56" s="130"/>
      <c r="H56" s="128">
        <f>SUM(H54:H55)</f>
        <v>0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</row>
    <row r="57" spans="1:40">
      <c r="B57" s="123"/>
      <c r="C57" s="124"/>
      <c r="D57" s="130"/>
      <c r="E57" s="130"/>
      <c r="F57" s="125"/>
      <c r="G57" s="130"/>
      <c r="H57" s="128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</row>
    <row r="58" spans="1:40">
      <c r="B58" s="129" t="s">
        <v>79</v>
      </c>
      <c r="C58" s="124"/>
      <c r="D58" s="130"/>
      <c r="E58" s="130"/>
      <c r="F58" s="125"/>
      <c r="G58" s="130"/>
      <c r="H58" s="128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</row>
    <row r="59" spans="1:40" s="137" customFormat="1" ht="17" thickBot="1">
      <c r="A59" s="131"/>
      <c r="B59" s="132"/>
      <c r="C59" s="133"/>
      <c r="D59" s="134"/>
      <c r="E59" s="134"/>
      <c r="F59" s="135"/>
      <c r="G59" s="134"/>
      <c r="H59" s="136"/>
      <c r="I59" s="5"/>
      <c r="K59" s="138"/>
      <c r="L59" s="138"/>
      <c r="M59" s="138"/>
      <c r="N59" s="138"/>
      <c r="O59" s="138"/>
      <c r="P59" s="138"/>
      <c r="Q59" s="138"/>
      <c r="R59" s="138"/>
      <c r="S59" s="138"/>
      <c r="T59" s="138"/>
      <c r="U59" s="138"/>
      <c r="V59" s="138"/>
      <c r="W59" s="138"/>
      <c r="X59" s="138"/>
      <c r="Y59" s="138"/>
      <c r="Z59" s="138"/>
      <c r="AA59" s="138"/>
      <c r="AB59" s="138"/>
      <c r="AC59" s="138"/>
      <c r="AD59" s="138"/>
      <c r="AE59" s="138"/>
      <c r="AF59" s="138"/>
      <c r="AG59" s="138"/>
      <c r="AH59" s="138"/>
      <c r="AI59" s="138"/>
      <c r="AJ59" s="138"/>
      <c r="AK59" s="138"/>
      <c r="AL59" s="138"/>
      <c r="AM59" s="138"/>
      <c r="AN59" s="138"/>
    </row>
    <row r="60" spans="1:40" s="137" customFormat="1" ht="17" thickBot="1">
      <c r="A60" s="131"/>
      <c r="B60" s="5"/>
      <c r="C60" s="139"/>
      <c r="D60" s="140"/>
      <c r="E60" s="4"/>
      <c r="F60" s="140"/>
      <c r="G60" s="4"/>
      <c r="H60" s="4"/>
      <c r="I60" s="5"/>
      <c r="J60" s="82"/>
      <c r="K60" s="138"/>
      <c r="L60" s="138"/>
      <c r="M60" s="138"/>
      <c r="N60" s="138"/>
      <c r="O60" s="138"/>
      <c r="P60" s="138"/>
      <c r="Q60" s="138"/>
      <c r="R60" s="138"/>
      <c r="S60" s="138"/>
      <c r="T60" s="138"/>
      <c r="U60" s="138"/>
      <c r="V60" s="138"/>
      <c r="W60" s="138"/>
      <c r="X60" s="138"/>
      <c r="Y60" s="138"/>
      <c r="Z60" s="138"/>
      <c r="AA60" s="138"/>
      <c r="AB60" s="138"/>
      <c r="AC60" s="138"/>
      <c r="AD60" s="138"/>
      <c r="AE60" s="138"/>
      <c r="AF60" s="138"/>
      <c r="AG60" s="138"/>
      <c r="AH60" s="138"/>
      <c r="AI60" s="138"/>
      <c r="AJ60" s="138"/>
      <c r="AK60" s="138"/>
      <c r="AL60" s="138"/>
      <c r="AM60" s="138"/>
      <c r="AN60" s="138"/>
    </row>
    <row r="61" spans="1:40" s="137" customFormat="1" ht="17" thickBot="1">
      <c r="A61" s="131"/>
      <c r="B61" s="118" t="s">
        <v>106</v>
      </c>
      <c r="C61" s="5"/>
      <c r="D61" s="117"/>
      <c r="E61" s="4"/>
      <c r="F61" s="4"/>
      <c r="G61" s="4"/>
      <c r="H61" s="4"/>
      <c r="I61" s="138"/>
      <c r="J61" s="82"/>
      <c r="K61" s="138"/>
      <c r="L61" s="138"/>
      <c r="M61" s="138"/>
      <c r="N61" s="138"/>
      <c r="O61" s="138"/>
      <c r="P61" s="138"/>
      <c r="Q61" s="138"/>
      <c r="R61" s="138"/>
      <c r="S61" s="138"/>
      <c r="T61" s="138"/>
      <c r="U61" s="138"/>
      <c r="V61" s="138"/>
      <c r="W61" s="138"/>
      <c r="X61" s="138"/>
      <c r="Y61" s="138"/>
      <c r="Z61" s="138"/>
      <c r="AA61" s="138"/>
      <c r="AB61" s="138"/>
      <c r="AC61" s="138"/>
      <c r="AD61" s="138"/>
      <c r="AE61" s="138"/>
      <c r="AF61" s="138"/>
      <c r="AG61" s="138"/>
      <c r="AH61" s="138"/>
      <c r="AI61" s="138"/>
      <c r="AJ61" s="138"/>
      <c r="AK61" s="138"/>
      <c r="AL61" s="138"/>
      <c r="AM61" s="138"/>
      <c r="AN61" s="138"/>
    </row>
    <row r="62" spans="1:40" s="137" customFormat="1" ht="16">
      <c r="A62" s="131"/>
      <c r="B62" s="13"/>
      <c r="C62" s="119" t="s">
        <v>69</v>
      </c>
      <c r="D62" s="119" t="s">
        <v>70</v>
      </c>
      <c r="E62" s="120" t="s">
        <v>71</v>
      </c>
      <c r="F62" s="121" t="s">
        <v>72</v>
      </c>
      <c r="G62" s="121" t="s">
        <v>73</v>
      </c>
      <c r="H62" s="122" t="s">
        <v>74</v>
      </c>
      <c r="I62" s="138"/>
      <c r="J62" s="82"/>
      <c r="K62" s="138"/>
      <c r="L62" s="138"/>
      <c r="M62" s="138"/>
      <c r="N62" s="138"/>
      <c r="O62" s="138"/>
      <c r="P62" s="138"/>
      <c r="Q62" s="138"/>
      <c r="R62" s="138"/>
      <c r="S62" s="138"/>
      <c r="T62" s="138"/>
      <c r="U62" s="138"/>
      <c r="V62" s="138"/>
      <c r="W62" s="138"/>
      <c r="X62" s="138"/>
      <c r="Y62" s="138"/>
      <c r="Z62" s="138"/>
      <c r="AA62" s="138"/>
      <c r="AB62" s="138"/>
      <c r="AC62" s="138"/>
      <c r="AD62" s="138"/>
      <c r="AE62" s="138"/>
      <c r="AF62" s="138"/>
      <c r="AG62" s="138"/>
      <c r="AH62" s="138"/>
      <c r="AI62" s="138"/>
      <c r="AJ62" s="138"/>
      <c r="AK62" s="138"/>
      <c r="AL62" s="138"/>
      <c r="AM62" s="138"/>
      <c r="AN62" s="138"/>
    </row>
    <row r="63" spans="1:40" s="137" customFormat="1" ht="16">
      <c r="A63" s="131"/>
      <c r="B63" s="123" t="s">
        <v>76</v>
      </c>
      <c r="C63" s="124">
        <f>C54</f>
        <v>2.23</v>
      </c>
      <c r="D63" s="125">
        <f>D10</f>
        <v>0</v>
      </c>
      <c r="E63" s="126">
        <f>D9</f>
        <v>0</v>
      </c>
      <c r="F63" s="125">
        <f>BeFradragKmMin</f>
        <v>24</v>
      </c>
      <c r="G63" s="127">
        <f>IF(E63&gt;F63,MIN(E63,BeFradragKmMax)-F63,0)</f>
        <v>0</v>
      </c>
      <c r="H63" s="128">
        <f>+(D63*G63)*C63</f>
        <v>0</v>
      </c>
      <c r="I63" s="138"/>
      <c r="J63" s="82"/>
      <c r="K63" s="138"/>
      <c r="L63" s="138"/>
      <c r="M63" s="138"/>
      <c r="N63" s="138"/>
      <c r="O63" s="138"/>
      <c r="P63" s="138"/>
      <c r="Q63" s="138"/>
      <c r="R63" s="138"/>
      <c r="S63" s="138"/>
      <c r="T63" s="138"/>
      <c r="U63" s="138"/>
      <c r="V63" s="138"/>
      <c r="W63" s="138"/>
      <c r="X63" s="138"/>
      <c r="Y63" s="138"/>
      <c r="Z63" s="138"/>
      <c r="AA63" s="138"/>
      <c r="AB63" s="138"/>
      <c r="AC63" s="138"/>
      <c r="AD63" s="138"/>
      <c r="AE63" s="138"/>
      <c r="AF63" s="138"/>
      <c r="AG63" s="138"/>
      <c r="AH63" s="138"/>
      <c r="AI63" s="138"/>
      <c r="AJ63" s="138"/>
      <c r="AK63" s="138"/>
      <c r="AL63" s="138"/>
      <c r="AM63" s="138"/>
      <c r="AN63" s="138"/>
    </row>
    <row r="64" spans="1:40" s="137" customFormat="1" ht="16">
      <c r="A64" s="131"/>
      <c r="B64" s="123" t="s">
        <v>77</v>
      </c>
      <c r="C64" s="124">
        <f>C55</f>
        <v>1.1200000000000001</v>
      </c>
      <c r="D64" s="125">
        <f>D10</f>
        <v>0</v>
      </c>
      <c r="E64" s="126">
        <f>MAX(E63-BeFradragKmMax,0)</f>
        <v>0</v>
      </c>
      <c r="F64" s="125"/>
      <c r="G64" s="127">
        <f>MAX(E64,0)</f>
        <v>0</v>
      </c>
      <c r="H64" s="128">
        <f>+(D64*G64)*C64</f>
        <v>0</v>
      </c>
      <c r="I64" s="138"/>
      <c r="J64" s="82"/>
      <c r="K64" s="138"/>
      <c r="L64" s="138"/>
      <c r="M64" s="138"/>
      <c r="N64" s="138"/>
      <c r="O64" s="138"/>
      <c r="P64" s="138"/>
      <c r="Q64" s="138"/>
      <c r="R64" s="138"/>
      <c r="S64" s="138"/>
      <c r="T64" s="138"/>
      <c r="U64" s="138"/>
      <c r="V64" s="138"/>
      <c r="W64" s="138"/>
      <c r="X64" s="138"/>
      <c r="Y64" s="138"/>
      <c r="Z64" s="138"/>
      <c r="AA64" s="138"/>
      <c r="AB64" s="138"/>
      <c r="AC64" s="138"/>
      <c r="AD64" s="138"/>
      <c r="AE64" s="138"/>
      <c r="AF64" s="138"/>
      <c r="AG64" s="138"/>
      <c r="AH64" s="138"/>
      <c r="AI64" s="138"/>
      <c r="AJ64" s="138"/>
      <c r="AK64" s="138"/>
      <c r="AL64" s="138"/>
      <c r="AM64" s="138"/>
      <c r="AN64" s="138"/>
    </row>
    <row r="65" spans="1:40" s="137" customFormat="1" ht="16">
      <c r="A65" s="131"/>
      <c r="B65" s="129" t="s">
        <v>78</v>
      </c>
      <c r="C65" s="124"/>
      <c r="D65" s="130"/>
      <c r="E65" s="130"/>
      <c r="F65" s="125"/>
      <c r="G65" s="130"/>
      <c r="H65" s="128">
        <f>SUM(H63:H64)</f>
        <v>0</v>
      </c>
      <c r="I65" s="138"/>
      <c r="J65" s="82"/>
      <c r="K65" s="138"/>
      <c r="L65" s="138"/>
      <c r="M65" s="138"/>
      <c r="N65" s="138"/>
      <c r="O65" s="138"/>
      <c r="P65" s="138"/>
      <c r="Q65" s="138"/>
      <c r="R65" s="138"/>
      <c r="S65" s="138"/>
      <c r="T65" s="138"/>
      <c r="U65" s="138"/>
      <c r="V65" s="138"/>
      <c r="W65" s="138"/>
      <c r="X65" s="138"/>
      <c r="Y65" s="138"/>
      <c r="Z65" s="138"/>
      <c r="AA65" s="138"/>
      <c r="AB65" s="138"/>
      <c r="AC65" s="138"/>
      <c r="AD65" s="138"/>
      <c r="AE65" s="138"/>
      <c r="AF65" s="138"/>
      <c r="AG65" s="138"/>
      <c r="AH65" s="138"/>
      <c r="AI65" s="138"/>
      <c r="AJ65" s="138"/>
      <c r="AK65" s="138"/>
      <c r="AL65" s="138"/>
      <c r="AM65" s="138"/>
      <c r="AN65" s="138"/>
    </row>
    <row r="66" spans="1:40" ht="16">
      <c r="B66" s="123"/>
      <c r="C66" s="124"/>
      <c r="D66" s="130"/>
      <c r="E66" s="130"/>
      <c r="F66" s="125"/>
      <c r="G66" s="130"/>
      <c r="H66" s="128"/>
      <c r="I66" s="4"/>
      <c r="J66" s="4"/>
      <c r="K66" s="190"/>
      <c r="L66" s="190"/>
      <c r="M66" s="190"/>
      <c r="N66" s="190"/>
      <c r="O66" s="190"/>
      <c r="P66" s="190"/>
      <c r="Q66" s="190"/>
      <c r="R66" s="190"/>
      <c r="S66" s="190"/>
      <c r="T66" s="190"/>
      <c r="U66" s="190"/>
      <c r="V66" s="190"/>
      <c r="W66" s="190"/>
      <c r="X66" s="190"/>
      <c r="Y66" s="190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</row>
    <row r="67" spans="1:40">
      <c r="B67" s="129" t="s">
        <v>79</v>
      </c>
      <c r="C67" s="124"/>
      <c r="D67" s="130"/>
      <c r="E67" s="130"/>
      <c r="F67" s="125"/>
      <c r="G67" s="130"/>
      <c r="H67" s="128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</row>
    <row r="68" spans="1:40" ht="14" thickBot="1">
      <c r="B68" s="132"/>
      <c r="C68" s="133"/>
      <c r="D68" s="134"/>
      <c r="E68" s="134"/>
      <c r="F68" s="135"/>
      <c r="G68" s="134"/>
      <c r="H68" s="136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</row>
    <row r="69" spans="1:40" ht="14" thickBot="1">
      <c r="C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</row>
    <row r="70" spans="1:40">
      <c r="B70" s="141" t="s">
        <v>80</v>
      </c>
      <c r="C70" s="142" t="s">
        <v>81</v>
      </c>
      <c r="D70" s="142" t="s">
        <v>82</v>
      </c>
      <c r="E70" s="142" t="s">
        <v>83</v>
      </c>
      <c r="F70" s="143" t="s">
        <v>84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</row>
    <row r="71" spans="1:40">
      <c r="B71" s="123" t="s">
        <v>35</v>
      </c>
      <c r="C71" s="144">
        <f>EjVSkatMin</f>
        <v>5.1000000000000004E-3</v>
      </c>
      <c r="D71" s="144">
        <f>EjVSkatMax-C71</f>
        <v>8.8999999999999999E-3</v>
      </c>
      <c r="E71" s="145">
        <f>C16</f>
        <v>0</v>
      </c>
      <c r="F71" s="146">
        <f>IF(E71&lt;Skattesatser!H14,C71*E71*Forsigtighed,C71*E71*Forsigtighed+(E71-Skattesatser!H14)*D71*Forsigtighed)</f>
        <v>0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</row>
    <row r="72" spans="1:40" ht="14" thickBot="1">
      <c r="B72" s="147" t="s">
        <v>37</v>
      </c>
      <c r="C72" s="148">
        <f>C15</f>
        <v>9.1000000000000004E-3</v>
      </c>
      <c r="D72" s="148"/>
      <c r="E72" s="149">
        <f>C17</f>
        <v>0</v>
      </c>
      <c r="F72" s="150">
        <f>E72*C72*Forsigtighed</f>
        <v>0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</row>
    <row r="73" spans="1:40">
      <c r="C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</row>
    <row r="74" spans="1:40" ht="14" thickBot="1"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</row>
    <row r="75" spans="1:40" ht="14" thickBot="1">
      <c r="B75" s="151" t="s">
        <v>85</v>
      </c>
      <c r="C75" s="118" t="s">
        <v>86</v>
      </c>
      <c r="D75" s="191" t="s">
        <v>98</v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</row>
    <row r="76" spans="1:40">
      <c r="B76" s="152" t="s">
        <v>87</v>
      </c>
      <c r="C76" s="153">
        <f>+C31</f>
        <v>0</v>
      </c>
      <c r="D76" s="192">
        <f>+D31</f>
        <v>0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</row>
    <row r="77" spans="1:40">
      <c r="B77" s="154" t="s">
        <v>88</v>
      </c>
      <c r="C77" s="155">
        <f>MAX(C35+C31,C31)</f>
        <v>0</v>
      </c>
      <c r="D77" s="128">
        <f>MAX(D35+D31,D31)</f>
        <v>0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</row>
    <row r="78" spans="1:40">
      <c r="B78" s="154" t="s">
        <v>89</v>
      </c>
      <c r="C78" s="155">
        <f>C76+C80</f>
        <v>0</v>
      </c>
      <c r="D78" s="193"/>
      <c r="I78" s="156"/>
    </row>
    <row r="79" spans="1:40">
      <c r="B79" s="154" t="s">
        <v>90</v>
      </c>
      <c r="C79" s="155">
        <f>MAX(C35,0)</f>
        <v>0</v>
      </c>
      <c r="D79" s="128">
        <f>D35</f>
        <v>0</v>
      </c>
    </row>
    <row r="80" spans="1:40">
      <c r="B80" s="154" t="s">
        <v>107</v>
      </c>
      <c r="C80" s="155">
        <f>IF((C35+D35)&gt;KItilTopskatPar,C79+D79-KItilTopskatPar,0)</f>
        <v>0</v>
      </c>
      <c r="D80" s="193"/>
    </row>
    <row r="81" spans="2:4">
      <c r="B81" s="123" t="s">
        <v>92</v>
      </c>
      <c r="C81" s="157">
        <f>SUM(G5:G8)</f>
        <v>0.52610000000000001</v>
      </c>
      <c r="D81" s="194">
        <f>SUM(G5:G8)</f>
        <v>0.52610000000000001</v>
      </c>
    </row>
    <row r="82" spans="2:4">
      <c r="B82" s="154" t="s">
        <v>93</v>
      </c>
      <c r="C82" s="155">
        <f>IF(C78&gt;TopSkatGranse,C78-TopSkatGranse,0)</f>
        <v>0</v>
      </c>
      <c r="D82" s="128">
        <f>IF(D76&gt;Skattesatser!H35,D76-Skattesatser!H35,0)</f>
        <v>0</v>
      </c>
    </row>
    <row r="83" spans="2:4">
      <c r="B83" s="158" t="s">
        <v>94</v>
      </c>
      <c r="C83" s="155">
        <f>IF(C76&gt;TopSkatGranse,C76-TopSkatGranse,0)</f>
        <v>0</v>
      </c>
      <c r="D83" s="128">
        <f>IF(D76&gt;TopSkatGranse,D76-TopSkatGranse,0)</f>
        <v>0</v>
      </c>
    </row>
    <row r="84" spans="2:4" ht="14" thickBot="1">
      <c r="B84" s="159" t="s">
        <v>95</v>
      </c>
      <c r="C84" s="160">
        <f>C82-C83</f>
        <v>0</v>
      </c>
      <c r="D84" s="195"/>
    </row>
    <row r="109" spans="3:3">
      <c r="C109" s="4"/>
    </row>
    <row r="110" spans="3:3">
      <c r="C110" s="4"/>
    </row>
    <row r="111" spans="3:3">
      <c r="C111" s="4"/>
    </row>
    <row r="112" spans="3:3">
      <c r="C112" s="4"/>
    </row>
    <row r="113" spans="3:3">
      <c r="C113" s="4"/>
    </row>
    <row r="114" spans="3:3">
      <c r="C114" s="4"/>
    </row>
    <row r="115" spans="3:3">
      <c r="C115" s="4"/>
    </row>
    <row r="116" spans="3:3">
      <c r="C116" s="4"/>
    </row>
    <row r="117" spans="3:3">
      <c r="C117" s="4"/>
    </row>
    <row r="118" spans="3:3">
      <c r="C118" s="4"/>
    </row>
    <row r="119" spans="3:3">
      <c r="C119" s="4"/>
    </row>
    <row r="120" spans="3:3">
      <c r="C120" s="4"/>
    </row>
    <row r="121" spans="3:3">
      <c r="C121" s="4"/>
    </row>
    <row r="122" spans="3:3">
      <c r="C122" s="4"/>
    </row>
    <row r="123" spans="3:3">
      <c r="C123" s="4"/>
    </row>
    <row r="124" spans="3:3">
      <c r="C124" s="4"/>
    </row>
    <row r="125" spans="3:3">
      <c r="C125" s="4"/>
    </row>
    <row r="126" spans="3:3">
      <c r="C126" s="4"/>
    </row>
    <row r="127" spans="3:3">
      <c r="C127" s="4"/>
    </row>
    <row r="128" spans="3:3">
      <c r="C128" s="4"/>
    </row>
    <row r="129" spans="3:3">
      <c r="C129" s="4"/>
    </row>
    <row r="130" spans="3:3">
      <c r="C130" s="4"/>
    </row>
    <row r="131" spans="3:3">
      <c r="C131" s="4"/>
    </row>
    <row r="132" spans="3:3">
      <c r="C132" s="4"/>
    </row>
    <row r="133" spans="3:3">
      <c r="C133" s="4"/>
    </row>
    <row r="134" spans="3:3">
      <c r="C134" s="4"/>
    </row>
    <row r="135" spans="3:3">
      <c r="C135" s="4"/>
    </row>
    <row r="136" spans="3:3">
      <c r="C136" s="4"/>
    </row>
    <row r="137" spans="3:3">
      <c r="C137" s="4"/>
    </row>
    <row r="138" spans="3:3">
      <c r="C138" s="4"/>
    </row>
    <row r="139" spans="3:3">
      <c r="C139" s="4"/>
    </row>
    <row r="140" spans="3:3">
      <c r="C140" s="4"/>
    </row>
    <row r="141" spans="3:3">
      <c r="C141" s="4"/>
    </row>
    <row r="142" spans="3:3">
      <c r="C142" s="4"/>
    </row>
    <row r="143" spans="3:3">
      <c r="C143" s="4"/>
    </row>
    <row r="144" spans="3:3">
      <c r="C144" s="4"/>
    </row>
    <row r="145" spans="3:3">
      <c r="C145" s="4"/>
    </row>
    <row r="146" spans="3:3">
      <c r="C146" s="4"/>
    </row>
    <row r="147" spans="3:3">
      <c r="C147" s="4"/>
    </row>
    <row r="148" spans="3:3">
      <c r="C148" s="4"/>
    </row>
    <row r="149" spans="3:3">
      <c r="C149" s="4"/>
    </row>
    <row r="150" spans="3:3">
      <c r="C150" s="4"/>
    </row>
    <row r="151" spans="3:3">
      <c r="C151" s="4"/>
    </row>
    <row r="152" spans="3:3">
      <c r="C152" s="4"/>
    </row>
    <row r="153" spans="3:3">
      <c r="C153" s="4"/>
    </row>
    <row r="154" spans="3:3">
      <c r="C154" s="4"/>
    </row>
    <row r="155" spans="3:3">
      <c r="C155" s="4"/>
    </row>
    <row r="156" spans="3:3">
      <c r="C156" s="4"/>
    </row>
    <row r="157" spans="3:3">
      <c r="C157" s="4"/>
    </row>
    <row r="158" spans="3:3">
      <c r="C158" s="4"/>
    </row>
    <row r="159" spans="3:3">
      <c r="C159" s="4"/>
    </row>
    <row r="160" spans="3:3">
      <c r="C160" s="4"/>
    </row>
    <row r="161" spans="3:3">
      <c r="C161" s="4"/>
    </row>
    <row r="162" spans="3:3">
      <c r="C162" s="4"/>
    </row>
    <row r="163" spans="3:3">
      <c r="C163" s="4"/>
    </row>
    <row r="164" spans="3:3">
      <c r="C164" s="4"/>
    </row>
    <row r="165" spans="3:3">
      <c r="C165" s="4"/>
    </row>
    <row r="166" spans="3:3">
      <c r="C166" s="4"/>
    </row>
    <row r="167" spans="3:3">
      <c r="C167" s="4"/>
    </row>
    <row r="168" spans="3:3">
      <c r="C168" s="4"/>
    </row>
    <row r="169" spans="3:3">
      <c r="C169" s="4"/>
    </row>
    <row r="170" spans="3:3">
      <c r="C170" s="4"/>
    </row>
    <row r="171" spans="3:3">
      <c r="C171" s="4"/>
    </row>
    <row r="172" spans="3:3">
      <c r="C172" s="4"/>
    </row>
    <row r="173" spans="3:3">
      <c r="C173" s="4"/>
    </row>
    <row r="174" spans="3:3">
      <c r="C174" s="4"/>
    </row>
    <row r="175" spans="3:3">
      <c r="C175" s="4"/>
    </row>
    <row r="176" spans="3:3">
      <c r="C176" s="4"/>
    </row>
    <row r="177" spans="3:3">
      <c r="C177" s="4"/>
    </row>
    <row r="178" spans="3:3">
      <c r="C178" s="4"/>
    </row>
    <row r="179" spans="3:3">
      <c r="C179" s="4"/>
    </row>
    <row r="180" spans="3:3">
      <c r="C180" s="4"/>
    </row>
    <row r="181" spans="3:3">
      <c r="C181" s="4"/>
    </row>
    <row r="182" spans="3:3">
      <c r="C182" s="4"/>
    </row>
    <row r="183" spans="3:3">
      <c r="C183" s="4"/>
    </row>
    <row r="184" spans="3:3">
      <c r="C184" s="4"/>
    </row>
    <row r="185" spans="3:3">
      <c r="C185" s="4"/>
    </row>
    <row r="186" spans="3:3">
      <c r="C186" s="4"/>
    </row>
    <row r="187" spans="3:3">
      <c r="C187" s="4"/>
    </row>
    <row r="188" spans="3:3">
      <c r="C188" s="4"/>
    </row>
    <row r="189" spans="3:3">
      <c r="C189" s="4"/>
    </row>
    <row r="190" spans="3:3">
      <c r="C190" s="4"/>
    </row>
    <row r="191" spans="3:3">
      <c r="C191" s="4"/>
    </row>
    <row r="192" spans="3:3">
      <c r="C192" s="4"/>
    </row>
    <row r="193" spans="3:3">
      <c r="C193" s="4"/>
    </row>
    <row r="194" spans="3:3">
      <c r="C194" s="4"/>
    </row>
    <row r="195" spans="3:3">
      <c r="C195" s="4"/>
    </row>
    <row r="196" spans="3:3">
      <c r="C196" s="4"/>
    </row>
    <row r="197" spans="3:3">
      <c r="C197" s="4"/>
    </row>
    <row r="198" spans="3:3">
      <c r="C198" s="4"/>
    </row>
    <row r="199" spans="3:3">
      <c r="C199" s="4"/>
    </row>
    <row r="200" spans="3:3">
      <c r="C200" s="4"/>
    </row>
    <row r="201" spans="3:3">
      <c r="C201" s="4"/>
    </row>
    <row r="202" spans="3:3">
      <c r="C202" s="4"/>
    </row>
    <row r="203" spans="3:3">
      <c r="C203" s="4"/>
    </row>
    <row r="204" spans="3:3">
      <c r="C204" s="4"/>
    </row>
    <row r="205" spans="3:3">
      <c r="C205" s="4"/>
    </row>
    <row r="206" spans="3:3">
      <c r="C206" s="4"/>
    </row>
    <row r="207" spans="3:3">
      <c r="C207" s="4"/>
    </row>
    <row r="208" spans="3:3">
      <c r="C208" s="4"/>
    </row>
    <row r="209" spans="3:3">
      <c r="C209" s="4"/>
    </row>
    <row r="210" spans="3:3">
      <c r="C210" s="4"/>
    </row>
    <row r="211" spans="3:3">
      <c r="C211" s="4"/>
    </row>
    <row r="212" spans="3:3">
      <c r="C212" s="4"/>
    </row>
    <row r="213" spans="3:3">
      <c r="C213" s="4"/>
    </row>
    <row r="214" spans="3:3">
      <c r="C214" s="4"/>
    </row>
    <row r="215" spans="3:3">
      <c r="C215" s="4"/>
    </row>
    <row r="216" spans="3:3">
      <c r="C216" s="4"/>
    </row>
    <row r="217" spans="3:3">
      <c r="C217" s="4"/>
    </row>
    <row r="218" spans="3:3">
      <c r="C218" s="4"/>
    </row>
    <row r="219" spans="3:3">
      <c r="C219" s="4"/>
    </row>
    <row r="220" spans="3:3">
      <c r="C220" s="4"/>
    </row>
    <row r="221" spans="3:3">
      <c r="C221" s="4"/>
    </row>
    <row r="222" spans="3:3">
      <c r="C222" s="4"/>
    </row>
    <row r="223" spans="3:3">
      <c r="C223" s="4"/>
    </row>
    <row r="224" spans="3:3">
      <c r="C224" s="4"/>
    </row>
    <row r="225" spans="3:3">
      <c r="C225" s="4"/>
    </row>
    <row r="226" spans="3:3">
      <c r="C226" s="4"/>
    </row>
    <row r="227" spans="3:3">
      <c r="C227" s="4"/>
    </row>
    <row r="228" spans="3:3">
      <c r="C228" s="4"/>
    </row>
    <row r="229" spans="3:3">
      <c r="C229" s="4"/>
    </row>
    <row r="230" spans="3:3">
      <c r="C230" s="4"/>
    </row>
    <row r="231" spans="3:3">
      <c r="C231" s="4"/>
    </row>
    <row r="232" spans="3:3">
      <c r="C232" s="4"/>
    </row>
    <row r="233" spans="3:3">
      <c r="C233" s="4"/>
    </row>
    <row r="234" spans="3:3">
      <c r="C234" s="4"/>
    </row>
    <row r="235" spans="3:3">
      <c r="C235" s="4"/>
    </row>
    <row r="236" spans="3:3">
      <c r="C236" s="4"/>
    </row>
    <row r="237" spans="3:3">
      <c r="C237" s="4"/>
    </row>
    <row r="238" spans="3:3">
      <c r="C238" s="4"/>
    </row>
    <row r="239" spans="3:3">
      <c r="C239" s="4"/>
    </row>
    <row r="240" spans="3:3">
      <c r="C240" s="4"/>
    </row>
    <row r="241" spans="3:3">
      <c r="C241" s="4"/>
    </row>
    <row r="242" spans="3:3">
      <c r="C242" s="4"/>
    </row>
    <row r="243" spans="3:3">
      <c r="C243" s="4"/>
    </row>
    <row r="244" spans="3:3">
      <c r="C244" s="4"/>
    </row>
    <row r="245" spans="3:3">
      <c r="C245" s="4"/>
    </row>
    <row r="246" spans="3:3">
      <c r="C246" s="4"/>
    </row>
    <row r="247" spans="3:3">
      <c r="C247" s="4"/>
    </row>
    <row r="248" spans="3:3">
      <c r="C248" s="4"/>
    </row>
    <row r="249" spans="3:3">
      <c r="C249" s="4"/>
    </row>
    <row r="250" spans="3:3">
      <c r="C250" s="4"/>
    </row>
    <row r="251" spans="3:3">
      <c r="C251" s="4"/>
    </row>
    <row r="252" spans="3:3">
      <c r="C252" s="4"/>
    </row>
    <row r="253" spans="3:3">
      <c r="C253" s="4"/>
    </row>
    <row r="254" spans="3:3">
      <c r="C254" s="4"/>
    </row>
    <row r="255" spans="3:3">
      <c r="C255" s="4"/>
    </row>
    <row r="256" spans="3:3">
      <c r="C256" s="4"/>
    </row>
    <row r="257" spans="3:3">
      <c r="C257" s="4"/>
    </row>
    <row r="258" spans="3:3">
      <c r="C258" s="4"/>
    </row>
    <row r="259" spans="3:3">
      <c r="C259" s="4"/>
    </row>
    <row r="260" spans="3:3">
      <c r="C260" s="4"/>
    </row>
    <row r="261" spans="3:3">
      <c r="C261" s="4"/>
    </row>
    <row r="262" spans="3:3">
      <c r="C262" s="4"/>
    </row>
    <row r="263" spans="3:3">
      <c r="C263" s="4"/>
    </row>
    <row r="264" spans="3:3">
      <c r="C264" s="4"/>
    </row>
    <row r="265" spans="3:3">
      <c r="C265" s="4"/>
    </row>
    <row r="266" spans="3:3">
      <c r="C266" s="4"/>
    </row>
    <row r="267" spans="3:3">
      <c r="C267" s="4"/>
    </row>
    <row r="268" spans="3:3">
      <c r="C268" s="4"/>
    </row>
    <row r="269" spans="3:3">
      <c r="C269" s="4"/>
    </row>
    <row r="270" spans="3:3">
      <c r="C270" s="4"/>
    </row>
    <row r="271" spans="3:3">
      <c r="C271" s="4"/>
    </row>
    <row r="272" spans="3:3">
      <c r="C272" s="4"/>
    </row>
    <row r="273" spans="3:3">
      <c r="C273" s="4"/>
    </row>
    <row r="274" spans="3:3">
      <c r="C274" s="4"/>
    </row>
    <row r="275" spans="3:3">
      <c r="C275" s="4"/>
    </row>
    <row r="276" spans="3:3">
      <c r="C276" s="4"/>
    </row>
    <row r="277" spans="3:3">
      <c r="C277" s="4"/>
    </row>
    <row r="278" spans="3:3">
      <c r="C278" s="4"/>
    </row>
    <row r="279" spans="3:3">
      <c r="C279" s="4"/>
    </row>
    <row r="280" spans="3:3">
      <c r="C280" s="4"/>
    </row>
    <row r="281" spans="3:3">
      <c r="C281" s="4"/>
    </row>
    <row r="282" spans="3:3">
      <c r="C282" s="4"/>
    </row>
    <row r="283" spans="3:3">
      <c r="C283" s="4"/>
    </row>
    <row r="284" spans="3:3">
      <c r="C284" s="4"/>
    </row>
    <row r="285" spans="3:3">
      <c r="C285" s="4"/>
    </row>
    <row r="286" spans="3:3">
      <c r="C286" s="4"/>
    </row>
    <row r="287" spans="3:3">
      <c r="C287" s="4"/>
    </row>
    <row r="288" spans="3:3">
      <c r="C288" s="4"/>
    </row>
    <row r="289" spans="3:3">
      <c r="C289" s="4"/>
    </row>
    <row r="290" spans="3:3">
      <c r="C290" s="4"/>
    </row>
    <row r="291" spans="3:3">
      <c r="C291" s="4"/>
    </row>
    <row r="292" spans="3:3">
      <c r="C292" s="4"/>
    </row>
    <row r="293" spans="3:3">
      <c r="C293" s="4"/>
    </row>
    <row r="294" spans="3:3">
      <c r="C294" s="4"/>
    </row>
    <row r="295" spans="3:3">
      <c r="C295" s="4"/>
    </row>
    <row r="296" spans="3:3">
      <c r="C296" s="4"/>
    </row>
    <row r="297" spans="3:3">
      <c r="C297" s="4"/>
    </row>
    <row r="298" spans="3:3">
      <c r="C298" s="4"/>
    </row>
    <row r="299" spans="3:3">
      <c r="C299" s="4"/>
    </row>
    <row r="300" spans="3:3">
      <c r="C300" s="4"/>
    </row>
    <row r="301" spans="3:3">
      <c r="C301" s="4"/>
    </row>
    <row r="302" spans="3:3">
      <c r="C302" s="4"/>
    </row>
    <row r="303" spans="3:3">
      <c r="C303" s="4"/>
    </row>
    <row r="304" spans="3:3">
      <c r="C304" s="4"/>
    </row>
    <row r="305" spans="3:3">
      <c r="C305" s="4"/>
    </row>
    <row r="306" spans="3:3">
      <c r="C306" s="4"/>
    </row>
    <row r="307" spans="3:3">
      <c r="C307" s="4"/>
    </row>
    <row r="308" spans="3:3">
      <c r="C308" s="4"/>
    </row>
    <row r="309" spans="3:3">
      <c r="C309" s="4"/>
    </row>
    <row r="310" spans="3:3">
      <c r="C310" s="4"/>
    </row>
    <row r="311" spans="3:3">
      <c r="C311" s="4"/>
    </row>
    <row r="312" spans="3:3">
      <c r="C312" s="4"/>
    </row>
    <row r="313" spans="3:3">
      <c r="C313" s="4"/>
    </row>
    <row r="314" spans="3:3">
      <c r="C314" s="4"/>
    </row>
    <row r="315" spans="3:3">
      <c r="C315" s="4"/>
    </row>
    <row r="316" spans="3:3">
      <c r="C316" s="4"/>
    </row>
    <row r="317" spans="3:3">
      <c r="C317" s="4"/>
    </row>
    <row r="318" spans="3:3">
      <c r="C318" s="4"/>
    </row>
    <row r="319" spans="3:3">
      <c r="C319" s="4"/>
    </row>
    <row r="320" spans="3:3">
      <c r="C320" s="4"/>
    </row>
    <row r="321" spans="3:3">
      <c r="C321" s="4"/>
    </row>
    <row r="322" spans="3:3">
      <c r="C322" s="4"/>
    </row>
    <row r="323" spans="3:3">
      <c r="C323" s="4"/>
    </row>
    <row r="324" spans="3:3">
      <c r="C324" s="4"/>
    </row>
    <row r="325" spans="3:3">
      <c r="C325" s="4"/>
    </row>
    <row r="326" spans="3:3">
      <c r="C326" s="4"/>
    </row>
    <row r="327" spans="3:3">
      <c r="C327" s="4"/>
    </row>
    <row r="328" spans="3:3">
      <c r="C328" s="4"/>
    </row>
    <row r="329" spans="3:3">
      <c r="C329" s="4"/>
    </row>
    <row r="330" spans="3:3">
      <c r="C330" s="4"/>
    </row>
    <row r="331" spans="3:3">
      <c r="C331" s="4"/>
    </row>
    <row r="332" spans="3:3">
      <c r="C332" s="4"/>
    </row>
    <row r="333" spans="3:3">
      <c r="C333" s="4"/>
    </row>
    <row r="334" spans="3:3">
      <c r="C334" s="4"/>
    </row>
    <row r="335" spans="3:3">
      <c r="C335" s="4"/>
    </row>
    <row r="336" spans="3:3">
      <c r="C336" s="4"/>
    </row>
    <row r="337" spans="3:3">
      <c r="C337" s="4"/>
    </row>
    <row r="338" spans="3:3">
      <c r="C338" s="4"/>
    </row>
    <row r="339" spans="3:3">
      <c r="C339" s="4"/>
    </row>
    <row r="340" spans="3:3">
      <c r="C340" s="4"/>
    </row>
    <row r="341" spans="3:3">
      <c r="C341" s="4"/>
    </row>
    <row r="342" spans="3:3">
      <c r="C342" s="4"/>
    </row>
    <row r="343" spans="3:3">
      <c r="C343" s="4"/>
    </row>
    <row r="344" spans="3:3">
      <c r="C344" s="4"/>
    </row>
    <row r="345" spans="3:3">
      <c r="C345" s="4"/>
    </row>
    <row r="346" spans="3:3">
      <c r="C346" s="4"/>
    </row>
    <row r="347" spans="3:3">
      <c r="C347" s="4"/>
    </row>
    <row r="348" spans="3:3">
      <c r="C348" s="4"/>
    </row>
    <row r="349" spans="3:3">
      <c r="C349" s="4"/>
    </row>
    <row r="350" spans="3:3">
      <c r="C350" s="4"/>
    </row>
    <row r="351" spans="3:3">
      <c r="C351" s="4"/>
    </row>
    <row r="352" spans="3:3">
      <c r="C352" s="4"/>
    </row>
    <row r="353" spans="3:3">
      <c r="C353" s="4"/>
    </row>
    <row r="354" spans="3:3">
      <c r="C354" s="4"/>
    </row>
    <row r="355" spans="3:3">
      <c r="C355" s="4"/>
    </row>
    <row r="356" spans="3:3">
      <c r="C356" s="4"/>
    </row>
    <row r="357" spans="3:3">
      <c r="C357" s="4"/>
    </row>
    <row r="358" spans="3:3">
      <c r="C358" s="4"/>
    </row>
    <row r="359" spans="3:3">
      <c r="C359" s="4"/>
    </row>
    <row r="360" spans="3:3">
      <c r="C360" s="4"/>
    </row>
    <row r="361" spans="3:3">
      <c r="C361" s="4"/>
    </row>
    <row r="362" spans="3:3">
      <c r="C362" s="4"/>
    </row>
    <row r="363" spans="3:3">
      <c r="C363" s="4"/>
    </row>
    <row r="364" spans="3:3">
      <c r="C364" s="4"/>
    </row>
    <row r="365" spans="3:3">
      <c r="C365" s="4"/>
    </row>
    <row r="366" spans="3:3">
      <c r="C366" s="4"/>
    </row>
    <row r="367" spans="3:3">
      <c r="C367" s="4"/>
    </row>
    <row r="368" spans="3:3">
      <c r="C368" s="4"/>
    </row>
    <row r="369" spans="3:3">
      <c r="C369" s="4"/>
    </row>
    <row r="370" spans="3:3">
      <c r="C370" s="4"/>
    </row>
    <row r="371" spans="3:3">
      <c r="C371" s="4"/>
    </row>
    <row r="372" spans="3:3">
      <c r="C372" s="4"/>
    </row>
    <row r="373" spans="3:3">
      <c r="C373" s="4"/>
    </row>
    <row r="374" spans="3:3">
      <c r="C374" s="4"/>
    </row>
    <row r="375" spans="3:3">
      <c r="C375" s="4"/>
    </row>
    <row r="376" spans="3:3">
      <c r="C376" s="4"/>
    </row>
    <row r="377" spans="3:3">
      <c r="C377" s="4"/>
    </row>
    <row r="378" spans="3:3">
      <c r="C378" s="4"/>
    </row>
    <row r="379" spans="3:3">
      <c r="C379" s="4"/>
    </row>
    <row r="380" spans="3:3">
      <c r="C380" s="4"/>
    </row>
    <row r="381" spans="3:3">
      <c r="C381" s="4"/>
    </row>
    <row r="382" spans="3:3">
      <c r="C382" s="4"/>
    </row>
    <row r="383" spans="3:3">
      <c r="C383" s="4"/>
    </row>
    <row r="384" spans="3:3">
      <c r="C384" s="4"/>
    </row>
    <row r="385" spans="3:3">
      <c r="C385" s="4"/>
    </row>
    <row r="386" spans="3:3">
      <c r="C386" s="4"/>
    </row>
    <row r="387" spans="3:3">
      <c r="C387" s="4"/>
    </row>
    <row r="388" spans="3:3">
      <c r="C388" s="4"/>
    </row>
    <row r="389" spans="3:3">
      <c r="C389" s="4"/>
    </row>
    <row r="390" spans="3:3">
      <c r="C390" s="4"/>
    </row>
    <row r="391" spans="3:3">
      <c r="C391" s="4"/>
    </row>
    <row r="392" spans="3:3">
      <c r="C392" s="4"/>
    </row>
    <row r="393" spans="3:3">
      <c r="C393" s="4"/>
    </row>
  </sheetData>
  <mergeCells count="10">
    <mergeCell ref="F26:H27"/>
    <mergeCell ref="I26:J26"/>
    <mergeCell ref="K26:L26"/>
    <mergeCell ref="C1:D1"/>
    <mergeCell ref="I2:J2"/>
    <mergeCell ref="K2:L2"/>
    <mergeCell ref="I3:I4"/>
    <mergeCell ref="J3:J4"/>
    <mergeCell ref="K3:K4"/>
    <mergeCell ref="L3:L4"/>
  </mergeCells>
  <pageMargins left="0.74803149606299213" right="0.74803149606299213" top="0.98425196850393704" bottom="0.98425196850393704" header="0" footer="0"/>
  <pageSetup paperSize="9" scale="53" fitToHeight="2" orientation="landscape" horizontalDpi="300" verticalDpi="3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61245D3-E50D-F744-BB31-70C287359BE8}">
          <x14:formula1>
            <xm:f>Skattesatser!$B$6:$B$103</xm:f>
          </x14:formula1>
          <xm:sqref>C12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4DC16-2113-A447-BF87-B55978DD5D8E}">
  <sheetPr>
    <tabColor rgb="FFFF0000"/>
    <pageSetUpPr fitToPage="1"/>
  </sheetPr>
  <dimension ref="A1:IT160"/>
  <sheetViews>
    <sheetView showGridLines="0" zoomScale="125" zoomScaleNormal="100" workbookViewId="0">
      <selection activeCell="B15" sqref="B15"/>
    </sheetView>
  </sheetViews>
  <sheetFormatPr baseColWidth="10" defaultColWidth="9.1640625" defaultRowHeight="13"/>
  <cols>
    <col min="1" max="1" width="25" style="300" bestFit="1" customWidth="1"/>
    <col min="2" max="13" width="10.1640625" style="300" customWidth="1"/>
    <col min="14" max="14" width="12.6640625" style="394" customWidth="1"/>
    <col min="15" max="33" width="9.1640625" style="293"/>
    <col min="34" max="34" width="9.1640625" style="299"/>
    <col min="35" max="16384" width="9.1640625" style="300"/>
  </cols>
  <sheetData>
    <row r="1" spans="1:254" s="292" customFormat="1" ht="20">
      <c r="A1" s="291" t="s">
        <v>108</v>
      </c>
      <c r="B1" s="291"/>
      <c r="C1" s="291"/>
      <c r="D1" s="291"/>
      <c r="E1" s="291"/>
      <c r="F1" s="291"/>
      <c r="G1" s="291"/>
      <c r="H1" s="291"/>
      <c r="I1" s="291"/>
      <c r="J1" s="291"/>
      <c r="K1" s="291"/>
      <c r="L1" s="291"/>
      <c r="M1" s="291"/>
      <c r="N1" s="291"/>
    </row>
    <row r="2" spans="1:254" s="294" customFormat="1">
      <c r="A2" s="293"/>
      <c r="B2" s="293"/>
      <c r="C2" s="293"/>
      <c r="D2" s="293"/>
      <c r="E2" s="293"/>
      <c r="F2" s="293"/>
      <c r="G2" s="293"/>
      <c r="H2" s="293"/>
      <c r="I2" s="293"/>
      <c r="J2" s="293"/>
      <c r="K2" s="293"/>
      <c r="L2" s="293"/>
      <c r="M2" s="293"/>
      <c r="N2" s="293"/>
      <c r="O2" s="293"/>
      <c r="P2" s="293"/>
      <c r="Q2" s="293"/>
      <c r="R2" s="293"/>
      <c r="S2" s="293"/>
      <c r="T2" s="293"/>
      <c r="U2" s="293"/>
      <c r="V2" s="293"/>
      <c r="W2" s="293"/>
      <c r="X2" s="293"/>
      <c r="Y2" s="293"/>
      <c r="Z2" s="293"/>
      <c r="AA2" s="293"/>
      <c r="AB2" s="293"/>
      <c r="AC2" s="293"/>
      <c r="AD2" s="293"/>
      <c r="AE2" s="293"/>
      <c r="AF2" s="293"/>
      <c r="AG2" s="293"/>
    </row>
    <row r="3" spans="1:254" ht="16">
      <c r="A3" s="295" t="s">
        <v>109</v>
      </c>
      <c r="B3" s="296" t="s">
        <v>110</v>
      </c>
      <c r="C3" s="297" t="s">
        <v>111</v>
      </c>
      <c r="D3" s="297" t="s">
        <v>112</v>
      </c>
      <c r="E3" s="297" t="s">
        <v>113</v>
      </c>
      <c r="F3" s="297" t="s">
        <v>114</v>
      </c>
      <c r="G3" s="297" t="s">
        <v>115</v>
      </c>
      <c r="H3" s="297" t="s">
        <v>116</v>
      </c>
      <c r="I3" s="297" t="s">
        <v>117</v>
      </c>
      <c r="J3" s="297" t="s">
        <v>118</v>
      </c>
      <c r="K3" s="297" t="s">
        <v>119</v>
      </c>
      <c r="L3" s="297" t="s">
        <v>120</v>
      </c>
      <c r="M3" s="297" t="s">
        <v>121</v>
      </c>
      <c r="N3" s="298" t="s">
        <v>122</v>
      </c>
    </row>
    <row r="4" spans="1:254">
      <c r="A4" s="301" t="s">
        <v>123</v>
      </c>
      <c r="B4" s="302">
        <f>'Ægtepar skat efter boligkøb'!J31</f>
        <v>0</v>
      </c>
      <c r="C4" s="303">
        <f>B4</f>
        <v>0</v>
      </c>
      <c r="D4" s="303">
        <f t="shared" ref="D4:M5" si="0">C4</f>
        <v>0</v>
      </c>
      <c r="E4" s="303">
        <f t="shared" si="0"/>
        <v>0</v>
      </c>
      <c r="F4" s="303">
        <f t="shared" si="0"/>
        <v>0</v>
      </c>
      <c r="G4" s="303">
        <f t="shared" si="0"/>
        <v>0</v>
      </c>
      <c r="H4" s="303">
        <f t="shared" si="0"/>
        <v>0</v>
      </c>
      <c r="I4" s="303">
        <f t="shared" si="0"/>
        <v>0</v>
      </c>
      <c r="J4" s="303">
        <f t="shared" si="0"/>
        <v>0</v>
      </c>
      <c r="K4" s="303">
        <f t="shared" si="0"/>
        <v>0</v>
      </c>
      <c r="L4" s="303">
        <f t="shared" si="0"/>
        <v>0</v>
      </c>
      <c r="M4" s="303">
        <f t="shared" si="0"/>
        <v>0</v>
      </c>
      <c r="N4" s="304">
        <f>SUM(B4:M4)</f>
        <v>0</v>
      </c>
    </row>
    <row r="5" spans="1:254">
      <c r="A5" s="301" t="s">
        <v>123</v>
      </c>
      <c r="B5" s="305">
        <f>'Ægtepar skat efter boligkøb'!L31</f>
        <v>0</v>
      </c>
      <c r="C5" s="305">
        <f>B5</f>
        <v>0</v>
      </c>
      <c r="D5" s="305">
        <f t="shared" si="0"/>
        <v>0</v>
      </c>
      <c r="E5" s="305">
        <f t="shared" si="0"/>
        <v>0</v>
      </c>
      <c r="F5" s="305">
        <f t="shared" si="0"/>
        <v>0</v>
      </c>
      <c r="G5" s="305">
        <f t="shared" si="0"/>
        <v>0</v>
      </c>
      <c r="H5" s="305">
        <f t="shared" si="0"/>
        <v>0</v>
      </c>
      <c r="I5" s="305">
        <f t="shared" si="0"/>
        <v>0</v>
      </c>
      <c r="J5" s="305">
        <f t="shared" si="0"/>
        <v>0</v>
      </c>
      <c r="K5" s="305">
        <f t="shared" si="0"/>
        <v>0</v>
      </c>
      <c r="L5" s="305">
        <f t="shared" si="0"/>
        <v>0</v>
      </c>
      <c r="M5" s="305">
        <f t="shared" si="0"/>
        <v>0</v>
      </c>
      <c r="N5" s="306">
        <f t="shared" ref="N5:N10" si="1">SUM(B5:M5)</f>
        <v>0</v>
      </c>
    </row>
    <row r="6" spans="1:254">
      <c r="A6" s="301" t="s">
        <v>124</v>
      </c>
      <c r="B6" s="302">
        <v>0</v>
      </c>
      <c r="C6" s="303">
        <v>0</v>
      </c>
      <c r="D6" s="303">
        <v>0</v>
      </c>
      <c r="E6" s="303">
        <v>0</v>
      </c>
      <c r="F6" s="303">
        <v>0</v>
      </c>
      <c r="G6" s="303">
        <v>0</v>
      </c>
      <c r="H6" s="303">
        <v>0</v>
      </c>
      <c r="I6" s="303">
        <v>0</v>
      </c>
      <c r="J6" s="303">
        <v>0</v>
      </c>
      <c r="K6" s="303">
        <v>0</v>
      </c>
      <c r="L6" s="303">
        <v>0</v>
      </c>
      <c r="M6" s="303">
        <v>0</v>
      </c>
      <c r="N6" s="304">
        <f t="shared" si="1"/>
        <v>0</v>
      </c>
    </row>
    <row r="7" spans="1:254">
      <c r="A7" s="301" t="s">
        <v>125</v>
      </c>
      <c r="B7" s="305"/>
      <c r="C7" s="305">
        <v>0</v>
      </c>
      <c r="D7" s="305">
        <v>0</v>
      </c>
      <c r="E7" s="305">
        <f>B7</f>
        <v>0</v>
      </c>
      <c r="F7" s="305">
        <v>0</v>
      </c>
      <c r="G7" s="305">
        <v>0</v>
      </c>
      <c r="H7" s="305">
        <f>E7</f>
        <v>0</v>
      </c>
      <c r="I7" s="305">
        <v>0</v>
      </c>
      <c r="J7" s="305">
        <v>0</v>
      </c>
      <c r="K7" s="305">
        <f>H7</f>
        <v>0</v>
      </c>
      <c r="L7" s="305">
        <v>0</v>
      </c>
      <c r="M7" s="305">
        <v>0</v>
      </c>
      <c r="N7" s="306">
        <f t="shared" si="1"/>
        <v>0</v>
      </c>
    </row>
    <row r="8" spans="1:254">
      <c r="A8" s="301" t="s">
        <v>126</v>
      </c>
      <c r="B8" s="302">
        <v>0</v>
      </c>
      <c r="C8" s="303">
        <v>0</v>
      </c>
      <c r="D8" s="303">
        <v>0</v>
      </c>
      <c r="E8" s="303">
        <v>0</v>
      </c>
      <c r="F8" s="303">
        <v>0</v>
      </c>
      <c r="G8" s="303">
        <v>0</v>
      </c>
      <c r="H8" s="303">
        <v>0</v>
      </c>
      <c r="I8" s="303">
        <v>0</v>
      </c>
      <c r="J8" s="303">
        <v>0</v>
      </c>
      <c r="K8" s="303">
        <v>0</v>
      </c>
      <c r="L8" s="303">
        <v>0</v>
      </c>
      <c r="M8" s="303">
        <v>0</v>
      </c>
      <c r="N8" s="304">
        <f t="shared" si="1"/>
        <v>0</v>
      </c>
    </row>
    <row r="9" spans="1:254">
      <c r="A9" s="301" t="s">
        <v>127</v>
      </c>
      <c r="B9" s="305">
        <v>0</v>
      </c>
      <c r="C9" s="305">
        <v>0</v>
      </c>
      <c r="D9" s="305">
        <v>0</v>
      </c>
      <c r="E9" s="305">
        <v>0</v>
      </c>
      <c r="F9" s="305">
        <v>0</v>
      </c>
      <c r="G9" s="305">
        <v>0</v>
      </c>
      <c r="H9" s="305">
        <v>0</v>
      </c>
      <c r="I9" s="305">
        <v>0</v>
      </c>
      <c r="J9" s="305">
        <v>0</v>
      </c>
      <c r="K9" s="305">
        <v>0</v>
      </c>
      <c r="L9" s="305">
        <v>0</v>
      </c>
      <c r="M9" s="305">
        <v>0</v>
      </c>
      <c r="N9" s="306">
        <f t="shared" si="1"/>
        <v>0</v>
      </c>
    </row>
    <row r="10" spans="1:254" s="313" customFormat="1" ht="16">
      <c r="A10" s="307" t="s">
        <v>128</v>
      </c>
      <c r="B10" s="308">
        <f t="shared" ref="B10:M10" si="2">SUM(B4:B9)</f>
        <v>0</v>
      </c>
      <c r="C10" s="309">
        <f t="shared" si="2"/>
        <v>0</v>
      </c>
      <c r="D10" s="309">
        <f t="shared" si="2"/>
        <v>0</v>
      </c>
      <c r="E10" s="309">
        <f t="shared" si="2"/>
        <v>0</v>
      </c>
      <c r="F10" s="309">
        <f t="shared" si="2"/>
        <v>0</v>
      </c>
      <c r="G10" s="309">
        <f t="shared" si="2"/>
        <v>0</v>
      </c>
      <c r="H10" s="309">
        <f t="shared" si="2"/>
        <v>0</v>
      </c>
      <c r="I10" s="309">
        <f t="shared" si="2"/>
        <v>0</v>
      </c>
      <c r="J10" s="309">
        <f t="shared" si="2"/>
        <v>0</v>
      </c>
      <c r="K10" s="309">
        <f t="shared" si="2"/>
        <v>0</v>
      </c>
      <c r="L10" s="309">
        <f t="shared" si="2"/>
        <v>0</v>
      </c>
      <c r="M10" s="309">
        <f t="shared" si="2"/>
        <v>0</v>
      </c>
      <c r="N10" s="310">
        <f t="shared" si="1"/>
        <v>0</v>
      </c>
      <c r="O10" s="311"/>
      <c r="P10" s="311"/>
      <c r="Q10" s="311"/>
      <c r="R10" s="311"/>
      <c r="S10" s="311"/>
      <c r="T10" s="311"/>
      <c r="U10" s="311"/>
      <c r="V10" s="311"/>
      <c r="W10" s="311"/>
      <c r="X10" s="311"/>
      <c r="Y10" s="311"/>
      <c r="Z10" s="311"/>
      <c r="AA10" s="311"/>
      <c r="AB10" s="311"/>
      <c r="AC10" s="311"/>
      <c r="AD10" s="311"/>
      <c r="AE10" s="311"/>
      <c r="AF10" s="311"/>
      <c r="AG10" s="311"/>
      <c r="AH10" s="312"/>
    </row>
    <row r="11" spans="1:254" s="317" customFormat="1" ht="12">
      <c r="A11" s="314"/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6"/>
      <c r="AH11" s="318"/>
      <c r="AI11" s="318"/>
      <c r="AJ11" s="318"/>
      <c r="AK11" s="318"/>
      <c r="AL11" s="318"/>
      <c r="AM11" s="318"/>
      <c r="AN11" s="318"/>
      <c r="AO11" s="318"/>
      <c r="AP11" s="318"/>
      <c r="AQ11" s="318"/>
      <c r="AR11" s="318"/>
      <c r="AS11" s="318"/>
      <c r="AT11" s="318"/>
      <c r="AU11" s="318"/>
      <c r="AV11" s="318"/>
      <c r="AW11" s="318"/>
      <c r="AX11" s="318"/>
      <c r="AY11" s="318"/>
      <c r="AZ11" s="318"/>
      <c r="BA11" s="318"/>
      <c r="BB11" s="318"/>
      <c r="BC11" s="318"/>
      <c r="BD11" s="318"/>
      <c r="BE11" s="318"/>
      <c r="BF11" s="318"/>
      <c r="BG11" s="318"/>
      <c r="BH11" s="318"/>
      <c r="BI11" s="318"/>
      <c r="BJ11" s="318"/>
      <c r="BK11" s="318"/>
      <c r="BL11" s="318"/>
      <c r="BM11" s="318"/>
      <c r="BN11" s="318"/>
      <c r="BO11" s="318"/>
      <c r="BP11" s="318"/>
      <c r="BQ11" s="318"/>
      <c r="BR11" s="318"/>
      <c r="BS11" s="318"/>
      <c r="BT11" s="318"/>
      <c r="BU11" s="318"/>
      <c r="BV11" s="318"/>
      <c r="BW11" s="318"/>
      <c r="BX11" s="318"/>
      <c r="BY11" s="318"/>
      <c r="BZ11" s="318"/>
      <c r="CA11" s="318"/>
      <c r="CB11" s="318"/>
      <c r="CC11" s="318"/>
      <c r="CD11" s="318"/>
      <c r="CE11" s="318"/>
      <c r="CF11" s="318"/>
      <c r="CG11" s="318"/>
      <c r="CH11" s="318"/>
      <c r="CI11" s="318"/>
      <c r="CJ11" s="318"/>
      <c r="CK11" s="318"/>
      <c r="CL11" s="318"/>
      <c r="CM11" s="318"/>
      <c r="CN11" s="318"/>
      <c r="CO11" s="318"/>
      <c r="CP11" s="318"/>
      <c r="CQ11" s="318"/>
      <c r="CR11" s="318"/>
      <c r="CS11" s="318"/>
      <c r="CT11" s="318"/>
      <c r="CU11" s="318"/>
      <c r="CV11" s="318"/>
      <c r="CW11" s="318"/>
      <c r="CX11" s="318"/>
      <c r="CY11" s="318"/>
      <c r="CZ11" s="318"/>
      <c r="DA11" s="318"/>
      <c r="DB11" s="318"/>
      <c r="DC11" s="318"/>
      <c r="DD11" s="318"/>
      <c r="DE11" s="318"/>
      <c r="DF11" s="318"/>
      <c r="DG11" s="318"/>
      <c r="DH11" s="318"/>
      <c r="DI11" s="318"/>
      <c r="DJ11" s="318"/>
      <c r="DK11" s="318"/>
      <c r="DL11" s="318"/>
      <c r="DM11" s="318"/>
      <c r="DN11" s="318"/>
      <c r="DO11" s="318"/>
      <c r="DP11" s="318"/>
      <c r="DQ11" s="318"/>
      <c r="DR11" s="318"/>
      <c r="DS11" s="318"/>
      <c r="DT11" s="318"/>
      <c r="DU11" s="318"/>
      <c r="DV11" s="318"/>
      <c r="DW11" s="318"/>
      <c r="DX11" s="318"/>
      <c r="DY11" s="318"/>
      <c r="DZ11" s="318"/>
      <c r="EA11" s="318"/>
      <c r="EB11" s="318"/>
      <c r="EC11" s="318"/>
      <c r="ED11" s="318"/>
      <c r="EE11" s="318"/>
      <c r="EF11" s="318"/>
      <c r="EG11" s="318"/>
      <c r="EH11" s="318"/>
      <c r="EI11" s="318"/>
      <c r="EJ11" s="318"/>
      <c r="EK11" s="318"/>
      <c r="EL11" s="318"/>
      <c r="EM11" s="318"/>
      <c r="EN11" s="318"/>
      <c r="EO11" s="318"/>
      <c r="EP11" s="318"/>
      <c r="EQ11" s="318"/>
      <c r="ER11" s="318"/>
      <c r="ES11" s="318"/>
      <c r="ET11" s="318"/>
      <c r="EU11" s="318"/>
      <c r="EV11" s="318"/>
      <c r="EW11" s="318"/>
      <c r="EX11" s="318"/>
      <c r="EY11" s="318"/>
      <c r="EZ11" s="318"/>
      <c r="FA11" s="318"/>
      <c r="FB11" s="318"/>
      <c r="FC11" s="318"/>
      <c r="FD11" s="318"/>
      <c r="FE11" s="318"/>
      <c r="FF11" s="318"/>
      <c r="FG11" s="318"/>
      <c r="FH11" s="318"/>
      <c r="FI11" s="318"/>
      <c r="FJ11" s="318"/>
      <c r="FK11" s="318"/>
      <c r="FL11" s="318"/>
      <c r="FM11" s="318"/>
      <c r="FN11" s="318"/>
      <c r="FO11" s="318"/>
      <c r="FP11" s="318"/>
      <c r="FQ11" s="318"/>
      <c r="FR11" s="318"/>
      <c r="FS11" s="318"/>
      <c r="FT11" s="318"/>
      <c r="FU11" s="318"/>
      <c r="FV11" s="318"/>
      <c r="FW11" s="318"/>
      <c r="FX11" s="318"/>
      <c r="FY11" s="318"/>
      <c r="FZ11" s="318"/>
      <c r="GA11" s="318"/>
      <c r="GB11" s="318"/>
      <c r="GC11" s="318"/>
      <c r="GD11" s="318"/>
      <c r="GE11" s="318"/>
      <c r="GF11" s="318"/>
      <c r="GG11" s="318"/>
      <c r="GH11" s="318"/>
      <c r="GI11" s="318"/>
      <c r="GJ11" s="318"/>
      <c r="GK11" s="318"/>
      <c r="GL11" s="318"/>
      <c r="GM11" s="318"/>
      <c r="GN11" s="318"/>
      <c r="GO11" s="318"/>
      <c r="GP11" s="318"/>
      <c r="GQ11" s="318"/>
      <c r="GR11" s="318"/>
      <c r="GS11" s="318"/>
      <c r="GT11" s="318"/>
      <c r="GU11" s="318"/>
      <c r="GV11" s="318"/>
      <c r="GW11" s="318"/>
      <c r="GX11" s="318"/>
      <c r="GY11" s="318"/>
      <c r="GZ11" s="318"/>
      <c r="HA11" s="318"/>
      <c r="HB11" s="318"/>
      <c r="HC11" s="318"/>
      <c r="HD11" s="318"/>
      <c r="HE11" s="318"/>
      <c r="HF11" s="318"/>
      <c r="HG11" s="318"/>
      <c r="HH11" s="318"/>
      <c r="HI11" s="318"/>
      <c r="HJ11" s="318"/>
      <c r="HK11" s="318"/>
      <c r="HL11" s="318"/>
      <c r="HM11" s="318"/>
      <c r="HN11" s="318"/>
      <c r="HO11" s="318"/>
      <c r="HP11" s="318"/>
      <c r="HQ11" s="318"/>
      <c r="HR11" s="318"/>
      <c r="HS11" s="318"/>
      <c r="HT11" s="318"/>
      <c r="HU11" s="318"/>
      <c r="HV11" s="318"/>
      <c r="HW11" s="318"/>
      <c r="HX11" s="318"/>
      <c r="HY11" s="318"/>
      <c r="HZ11" s="318"/>
      <c r="IA11" s="318"/>
      <c r="IB11" s="318"/>
      <c r="IC11" s="318"/>
      <c r="ID11" s="318"/>
      <c r="IE11" s="318"/>
      <c r="IF11" s="318"/>
      <c r="IG11" s="318"/>
      <c r="IH11" s="318"/>
      <c r="II11" s="318"/>
      <c r="IJ11" s="318"/>
      <c r="IK11" s="318"/>
      <c r="IL11" s="318"/>
      <c r="IM11" s="318"/>
      <c r="IN11" s="318"/>
      <c r="IO11" s="318"/>
      <c r="IP11" s="318"/>
      <c r="IQ11" s="318"/>
      <c r="IR11" s="318"/>
      <c r="IS11" s="318"/>
      <c r="IT11" s="318"/>
    </row>
    <row r="12" spans="1:254" s="293" customFormat="1">
      <c r="A12" s="319"/>
      <c r="B12" s="320"/>
      <c r="C12" s="320"/>
      <c r="D12" s="320"/>
      <c r="E12" s="320"/>
      <c r="F12" s="320"/>
      <c r="G12" s="320"/>
      <c r="H12" s="320"/>
      <c r="I12" s="320"/>
      <c r="J12" s="320"/>
      <c r="K12" s="320"/>
      <c r="L12" s="320"/>
      <c r="M12" s="320"/>
      <c r="N12" s="321"/>
      <c r="AH12" s="322"/>
      <c r="AI12" s="322"/>
      <c r="AJ12" s="322"/>
      <c r="AK12" s="322"/>
      <c r="AL12" s="322"/>
      <c r="AM12" s="322"/>
      <c r="AN12" s="322"/>
      <c r="AO12" s="322"/>
      <c r="AP12" s="322"/>
      <c r="AQ12" s="322"/>
      <c r="AR12" s="322"/>
      <c r="AS12" s="322"/>
      <c r="AT12" s="322"/>
      <c r="AU12" s="322"/>
      <c r="AV12" s="322"/>
      <c r="AW12" s="322"/>
      <c r="AX12" s="322"/>
      <c r="AY12" s="322"/>
      <c r="AZ12" s="322"/>
      <c r="BA12" s="322"/>
      <c r="BB12" s="322"/>
      <c r="BC12" s="322"/>
      <c r="BD12" s="322"/>
      <c r="BE12" s="322"/>
      <c r="BF12" s="322"/>
      <c r="BG12" s="322"/>
      <c r="BH12" s="322"/>
      <c r="BI12" s="322"/>
      <c r="BJ12" s="322"/>
      <c r="BK12" s="322"/>
      <c r="BL12" s="322"/>
      <c r="BM12" s="322"/>
      <c r="BN12" s="322"/>
      <c r="BO12" s="322"/>
      <c r="BP12" s="322"/>
      <c r="BQ12" s="322"/>
      <c r="BR12" s="322"/>
      <c r="BS12" s="322"/>
      <c r="BT12" s="322"/>
      <c r="BU12" s="322"/>
      <c r="BV12" s="322"/>
      <c r="BW12" s="322"/>
      <c r="BX12" s="322"/>
      <c r="BY12" s="322"/>
      <c r="BZ12" s="322"/>
      <c r="CA12" s="322"/>
      <c r="CB12" s="322"/>
      <c r="CC12" s="322"/>
      <c r="CD12" s="322"/>
      <c r="CE12" s="322"/>
      <c r="CF12" s="322"/>
      <c r="CG12" s="322"/>
      <c r="CH12" s="322"/>
      <c r="CI12" s="322"/>
      <c r="CJ12" s="322"/>
      <c r="CK12" s="322"/>
      <c r="CL12" s="322"/>
      <c r="CM12" s="322"/>
      <c r="CN12" s="322"/>
      <c r="CO12" s="322"/>
      <c r="CP12" s="322"/>
      <c r="CQ12" s="322"/>
      <c r="CR12" s="322"/>
      <c r="CS12" s="322"/>
      <c r="CT12" s="322"/>
      <c r="CU12" s="322"/>
      <c r="CV12" s="322"/>
      <c r="CW12" s="322"/>
      <c r="CX12" s="322"/>
      <c r="CY12" s="322"/>
      <c r="CZ12" s="322"/>
      <c r="DA12" s="322"/>
      <c r="DB12" s="322"/>
      <c r="DC12" s="322"/>
      <c r="DD12" s="322"/>
      <c r="DE12" s="322"/>
      <c r="DF12" s="322"/>
      <c r="DG12" s="322"/>
      <c r="DH12" s="322"/>
      <c r="DI12" s="322"/>
      <c r="DJ12" s="322"/>
      <c r="DK12" s="322"/>
      <c r="DL12" s="322"/>
      <c r="DM12" s="322"/>
      <c r="DN12" s="322"/>
      <c r="DO12" s="322"/>
      <c r="DP12" s="322"/>
      <c r="DQ12" s="322"/>
      <c r="DR12" s="322"/>
      <c r="DS12" s="322"/>
      <c r="DT12" s="322"/>
      <c r="DU12" s="322"/>
      <c r="DV12" s="322"/>
      <c r="DW12" s="322"/>
      <c r="DX12" s="322"/>
      <c r="DY12" s="322"/>
      <c r="DZ12" s="322"/>
      <c r="EA12" s="322"/>
      <c r="EB12" s="322"/>
      <c r="EC12" s="322"/>
      <c r="ED12" s="322"/>
      <c r="EE12" s="322"/>
      <c r="EF12" s="322"/>
      <c r="EG12" s="322"/>
      <c r="EH12" s="322"/>
      <c r="EI12" s="322"/>
      <c r="EJ12" s="322"/>
      <c r="EK12" s="322"/>
      <c r="EL12" s="322"/>
      <c r="EM12" s="322"/>
      <c r="EN12" s="322"/>
      <c r="EO12" s="322"/>
      <c r="EP12" s="322"/>
      <c r="EQ12" s="322"/>
      <c r="ER12" s="322"/>
      <c r="ES12" s="322"/>
      <c r="ET12" s="322"/>
      <c r="EU12" s="322"/>
      <c r="EV12" s="322"/>
      <c r="EW12" s="322"/>
      <c r="EX12" s="322"/>
      <c r="EY12" s="322"/>
      <c r="EZ12" s="322"/>
      <c r="FA12" s="322"/>
      <c r="FB12" s="322"/>
      <c r="FC12" s="322"/>
      <c r="FD12" s="322"/>
      <c r="FE12" s="322"/>
      <c r="FF12" s="322"/>
      <c r="FG12" s="322"/>
      <c r="FH12" s="322"/>
      <c r="FI12" s="322"/>
      <c r="FJ12" s="322"/>
      <c r="FK12" s="322"/>
      <c r="FL12" s="322"/>
      <c r="FM12" s="322"/>
      <c r="FN12" s="322"/>
      <c r="FO12" s="322"/>
      <c r="FP12" s="322"/>
      <c r="FQ12" s="322"/>
      <c r="FR12" s="322"/>
      <c r="FS12" s="322"/>
      <c r="FT12" s="322"/>
      <c r="FU12" s="322"/>
      <c r="FV12" s="322"/>
      <c r="FW12" s="322"/>
      <c r="FX12" s="322"/>
      <c r="FY12" s="322"/>
      <c r="FZ12" s="322"/>
      <c r="GA12" s="322"/>
      <c r="GB12" s="322"/>
      <c r="GC12" s="322"/>
      <c r="GD12" s="322"/>
      <c r="GE12" s="322"/>
      <c r="GF12" s="322"/>
      <c r="GG12" s="322"/>
      <c r="GH12" s="322"/>
      <c r="GI12" s="322"/>
      <c r="GJ12" s="322"/>
      <c r="GK12" s="322"/>
      <c r="GL12" s="322"/>
      <c r="GM12" s="322"/>
      <c r="GN12" s="322"/>
      <c r="GO12" s="322"/>
      <c r="GP12" s="322"/>
      <c r="GQ12" s="322"/>
      <c r="GR12" s="322"/>
      <c r="GS12" s="322"/>
      <c r="GT12" s="322"/>
      <c r="GU12" s="322"/>
      <c r="GV12" s="322"/>
      <c r="GW12" s="322"/>
      <c r="GX12" s="322"/>
      <c r="GY12" s="322"/>
      <c r="GZ12" s="322"/>
      <c r="HA12" s="322"/>
      <c r="HB12" s="322"/>
      <c r="HC12" s="322"/>
      <c r="HD12" s="322"/>
      <c r="HE12" s="322"/>
      <c r="HF12" s="322"/>
      <c r="HG12" s="322"/>
      <c r="HH12" s="322"/>
      <c r="HI12" s="322"/>
      <c r="HJ12" s="322"/>
      <c r="HK12" s="322"/>
      <c r="HL12" s="322"/>
      <c r="HM12" s="322"/>
      <c r="HN12" s="322"/>
      <c r="HO12" s="322"/>
      <c r="HP12" s="322"/>
      <c r="HQ12" s="322"/>
      <c r="HR12" s="322"/>
      <c r="HS12" s="322"/>
      <c r="HT12" s="322"/>
      <c r="HU12" s="322"/>
      <c r="HV12" s="322"/>
      <c r="HW12" s="322"/>
      <c r="HX12" s="322"/>
      <c r="HY12" s="322"/>
      <c r="HZ12" s="322"/>
      <c r="IA12" s="322"/>
      <c r="IB12" s="322"/>
      <c r="IC12" s="322"/>
      <c r="ID12" s="322"/>
      <c r="IE12" s="322"/>
      <c r="IF12" s="322"/>
      <c r="IG12" s="322"/>
      <c r="IH12" s="322"/>
      <c r="II12" s="322"/>
      <c r="IJ12" s="322"/>
      <c r="IK12" s="322"/>
      <c r="IL12" s="322"/>
      <c r="IM12" s="322"/>
      <c r="IN12" s="322"/>
      <c r="IO12" s="322"/>
      <c r="IP12" s="322"/>
      <c r="IQ12" s="322"/>
      <c r="IR12" s="322"/>
      <c r="IS12" s="322"/>
      <c r="IT12" s="322"/>
    </row>
    <row r="13" spans="1:254" s="327" customFormat="1" ht="16">
      <c r="A13" s="323" t="s">
        <v>129</v>
      </c>
      <c r="B13" s="324" t="s">
        <v>110</v>
      </c>
      <c r="C13" s="325" t="s">
        <v>111</v>
      </c>
      <c r="D13" s="325" t="s">
        <v>112</v>
      </c>
      <c r="E13" s="325" t="s">
        <v>113</v>
      </c>
      <c r="F13" s="325" t="s">
        <v>114</v>
      </c>
      <c r="G13" s="325" t="s">
        <v>115</v>
      </c>
      <c r="H13" s="325" t="s">
        <v>116</v>
      </c>
      <c r="I13" s="325" t="s">
        <v>117</v>
      </c>
      <c r="J13" s="325" t="s">
        <v>118</v>
      </c>
      <c r="K13" s="325" t="s">
        <v>119</v>
      </c>
      <c r="L13" s="325" t="s">
        <v>120</v>
      </c>
      <c r="M13" s="325" t="s">
        <v>121</v>
      </c>
      <c r="N13" s="326" t="s">
        <v>122</v>
      </c>
      <c r="AH13" s="328"/>
      <c r="AI13" s="328"/>
      <c r="AJ13" s="328"/>
      <c r="AK13" s="328"/>
      <c r="AL13" s="328"/>
      <c r="AM13" s="328"/>
      <c r="AN13" s="328"/>
      <c r="AO13" s="328"/>
      <c r="AP13" s="328"/>
      <c r="AQ13" s="328"/>
      <c r="AR13" s="328"/>
      <c r="AS13" s="328"/>
      <c r="AT13" s="328"/>
      <c r="AU13" s="328"/>
      <c r="AV13" s="328"/>
      <c r="AW13" s="328"/>
      <c r="AX13" s="328"/>
      <c r="AY13" s="328"/>
      <c r="AZ13" s="328"/>
      <c r="BA13" s="328"/>
      <c r="BB13" s="328"/>
      <c r="BC13" s="328"/>
      <c r="BD13" s="328"/>
      <c r="BE13" s="328"/>
      <c r="BF13" s="328"/>
      <c r="BG13" s="328"/>
      <c r="BH13" s="328"/>
      <c r="BI13" s="328"/>
      <c r="BJ13" s="328"/>
      <c r="BK13" s="328"/>
      <c r="BL13" s="328"/>
      <c r="BM13" s="328"/>
      <c r="BN13" s="328"/>
      <c r="BO13" s="328"/>
      <c r="BP13" s="328"/>
      <c r="BQ13" s="328"/>
      <c r="BR13" s="328"/>
      <c r="BS13" s="328"/>
      <c r="BT13" s="328"/>
      <c r="BU13" s="328"/>
      <c r="BV13" s="328"/>
      <c r="BW13" s="328"/>
      <c r="BX13" s="328"/>
      <c r="BY13" s="328"/>
      <c r="BZ13" s="328"/>
      <c r="CA13" s="328"/>
      <c r="CB13" s="328"/>
      <c r="CC13" s="328"/>
      <c r="CD13" s="328"/>
      <c r="CE13" s="328"/>
      <c r="CF13" s="328"/>
      <c r="CG13" s="328"/>
      <c r="CH13" s="328"/>
      <c r="CI13" s="328"/>
      <c r="CJ13" s="328"/>
      <c r="CK13" s="328"/>
      <c r="CL13" s="328"/>
      <c r="CM13" s="328"/>
      <c r="CN13" s="328"/>
      <c r="CO13" s="328"/>
      <c r="CP13" s="328"/>
      <c r="CQ13" s="328"/>
      <c r="CR13" s="328"/>
      <c r="CS13" s="328"/>
      <c r="CT13" s="328"/>
      <c r="CU13" s="328"/>
      <c r="CV13" s="328"/>
      <c r="CW13" s="328"/>
      <c r="CX13" s="328"/>
      <c r="CY13" s="328"/>
      <c r="CZ13" s="328"/>
      <c r="DA13" s="328"/>
      <c r="DB13" s="328"/>
      <c r="DC13" s="328"/>
      <c r="DD13" s="328"/>
      <c r="DE13" s="328"/>
      <c r="DF13" s="328"/>
      <c r="DG13" s="328"/>
      <c r="DH13" s="328"/>
      <c r="DI13" s="328"/>
      <c r="DJ13" s="328"/>
      <c r="DK13" s="328"/>
      <c r="DL13" s="328"/>
      <c r="DM13" s="328"/>
      <c r="DN13" s="328"/>
      <c r="DO13" s="328"/>
      <c r="DP13" s="328"/>
      <c r="DQ13" s="328"/>
      <c r="DR13" s="328"/>
      <c r="DS13" s="328"/>
      <c r="DT13" s="328"/>
      <c r="DU13" s="328"/>
      <c r="DV13" s="328"/>
      <c r="DW13" s="328"/>
      <c r="DX13" s="328"/>
      <c r="DY13" s="328"/>
      <c r="DZ13" s="328"/>
      <c r="EA13" s="328"/>
      <c r="EB13" s="328"/>
      <c r="EC13" s="328"/>
      <c r="ED13" s="328"/>
      <c r="EE13" s="328"/>
      <c r="EF13" s="328"/>
      <c r="EG13" s="328"/>
      <c r="EH13" s="328"/>
      <c r="EI13" s="328"/>
      <c r="EJ13" s="328"/>
      <c r="EK13" s="328"/>
      <c r="EL13" s="328"/>
      <c r="EM13" s="328"/>
      <c r="EN13" s="328"/>
      <c r="EO13" s="328"/>
      <c r="EP13" s="328"/>
      <c r="EQ13" s="328"/>
      <c r="ER13" s="328"/>
      <c r="ES13" s="328"/>
      <c r="ET13" s="328"/>
      <c r="EU13" s="328"/>
      <c r="EV13" s="328"/>
      <c r="EW13" s="328"/>
      <c r="EX13" s="328"/>
      <c r="EY13" s="328"/>
      <c r="EZ13" s="328"/>
      <c r="FA13" s="328"/>
      <c r="FB13" s="328"/>
      <c r="FC13" s="328"/>
      <c r="FD13" s="328"/>
      <c r="FE13" s="328"/>
      <c r="FF13" s="328"/>
      <c r="FG13" s="328"/>
      <c r="FH13" s="328"/>
      <c r="FI13" s="328"/>
      <c r="FJ13" s="328"/>
      <c r="FK13" s="328"/>
      <c r="FL13" s="328"/>
      <c r="FM13" s="328"/>
      <c r="FN13" s="328"/>
      <c r="FO13" s="328"/>
      <c r="FP13" s="328"/>
      <c r="FQ13" s="328"/>
      <c r="FR13" s="328"/>
      <c r="FS13" s="328"/>
      <c r="FT13" s="328"/>
      <c r="FU13" s="328"/>
      <c r="FV13" s="328"/>
      <c r="FW13" s="328"/>
      <c r="FX13" s="328"/>
      <c r="FY13" s="328"/>
      <c r="FZ13" s="328"/>
      <c r="GA13" s="328"/>
      <c r="GB13" s="328"/>
      <c r="GC13" s="328"/>
      <c r="GD13" s="328"/>
      <c r="GE13" s="328"/>
      <c r="GF13" s="328"/>
      <c r="GG13" s="328"/>
      <c r="GH13" s="328"/>
      <c r="GI13" s="328"/>
      <c r="GJ13" s="328"/>
      <c r="GK13" s="328"/>
      <c r="GL13" s="328"/>
      <c r="GM13" s="328"/>
      <c r="GN13" s="328"/>
      <c r="GO13" s="328"/>
      <c r="GP13" s="328"/>
      <c r="GQ13" s="328"/>
      <c r="GR13" s="328"/>
      <c r="GS13" s="328"/>
      <c r="GT13" s="328"/>
      <c r="GU13" s="328"/>
      <c r="GV13" s="328"/>
      <c r="GW13" s="328"/>
      <c r="GX13" s="328"/>
      <c r="GY13" s="328"/>
      <c r="GZ13" s="328"/>
      <c r="HA13" s="328"/>
      <c r="HB13" s="328"/>
      <c r="HC13" s="328"/>
      <c r="HD13" s="328"/>
      <c r="HE13" s="328"/>
      <c r="HF13" s="328"/>
      <c r="HG13" s="328"/>
      <c r="HH13" s="328"/>
      <c r="HI13" s="328"/>
      <c r="HJ13" s="328"/>
      <c r="HK13" s="328"/>
      <c r="HL13" s="328"/>
      <c r="HM13" s="328"/>
      <c r="HN13" s="328"/>
      <c r="HO13" s="328"/>
      <c r="HP13" s="328"/>
      <c r="HQ13" s="328"/>
      <c r="HR13" s="328"/>
      <c r="HS13" s="328"/>
      <c r="HT13" s="328"/>
      <c r="HU13" s="328"/>
      <c r="HV13" s="328"/>
      <c r="HW13" s="328"/>
      <c r="HX13" s="328"/>
      <c r="HY13" s="328"/>
      <c r="HZ13" s="328"/>
      <c r="IA13" s="328"/>
      <c r="IB13" s="328"/>
      <c r="IC13" s="328"/>
      <c r="ID13" s="328"/>
      <c r="IE13" s="328"/>
      <c r="IF13" s="328"/>
      <c r="IG13" s="328"/>
      <c r="IH13" s="328"/>
      <c r="II13" s="328"/>
      <c r="IJ13" s="328"/>
      <c r="IK13" s="328"/>
      <c r="IL13" s="328"/>
      <c r="IM13" s="328"/>
      <c r="IN13" s="328"/>
      <c r="IO13" s="328"/>
      <c r="IP13" s="328"/>
      <c r="IQ13" s="328"/>
      <c r="IR13" s="328"/>
      <c r="IS13" s="328"/>
      <c r="IT13" s="328"/>
    </row>
    <row r="14" spans="1:254">
      <c r="A14" s="329" t="s">
        <v>130</v>
      </c>
      <c r="B14" s="330"/>
      <c r="C14" s="330"/>
      <c r="D14" s="330"/>
      <c r="E14" s="330"/>
      <c r="F14" s="330"/>
      <c r="G14" s="330"/>
      <c r="H14" s="330"/>
      <c r="I14" s="330"/>
      <c r="J14" s="330"/>
      <c r="K14" s="330"/>
      <c r="L14" s="330"/>
      <c r="M14" s="330"/>
      <c r="N14" s="331"/>
    </row>
    <row r="15" spans="1:254">
      <c r="A15" s="332" t="s">
        <v>283</v>
      </c>
      <c r="B15" s="302">
        <f ca="1">'Realkredit finansiering'!E28</f>
        <v>12067.605200099873</v>
      </c>
      <c r="C15" s="303">
        <f ca="1">B15</f>
        <v>12067.605200099873</v>
      </c>
      <c r="D15" s="303">
        <f t="shared" ref="D15:M15" ca="1" si="3">C15</f>
        <v>12067.605200099873</v>
      </c>
      <c r="E15" s="303">
        <f t="shared" ca="1" si="3"/>
        <v>12067.605200099873</v>
      </c>
      <c r="F15" s="303">
        <f t="shared" ca="1" si="3"/>
        <v>12067.605200099873</v>
      </c>
      <c r="G15" s="303">
        <f t="shared" ca="1" si="3"/>
        <v>12067.605200099873</v>
      </c>
      <c r="H15" s="303">
        <f t="shared" ca="1" si="3"/>
        <v>12067.605200099873</v>
      </c>
      <c r="I15" s="303">
        <f t="shared" ca="1" si="3"/>
        <v>12067.605200099873</v>
      </c>
      <c r="J15" s="303">
        <f t="shared" ca="1" si="3"/>
        <v>12067.605200099873</v>
      </c>
      <c r="K15" s="303">
        <f t="shared" ca="1" si="3"/>
        <v>12067.605200099873</v>
      </c>
      <c r="L15" s="303">
        <f t="shared" ca="1" si="3"/>
        <v>12067.605200099873</v>
      </c>
      <c r="M15" s="303">
        <f t="shared" ca="1" si="3"/>
        <v>12067.605200099873</v>
      </c>
      <c r="N15" s="333">
        <f t="shared" ref="N15:N26" ca="1" si="4">SUM(B15:M15)</f>
        <v>144811.26240119847</v>
      </c>
      <c r="O15" s="335" t="s">
        <v>284</v>
      </c>
    </row>
    <row r="16" spans="1:254">
      <c r="A16" s="332" t="s">
        <v>132</v>
      </c>
      <c r="B16" s="305" t="e">
        <f>-Banklån!D22</f>
        <v>#NUM!</v>
      </c>
      <c r="C16" s="305" t="e">
        <f t="shared" ref="C16:M16" si="5">B16</f>
        <v>#NUM!</v>
      </c>
      <c r="D16" s="305" t="e">
        <f t="shared" si="5"/>
        <v>#NUM!</v>
      </c>
      <c r="E16" s="305" t="e">
        <f t="shared" si="5"/>
        <v>#NUM!</v>
      </c>
      <c r="F16" s="305" t="e">
        <f t="shared" si="5"/>
        <v>#NUM!</v>
      </c>
      <c r="G16" s="305" t="e">
        <f t="shared" si="5"/>
        <v>#NUM!</v>
      </c>
      <c r="H16" s="305" t="e">
        <f t="shared" si="5"/>
        <v>#NUM!</v>
      </c>
      <c r="I16" s="305" t="e">
        <f t="shared" si="5"/>
        <v>#NUM!</v>
      </c>
      <c r="J16" s="305" t="e">
        <f t="shared" si="5"/>
        <v>#NUM!</v>
      </c>
      <c r="K16" s="305" t="e">
        <f t="shared" si="5"/>
        <v>#NUM!</v>
      </c>
      <c r="L16" s="305" t="e">
        <f t="shared" si="5"/>
        <v>#NUM!</v>
      </c>
      <c r="M16" s="305" t="e">
        <f t="shared" si="5"/>
        <v>#NUM!</v>
      </c>
      <c r="N16" s="334" t="e">
        <f t="shared" si="4"/>
        <v>#NUM!</v>
      </c>
      <c r="O16" s="335" t="s">
        <v>285</v>
      </c>
    </row>
    <row r="17" spans="1:34">
      <c r="A17" s="332" t="s">
        <v>133</v>
      </c>
      <c r="B17" s="302">
        <v>0</v>
      </c>
      <c r="C17" s="303">
        <v>0</v>
      </c>
      <c r="D17" s="303">
        <v>0</v>
      </c>
      <c r="E17" s="303">
        <v>0</v>
      </c>
      <c r="F17" s="303">
        <v>0</v>
      </c>
      <c r="G17" s="303">
        <v>0</v>
      </c>
      <c r="H17" s="303">
        <v>0</v>
      </c>
      <c r="I17" s="303">
        <v>0</v>
      </c>
      <c r="J17" s="303">
        <v>0</v>
      </c>
      <c r="K17" s="303">
        <v>0</v>
      </c>
      <c r="L17" s="303">
        <v>0</v>
      </c>
      <c r="M17" s="303">
        <v>0</v>
      </c>
      <c r="N17" s="333">
        <f t="shared" si="4"/>
        <v>0</v>
      </c>
    </row>
    <row r="18" spans="1:34">
      <c r="A18" s="332" t="s">
        <v>134</v>
      </c>
      <c r="B18" s="305">
        <v>0</v>
      </c>
      <c r="C18" s="305">
        <f>B18</f>
        <v>0</v>
      </c>
      <c r="D18" s="305">
        <f t="shared" ref="D18:M18" si="6">C18</f>
        <v>0</v>
      </c>
      <c r="E18" s="305">
        <f t="shared" si="6"/>
        <v>0</v>
      </c>
      <c r="F18" s="305">
        <f t="shared" si="6"/>
        <v>0</v>
      </c>
      <c r="G18" s="305">
        <f t="shared" si="6"/>
        <v>0</v>
      </c>
      <c r="H18" s="305">
        <f t="shared" si="6"/>
        <v>0</v>
      </c>
      <c r="I18" s="305">
        <f t="shared" si="6"/>
        <v>0</v>
      </c>
      <c r="J18" s="305">
        <f t="shared" si="6"/>
        <v>0</v>
      </c>
      <c r="K18" s="305">
        <f t="shared" si="6"/>
        <v>0</v>
      </c>
      <c r="L18" s="305">
        <f t="shared" si="6"/>
        <v>0</v>
      </c>
      <c r="M18" s="305">
        <f t="shared" si="6"/>
        <v>0</v>
      </c>
      <c r="N18" s="334">
        <f t="shared" si="4"/>
        <v>0</v>
      </c>
      <c r="O18" s="335"/>
    </row>
    <row r="19" spans="1:34">
      <c r="A19" s="332" t="s">
        <v>135</v>
      </c>
      <c r="B19" s="302">
        <v>0</v>
      </c>
      <c r="C19" s="303">
        <v>0</v>
      </c>
      <c r="D19" s="303">
        <v>0</v>
      </c>
      <c r="E19" s="303">
        <v>0</v>
      </c>
      <c r="F19" s="303">
        <v>0</v>
      </c>
      <c r="G19" s="303">
        <v>0</v>
      </c>
      <c r="H19" s="303">
        <v>0</v>
      </c>
      <c r="I19" s="303">
        <v>0</v>
      </c>
      <c r="J19" s="303">
        <v>0</v>
      </c>
      <c r="K19" s="303">
        <v>0</v>
      </c>
      <c r="L19" s="303">
        <v>0</v>
      </c>
      <c r="M19" s="303">
        <v>0</v>
      </c>
      <c r="N19" s="333">
        <f t="shared" si="4"/>
        <v>0</v>
      </c>
      <c r="O19" s="335"/>
    </row>
    <row r="20" spans="1:34">
      <c r="A20" s="332" t="s">
        <v>136</v>
      </c>
      <c r="B20" s="305">
        <v>0</v>
      </c>
      <c r="C20" s="305">
        <f>B20</f>
        <v>0</v>
      </c>
      <c r="D20" s="305">
        <f t="shared" ref="D20:M20" si="7">C20</f>
        <v>0</v>
      </c>
      <c r="E20" s="305">
        <f t="shared" si="7"/>
        <v>0</v>
      </c>
      <c r="F20" s="305">
        <f t="shared" si="7"/>
        <v>0</v>
      </c>
      <c r="G20" s="305">
        <f t="shared" si="7"/>
        <v>0</v>
      </c>
      <c r="H20" s="305">
        <f t="shared" si="7"/>
        <v>0</v>
      </c>
      <c r="I20" s="305">
        <f t="shared" si="7"/>
        <v>0</v>
      </c>
      <c r="J20" s="305">
        <f t="shared" si="7"/>
        <v>0</v>
      </c>
      <c r="K20" s="305">
        <f t="shared" si="7"/>
        <v>0</v>
      </c>
      <c r="L20" s="305">
        <f t="shared" si="7"/>
        <v>0</v>
      </c>
      <c r="M20" s="305">
        <f t="shared" si="7"/>
        <v>0</v>
      </c>
      <c r="N20" s="334">
        <f t="shared" si="4"/>
        <v>0</v>
      </c>
      <c r="O20" s="335"/>
    </row>
    <row r="21" spans="1:34">
      <c r="A21" s="332" t="s">
        <v>80</v>
      </c>
      <c r="B21" s="302">
        <v>0</v>
      </c>
      <c r="C21" s="303">
        <v>0</v>
      </c>
      <c r="D21" s="303">
        <v>0</v>
      </c>
      <c r="E21" s="303">
        <v>0</v>
      </c>
      <c r="F21" s="303">
        <v>0</v>
      </c>
      <c r="G21" s="303">
        <v>0</v>
      </c>
      <c r="H21" s="303">
        <v>0</v>
      </c>
      <c r="I21" s="303">
        <v>0</v>
      </c>
      <c r="J21" s="303">
        <v>0</v>
      </c>
      <c r="K21" s="303">
        <v>0</v>
      </c>
      <c r="L21" s="303">
        <v>0</v>
      </c>
      <c r="M21" s="303">
        <v>0</v>
      </c>
      <c r="N21" s="336">
        <f t="shared" si="4"/>
        <v>0</v>
      </c>
    </row>
    <row r="22" spans="1:34">
      <c r="A22" s="332" t="s">
        <v>137</v>
      </c>
      <c r="B22" s="305">
        <v>0</v>
      </c>
      <c r="C22" s="305">
        <f t="shared" ref="C22:M22" si="8">B22</f>
        <v>0</v>
      </c>
      <c r="D22" s="305">
        <f t="shared" si="8"/>
        <v>0</v>
      </c>
      <c r="E22" s="305">
        <f t="shared" si="8"/>
        <v>0</v>
      </c>
      <c r="F22" s="305">
        <f t="shared" si="8"/>
        <v>0</v>
      </c>
      <c r="G22" s="305">
        <f t="shared" si="8"/>
        <v>0</v>
      </c>
      <c r="H22" s="305">
        <f t="shared" si="8"/>
        <v>0</v>
      </c>
      <c r="I22" s="305">
        <f t="shared" si="8"/>
        <v>0</v>
      </c>
      <c r="J22" s="305">
        <f t="shared" si="8"/>
        <v>0</v>
      </c>
      <c r="K22" s="305">
        <f t="shared" si="8"/>
        <v>0</v>
      </c>
      <c r="L22" s="305">
        <f t="shared" si="8"/>
        <v>0</v>
      </c>
      <c r="M22" s="305">
        <f t="shared" si="8"/>
        <v>0</v>
      </c>
      <c r="N22" s="337">
        <f t="shared" si="4"/>
        <v>0</v>
      </c>
    </row>
    <row r="23" spans="1:34">
      <c r="A23" s="332" t="s">
        <v>138</v>
      </c>
      <c r="B23" s="302">
        <v>0</v>
      </c>
      <c r="C23" s="303">
        <v>0</v>
      </c>
      <c r="D23" s="303">
        <v>0</v>
      </c>
      <c r="E23" s="303">
        <v>0</v>
      </c>
      <c r="F23" s="303">
        <v>0</v>
      </c>
      <c r="G23" s="303">
        <v>0</v>
      </c>
      <c r="H23" s="303">
        <v>0</v>
      </c>
      <c r="I23" s="303">
        <v>0</v>
      </c>
      <c r="J23" s="303">
        <v>0</v>
      </c>
      <c r="K23" s="303">
        <v>0</v>
      </c>
      <c r="L23" s="303">
        <v>0</v>
      </c>
      <c r="M23" s="303">
        <v>0</v>
      </c>
      <c r="N23" s="336">
        <f t="shared" si="4"/>
        <v>0</v>
      </c>
    </row>
    <row r="24" spans="1:34">
      <c r="A24" s="332" t="s">
        <v>139</v>
      </c>
      <c r="B24" s="305">
        <v>0</v>
      </c>
      <c r="C24" s="305">
        <f>B24</f>
        <v>0</v>
      </c>
      <c r="D24" s="305">
        <f t="shared" ref="D24:M24" si="9">C24</f>
        <v>0</v>
      </c>
      <c r="E24" s="305">
        <f t="shared" si="9"/>
        <v>0</v>
      </c>
      <c r="F24" s="305">
        <f t="shared" si="9"/>
        <v>0</v>
      </c>
      <c r="G24" s="305">
        <f t="shared" si="9"/>
        <v>0</v>
      </c>
      <c r="H24" s="305">
        <f t="shared" si="9"/>
        <v>0</v>
      </c>
      <c r="I24" s="305">
        <f t="shared" si="9"/>
        <v>0</v>
      </c>
      <c r="J24" s="305">
        <f t="shared" si="9"/>
        <v>0</v>
      </c>
      <c r="K24" s="305">
        <f t="shared" si="9"/>
        <v>0</v>
      </c>
      <c r="L24" s="305">
        <f t="shared" si="9"/>
        <v>0</v>
      </c>
      <c r="M24" s="305">
        <f t="shared" si="9"/>
        <v>0</v>
      </c>
      <c r="N24" s="337">
        <f t="shared" si="4"/>
        <v>0</v>
      </c>
      <c r="O24" s="335"/>
    </row>
    <row r="25" spans="1:34">
      <c r="A25" s="332" t="s">
        <v>140</v>
      </c>
      <c r="B25" s="302">
        <v>0</v>
      </c>
      <c r="C25" s="303">
        <v>0</v>
      </c>
      <c r="D25" s="303">
        <v>0</v>
      </c>
      <c r="E25" s="303">
        <v>0</v>
      </c>
      <c r="F25" s="303">
        <v>0</v>
      </c>
      <c r="G25" s="303">
        <v>0</v>
      </c>
      <c r="H25" s="303">
        <v>0</v>
      </c>
      <c r="I25" s="303">
        <v>0</v>
      </c>
      <c r="J25" s="303">
        <v>0</v>
      </c>
      <c r="K25" s="303">
        <v>0</v>
      </c>
      <c r="L25" s="303">
        <v>0</v>
      </c>
      <c r="M25" s="303">
        <v>0</v>
      </c>
      <c r="N25" s="336">
        <f t="shared" si="4"/>
        <v>0</v>
      </c>
    </row>
    <row r="26" spans="1:34">
      <c r="A26" s="332" t="s">
        <v>286</v>
      </c>
      <c r="B26" s="305">
        <v>0</v>
      </c>
      <c r="C26" s="305">
        <f>B26</f>
        <v>0</v>
      </c>
      <c r="D26" s="305">
        <f t="shared" ref="D26:M26" si="10">C26</f>
        <v>0</v>
      </c>
      <c r="E26" s="305">
        <f t="shared" si="10"/>
        <v>0</v>
      </c>
      <c r="F26" s="305">
        <f t="shared" si="10"/>
        <v>0</v>
      </c>
      <c r="G26" s="305">
        <f t="shared" si="10"/>
        <v>0</v>
      </c>
      <c r="H26" s="305">
        <f t="shared" si="10"/>
        <v>0</v>
      </c>
      <c r="I26" s="305">
        <f t="shared" si="10"/>
        <v>0</v>
      </c>
      <c r="J26" s="305">
        <f t="shared" si="10"/>
        <v>0</v>
      </c>
      <c r="K26" s="305">
        <f t="shared" si="10"/>
        <v>0</v>
      </c>
      <c r="L26" s="305">
        <f t="shared" si="10"/>
        <v>0</v>
      </c>
      <c r="M26" s="305">
        <f t="shared" si="10"/>
        <v>0</v>
      </c>
      <c r="N26" s="337">
        <f t="shared" si="4"/>
        <v>0</v>
      </c>
    </row>
    <row r="27" spans="1:34" s="313" customFormat="1">
      <c r="A27" s="329" t="s">
        <v>142</v>
      </c>
      <c r="B27" s="338" t="e">
        <f ca="1">SUM(B15:B26)</f>
        <v>#NUM!</v>
      </c>
      <c r="C27" s="339" t="e">
        <f t="shared" ref="C27:N27" ca="1" si="11">SUM(C15:C26)</f>
        <v>#NUM!</v>
      </c>
      <c r="D27" s="339" t="e">
        <f t="shared" ca="1" si="11"/>
        <v>#NUM!</v>
      </c>
      <c r="E27" s="339" t="e">
        <f t="shared" ca="1" si="11"/>
        <v>#NUM!</v>
      </c>
      <c r="F27" s="339" t="e">
        <f t="shared" ca="1" si="11"/>
        <v>#NUM!</v>
      </c>
      <c r="G27" s="339" t="e">
        <f t="shared" ca="1" si="11"/>
        <v>#NUM!</v>
      </c>
      <c r="H27" s="339" t="e">
        <f t="shared" ca="1" si="11"/>
        <v>#NUM!</v>
      </c>
      <c r="I27" s="339" t="e">
        <f t="shared" ca="1" si="11"/>
        <v>#NUM!</v>
      </c>
      <c r="J27" s="339" t="e">
        <f t="shared" ca="1" si="11"/>
        <v>#NUM!</v>
      </c>
      <c r="K27" s="339" t="e">
        <f t="shared" ca="1" si="11"/>
        <v>#NUM!</v>
      </c>
      <c r="L27" s="339" t="e">
        <f t="shared" ca="1" si="11"/>
        <v>#NUM!</v>
      </c>
      <c r="M27" s="339" t="e">
        <f t="shared" ca="1" si="11"/>
        <v>#NUM!</v>
      </c>
      <c r="N27" s="340" t="e">
        <f t="shared" ca="1" si="11"/>
        <v>#NUM!</v>
      </c>
      <c r="O27" s="311"/>
      <c r="P27" s="311"/>
      <c r="Q27" s="311"/>
      <c r="R27" s="311"/>
      <c r="S27" s="311"/>
      <c r="T27" s="311"/>
      <c r="U27" s="311"/>
      <c r="V27" s="311"/>
      <c r="W27" s="311"/>
      <c r="X27" s="311"/>
      <c r="Y27" s="311"/>
      <c r="Z27" s="311"/>
      <c r="AA27" s="311"/>
      <c r="AB27" s="311"/>
      <c r="AC27" s="311"/>
      <c r="AD27" s="311"/>
      <c r="AE27" s="311"/>
      <c r="AF27" s="311"/>
      <c r="AG27" s="311"/>
      <c r="AH27" s="312"/>
    </row>
    <row r="28" spans="1:34" s="345" customFormat="1" ht="12">
      <c r="A28" s="341"/>
      <c r="B28" s="342"/>
      <c r="C28" s="342"/>
      <c r="D28" s="342"/>
      <c r="E28" s="342"/>
      <c r="F28" s="342"/>
      <c r="G28" s="342"/>
      <c r="H28" s="342"/>
      <c r="I28" s="342"/>
      <c r="J28" s="342"/>
      <c r="K28" s="342"/>
      <c r="L28" s="342"/>
      <c r="M28" s="342"/>
      <c r="N28" s="343"/>
      <c r="O28" s="317"/>
      <c r="P28" s="317"/>
      <c r="Q28" s="317"/>
      <c r="R28" s="317"/>
      <c r="S28" s="317"/>
      <c r="T28" s="317"/>
      <c r="U28" s="317"/>
      <c r="V28" s="317"/>
      <c r="W28" s="317"/>
      <c r="X28" s="317"/>
      <c r="Y28" s="317"/>
      <c r="Z28" s="317"/>
      <c r="AA28" s="317"/>
      <c r="AB28" s="317"/>
      <c r="AC28" s="317"/>
      <c r="AD28" s="317"/>
      <c r="AE28" s="317"/>
      <c r="AF28" s="317"/>
      <c r="AG28" s="317"/>
      <c r="AH28" s="344"/>
    </row>
    <row r="29" spans="1:34">
      <c r="A29" s="329" t="s">
        <v>143</v>
      </c>
      <c r="B29" s="330"/>
      <c r="C29" s="330"/>
      <c r="D29" s="330"/>
      <c r="E29" s="330"/>
      <c r="F29" s="330"/>
      <c r="G29" s="330"/>
      <c r="H29" s="330"/>
      <c r="I29" s="330"/>
      <c r="J29" s="330"/>
      <c r="K29" s="330"/>
      <c r="L29" s="330"/>
      <c r="M29" s="330"/>
      <c r="N29" s="346"/>
    </row>
    <row r="30" spans="1:34">
      <c r="A30" s="332" t="s">
        <v>144</v>
      </c>
      <c r="B30" s="347">
        <v>0</v>
      </c>
      <c r="C30" s="348">
        <v>0</v>
      </c>
      <c r="D30" s="348">
        <v>0</v>
      </c>
      <c r="E30" s="348">
        <v>0</v>
      </c>
      <c r="F30" s="348">
        <v>0</v>
      </c>
      <c r="G30" s="348">
        <v>0</v>
      </c>
      <c r="H30" s="348">
        <v>0</v>
      </c>
      <c r="I30" s="348">
        <v>0</v>
      </c>
      <c r="J30" s="348">
        <v>0</v>
      </c>
      <c r="K30" s="348">
        <v>0</v>
      </c>
      <c r="L30" s="348">
        <v>0</v>
      </c>
      <c r="M30" s="348">
        <v>0</v>
      </c>
      <c r="N30" s="349">
        <f t="shared" ref="N30:N36" si="12">SUM(B30:M30)</f>
        <v>0</v>
      </c>
    </row>
    <row r="31" spans="1:34">
      <c r="A31" s="332" t="s">
        <v>145</v>
      </c>
      <c r="B31" s="350">
        <v>0</v>
      </c>
      <c r="C31" s="350">
        <v>0</v>
      </c>
      <c r="D31" s="350">
        <v>0</v>
      </c>
      <c r="E31" s="350">
        <v>0</v>
      </c>
      <c r="F31" s="350">
        <v>0</v>
      </c>
      <c r="G31" s="350">
        <v>0</v>
      </c>
      <c r="H31" s="350">
        <v>0</v>
      </c>
      <c r="I31" s="350">
        <v>0</v>
      </c>
      <c r="J31" s="350">
        <v>0</v>
      </c>
      <c r="K31" s="350">
        <v>0</v>
      </c>
      <c r="L31" s="350">
        <v>0</v>
      </c>
      <c r="M31" s="350">
        <v>0</v>
      </c>
      <c r="N31" s="351">
        <f t="shared" si="12"/>
        <v>0</v>
      </c>
    </row>
    <row r="32" spans="1:34">
      <c r="A32" s="332" t="s">
        <v>146</v>
      </c>
      <c r="B32" s="352">
        <v>0</v>
      </c>
      <c r="C32" s="353">
        <f t="shared" ref="C32:M32" si="13">B32</f>
        <v>0</v>
      </c>
      <c r="D32" s="353">
        <f t="shared" si="13"/>
        <v>0</v>
      </c>
      <c r="E32" s="353">
        <f t="shared" si="13"/>
        <v>0</v>
      </c>
      <c r="F32" s="353">
        <f t="shared" si="13"/>
        <v>0</v>
      </c>
      <c r="G32" s="353">
        <f t="shared" si="13"/>
        <v>0</v>
      </c>
      <c r="H32" s="353">
        <f t="shared" si="13"/>
        <v>0</v>
      </c>
      <c r="I32" s="353">
        <f t="shared" si="13"/>
        <v>0</v>
      </c>
      <c r="J32" s="353">
        <f t="shared" si="13"/>
        <v>0</v>
      </c>
      <c r="K32" s="353">
        <f t="shared" si="13"/>
        <v>0</v>
      </c>
      <c r="L32" s="353">
        <f t="shared" si="13"/>
        <v>0</v>
      </c>
      <c r="M32" s="353">
        <f t="shared" si="13"/>
        <v>0</v>
      </c>
      <c r="N32" s="340">
        <f t="shared" si="12"/>
        <v>0</v>
      </c>
    </row>
    <row r="33" spans="1:34">
      <c r="A33" s="332" t="s">
        <v>147</v>
      </c>
      <c r="B33" s="354">
        <v>0</v>
      </c>
      <c r="C33" s="305">
        <v>0</v>
      </c>
      <c r="D33" s="305">
        <v>0</v>
      </c>
      <c r="E33" s="305">
        <v>0</v>
      </c>
      <c r="F33" s="305">
        <v>0</v>
      </c>
      <c r="G33" s="305">
        <v>0</v>
      </c>
      <c r="H33" s="305">
        <v>0</v>
      </c>
      <c r="I33" s="305">
        <v>0</v>
      </c>
      <c r="J33" s="305">
        <v>0</v>
      </c>
      <c r="K33" s="305">
        <v>0</v>
      </c>
      <c r="L33" s="305">
        <v>0</v>
      </c>
      <c r="M33" s="305">
        <v>0</v>
      </c>
      <c r="N33" s="337">
        <f t="shared" si="12"/>
        <v>0</v>
      </c>
    </row>
    <row r="34" spans="1:34">
      <c r="A34" s="332" t="s">
        <v>148</v>
      </c>
      <c r="B34" s="352">
        <v>0</v>
      </c>
      <c r="C34" s="353">
        <f t="shared" ref="C34:M34" si="14">B34</f>
        <v>0</v>
      </c>
      <c r="D34" s="353">
        <f t="shared" si="14"/>
        <v>0</v>
      </c>
      <c r="E34" s="353">
        <f t="shared" si="14"/>
        <v>0</v>
      </c>
      <c r="F34" s="353">
        <f t="shared" si="14"/>
        <v>0</v>
      </c>
      <c r="G34" s="353">
        <f t="shared" si="14"/>
        <v>0</v>
      </c>
      <c r="H34" s="353">
        <f t="shared" si="14"/>
        <v>0</v>
      </c>
      <c r="I34" s="353">
        <f t="shared" si="14"/>
        <v>0</v>
      </c>
      <c r="J34" s="353">
        <f t="shared" si="14"/>
        <v>0</v>
      </c>
      <c r="K34" s="353">
        <f t="shared" si="14"/>
        <v>0</v>
      </c>
      <c r="L34" s="353">
        <f t="shared" si="14"/>
        <v>0</v>
      </c>
      <c r="M34" s="353">
        <f t="shared" si="14"/>
        <v>0</v>
      </c>
      <c r="N34" s="340">
        <f t="shared" si="12"/>
        <v>0</v>
      </c>
    </row>
    <row r="35" spans="1:34">
      <c r="A35" s="332" t="s">
        <v>149</v>
      </c>
      <c r="B35" s="354">
        <v>0</v>
      </c>
      <c r="C35" s="305">
        <v>0</v>
      </c>
      <c r="D35" s="305">
        <v>0</v>
      </c>
      <c r="E35" s="305">
        <v>0</v>
      </c>
      <c r="F35" s="305">
        <v>0</v>
      </c>
      <c r="G35" s="305">
        <v>0</v>
      </c>
      <c r="H35" s="305">
        <v>0</v>
      </c>
      <c r="I35" s="305">
        <v>0</v>
      </c>
      <c r="J35" s="305">
        <v>0</v>
      </c>
      <c r="K35" s="305">
        <v>0</v>
      </c>
      <c r="L35" s="305">
        <v>0</v>
      </c>
      <c r="M35" s="305">
        <v>0</v>
      </c>
      <c r="N35" s="337">
        <f t="shared" si="12"/>
        <v>0</v>
      </c>
    </row>
    <row r="36" spans="1:34" s="313" customFormat="1">
      <c r="A36" s="329" t="s">
        <v>150</v>
      </c>
      <c r="B36" s="338">
        <f t="shared" ref="B36:M36" si="15">SUM(B30:B35)</f>
        <v>0</v>
      </c>
      <c r="C36" s="339">
        <f t="shared" si="15"/>
        <v>0</v>
      </c>
      <c r="D36" s="339">
        <f t="shared" si="15"/>
        <v>0</v>
      </c>
      <c r="E36" s="339">
        <f t="shared" si="15"/>
        <v>0</v>
      </c>
      <c r="F36" s="339">
        <f t="shared" si="15"/>
        <v>0</v>
      </c>
      <c r="G36" s="339">
        <f t="shared" si="15"/>
        <v>0</v>
      </c>
      <c r="H36" s="339">
        <f t="shared" si="15"/>
        <v>0</v>
      </c>
      <c r="I36" s="339">
        <f t="shared" si="15"/>
        <v>0</v>
      </c>
      <c r="J36" s="339">
        <f t="shared" si="15"/>
        <v>0</v>
      </c>
      <c r="K36" s="339">
        <f t="shared" si="15"/>
        <v>0</v>
      </c>
      <c r="L36" s="339">
        <f t="shared" si="15"/>
        <v>0</v>
      </c>
      <c r="M36" s="339">
        <f t="shared" si="15"/>
        <v>0</v>
      </c>
      <c r="N36" s="340">
        <f t="shared" si="12"/>
        <v>0</v>
      </c>
      <c r="O36" s="311"/>
      <c r="P36" s="311"/>
      <c r="Q36" s="311"/>
      <c r="R36" s="311"/>
      <c r="S36" s="311"/>
      <c r="T36" s="311"/>
      <c r="U36" s="311"/>
      <c r="V36" s="311"/>
      <c r="W36" s="311"/>
      <c r="X36" s="311"/>
      <c r="Y36" s="311"/>
      <c r="Z36" s="311"/>
      <c r="AA36" s="311"/>
      <c r="AB36" s="311"/>
      <c r="AC36" s="311"/>
      <c r="AD36" s="311"/>
      <c r="AE36" s="311"/>
      <c r="AF36" s="311"/>
      <c r="AG36" s="311"/>
      <c r="AH36" s="312"/>
    </row>
    <row r="37" spans="1:34" s="345" customFormat="1" ht="12">
      <c r="A37" s="341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3"/>
      <c r="O37" s="317"/>
      <c r="P37" s="317"/>
      <c r="Q37" s="317"/>
      <c r="R37" s="317"/>
      <c r="S37" s="317"/>
      <c r="T37" s="317"/>
      <c r="U37" s="317"/>
      <c r="V37" s="317"/>
      <c r="W37" s="317"/>
      <c r="X37" s="317"/>
      <c r="Y37" s="317"/>
      <c r="Z37" s="317"/>
      <c r="AA37" s="317"/>
      <c r="AB37" s="317"/>
      <c r="AC37" s="317"/>
      <c r="AD37" s="317"/>
      <c r="AE37" s="317"/>
      <c r="AF37" s="317"/>
      <c r="AG37" s="317"/>
      <c r="AH37" s="344"/>
    </row>
    <row r="38" spans="1:34">
      <c r="A38" s="329" t="s">
        <v>151</v>
      </c>
      <c r="B38" s="330"/>
      <c r="C38" s="330"/>
      <c r="D38" s="330"/>
      <c r="E38" s="330"/>
      <c r="F38" s="330"/>
      <c r="G38" s="330"/>
      <c r="H38" s="330"/>
      <c r="I38" s="330"/>
      <c r="J38" s="330"/>
      <c r="K38" s="330"/>
      <c r="L38" s="330"/>
      <c r="M38" s="330"/>
      <c r="N38" s="346"/>
    </row>
    <row r="39" spans="1:34">
      <c r="A39" s="332" t="s">
        <v>152</v>
      </c>
      <c r="B39" s="352">
        <v>0</v>
      </c>
      <c r="C39" s="353">
        <f>B39</f>
        <v>0</v>
      </c>
      <c r="D39" s="353">
        <f t="shared" ref="D39:M39" si="16">C39</f>
        <v>0</v>
      </c>
      <c r="E39" s="353">
        <f t="shared" si="16"/>
        <v>0</v>
      </c>
      <c r="F39" s="353">
        <f t="shared" si="16"/>
        <v>0</v>
      </c>
      <c r="G39" s="353">
        <f t="shared" si="16"/>
        <v>0</v>
      </c>
      <c r="H39" s="353">
        <f t="shared" si="16"/>
        <v>0</v>
      </c>
      <c r="I39" s="353">
        <f t="shared" si="16"/>
        <v>0</v>
      </c>
      <c r="J39" s="353">
        <f t="shared" si="16"/>
        <v>0</v>
      </c>
      <c r="K39" s="353">
        <f t="shared" si="16"/>
        <v>0</v>
      </c>
      <c r="L39" s="353">
        <f t="shared" si="16"/>
        <v>0</v>
      </c>
      <c r="M39" s="353">
        <f t="shared" si="16"/>
        <v>0</v>
      </c>
      <c r="N39" s="340">
        <f>SUM(B39:M39)</f>
        <v>0</v>
      </c>
    </row>
    <row r="40" spans="1:34">
      <c r="A40" s="332" t="s">
        <v>141</v>
      </c>
      <c r="B40" s="354">
        <v>0</v>
      </c>
      <c r="C40" s="305">
        <v>0</v>
      </c>
      <c r="D40" s="305">
        <v>0</v>
      </c>
      <c r="E40" s="305">
        <v>0</v>
      </c>
      <c r="F40" s="305">
        <v>0</v>
      </c>
      <c r="G40" s="305">
        <v>0</v>
      </c>
      <c r="H40" s="305">
        <v>0</v>
      </c>
      <c r="I40" s="305">
        <v>0</v>
      </c>
      <c r="J40" s="305">
        <v>0</v>
      </c>
      <c r="K40" s="305">
        <v>0</v>
      </c>
      <c r="L40" s="305">
        <v>0</v>
      </c>
      <c r="M40" s="305">
        <v>0</v>
      </c>
      <c r="N40" s="337">
        <f>SUM(B40:M40)</f>
        <v>0</v>
      </c>
    </row>
    <row r="41" spans="1:34" s="313" customFormat="1">
      <c r="A41" s="329" t="s">
        <v>153</v>
      </c>
      <c r="B41" s="338">
        <f t="shared" ref="B41:M41" si="17">SUM(B39:B40)</f>
        <v>0</v>
      </c>
      <c r="C41" s="339">
        <f t="shared" si="17"/>
        <v>0</v>
      </c>
      <c r="D41" s="339">
        <f t="shared" si="17"/>
        <v>0</v>
      </c>
      <c r="E41" s="339">
        <f t="shared" si="17"/>
        <v>0</v>
      </c>
      <c r="F41" s="339">
        <f t="shared" si="17"/>
        <v>0</v>
      </c>
      <c r="G41" s="339">
        <f t="shared" si="17"/>
        <v>0</v>
      </c>
      <c r="H41" s="339">
        <f t="shared" si="17"/>
        <v>0</v>
      </c>
      <c r="I41" s="339">
        <f t="shared" si="17"/>
        <v>0</v>
      </c>
      <c r="J41" s="339">
        <f t="shared" si="17"/>
        <v>0</v>
      </c>
      <c r="K41" s="339">
        <f t="shared" si="17"/>
        <v>0</v>
      </c>
      <c r="L41" s="339">
        <f t="shared" si="17"/>
        <v>0</v>
      </c>
      <c r="M41" s="339">
        <f t="shared" si="17"/>
        <v>0</v>
      </c>
      <c r="N41" s="340">
        <f>SUM(B41:M41)</f>
        <v>0</v>
      </c>
      <c r="O41" s="311"/>
      <c r="P41" s="311"/>
      <c r="Q41" s="311"/>
      <c r="R41" s="311"/>
      <c r="S41" s="311"/>
      <c r="T41" s="311"/>
      <c r="U41" s="311"/>
      <c r="V41" s="311"/>
      <c r="W41" s="311"/>
      <c r="X41" s="311"/>
      <c r="Y41" s="311"/>
      <c r="Z41" s="311"/>
      <c r="AA41" s="311"/>
      <c r="AB41" s="311"/>
      <c r="AC41" s="311"/>
      <c r="AD41" s="311"/>
      <c r="AE41" s="311"/>
      <c r="AF41" s="311"/>
      <c r="AG41" s="311"/>
      <c r="AH41" s="312"/>
    </row>
    <row r="42" spans="1:34" s="345" customFormat="1" ht="12">
      <c r="A42" s="341"/>
      <c r="B42" s="342"/>
      <c r="C42" s="342"/>
      <c r="D42" s="342"/>
      <c r="E42" s="342"/>
      <c r="F42" s="342"/>
      <c r="G42" s="342"/>
      <c r="H42" s="342"/>
      <c r="I42" s="342"/>
      <c r="J42" s="342"/>
      <c r="K42" s="342"/>
      <c r="L42" s="342"/>
      <c r="M42" s="342"/>
      <c r="N42" s="343"/>
      <c r="O42" s="317"/>
      <c r="P42" s="317"/>
      <c r="Q42" s="317"/>
      <c r="R42" s="317"/>
      <c r="S42" s="317"/>
      <c r="T42" s="317"/>
      <c r="U42" s="317"/>
      <c r="V42" s="317"/>
      <c r="W42" s="317"/>
      <c r="X42" s="317"/>
      <c r="Y42" s="317"/>
      <c r="Z42" s="317"/>
      <c r="AA42" s="317"/>
      <c r="AB42" s="317"/>
      <c r="AC42" s="317"/>
      <c r="AD42" s="317"/>
      <c r="AE42" s="317"/>
      <c r="AF42" s="317"/>
      <c r="AG42" s="317"/>
      <c r="AH42" s="344"/>
    </row>
    <row r="43" spans="1:34">
      <c r="A43" s="329" t="s">
        <v>154</v>
      </c>
      <c r="B43" s="330"/>
      <c r="C43" s="330"/>
      <c r="D43" s="330"/>
      <c r="E43" s="330"/>
      <c r="F43" s="330"/>
      <c r="G43" s="330"/>
      <c r="H43" s="330"/>
      <c r="I43" s="330"/>
      <c r="J43" s="330"/>
      <c r="K43" s="330"/>
      <c r="L43" s="330"/>
      <c r="M43" s="330"/>
      <c r="N43" s="346"/>
    </row>
    <row r="44" spans="1:34">
      <c r="A44" s="332" t="s">
        <v>155</v>
      </c>
      <c r="B44" s="302">
        <v>0</v>
      </c>
      <c r="C44" s="303">
        <f>B44</f>
        <v>0</v>
      </c>
      <c r="D44" s="303">
        <f t="shared" ref="D44:M44" si="18">C44</f>
        <v>0</v>
      </c>
      <c r="E44" s="303">
        <f t="shared" si="18"/>
        <v>0</v>
      </c>
      <c r="F44" s="303">
        <f t="shared" si="18"/>
        <v>0</v>
      </c>
      <c r="G44" s="303">
        <f t="shared" si="18"/>
        <v>0</v>
      </c>
      <c r="H44" s="303">
        <f t="shared" si="18"/>
        <v>0</v>
      </c>
      <c r="I44" s="303">
        <f t="shared" si="18"/>
        <v>0</v>
      </c>
      <c r="J44" s="303">
        <f t="shared" si="18"/>
        <v>0</v>
      </c>
      <c r="K44" s="303">
        <f t="shared" si="18"/>
        <v>0</v>
      </c>
      <c r="L44" s="303">
        <f t="shared" si="18"/>
        <v>0</v>
      </c>
      <c r="M44" s="303">
        <f t="shared" si="18"/>
        <v>0</v>
      </c>
      <c r="N44" s="336">
        <f t="shared" ref="N44:N48" si="19">SUM(B44:M44)</f>
        <v>0</v>
      </c>
    </row>
    <row r="45" spans="1:34">
      <c r="A45" s="332" t="s">
        <v>156</v>
      </c>
      <c r="B45" s="305">
        <v>0</v>
      </c>
      <c r="C45" s="305">
        <f t="shared" ref="C45:M47" si="20">B45</f>
        <v>0</v>
      </c>
      <c r="D45" s="305">
        <f t="shared" si="20"/>
        <v>0</v>
      </c>
      <c r="E45" s="305">
        <f t="shared" si="20"/>
        <v>0</v>
      </c>
      <c r="F45" s="305">
        <f t="shared" si="20"/>
        <v>0</v>
      </c>
      <c r="G45" s="305">
        <f t="shared" si="20"/>
        <v>0</v>
      </c>
      <c r="H45" s="305">
        <f t="shared" si="20"/>
        <v>0</v>
      </c>
      <c r="I45" s="305">
        <f t="shared" si="20"/>
        <v>0</v>
      </c>
      <c r="J45" s="305">
        <f t="shared" si="20"/>
        <v>0</v>
      </c>
      <c r="K45" s="305">
        <f t="shared" si="20"/>
        <v>0</v>
      </c>
      <c r="L45" s="305">
        <f t="shared" si="20"/>
        <v>0</v>
      </c>
      <c r="M45" s="305">
        <f t="shared" si="20"/>
        <v>0</v>
      </c>
      <c r="N45" s="337">
        <f t="shared" si="19"/>
        <v>0</v>
      </c>
    </row>
    <row r="46" spans="1:34">
      <c r="A46" s="332" t="s">
        <v>157</v>
      </c>
      <c r="B46" s="302">
        <v>0</v>
      </c>
      <c r="C46" s="303">
        <f t="shared" si="20"/>
        <v>0</v>
      </c>
      <c r="D46" s="303">
        <f t="shared" si="20"/>
        <v>0</v>
      </c>
      <c r="E46" s="303">
        <f t="shared" si="20"/>
        <v>0</v>
      </c>
      <c r="F46" s="303">
        <f t="shared" si="20"/>
        <v>0</v>
      </c>
      <c r="G46" s="303">
        <f t="shared" si="20"/>
        <v>0</v>
      </c>
      <c r="H46" s="303">
        <f t="shared" si="20"/>
        <v>0</v>
      </c>
      <c r="I46" s="303">
        <f t="shared" si="20"/>
        <v>0</v>
      </c>
      <c r="J46" s="303">
        <f t="shared" si="20"/>
        <v>0</v>
      </c>
      <c r="K46" s="303">
        <f t="shared" si="20"/>
        <v>0</v>
      </c>
      <c r="L46" s="303">
        <f t="shared" si="20"/>
        <v>0</v>
      </c>
      <c r="M46" s="303">
        <f t="shared" si="20"/>
        <v>0</v>
      </c>
      <c r="N46" s="336">
        <f t="shared" si="19"/>
        <v>0</v>
      </c>
    </row>
    <row r="47" spans="1:34">
      <c r="A47" s="332" t="s">
        <v>158</v>
      </c>
      <c r="B47" s="305">
        <v>0</v>
      </c>
      <c r="C47" s="305">
        <f t="shared" si="20"/>
        <v>0</v>
      </c>
      <c r="D47" s="305">
        <f t="shared" si="20"/>
        <v>0</v>
      </c>
      <c r="E47" s="305">
        <f t="shared" si="20"/>
        <v>0</v>
      </c>
      <c r="F47" s="305">
        <f t="shared" si="20"/>
        <v>0</v>
      </c>
      <c r="G47" s="305">
        <f t="shared" si="20"/>
        <v>0</v>
      </c>
      <c r="H47" s="305">
        <f t="shared" si="20"/>
        <v>0</v>
      </c>
      <c r="I47" s="305">
        <f t="shared" si="20"/>
        <v>0</v>
      </c>
      <c r="J47" s="305">
        <f t="shared" si="20"/>
        <v>0</v>
      </c>
      <c r="K47" s="305">
        <f t="shared" si="20"/>
        <v>0</v>
      </c>
      <c r="L47" s="305">
        <f t="shared" si="20"/>
        <v>0</v>
      </c>
      <c r="M47" s="305">
        <f t="shared" si="20"/>
        <v>0</v>
      </c>
      <c r="N47" s="334">
        <f t="shared" si="19"/>
        <v>0</v>
      </c>
    </row>
    <row r="48" spans="1:34">
      <c r="A48" s="332" t="s">
        <v>141</v>
      </c>
      <c r="B48" s="305">
        <v>0</v>
      </c>
      <c r="C48" s="305">
        <v>0</v>
      </c>
      <c r="D48" s="305">
        <v>0</v>
      </c>
      <c r="E48" s="305">
        <v>0</v>
      </c>
      <c r="F48" s="305">
        <v>0</v>
      </c>
      <c r="G48" s="305">
        <v>0</v>
      </c>
      <c r="H48" s="305">
        <v>0</v>
      </c>
      <c r="I48" s="305">
        <v>0</v>
      </c>
      <c r="J48" s="305">
        <v>0</v>
      </c>
      <c r="K48" s="305">
        <v>0</v>
      </c>
      <c r="L48" s="305">
        <v>0</v>
      </c>
      <c r="M48" s="305">
        <v>0</v>
      </c>
      <c r="N48" s="334">
        <f t="shared" si="19"/>
        <v>0</v>
      </c>
    </row>
    <row r="49" spans="1:34" s="313" customFormat="1">
      <c r="A49" s="329" t="s">
        <v>159</v>
      </c>
      <c r="B49" s="338">
        <f t="shared" ref="B49:N49" si="21">SUM(B44:B48)</f>
        <v>0</v>
      </c>
      <c r="C49" s="339">
        <f t="shared" si="21"/>
        <v>0</v>
      </c>
      <c r="D49" s="339">
        <f t="shared" si="21"/>
        <v>0</v>
      </c>
      <c r="E49" s="339">
        <f t="shared" si="21"/>
        <v>0</v>
      </c>
      <c r="F49" s="339">
        <f t="shared" si="21"/>
        <v>0</v>
      </c>
      <c r="G49" s="339">
        <f t="shared" si="21"/>
        <v>0</v>
      </c>
      <c r="H49" s="339">
        <f t="shared" si="21"/>
        <v>0</v>
      </c>
      <c r="I49" s="339">
        <f t="shared" si="21"/>
        <v>0</v>
      </c>
      <c r="J49" s="339">
        <f t="shared" si="21"/>
        <v>0</v>
      </c>
      <c r="K49" s="339">
        <f t="shared" si="21"/>
        <v>0</v>
      </c>
      <c r="L49" s="339">
        <f t="shared" si="21"/>
        <v>0</v>
      </c>
      <c r="M49" s="339">
        <f t="shared" si="21"/>
        <v>0</v>
      </c>
      <c r="N49" s="340">
        <f t="shared" si="21"/>
        <v>0</v>
      </c>
      <c r="O49" s="311"/>
      <c r="P49" s="311"/>
      <c r="Q49" s="311"/>
      <c r="R49" s="311"/>
      <c r="S49" s="311"/>
      <c r="T49" s="311"/>
      <c r="U49" s="311"/>
      <c r="V49" s="311"/>
      <c r="W49" s="311"/>
      <c r="X49" s="311"/>
      <c r="Y49" s="311"/>
      <c r="Z49" s="311"/>
      <c r="AA49" s="311"/>
      <c r="AB49" s="311"/>
      <c r="AC49" s="311"/>
      <c r="AD49" s="311"/>
      <c r="AE49" s="311"/>
      <c r="AF49" s="311"/>
      <c r="AG49" s="311"/>
      <c r="AH49" s="312"/>
    </row>
    <row r="50" spans="1:34" s="345" customFormat="1" ht="12">
      <c r="A50" s="341"/>
      <c r="B50" s="342"/>
      <c r="C50" s="342"/>
      <c r="D50" s="342"/>
      <c r="E50" s="342"/>
      <c r="F50" s="342"/>
      <c r="G50" s="342"/>
      <c r="H50" s="342"/>
      <c r="I50" s="342"/>
      <c r="J50" s="342"/>
      <c r="K50" s="342"/>
      <c r="L50" s="342"/>
      <c r="M50" s="342"/>
      <c r="N50" s="343"/>
      <c r="O50" s="317"/>
      <c r="P50" s="317"/>
      <c r="Q50" s="317"/>
      <c r="R50" s="317"/>
      <c r="S50" s="317"/>
      <c r="T50" s="317"/>
      <c r="U50" s="317"/>
      <c r="V50" s="317"/>
      <c r="W50" s="317"/>
      <c r="X50" s="317"/>
      <c r="Y50" s="317"/>
      <c r="Z50" s="317"/>
      <c r="AA50" s="317"/>
      <c r="AB50" s="317"/>
      <c r="AC50" s="317"/>
      <c r="AD50" s="317"/>
      <c r="AE50" s="317"/>
      <c r="AF50" s="317"/>
      <c r="AG50" s="317"/>
      <c r="AH50" s="344"/>
    </row>
    <row r="51" spans="1:34">
      <c r="A51" s="329" t="s">
        <v>160</v>
      </c>
      <c r="B51" s="330"/>
      <c r="C51" s="330"/>
      <c r="D51" s="330"/>
      <c r="E51" s="330"/>
      <c r="F51" s="330"/>
      <c r="G51" s="330"/>
      <c r="H51" s="330"/>
      <c r="I51" s="330"/>
      <c r="J51" s="330"/>
      <c r="K51" s="330"/>
      <c r="L51" s="330"/>
      <c r="M51" s="330"/>
      <c r="N51" s="346"/>
    </row>
    <row r="52" spans="1:34">
      <c r="A52" s="332" t="s">
        <v>161</v>
      </c>
      <c r="B52" s="355">
        <v>0</v>
      </c>
      <c r="C52" s="356">
        <f>B52</f>
        <v>0</v>
      </c>
      <c r="D52" s="356">
        <f t="shared" ref="D52:M52" si="22">C52</f>
        <v>0</v>
      </c>
      <c r="E52" s="356">
        <f t="shared" si="22"/>
        <v>0</v>
      </c>
      <c r="F52" s="356">
        <f t="shared" si="22"/>
        <v>0</v>
      </c>
      <c r="G52" s="356">
        <f t="shared" si="22"/>
        <v>0</v>
      </c>
      <c r="H52" s="356">
        <f t="shared" si="22"/>
        <v>0</v>
      </c>
      <c r="I52" s="356">
        <f t="shared" si="22"/>
        <v>0</v>
      </c>
      <c r="J52" s="356">
        <f t="shared" si="22"/>
        <v>0</v>
      </c>
      <c r="K52" s="356">
        <f t="shared" si="22"/>
        <v>0</v>
      </c>
      <c r="L52" s="356">
        <f t="shared" si="22"/>
        <v>0</v>
      </c>
      <c r="M52" s="356">
        <f t="shared" si="22"/>
        <v>0</v>
      </c>
      <c r="N52" s="336">
        <f t="shared" ref="N52:N60" si="23">SUM(B52:M52)</f>
        <v>0</v>
      </c>
    </row>
    <row r="53" spans="1:34">
      <c r="A53" s="332" t="s">
        <v>161</v>
      </c>
      <c r="B53" s="357">
        <v>0</v>
      </c>
      <c r="C53" s="357">
        <f t="shared" ref="C53:M56" si="24">B53</f>
        <v>0</v>
      </c>
      <c r="D53" s="357">
        <f t="shared" si="24"/>
        <v>0</v>
      </c>
      <c r="E53" s="357">
        <f t="shared" si="24"/>
        <v>0</v>
      </c>
      <c r="F53" s="357">
        <f t="shared" si="24"/>
        <v>0</v>
      </c>
      <c r="G53" s="357">
        <f t="shared" si="24"/>
        <v>0</v>
      </c>
      <c r="H53" s="357">
        <f t="shared" si="24"/>
        <v>0</v>
      </c>
      <c r="I53" s="357">
        <f t="shared" si="24"/>
        <v>0</v>
      </c>
      <c r="J53" s="357">
        <f t="shared" si="24"/>
        <v>0</v>
      </c>
      <c r="K53" s="357">
        <f t="shared" si="24"/>
        <v>0</v>
      </c>
      <c r="L53" s="357">
        <f t="shared" si="24"/>
        <v>0</v>
      </c>
      <c r="M53" s="357">
        <f t="shared" si="24"/>
        <v>0</v>
      </c>
      <c r="N53" s="337">
        <f t="shared" si="23"/>
        <v>0</v>
      </c>
    </row>
    <row r="54" spans="1:34">
      <c r="A54" s="332" t="s">
        <v>15</v>
      </c>
      <c r="B54" s="355">
        <v>0</v>
      </c>
      <c r="C54" s="356">
        <f t="shared" si="24"/>
        <v>0</v>
      </c>
      <c r="D54" s="356">
        <f t="shared" si="24"/>
        <v>0</v>
      </c>
      <c r="E54" s="356">
        <f t="shared" si="24"/>
        <v>0</v>
      </c>
      <c r="F54" s="356">
        <f t="shared" si="24"/>
        <v>0</v>
      </c>
      <c r="G54" s="356">
        <f t="shared" si="24"/>
        <v>0</v>
      </c>
      <c r="H54" s="356">
        <f t="shared" si="24"/>
        <v>0</v>
      </c>
      <c r="I54" s="356">
        <f t="shared" si="24"/>
        <v>0</v>
      </c>
      <c r="J54" s="356">
        <f t="shared" si="24"/>
        <v>0</v>
      </c>
      <c r="K54" s="356">
        <f t="shared" si="24"/>
        <v>0</v>
      </c>
      <c r="L54" s="356">
        <f t="shared" si="24"/>
        <v>0</v>
      </c>
      <c r="M54" s="356">
        <f t="shared" si="24"/>
        <v>0</v>
      </c>
      <c r="N54" s="336">
        <f t="shared" si="23"/>
        <v>0</v>
      </c>
    </row>
    <row r="55" spans="1:34">
      <c r="A55" s="332" t="s">
        <v>15</v>
      </c>
      <c r="B55" s="357">
        <v>0</v>
      </c>
      <c r="C55" s="357">
        <f t="shared" si="24"/>
        <v>0</v>
      </c>
      <c r="D55" s="357">
        <f t="shared" si="24"/>
        <v>0</v>
      </c>
      <c r="E55" s="357">
        <f t="shared" si="24"/>
        <v>0</v>
      </c>
      <c r="F55" s="357">
        <f t="shared" si="24"/>
        <v>0</v>
      </c>
      <c r="G55" s="357">
        <f t="shared" si="24"/>
        <v>0</v>
      </c>
      <c r="H55" s="357">
        <f t="shared" si="24"/>
        <v>0</v>
      </c>
      <c r="I55" s="357">
        <f t="shared" si="24"/>
        <v>0</v>
      </c>
      <c r="J55" s="357">
        <f t="shared" si="24"/>
        <v>0</v>
      </c>
      <c r="K55" s="357">
        <f t="shared" si="24"/>
        <v>0</v>
      </c>
      <c r="L55" s="357">
        <f t="shared" si="24"/>
        <v>0</v>
      </c>
      <c r="M55" s="357">
        <f t="shared" si="24"/>
        <v>0</v>
      </c>
      <c r="N55" s="337">
        <f t="shared" si="23"/>
        <v>0</v>
      </c>
    </row>
    <row r="56" spans="1:34">
      <c r="A56" s="332" t="s">
        <v>162</v>
      </c>
      <c r="B56" s="355">
        <v>0</v>
      </c>
      <c r="C56" s="356">
        <f t="shared" si="24"/>
        <v>0</v>
      </c>
      <c r="D56" s="356">
        <f t="shared" si="24"/>
        <v>0</v>
      </c>
      <c r="E56" s="356">
        <f t="shared" si="24"/>
        <v>0</v>
      </c>
      <c r="F56" s="356">
        <f t="shared" si="24"/>
        <v>0</v>
      </c>
      <c r="G56" s="356">
        <f t="shared" si="24"/>
        <v>0</v>
      </c>
      <c r="H56" s="356">
        <f t="shared" si="24"/>
        <v>0</v>
      </c>
      <c r="I56" s="356">
        <f t="shared" si="24"/>
        <v>0</v>
      </c>
      <c r="J56" s="356">
        <f t="shared" si="24"/>
        <v>0</v>
      </c>
      <c r="K56" s="356">
        <f t="shared" si="24"/>
        <v>0</v>
      </c>
      <c r="L56" s="356">
        <f t="shared" si="24"/>
        <v>0</v>
      </c>
      <c r="M56" s="356">
        <f t="shared" si="24"/>
        <v>0</v>
      </c>
      <c r="N56" s="336">
        <f t="shared" si="23"/>
        <v>0</v>
      </c>
    </row>
    <row r="57" spans="1:34">
      <c r="A57" s="332" t="s">
        <v>163</v>
      </c>
      <c r="B57" s="357">
        <v>0</v>
      </c>
      <c r="C57" s="357">
        <v>0</v>
      </c>
      <c r="D57" s="357">
        <v>0</v>
      </c>
      <c r="E57" s="357">
        <v>0</v>
      </c>
      <c r="F57" s="357">
        <v>0</v>
      </c>
      <c r="G57" s="357">
        <v>0</v>
      </c>
      <c r="H57" s="357">
        <v>0</v>
      </c>
      <c r="I57" s="357">
        <v>0</v>
      </c>
      <c r="J57" s="357">
        <v>0</v>
      </c>
      <c r="K57" s="357">
        <v>0</v>
      </c>
      <c r="L57" s="357">
        <v>0</v>
      </c>
      <c r="M57" s="357">
        <v>0</v>
      </c>
      <c r="N57" s="337">
        <f t="shared" si="23"/>
        <v>0</v>
      </c>
    </row>
    <row r="58" spans="1:34">
      <c r="A58" s="332" t="s">
        <v>164</v>
      </c>
      <c r="B58" s="355">
        <v>0</v>
      </c>
      <c r="C58" s="356">
        <v>0</v>
      </c>
      <c r="D58" s="356">
        <v>0</v>
      </c>
      <c r="E58" s="356">
        <v>0</v>
      </c>
      <c r="F58" s="356">
        <v>0</v>
      </c>
      <c r="G58" s="356">
        <v>0</v>
      </c>
      <c r="H58" s="356">
        <v>0</v>
      </c>
      <c r="I58" s="356">
        <v>0</v>
      </c>
      <c r="J58" s="356">
        <v>0</v>
      </c>
      <c r="K58" s="356">
        <v>0</v>
      </c>
      <c r="L58" s="356">
        <v>0</v>
      </c>
      <c r="M58" s="356">
        <v>0</v>
      </c>
      <c r="N58" s="336">
        <f t="shared" si="23"/>
        <v>0</v>
      </c>
    </row>
    <row r="59" spans="1:34">
      <c r="A59" s="332" t="s">
        <v>165</v>
      </c>
      <c r="B59" s="357">
        <v>0</v>
      </c>
      <c r="C59" s="357">
        <f>B59</f>
        <v>0</v>
      </c>
      <c r="D59" s="357">
        <f>C59</f>
        <v>0</v>
      </c>
      <c r="E59" s="357">
        <f t="shared" ref="E59:M59" si="25">D59</f>
        <v>0</v>
      </c>
      <c r="F59" s="357">
        <f t="shared" si="25"/>
        <v>0</v>
      </c>
      <c r="G59" s="357">
        <f t="shared" si="25"/>
        <v>0</v>
      </c>
      <c r="H59" s="357">
        <f t="shared" si="25"/>
        <v>0</v>
      </c>
      <c r="I59" s="357">
        <f t="shared" si="25"/>
        <v>0</v>
      </c>
      <c r="J59" s="357">
        <f t="shared" si="25"/>
        <v>0</v>
      </c>
      <c r="K59" s="357">
        <f t="shared" si="25"/>
        <v>0</v>
      </c>
      <c r="L59" s="357">
        <f t="shared" si="25"/>
        <v>0</v>
      </c>
      <c r="M59" s="357">
        <f t="shared" si="25"/>
        <v>0</v>
      </c>
      <c r="N59" s="337">
        <f t="shared" si="23"/>
        <v>0</v>
      </c>
    </row>
    <row r="60" spans="1:34">
      <c r="A60" s="332" t="s">
        <v>141</v>
      </c>
      <c r="B60" s="302">
        <v>0</v>
      </c>
      <c r="C60" s="356">
        <v>0</v>
      </c>
      <c r="D60" s="356">
        <v>0</v>
      </c>
      <c r="E60" s="356">
        <v>0</v>
      </c>
      <c r="F60" s="356">
        <v>0</v>
      </c>
      <c r="G60" s="356">
        <v>0</v>
      </c>
      <c r="H60" s="356">
        <v>0</v>
      </c>
      <c r="I60" s="356">
        <v>0</v>
      </c>
      <c r="J60" s="356">
        <v>0</v>
      </c>
      <c r="K60" s="356">
        <v>0</v>
      </c>
      <c r="L60" s="356">
        <v>0</v>
      </c>
      <c r="M60" s="356">
        <v>0</v>
      </c>
      <c r="N60" s="336">
        <f t="shared" si="23"/>
        <v>0</v>
      </c>
    </row>
    <row r="61" spans="1:34" s="313" customFormat="1">
      <c r="A61" s="329" t="s">
        <v>166</v>
      </c>
      <c r="B61" s="358">
        <f>SUM(B52:B60)</f>
        <v>0</v>
      </c>
      <c r="C61" s="358">
        <f t="shared" ref="C61:N61" si="26">SUM(C52:C60)</f>
        <v>0</v>
      </c>
      <c r="D61" s="358">
        <f t="shared" si="26"/>
        <v>0</v>
      </c>
      <c r="E61" s="358">
        <f t="shared" si="26"/>
        <v>0</v>
      </c>
      <c r="F61" s="358">
        <f t="shared" si="26"/>
        <v>0</v>
      </c>
      <c r="G61" s="358">
        <f t="shared" si="26"/>
        <v>0</v>
      </c>
      <c r="H61" s="358">
        <f t="shared" si="26"/>
        <v>0</v>
      </c>
      <c r="I61" s="358">
        <f t="shared" si="26"/>
        <v>0</v>
      </c>
      <c r="J61" s="358">
        <f t="shared" si="26"/>
        <v>0</v>
      </c>
      <c r="K61" s="358">
        <f t="shared" si="26"/>
        <v>0</v>
      </c>
      <c r="L61" s="358">
        <f t="shared" si="26"/>
        <v>0</v>
      </c>
      <c r="M61" s="358">
        <f t="shared" si="26"/>
        <v>0</v>
      </c>
      <c r="N61" s="337">
        <f t="shared" si="26"/>
        <v>0</v>
      </c>
      <c r="O61" s="311"/>
      <c r="P61" s="311"/>
      <c r="Q61" s="311"/>
      <c r="R61" s="311"/>
      <c r="S61" s="311"/>
      <c r="T61" s="311"/>
      <c r="U61" s="311"/>
      <c r="V61" s="311"/>
      <c r="W61" s="311"/>
      <c r="X61" s="311"/>
      <c r="Y61" s="311"/>
      <c r="Z61" s="311"/>
      <c r="AA61" s="311"/>
      <c r="AB61" s="311"/>
      <c r="AC61" s="311"/>
      <c r="AD61" s="311"/>
      <c r="AE61" s="311"/>
      <c r="AF61" s="311"/>
      <c r="AG61" s="311"/>
      <c r="AH61" s="312"/>
    </row>
    <row r="62" spans="1:34" s="345" customFormat="1" ht="12">
      <c r="A62" s="341"/>
      <c r="B62" s="342"/>
      <c r="C62" s="342"/>
      <c r="D62" s="342"/>
      <c r="E62" s="342"/>
      <c r="F62" s="342"/>
      <c r="G62" s="342"/>
      <c r="H62" s="342"/>
      <c r="I62" s="342"/>
      <c r="J62" s="342"/>
      <c r="K62" s="342"/>
      <c r="L62" s="342"/>
      <c r="M62" s="342"/>
      <c r="N62" s="343"/>
      <c r="O62" s="317"/>
      <c r="P62" s="317"/>
      <c r="Q62" s="317"/>
      <c r="R62" s="317"/>
      <c r="S62" s="317"/>
      <c r="T62" s="317"/>
      <c r="U62" s="317"/>
      <c r="V62" s="317"/>
      <c r="W62" s="317"/>
      <c r="X62" s="317"/>
      <c r="Y62" s="317"/>
      <c r="Z62" s="317"/>
      <c r="AA62" s="317"/>
      <c r="AB62" s="317"/>
      <c r="AC62" s="317"/>
      <c r="AD62" s="317"/>
      <c r="AE62" s="317"/>
      <c r="AF62" s="317"/>
      <c r="AG62" s="317"/>
      <c r="AH62" s="344"/>
    </row>
    <row r="63" spans="1:34">
      <c r="A63" s="329" t="s">
        <v>167</v>
      </c>
      <c r="B63" s="330"/>
      <c r="C63" s="330"/>
      <c r="D63" s="330"/>
      <c r="E63" s="330"/>
      <c r="F63" s="330"/>
      <c r="G63" s="330"/>
      <c r="H63" s="330"/>
      <c r="I63" s="330"/>
      <c r="J63" s="330"/>
      <c r="K63" s="330"/>
      <c r="L63" s="330"/>
      <c r="M63" s="330"/>
      <c r="N63" s="346"/>
    </row>
    <row r="64" spans="1:34">
      <c r="A64" s="332" t="s">
        <v>168</v>
      </c>
      <c r="B64" s="302">
        <v>0</v>
      </c>
      <c r="C64" s="303">
        <f>B64</f>
        <v>0</v>
      </c>
      <c r="D64" s="303">
        <f t="shared" ref="D64:M64" si="27">C64</f>
        <v>0</v>
      </c>
      <c r="E64" s="303">
        <f t="shared" si="27"/>
        <v>0</v>
      </c>
      <c r="F64" s="303">
        <f t="shared" si="27"/>
        <v>0</v>
      </c>
      <c r="G64" s="303">
        <f t="shared" si="27"/>
        <v>0</v>
      </c>
      <c r="H64" s="303">
        <f t="shared" si="27"/>
        <v>0</v>
      </c>
      <c r="I64" s="303">
        <f t="shared" si="27"/>
        <v>0</v>
      </c>
      <c r="J64" s="303">
        <f t="shared" si="27"/>
        <v>0</v>
      </c>
      <c r="K64" s="303">
        <f t="shared" si="27"/>
        <v>0</v>
      </c>
      <c r="L64" s="303">
        <f t="shared" si="27"/>
        <v>0</v>
      </c>
      <c r="M64" s="303">
        <f t="shared" si="27"/>
        <v>0</v>
      </c>
      <c r="N64" s="336">
        <f>SUM(B64:M64)</f>
        <v>0</v>
      </c>
    </row>
    <row r="65" spans="1:34">
      <c r="A65" s="332" t="s">
        <v>169</v>
      </c>
      <c r="B65" s="305">
        <v>0</v>
      </c>
      <c r="C65" s="305">
        <f t="shared" ref="C65:M66" si="28">B65</f>
        <v>0</v>
      </c>
      <c r="D65" s="305">
        <f t="shared" si="28"/>
        <v>0</v>
      </c>
      <c r="E65" s="305">
        <f t="shared" si="28"/>
        <v>0</v>
      </c>
      <c r="F65" s="305">
        <f t="shared" si="28"/>
        <v>0</v>
      </c>
      <c r="G65" s="305">
        <f t="shared" si="28"/>
        <v>0</v>
      </c>
      <c r="H65" s="305">
        <f t="shared" si="28"/>
        <v>0</v>
      </c>
      <c r="I65" s="305">
        <f t="shared" si="28"/>
        <v>0</v>
      </c>
      <c r="J65" s="305">
        <f t="shared" si="28"/>
        <v>0</v>
      </c>
      <c r="K65" s="305">
        <f t="shared" si="28"/>
        <v>0</v>
      </c>
      <c r="L65" s="305">
        <f t="shared" si="28"/>
        <v>0</v>
      </c>
      <c r="M65" s="305">
        <f t="shared" si="28"/>
        <v>0</v>
      </c>
      <c r="N65" s="337">
        <f>SUM(B65:M65)</f>
        <v>0</v>
      </c>
    </row>
    <row r="66" spans="1:34">
      <c r="A66" s="332" t="s">
        <v>170</v>
      </c>
      <c r="B66" s="302">
        <v>0</v>
      </c>
      <c r="C66" s="303">
        <f t="shared" si="28"/>
        <v>0</v>
      </c>
      <c r="D66" s="303">
        <f t="shared" si="28"/>
        <v>0</v>
      </c>
      <c r="E66" s="303">
        <f t="shared" si="28"/>
        <v>0</v>
      </c>
      <c r="F66" s="303">
        <f t="shared" si="28"/>
        <v>0</v>
      </c>
      <c r="G66" s="303">
        <f t="shared" si="28"/>
        <v>0</v>
      </c>
      <c r="H66" s="303">
        <f t="shared" si="28"/>
        <v>0</v>
      </c>
      <c r="I66" s="303">
        <f t="shared" si="28"/>
        <v>0</v>
      </c>
      <c r="J66" s="303">
        <f t="shared" si="28"/>
        <v>0</v>
      </c>
      <c r="K66" s="303">
        <f t="shared" si="28"/>
        <v>0</v>
      </c>
      <c r="L66" s="303">
        <f t="shared" si="28"/>
        <v>0</v>
      </c>
      <c r="M66" s="303">
        <f t="shared" si="28"/>
        <v>0</v>
      </c>
      <c r="N66" s="336">
        <f>SUM(B66:M66)</f>
        <v>0</v>
      </c>
    </row>
    <row r="67" spans="1:34">
      <c r="A67" s="332" t="s">
        <v>171</v>
      </c>
      <c r="B67" s="305">
        <v>0</v>
      </c>
      <c r="C67" s="305">
        <v>0</v>
      </c>
      <c r="D67" s="305">
        <v>0</v>
      </c>
      <c r="E67" s="305">
        <v>0</v>
      </c>
      <c r="F67" s="305">
        <v>0</v>
      </c>
      <c r="G67" s="305">
        <v>0</v>
      </c>
      <c r="H67" s="305">
        <v>0</v>
      </c>
      <c r="I67" s="305">
        <v>0</v>
      </c>
      <c r="J67" s="305">
        <v>0</v>
      </c>
      <c r="K67" s="305">
        <v>0</v>
      </c>
      <c r="L67" s="305">
        <v>0</v>
      </c>
      <c r="M67" s="305">
        <v>0</v>
      </c>
      <c r="N67" s="337">
        <f>SUM(B67:M67)</f>
        <v>0</v>
      </c>
    </row>
    <row r="68" spans="1:34">
      <c r="A68" s="332" t="s">
        <v>141</v>
      </c>
      <c r="B68" s="302">
        <v>0</v>
      </c>
      <c r="C68" s="303">
        <f>B68</f>
        <v>0</v>
      </c>
      <c r="D68" s="303">
        <f t="shared" ref="D68:M68" si="29">C68</f>
        <v>0</v>
      </c>
      <c r="E68" s="303">
        <f t="shared" si="29"/>
        <v>0</v>
      </c>
      <c r="F68" s="303">
        <f t="shared" si="29"/>
        <v>0</v>
      </c>
      <c r="G68" s="303">
        <f t="shared" si="29"/>
        <v>0</v>
      </c>
      <c r="H68" s="303">
        <f t="shared" si="29"/>
        <v>0</v>
      </c>
      <c r="I68" s="303">
        <f t="shared" si="29"/>
        <v>0</v>
      </c>
      <c r="J68" s="303">
        <f t="shared" si="29"/>
        <v>0</v>
      </c>
      <c r="K68" s="303">
        <f t="shared" si="29"/>
        <v>0</v>
      </c>
      <c r="L68" s="303">
        <f t="shared" si="29"/>
        <v>0</v>
      </c>
      <c r="M68" s="303">
        <f t="shared" si="29"/>
        <v>0</v>
      </c>
      <c r="N68" s="336">
        <f>SUM(B68:M68)</f>
        <v>0</v>
      </c>
    </row>
    <row r="69" spans="1:34">
      <c r="A69" s="329" t="s">
        <v>172</v>
      </c>
      <c r="B69" s="358">
        <f t="shared" ref="B69:N69" si="30">SUM(B64:B68)</f>
        <v>0</v>
      </c>
      <c r="C69" s="358">
        <f t="shared" si="30"/>
        <v>0</v>
      </c>
      <c r="D69" s="358">
        <f t="shared" si="30"/>
        <v>0</v>
      </c>
      <c r="E69" s="358">
        <f t="shared" si="30"/>
        <v>0</v>
      </c>
      <c r="F69" s="358">
        <f t="shared" si="30"/>
        <v>0</v>
      </c>
      <c r="G69" s="358">
        <f t="shared" si="30"/>
        <v>0</v>
      </c>
      <c r="H69" s="358">
        <f t="shared" si="30"/>
        <v>0</v>
      </c>
      <c r="I69" s="358">
        <f t="shared" si="30"/>
        <v>0</v>
      </c>
      <c r="J69" s="358">
        <f t="shared" si="30"/>
        <v>0</v>
      </c>
      <c r="K69" s="358">
        <f t="shared" si="30"/>
        <v>0</v>
      </c>
      <c r="L69" s="358">
        <f t="shared" si="30"/>
        <v>0</v>
      </c>
      <c r="M69" s="358">
        <f t="shared" si="30"/>
        <v>0</v>
      </c>
      <c r="N69" s="337">
        <f t="shared" si="30"/>
        <v>0</v>
      </c>
    </row>
    <row r="70" spans="1:34" s="361" customFormat="1" ht="12">
      <c r="A70" s="341"/>
      <c r="B70" s="342"/>
      <c r="C70" s="342"/>
      <c r="D70" s="342"/>
      <c r="E70" s="342"/>
      <c r="F70" s="342"/>
      <c r="G70" s="342"/>
      <c r="H70" s="342"/>
      <c r="I70" s="342"/>
      <c r="J70" s="342"/>
      <c r="K70" s="342"/>
      <c r="L70" s="342"/>
      <c r="M70" s="342"/>
      <c r="N70" s="343"/>
      <c r="O70" s="359"/>
      <c r="P70" s="359"/>
      <c r="Q70" s="359"/>
      <c r="R70" s="359"/>
      <c r="S70" s="359"/>
      <c r="T70" s="359"/>
      <c r="U70" s="359"/>
      <c r="V70" s="359"/>
      <c r="W70" s="359"/>
      <c r="X70" s="359"/>
      <c r="Y70" s="359"/>
      <c r="Z70" s="359"/>
      <c r="AA70" s="359"/>
      <c r="AB70" s="359"/>
      <c r="AC70" s="359"/>
      <c r="AD70" s="359"/>
      <c r="AE70" s="359"/>
      <c r="AF70" s="359"/>
      <c r="AG70" s="359"/>
      <c r="AH70" s="360"/>
    </row>
    <row r="71" spans="1:34">
      <c r="A71" s="329" t="s">
        <v>173</v>
      </c>
      <c r="B71" s="330"/>
      <c r="C71" s="330"/>
      <c r="D71" s="330"/>
      <c r="E71" s="330"/>
      <c r="F71" s="330"/>
      <c r="G71" s="330"/>
      <c r="H71" s="330"/>
      <c r="I71" s="330"/>
      <c r="J71" s="330"/>
      <c r="K71" s="330"/>
      <c r="L71" s="330"/>
      <c r="M71" s="330"/>
      <c r="N71" s="346"/>
    </row>
    <row r="72" spans="1:34">
      <c r="A72" s="332" t="s">
        <v>287</v>
      </c>
      <c r="B72" s="302">
        <v>0</v>
      </c>
      <c r="C72" s="303">
        <v>0</v>
      </c>
      <c r="D72" s="303">
        <v>0</v>
      </c>
      <c r="E72" s="303">
        <v>0</v>
      </c>
      <c r="F72" s="303">
        <v>0</v>
      </c>
      <c r="G72" s="303">
        <v>0</v>
      </c>
      <c r="H72" s="303">
        <v>0</v>
      </c>
      <c r="I72" s="303">
        <v>0</v>
      </c>
      <c r="J72" s="303">
        <v>0</v>
      </c>
      <c r="K72" s="303">
        <v>0</v>
      </c>
      <c r="L72" s="303">
        <v>0</v>
      </c>
      <c r="M72" s="303">
        <v>0</v>
      </c>
      <c r="N72" s="336">
        <f>SUM(B72:M72)</f>
        <v>0</v>
      </c>
    </row>
    <row r="73" spans="1:34">
      <c r="A73" s="332" t="s">
        <v>287</v>
      </c>
      <c r="B73" s="305">
        <v>0</v>
      </c>
      <c r="C73" s="305">
        <v>0</v>
      </c>
      <c r="D73" s="305">
        <v>0</v>
      </c>
      <c r="E73" s="305">
        <v>0</v>
      </c>
      <c r="F73" s="305">
        <v>0</v>
      </c>
      <c r="G73" s="305">
        <v>0</v>
      </c>
      <c r="H73" s="305">
        <v>0</v>
      </c>
      <c r="I73" s="305">
        <v>0</v>
      </c>
      <c r="J73" s="305">
        <v>0</v>
      </c>
      <c r="K73" s="305">
        <v>0</v>
      </c>
      <c r="L73" s="305">
        <v>0</v>
      </c>
      <c r="M73" s="305">
        <v>0</v>
      </c>
      <c r="N73" s="337">
        <f>SUM(B73:M73)</f>
        <v>0</v>
      </c>
    </row>
    <row r="74" spans="1:34">
      <c r="A74" s="329" t="s">
        <v>175</v>
      </c>
      <c r="B74" s="308">
        <f t="shared" ref="B74:N74" si="31">SUM(B72:B73)</f>
        <v>0</v>
      </c>
      <c r="C74" s="309">
        <f t="shared" si="31"/>
        <v>0</v>
      </c>
      <c r="D74" s="309">
        <f t="shared" si="31"/>
        <v>0</v>
      </c>
      <c r="E74" s="309">
        <f t="shared" si="31"/>
        <v>0</v>
      </c>
      <c r="F74" s="309">
        <f t="shared" si="31"/>
        <v>0</v>
      </c>
      <c r="G74" s="309">
        <f t="shared" si="31"/>
        <v>0</v>
      </c>
      <c r="H74" s="309">
        <f t="shared" si="31"/>
        <v>0</v>
      </c>
      <c r="I74" s="309">
        <f t="shared" si="31"/>
        <v>0</v>
      </c>
      <c r="J74" s="309">
        <f t="shared" si="31"/>
        <v>0</v>
      </c>
      <c r="K74" s="309">
        <f t="shared" si="31"/>
        <v>0</v>
      </c>
      <c r="L74" s="309">
        <f t="shared" si="31"/>
        <v>0</v>
      </c>
      <c r="M74" s="309">
        <f t="shared" si="31"/>
        <v>0</v>
      </c>
      <c r="N74" s="362">
        <f t="shared" si="31"/>
        <v>0</v>
      </c>
    </row>
    <row r="75" spans="1:34" s="361" customFormat="1" ht="12">
      <c r="A75" s="341"/>
      <c r="B75" s="363"/>
      <c r="C75" s="363"/>
      <c r="D75" s="363"/>
      <c r="E75" s="363"/>
      <c r="F75" s="363"/>
      <c r="G75" s="363"/>
      <c r="H75" s="363"/>
      <c r="I75" s="363"/>
      <c r="J75" s="363"/>
      <c r="K75" s="363"/>
      <c r="L75" s="363"/>
      <c r="M75" s="363"/>
      <c r="N75" s="364"/>
      <c r="O75" s="359"/>
      <c r="P75" s="359"/>
      <c r="Q75" s="359"/>
      <c r="R75" s="359"/>
      <c r="S75" s="359"/>
      <c r="T75" s="359"/>
      <c r="U75" s="359"/>
      <c r="V75" s="359"/>
      <c r="W75" s="359"/>
      <c r="X75" s="359"/>
      <c r="Y75" s="359"/>
      <c r="Z75" s="359"/>
      <c r="AA75" s="359"/>
      <c r="AB75" s="359"/>
      <c r="AC75" s="359"/>
      <c r="AD75" s="359"/>
      <c r="AE75" s="359"/>
      <c r="AF75" s="359"/>
      <c r="AG75" s="359"/>
      <c r="AH75" s="360"/>
    </row>
    <row r="76" spans="1:34">
      <c r="A76" s="329" t="s">
        <v>141</v>
      </c>
      <c r="B76" s="330"/>
      <c r="C76" s="330"/>
      <c r="D76" s="330"/>
      <c r="E76" s="330"/>
      <c r="F76" s="330"/>
      <c r="G76" s="330"/>
      <c r="H76" s="330"/>
      <c r="I76" s="330"/>
      <c r="J76" s="330"/>
      <c r="K76" s="330"/>
      <c r="L76" s="330"/>
      <c r="M76" s="330"/>
      <c r="N76" s="346"/>
    </row>
    <row r="77" spans="1:34">
      <c r="A77" s="332" t="s">
        <v>176</v>
      </c>
      <c r="B77" s="302">
        <v>0</v>
      </c>
      <c r="C77" s="303">
        <f>B77</f>
        <v>0</v>
      </c>
      <c r="D77" s="303">
        <f t="shared" ref="D77:M77" si="32">C77</f>
        <v>0</v>
      </c>
      <c r="E77" s="303">
        <f t="shared" si="32"/>
        <v>0</v>
      </c>
      <c r="F77" s="303">
        <f t="shared" si="32"/>
        <v>0</v>
      </c>
      <c r="G77" s="303">
        <f t="shared" si="32"/>
        <v>0</v>
      </c>
      <c r="H77" s="303">
        <f t="shared" si="32"/>
        <v>0</v>
      </c>
      <c r="I77" s="303">
        <f t="shared" si="32"/>
        <v>0</v>
      </c>
      <c r="J77" s="303">
        <f t="shared" si="32"/>
        <v>0</v>
      </c>
      <c r="K77" s="303">
        <f t="shared" si="32"/>
        <v>0</v>
      </c>
      <c r="L77" s="303">
        <f t="shared" si="32"/>
        <v>0</v>
      </c>
      <c r="M77" s="303">
        <f t="shared" si="32"/>
        <v>0</v>
      </c>
      <c r="N77" s="336">
        <f>SUM(B77:M77)</f>
        <v>0</v>
      </c>
    </row>
    <row r="78" spans="1:34">
      <c r="A78" s="332" t="s">
        <v>176</v>
      </c>
      <c r="B78" s="305">
        <v>0</v>
      </c>
      <c r="C78" s="305">
        <v>0</v>
      </c>
      <c r="D78" s="305">
        <v>0</v>
      </c>
      <c r="E78" s="305">
        <v>0</v>
      </c>
      <c r="F78" s="305">
        <v>0</v>
      </c>
      <c r="G78" s="305">
        <v>0</v>
      </c>
      <c r="H78" s="305">
        <v>0</v>
      </c>
      <c r="I78" s="305">
        <v>0</v>
      </c>
      <c r="J78" s="305">
        <v>0</v>
      </c>
      <c r="K78" s="305">
        <v>0</v>
      </c>
      <c r="L78" s="305">
        <v>0</v>
      </c>
      <c r="M78" s="305">
        <v>0</v>
      </c>
      <c r="N78" s="337">
        <f>SUM(B78:M78)</f>
        <v>0</v>
      </c>
    </row>
    <row r="79" spans="1:34">
      <c r="A79" s="332" t="s">
        <v>176</v>
      </c>
      <c r="B79" s="302">
        <v>0</v>
      </c>
      <c r="C79" s="303">
        <v>0</v>
      </c>
      <c r="D79" s="303">
        <v>0</v>
      </c>
      <c r="E79" s="303">
        <v>0</v>
      </c>
      <c r="F79" s="303">
        <v>0</v>
      </c>
      <c r="G79" s="303">
        <v>0</v>
      </c>
      <c r="H79" s="303">
        <v>0</v>
      </c>
      <c r="I79" s="303">
        <v>0</v>
      </c>
      <c r="J79" s="303">
        <v>0</v>
      </c>
      <c r="K79" s="303">
        <v>0</v>
      </c>
      <c r="L79" s="303">
        <v>0</v>
      </c>
      <c r="M79" s="303">
        <v>0</v>
      </c>
      <c r="N79" s="336">
        <f>SUM(B79:M79)</f>
        <v>0</v>
      </c>
    </row>
    <row r="80" spans="1:34" s="313" customFormat="1">
      <c r="A80" s="329" t="s">
        <v>177</v>
      </c>
      <c r="B80" s="358">
        <f t="shared" ref="B80:N80" si="33">SUM(B77:B79)</f>
        <v>0</v>
      </c>
      <c r="C80" s="358">
        <f t="shared" si="33"/>
        <v>0</v>
      </c>
      <c r="D80" s="358">
        <f t="shared" si="33"/>
        <v>0</v>
      </c>
      <c r="E80" s="358">
        <f t="shared" si="33"/>
        <v>0</v>
      </c>
      <c r="F80" s="358">
        <f t="shared" si="33"/>
        <v>0</v>
      </c>
      <c r="G80" s="358">
        <f t="shared" si="33"/>
        <v>0</v>
      </c>
      <c r="H80" s="358">
        <f t="shared" si="33"/>
        <v>0</v>
      </c>
      <c r="I80" s="358">
        <f t="shared" si="33"/>
        <v>0</v>
      </c>
      <c r="J80" s="358">
        <f t="shared" si="33"/>
        <v>0</v>
      </c>
      <c r="K80" s="358">
        <f t="shared" si="33"/>
        <v>0</v>
      </c>
      <c r="L80" s="358">
        <f t="shared" si="33"/>
        <v>0</v>
      </c>
      <c r="M80" s="358">
        <f t="shared" si="33"/>
        <v>0</v>
      </c>
      <c r="N80" s="337">
        <f t="shared" si="33"/>
        <v>0</v>
      </c>
      <c r="O80" s="311"/>
      <c r="P80" s="311"/>
      <c r="Q80" s="311"/>
      <c r="R80" s="311"/>
      <c r="S80" s="311"/>
      <c r="T80" s="311"/>
      <c r="U80" s="311"/>
      <c r="V80" s="311"/>
      <c r="W80" s="311"/>
      <c r="X80" s="311"/>
      <c r="Y80" s="311"/>
      <c r="Z80" s="311"/>
      <c r="AA80" s="311"/>
      <c r="AB80" s="311"/>
      <c r="AC80" s="311"/>
      <c r="AD80" s="311"/>
      <c r="AE80" s="311"/>
      <c r="AF80" s="311"/>
      <c r="AG80" s="311"/>
      <c r="AH80" s="312"/>
    </row>
    <row r="81" spans="1:34" s="361" customFormat="1" ht="12">
      <c r="A81" s="365"/>
      <c r="B81" s="366"/>
      <c r="C81" s="366"/>
      <c r="D81" s="366"/>
      <c r="E81" s="366"/>
      <c r="F81" s="366"/>
      <c r="G81" s="366"/>
      <c r="H81" s="366"/>
      <c r="I81" s="366"/>
      <c r="J81" s="366"/>
      <c r="K81" s="366"/>
      <c r="L81" s="366"/>
      <c r="M81" s="366"/>
      <c r="N81" s="367"/>
      <c r="O81" s="359"/>
      <c r="P81" s="359"/>
      <c r="Q81" s="359"/>
      <c r="R81" s="359"/>
      <c r="S81" s="359"/>
      <c r="T81" s="359"/>
      <c r="U81" s="359"/>
      <c r="V81" s="359"/>
      <c r="W81" s="359"/>
      <c r="X81" s="359"/>
      <c r="Y81" s="359"/>
      <c r="Z81" s="359"/>
      <c r="AA81" s="359"/>
      <c r="AB81" s="359"/>
      <c r="AC81" s="359"/>
      <c r="AD81" s="359"/>
      <c r="AE81" s="359"/>
      <c r="AF81" s="359"/>
      <c r="AG81" s="359"/>
      <c r="AH81" s="360"/>
    </row>
    <row r="82" spans="1:34" ht="16">
      <c r="A82" s="368" t="s">
        <v>178</v>
      </c>
      <c r="B82" s="369" t="e">
        <f t="shared" ref="B82:N82" ca="1" si="34">B27+B36+B41+B49+B61+B69+B74+B80</f>
        <v>#NUM!</v>
      </c>
      <c r="C82" s="370" t="e">
        <f t="shared" ca="1" si="34"/>
        <v>#NUM!</v>
      </c>
      <c r="D82" s="370" t="e">
        <f t="shared" ca="1" si="34"/>
        <v>#NUM!</v>
      </c>
      <c r="E82" s="370" t="e">
        <f t="shared" ca="1" si="34"/>
        <v>#NUM!</v>
      </c>
      <c r="F82" s="370" t="e">
        <f t="shared" ca="1" si="34"/>
        <v>#NUM!</v>
      </c>
      <c r="G82" s="370" t="e">
        <f t="shared" ca="1" si="34"/>
        <v>#NUM!</v>
      </c>
      <c r="H82" s="370" t="e">
        <f t="shared" ca="1" si="34"/>
        <v>#NUM!</v>
      </c>
      <c r="I82" s="370" t="e">
        <f t="shared" ca="1" si="34"/>
        <v>#NUM!</v>
      </c>
      <c r="J82" s="370" t="e">
        <f t="shared" ca="1" si="34"/>
        <v>#NUM!</v>
      </c>
      <c r="K82" s="370" t="e">
        <f t="shared" ca="1" si="34"/>
        <v>#NUM!</v>
      </c>
      <c r="L82" s="370" t="e">
        <f t="shared" ca="1" si="34"/>
        <v>#NUM!</v>
      </c>
      <c r="M82" s="370" t="e">
        <f t="shared" ca="1" si="34"/>
        <v>#NUM!</v>
      </c>
      <c r="N82" s="371" t="e">
        <f t="shared" ca="1" si="34"/>
        <v>#NUM!</v>
      </c>
    </row>
    <row r="83" spans="1:34" s="361" customFormat="1" ht="12">
      <c r="A83" s="372"/>
      <c r="B83" s="373"/>
      <c r="C83" s="373"/>
      <c r="D83" s="373"/>
      <c r="E83" s="373"/>
      <c r="F83" s="373"/>
      <c r="G83" s="373"/>
      <c r="H83" s="373"/>
      <c r="I83" s="373"/>
      <c r="J83" s="373"/>
      <c r="K83" s="373"/>
      <c r="L83" s="373"/>
      <c r="M83" s="373"/>
      <c r="N83" s="374"/>
      <c r="O83" s="359"/>
      <c r="P83" s="359"/>
      <c r="Q83" s="359"/>
      <c r="R83" s="359"/>
      <c r="S83" s="359"/>
      <c r="T83" s="359"/>
      <c r="U83" s="359"/>
      <c r="V83" s="359"/>
      <c r="W83" s="359"/>
      <c r="X83" s="359"/>
      <c r="Y83" s="359"/>
      <c r="Z83" s="359"/>
      <c r="AA83" s="359"/>
      <c r="AB83" s="359"/>
      <c r="AC83" s="359"/>
      <c r="AD83" s="359"/>
      <c r="AE83" s="359"/>
      <c r="AF83" s="359"/>
      <c r="AG83" s="359"/>
      <c r="AH83" s="360"/>
    </row>
    <row r="84" spans="1:34" ht="14.25" customHeight="1">
      <c r="A84" s="375"/>
      <c r="B84" s="376"/>
      <c r="C84" s="376"/>
      <c r="D84" s="376"/>
      <c r="E84" s="376"/>
      <c r="F84" s="376"/>
      <c r="G84" s="376"/>
      <c r="H84" s="376"/>
      <c r="I84" s="376"/>
      <c r="J84" s="376"/>
      <c r="K84" s="376"/>
      <c r="L84" s="376"/>
      <c r="M84" s="376"/>
      <c r="N84" s="376"/>
    </row>
    <row r="85" spans="1:34" ht="16">
      <c r="A85" s="377" t="s">
        <v>179</v>
      </c>
      <c r="B85" s="378" t="str">
        <f t="shared" ref="B85:N85" si="35">B3</f>
        <v>jan</v>
      </c>
      <c r="C85" s="379" t="str">
        <f t="shared" si="35"/>
        <v>feb</v>
      </c>
      <c r="D85" s="379" t="str">
        <f t="shared" si="35"/>
        <v>mar</v>
      </c>
      <c r="E85" s="379" t="str">
        <f t="shared" si="35"/>
        <v>apr</v>
      </c>
      <c r="F85" s="379" t="str">
        <f t="shared" si="35"/>
        <v>maj</v>
      </c>
      <c r="G85" s="379" t="str">
        <f t="shared" si="35"/>
        <v xml:space="preserve">juni </v>
      </c>
      <c r="H85" s="379" t="str">
        <f t="shared" si="35"/>
        <v>juli</v>
      </c>
      <c r="I85" s="379" t="str">
        <f t="shared" si="35"/>
        <v>aug</v>
      </c>
      <c r="J85" s="379" t="str">
        <f t="shared" si="35"/>
        <v>sept</v>
      </c>
      <c r="K85" s="379" t="str">
        <f t="shared" si="35"/>
        <v>okt</v>
      </c>
      <c r="L85" s="379" t="str">
        <f t="shared" si="35"/>
        <v>nov</v>
      </c>
      <c r="M85" s="379" t="str">
        <f t="shared" si="35"/>
        <v>dec</v>
      </c>
      <c r="N85" s="380" t="str">
        <f t="shared" si="35"/>
        <v>TOTAL</v>
      </c>
    </row>
    <row r="86" spans="1:34">
      <c r="A86" s="381" t="s">
        <v>180</v>
      </c>
      <c r="B86" s="382" t="e">
        <f t="shared" ref="B86:N86" ca="1" si="36">SUM(B10-B82)</f>
        <v>#NUM!</v>
      </c>
      <c r="C86" s="383" t="e">
        <f t="shared" ca="1" si="36"/>
        <v>#NUM!</v>
      </c>
      <c r="D86" s="383" t="e">
        <f t="shared" ca="1" si="36"/>
        <v>#NUM!</v>
      </c>
      <c r="E86" s="383" t="e">
        <f t="shared" ca="1" si="36"/>
        <v>#NUM!</v>
      </c>
      <c r="F86" s="383" t="e">
        <f t="shared" ca="1" si="36"/>
        <v>#NUM!</v>
      </c>
      <c r="G86" s="383" t="e">
        <f t="shared" ca="1" si="36"/>
        <v>#NUM!</v>
      </c>
      <c r="H86" s="383" t="e">
        <f t="shared" ca="1" si="36"/>
        <v>#NUM!</v>
      </c>
      <c r="I86" s="383" t="e">
        <f t="shared" ca="1" si="36"/>
        <v>#NUM!</v>
      </c>
      <c r="J86" s="383" t="e">
        <f t="shared" ca="1" si="36"/>
        <v>#NUM!</v>
      </c>
      <c r="K86" s="383" t="e">
        <f t="shared" ca="1" si="36"/>
        <v>#NUM!</v>
      </c>
      <c r="L86" s="383" t="e">
        <f t="shared" ca="1" si="36"/>
        <v>#NUM!</v>
      </c>
      <c r="M86" s="383" t="e">
        <f t="shared" ca="1" si="36"/>
        <v>#NUM!</v>
      </c>
      <c r="N86" s="384" t="e">
        <f t="shared" ca="1" si="36"/>
        <v>#NUM!</v>
      </c>
    </row>
    <row r="87" spans="1:34">
      <c r="A87" s="385" t="s">
        <v>181</v>
      </c>
      <c r="B87" s="386"/>
      <c r="C87" s="386"/>
      <c r="D87" s="386"/>
      <c r="E87" s="386"/>
      <c r="F87" s="386"/>
      <c r="G87" s="386"/>
      <c r="H87" s="386"/>
      <c r="I87" s="386"/>
      <c r="J87" s="386"/>
      <c r="K87" s="386"/>
      <c r="L87" s="386"/>
      <c r="M87" s="386"/>
      <c r="N87" s="387" t="e">
        <f ca="1">N86</f>
        <v>#NUM!</v>
      </c>
    </row>
    <row r="88" spans="1:34">
      <c r="A88" s="385" t="s">
        <v>182</v>
      </c>
      <c r="B88" s="388" t="e">
        <f ca="1">B86</f>
        <v>#NUM!</v>
      </c>
      <c r="C88" s="389" t="e">
        <f t="shared" ref="C88:M88" ca="1" si="37">C86</f>
        <v>#NUM!</v>
      </c>
      <c r="D88" s="389" t="e">
        <f t="shared" ca="1" si="37"/>
        <v>#NUM!</v>
      </c>
      <c r="E88" s="389" t="e">
        <f t="shared" ca="1" si="37"/>
        <v>#NUM!</v>
      </c>
      <c r="F88" s="389" t="e">
        <f t="shared" ca="1" si="37"/>
        <v>#NUM!</v>
      </c>
      <c r="G88" s="389" t="e">
        <f t="shared" ca="1" si="37"/>
        <v>#NUM!</v>
      </c>
      <c r="H88" s="389" t="e">
        <f t="shared" ca="1" si="37"/>
        <v>#NUM!</v>
      </c>
      <c r="I88" s="389" t="e">
        <f t="shared" ca="1" si="37"/>
        <v>#NUM!</v>
      </c>
      <c r="J88" s="389" t="e">
        <f t="shared" ca="1" si="37"/>
        <v>#NUM!</v>
      </c>
      <c r="K88" s="389" t="e">
        <f t="shared" ca="1" si="37"/>
        <v>#NUM!</v>
      </c>
      <c r="L88" s="389" t="e">
        <f t="shared" ca="1" si="37"/>
        <v>#NUM!</v>
      </c>
      <c r="M88" s="389" t="e">
        <f t="shared" ca="1" si="37"/>
        <v>#NUM!</v>
      </c>
      <c r="N88" s="390" t="e">
        <f ca="1">N87/12</f>
        <v>#NUM!</v>
      </c>
    </row>
    <row r="89" spans="1:34" s="293" customFormat="1">
      <c r="A89" s="391"/>
      <c r="B89" s="392"/>
      <c r="C89" s="392"/>
      <c r="D89" s="392"/>
      <c r="E89" s="392"/>
      <c r="F89" s="392"/>
      <c r="G89" s="392"/>
      <c r="H89" s="392"/>
      <c r="I89" s="392"/>
      <c r="J89" s="392"/>
      <c r="K89" s="392"/>
      <c r="L89" s="392"/>
      <c r="M89" s="392"/>
      <c r="N89" s="393"/>
    </row>
    <row r="90" spans="1:34" s="293" customFormat="1">
      <c r="N90" s="311"/>
    </row>
    <row r="91" spans="1:34">
      <c r="A91" s="293"/>
      <c r="B91" s="293"/>
      <c r="C91" s="293"/>
      <c r="D91" s="293"/>
      <c r="E91" s="293"/>
      <c r="F91" s="293"/>
      <c r="G91" s="293"/>
      <c r="H91" s="293"/>
      <c r="I91" s="293"/>
      <c r="J91" s="293"/>
      <c r="K91" s="293"/>
      <c r="L91" s="293"/>
      <c r="M91" s="293"/>
      <c r="N91" s="311"/>
    </row>
    <row r="92" spans="1:34">
      <c r="A92" s="293"/>
      <c r="B92" s="293"/>
      <c r="C92" s="293"/>
      <c r="D92" s="293"/>
      <c r="E92" s="293"/>
      <c r="F92" s="293"/>
      <c r="G92" s="293"/>
      <c r="H92" s="293"/>
      <c r="I92" s="293"/>
      <c r="J92" s="293"/>
      <c r="K92" s="293"/>
      <c r="L92" s="293"/>
      <c r="M92" s="311"/>
      <c r="N92" s="311"/>
    </row>
    <row r="93" spans="1:34">
      <c r="A93" s="293"/>
      <c r="B93" s="293"/>
      <c r="C93" s="293"/>
      <c r="D93" s="293"/>
      <c r="E93" s="293"/>
      <c r="F93" s="293"/>
      <c r="G93" s="293"/>
      <c r="H93" s="293"/>
      <c r="I93" s="293"/>
      <c r="J93" s="293"/>
      <c r="K93" s="293"/>
      <c r="L93" s="293"/>
      <c r="M93" s="293"/>
      <c r="N93" s="311"/>
    </row>
    <row r="94" spans="1:34">
      <c r="A94" s="293"/>
      <c r="B94" s="293"/>
      <c r="C94" s="293"/>
      <c r="D94" s="293"/>
      <c r="E94" s="293"/>
      <c r="F94" s="293"/>
      <c r="G94" s="293"/>
      <c r="H94" s="293"/>
      <c r="I94" s="293"/>
      <c r="J94" s="293"/>
      <c r="K94" s="293"/>
      <c r="L94" s="293"/>
      <c r="M94" s="293"/>
      <c r="N94" s="311"/>
    </row>
    <row r="95" spans="1:34">
      <c r="A95" s="293"/>
      <c r="B95" s="293"/>
      <c r="C95" s="293"/>
      <c r="D95" s="293"/>
      <c r="E95" s="293"/>
      <c r="F95" s="293"/>
      <c r="G95" s="293"/>
      <c r="H95" s="293"/>
      <c r="I95" s="293"/>
      <c r="J95" s="293"/>
      <c r="K95" s="293"/>
      <c r="L95" s="293"/>
      <c r="M95" s="293"/>
      <c r="N95" s="311"/>
    </row>
    <row r="96" spans="1:34">
      <c r="A96" s="293"/>
      <c r="B96" s="293"/>
      <c r="C96" s="293"/>
      <c r="D96" s="293"/>
      <c r="E96" s="293"/>
      <c r="F96" s="293"/>
      <c r="G96" s="293"/>
      <c r="H96" s="293"/>
      <c r="I96" s="293"/>
      <c r="J96" s="293"/>
      <c r="K96" s="293"/>
      <c r="L96" s="293"/>
      <c r="M96" s="293"/>
      <c r="N96" s="311"/>
    </row>
    <row r="97" spans="1:14">
      <c r="A97" s="293"/>
      <c r="B97" s="293"/>
      <c r="C97" s="293"/>
      <c r="D97" s="293"/>
      <c r="E97" s="293"/>
      <c r="F97" s="293"/>
      <c r="G97" s="293"/>
      <c r="H97" s="293"/>
      <c r="I97" s="293"/>
      <c r="J97" s="293"/>
      <c r="K97" s="293"/>
      <c r="L97" s="293"/>
      <c r="M97" s="293"/>
      <c r="N97" s="311"/>
    </row>
    <row r="98" spans="1:14">
      <c r="A98" s="293"/>
      <c r="B98" s="293"/>
      <c r="C98" s="293"/>
      <c r="D98" s="293"/>
      <c r="E98" s="293"/>
      <c r="F98" s="293"/>
      <c r="G98" s="293"/>
      <c r="H98" s="293"/>
      <c r="I98" s="293"/>
      <c r="J98" s="293"/>
      <c r="K98" s="293"/>
      <c r="L98" s="293"/>
      <c r="M98" s="293"/>
      <c r="N98" s="311"/>
    </row>
    <row r="99" spans="1:14">
      <c r="A99" s="293"/>
      <c r="B99" s="293"/>
      <c r="C99" s="293"/>
      <c r="D99" s="293"/>
      <c r="E99" s="293"/>
      <c r="F99" s="293"/>
      <c r="G99" s="293"/>
      <c r="H99" s="293"/>
      <c r="I99" s="293"/>
      <c r="J99" s="293"/>
      <c r="K99" s="293"/>
      <c r="L99" s="293"/>
      <c r="M99" s="293"/>
      <c r="N99" s="311"/>
    </row>
    <row r="100" spans="1:14">
      <c r="A100" s="293"/>
      <c r="B100" s="293"/>
      <c r="C100" s="293"/>
      <c r="D100" s="293"/>
      <c r="E100" s="293"/>
      <c r="F100" s="293"/>
      <c r="G100" s="293"/>
      <c r="H100" s="293"/>
      <c r="I100" s="293"/>
      <c r="J100" s="293"/>
      <c r="K100" s="293"/>
      <c r="L100" s="293"/>
      <c r="M100" s="293"/>
      <c r="N100" s="311"/>
    </row>
    <row r="101" spans="1:14">
      <c r="A101" s="293"/>
      <c r="B101" s="293"/>
      <c r="C101" s="293"/>
      <c r="D101" s="293"/>
      <c r="E101" s="293"/>
      <c r="F101" s="293"/>
      <c r="G101" s="293"/>
      <c r="H101" s="293"/>
      <c r="I101" s="293"/>
      <c r="J101" s="293"/>
      <c r="K101" s="293"/>
      <c r="L101" s="293"/>
      <c r="M101" s="293"/>
      <c r="N101" s="311"/>
    </row>
    <row r="102" spans="1:14">
      <c r="A102" s="293"/>
      <c r="B102" s="293"/>
      <c r="C102" s="293"/>
      <c r="D102" s="293"/>
      <c r="E102" s="293"/>
      <c r="F102" s="293"/>
      <c r="G102" s="293"/>
      <c r="H102" s="293"/>
      <c r="I102" s="293"/>
      <c r="J102" s="293"/>
      <c r="K102" s="293"/>
      <c r="L102" s="293"/>
      <c r="M102" s="293"/>
      <c r="N102" s="311"/>
    </row>
    <row r="103" spans="1:14">
      <c r="A103" s="293"/>
      <c r="B103" s="293"/>
      <c r="C103" s="293"/>
      <c r="D103" s="293"/>
      <c r="E103" s="293"/>
      <c r="F103" s="293"/>
      <c r="G103" s="293"/>
      <c r="H103" s="293"/>
      <c r="I103" s="293"/>
      <c r="J103" s="293"/>
      <c r="K103" s="293"/>
      <c r="L103" s="293"/>
      <c r="M103" s="293"/>
      <c r="N103" s="311"/>
    </row>
    <row r="104" spans="1:14">
      <c r="A104" s="293"/>
      <c r="B104" s="293"/>
      <c r="C104" s="293"/>
      <c r="D104" s="293"/>
      <c r="E104" s="293"/>
      <c r="F104" s="293"/>
      <c r="G104" s="293"/>
      <c r="H104" s="293"/>
      <c r="I104" s="293"/>
      <c r="J104" s="293"/>
      <c r="K104" s="293"/>
      <c r="L104" s="293"/>
      <c r="M104" s="293"/>
      <c r="N104" s="311"/>
    </row>
    <row r="105" spans="1:14">
      <c r="A105" s="293"/>
      <c r="B105" s="293"/>
      <c r="C105" s="293"/>
      <c r="D105" s="293"/>
      <c r="E105" s="293"/>
      <c r="F105" s="293"/>
      <c r="G105" s="293"/>
      <c r="H105" s="293"/>
      <c r="I105" s="293"/>
      <c r="J105" s="293"/>
      <c r="K105" s="293"/>
      <c r="L105" s="293"/>
      <c r="M105" s="293"/>
      <c r="N105" s="311"/>
    </row>
    <row r="106" spans="1:14">
      <c r="A106" s="293"/>
      <c r="B106" s="293"/>
      <c r="C106" s="293"/>
      <c r="D106" s="293"/>
      <c r="E106" s="293"/>
      <c r="F106" s="293"/>
      <c r="G106" s="293"/>
      <c r="H106" s="293"/>
      <c r="I106" s="293"/>
      <c r="J106" s="293"/>
      <c r="K106" s="293"/>
      <c r="L106" s="293"/>
      <c r="M106" s="293"/>
      <c r="N106" s="311"/>
    </row>
    <row r="107" spans="1:14">
      <c r="A107" s="293"/>
      <c r="B107" s="293"/>
      <c r="C107" s="293"/>
      <c r="D107" s="293"/>
      <c r="E107" s="293"/>
      <c r="F107" s="293"/>
      <c r="G107" s="293"/>
      <c r="H107" s="293"/>
      <c r="I107" s="293"/>
      <c r="J107" s="293"/>
      <c r="K107" s="293"/>
      <c r="L107" s="293"/>
      <c r="M107" s="293"/>
      <c r="N107" s="311"/>
    </row>
    <row r="108" spans="1:14">
      <c r="A108" s="293"/>
      <c r="B108" s="293"/>
      <c r="C108" s="293"/>
      <c r="D108" s="293"/>
      <c r="E108" s="293"/>
      <c r="F108" s="293"/>
      <c r="G108" s="293"/>
      <c r="H108" s="293"/>
      <c r="I108" s="293"/>
      <c r="J108" s="293"/>
      <c r="K108" s="293"/>
      <c r="L108" s="293"/>
      <c r="M108" s="293"/>
      <c r="N108" s="311"/>
    </row>
    <row r="109" spans="1:14">
      <c r="A109" s="293"/>
      <c r="B109" s="293"/>
      <c r="C109" s="293"/>
      <c r="D109" s="293"/>
      <c r="E109" s="293"/>
      <c r="F109" s="293"/>
      <c r="G109" s="293"/>
      <c r="H109" s="293"/>
      <c r="I109" s="293"/>
      <c r="J109" s="293"/>
      <c r="K109" s="293"/>
      <c r="L109" s="293"/>
      <c r="M109" s="293"/>
      <c r="N109" s="311"/>
    </row>
    <row r="110" spans="1:14">
      <c r="A110" s="293"/>
      <c r="B110" s="293"/>
      <c r="C110" s="293"/>
      <c r="D110" s="293"/>
      <c r="E110" s="293"/>
      <c r="F110" s="293"/>
      <c r="G110" s="293"/>
      <c r="H110" s="293"/>
      <c r="I110" s="293"/>
      <c r="J110" s="293"/>
      <c r="K110" s="293"/>
      <c r="L110" s="293"/>
      <c r="M110" s="293"/>
      <c r="N110" s="311"/>
    </row>
    <row r="111" spans="1:14">
      <c r="A111" s="293"/>
      <c r="B111" s="293"/>
      <c r="C111" s="293"/>
      <c r="D111" s="293"/>
      <c r="E111" s="293"/>
      <c r="F111" s="293"/>
      <c r="G111" s="293"/>
      <c r="H111" s="293"/>
      <c r="I111" s="293"/>
      <c r="J111" s="293"/>
      <c r="K111" s="293"/>
      <c r="L111" s="293"/>
      <c r="M111" s="293"/>
      <c r="N111" s="311"/>
    </row>
    <row r="112" spans="1:14">
      <c r="A112" s="293"/>
      <c r="B112" s="293"/>
      <c r="C112" s="293"/>
      <c r="D112" s="293"/>
      <c r="E112" s="293"/>
      <c r="F112" s="293"/>
      <c r="G112" s="293"/>
      <c r="H112" s="293"/>
      <c r="I112" s="293"/>
      <c r="J112" s="293"/>
      <c r="K112" s="293"/>
      <c r="L112" s="293"/>
      <c r="M112" s="293"/>
      <c r="N112" s="311"/>
    </row>
    <row r="113" spans="1:14">
      <c r="A113" s="293"/>
      <c r="B113" s="293"/>
      <c r="C113" s="293"/>
      <c r="D113" s="293"/>
      <c r="E113" s="293"/>
      <c r="F113" s="293"/>
      <c r="G113" s="293"/>
      <c r="H113" s="293"/>
      <c r="I113" s="293"/>
      <c r="J113" s="293"/>
      <c r="K113" s="293"/>
      <c r="L113" s="293"/>
      <c r="M113" s="293"/>
      <c r="N113" s="311"/>
    </row>
    <row r="114" spans="1:14">
      <c r="A114" s="293"/>
      <c r="B114" s="293"/>
      <c r="C114" s="293"/>
      <c r="D114" s="293"/>
      <c r="E114" s="293"/>
      <c r="F114" s="293"/>
      <c r="G114" s="293"/>
      <c r="H114" s="293"/>
      <c r="I114" s="293"/>
      <c r="J114" s="293"/>
      <c r="K114" s="293"/>
      <c r="L114" s="293"/>
      <c r="M114" s="293"/>
      <c r="N114" s="311"/>
    </row>
    <row r="115" spans="1:14">
      <c r="A115" s="293"/>
      <c r="B115" s="293"/>
      <c r="C115" s="293"/>
      <c r="D115" s="293"/>
      <c r="E115" s="293"/>
      <c r="F115" s="293"/>
      <c r="G115" s="293"/>
      <c r="H115" s="293"/>
      <c r="I115" s="293"/>
      <c r="J115" s="293"/>
      <c r="K115" s="293"/>
      <c r="L115" s="293"/>
      <c r="M115" s="293"/>
      <c r="N115" s="311"/>
    </row>
    <row r="116" spans="1:14">
      <c r="A116" s="293"/>
      <c r="B116" s="293"/>
      <c r="C116" s="293"/>
      <c r="D116" s="293"/>
      <c r="E116" s="293"/>
      <c r="F116" s="293"/>
      <c r="G116" s="293"/>
      <c r="H116" s="293"/>
      <c r="I116" s="293"/>
      <c r="J116" s="293"/>
      <c r="K116" s="293"/>
      <c r="L116" s="293"/>
      <c r="M116" s="293"/>
      <c r="N116" s="311"/>
    </row>
    <row r="117" spans="1:14">
      <c r="A117" s="293"/>
      <c r="B117" s="293"/>
      <c r="C117" s="293"/>
      <c r="D117" s="293"/>
      <c r="E117" s="293"/>
      <c r="F117" s="293"/>
      <c r="G117" s="293"/>
      <c r="H117" s="293"/>
      <c r="I117" s="293"/>
      <c r="J117" s="293"/>
      <c r="K117" s="293"/>
      <c r="L117" s="293"/>
      <c r="M117" s="293"/>
      <c r="N117" s="311"/>
    </row>
    <row r="118" spans="1:14">
      <c r="A118" s="293"/>
      <c r="B118" s="293"/>
      <c r="C118" s="293"/>
      <c r="D118" s="293"/>
      <c r="E118" s="293"/>
      <c r="F118" s="293"/>
      <c r="G118" s="293"/>
      <c r="H118" s="293"/>
      <c r="I118" s="293"/>
      <c r="J118" s="293"/>
      <c r="K118" s="293"/>
      <c r="L118" s="293"/>
      <c r="M118" s="293"/>
      <c r="N118" s="311"/>
    </row>
    <row r="119" spans="1:14">
      <c r="A119" s="293"/>
      <c r="B119" s="293"/>
      <c r="C119" s="293"/>
      <c r="D119" s="293"/>
      <c r="E119" s="293"/>
      <c r="F119" s="293"/>
      <c r="G119" s="293"/>
      <c r="H119" s="293"/>
      <c r="I119" s="293"/>
      <c r="J119" s="293"/>
      <c r="K119" s="293"/>
      <c r="L119" s="293"/>
      <c r="M119" s="293"/>
      <c r="N119" s="311"/>
    </row>
    <row r="120" spans="1:14">
      <c r="A120" s="293"/>
      <c r="B120" s="293"/>
      <c r="C120" s="293"/>
      <c r="D120" s="293"/>
      <c r="E120" s="293"/>
      <c r="F120" s="293"/>
      <c r="G120" s="293"/>
      <c r="H120" s="293"/>
      <c r="I120" s="293"/>
      <c r="J120" s="293"/>
      <c r="K120" s="293"/>
      <c r="L120" s="293"/>
      <c r="M120" s="293"/>
      <c r="N120" s="311"/>
    </row>
    <row r="121" spans="1:14">
      <c r="A121" s="293"/>
      <c r="B121" s="293"/>
      <c r="C121" s="293"/>
      <c r="D121" s="293"/>
      <c r="E121" s="293"/>
      <c r="F121" s="293"/>
      <c r="G121" s="293"/>
      <c r="H121" s="293"/>
      <c r="I121" s="293"/>
      <c r="J121" s="293"/>
      <c r="K121" s="293"/>
      <c r="L121" s="293"/>
      <c r="M121" s="293"/>
      <c r="N121" s="311"/>
    </row>
    <row r="122" spans="1:14">
      <c r="A122" s="293"/>
      <c r="B122" s="293"/>
      <c r="C122" s="293"/>
      <c r="D122" s="293"/>
      <c r="E122" s="293"/>
      <c r="F122" s="293"/>
      <c r="G122" s="293"/>
      <c r="H122" s="293"/>
      <c r="I122" s="293"/>
      <c r="J122" s="293"/>
      <c r="K122" s="293"/>
      <c r="L122" s="293"/>
      <c r="M122" s="293"/>
      <c r="N122" s="311"/>
    </row>
    <row r="123" spans="1:14">
      <c r="A123" s="293"/>
      <c r="B123" s="293"/>
      <c r="C123" s="293"/>
      <c r="D123" s="293"/>
      <c r="E123" s="293"/>
      <c r="F123" s="293"/>
      <c r="G123" s="293"/>
      <c r="H123" s="293"/>
      <c r="I123" s="293"/>
      <c r="J123" s="293"/>
      <c r="K123" s="293"/>
      <c r="L123" s="293"/>
      <c r="M123" s="293"/>
      <c r="N123" s="311"/>
    </row>
    <row r="124" spans="1:14">
      <c r="A124" s="293"/>
      <c r="B124" s="293"/>
      <c r="C124" s="293"/>
      <c r="D124" s="293"/>
      <c r="E124" s="293"/>
      <c r="F124" s="293"/>
      <c r="G124" s="293"/>
      <c r="H124" s="293"/>
      <c r="I124" s="293"/>
      <c r="J124" s="293"/>
      <c r="K124" s="293"/>
      <c r="L124" s="293"/>
      <c r="M124" s="293"/>
      <c r="N124" s="311"/>
    </row>
    <row r="125" spans="1:14">
      <c r="A125" s="293"/>
      <c r="B125" s="293"/>
      <c r="C125" s="293"/>
      <c r="D125" s="293"/>
      <c r="E125" s="293"/>
      <c r="F125" s="293"/>
      <c r="G125" s="293"/>
      <c r="H125" s="293"/>
      <c r="I125" s="293"/>
      <c r="J125" s="293"/>
      <c r="K125" s="293"/>
      <c r="L125" s="293"/>
      <c r="M125" s="293"/>
      <c r="N125" s="311"/>
    </row>
    <row r="126" spans="1:14">
      <c r="A126" s="293"/>
      <c r="B126" s="293"/>
      <c r="C126" s="293"/>
      <c r="D126" s="293"/>
      <c r="E126" s="293"/>
      <c r="F126" s="293"/>
      <c r="G126" s="293"/>
      <c r="H126" s="293"/>
      <c r="I126" s="293"/>
      <c r="J126" s="293"/>
      <c r="K126" s="293"/>
      <c r="L126" s="293"/>
      <c r="M126" s="293"/>
      <c r="N126" s="311"/>
    </row>
    <row r="127" spans="1:14">
      <c r="A127" s="293"/>
      <c r="B127" s="293"/>
      <c r="C127" s="293"/>
      <c r="D127" s="293"/>
      <c r="E127" s="293"/>
      <c r="F127" s="293"/>
      <c r="G127" s="293"/>
      <c r="H127" s="293"/>
      <c r="I127" s="293"/>
      <c r="J127" s="293"/>
      <c r="K127" s="293"/>
      <c r="L127" s="293"/>
      <c r="M127" s="293"/>
      <c r="N127" s="311"/>
    </row>
    <row r="128" spans="1:14">
      <c r="A128" s="293"/>
      <c r="B128" s="293"/>
      <c r="C128" s="293"/>
      <c r="D128" s="293"/>
      <c r="E128" s="293"/>
      <c r="F128" s="293"/>
      <c r="G128" s="293"/>
      <c r="H128" s="293"/>
      <c r="I128" s="293"/>
      <c r="J128" s="293"/>
      <c r="K128" s="293"/>
      <c r="L128" s="293"/>
      <c r="M128" s="293"/>
      <c r="N128" s="311"/>
    </row>
    <row r="129" spans="1:14">
      <c r="A129" s="293"/>
      <c r="B129" s="293"/>
      <c r="C129" s="293"/>
      <c r="D129" s="293"/>
      <c r="E129" s="293"/>
      <c r="F129" s="293"/>
      <c r="G129" s="293"/>
      <c r="H129" s="293"/>
      <c r="I129" s="293"/>
      <c r="J129" s="293"/>
      <c r="K129" s="293"/>
      <c r="L129" s="293"/>
      <c r="M129" s="293"/>
      <c r="N129" s="311"/>
    </row>
    <row r="130" spans="1:14">
      <c r="A130" s="293"/>
      <c r="B130" s="293"/>
      <c r="C130" s="293"/>
      <c r="D130" s="293"/>
      <c r="E130" s="293"/>
      <c r="F130" s="293"/>
      <c r="G130" s="293"/>
      <c r="H130" s="293"/>
      <c r="I130" s="293"/>
      <c r="J130" s="293"/>
      <c r="K130" s="293"/>
      <c r="L130" s="293"/>
      <c r="M130" s="293"/>
      <c r="N130" s="311"/>
    </row>
    <row r="131" spans="1:14">
      <c r="A131" s="293"/>
      <c r="B131" s="293"/>
      <c r="C131" s="293"/>
      <c r="D131" s="293"/>
      <c r="E131" s="293"/>
      <c r="F131" s="293"/>
      <c r="G131" s="293"/>
      <c r="H131" s="293"/>
      <c r="I131" s="293"/>
      <c r="J131" s="293"/>
      <c r="K131" s="293"/>
      <c r="L131" s="293"/>
      <c r="M131" s="293"/>
      <c r="N131" s="311"/>
    </row>
    <row r="132" spans="1:14">
      <c r="A132" s="293"/>
      <c r="B132" s="293"/>
      <c r="C132" s="293"/>
      <c r="D132" s="293"/>
      <c r="E132" s="293"/>
      <c r="F132" s="293"/>
      <c r="G132" s="293"/>
      <c r="H132" s="293"/>
      <c r="I132" s="293"/>
      <c r="J132" s="293"/>
      <c r="K132" s="293"/>
      <c r="L132" s="293"/>
      <c r="M132" s="293"/>
      <c r="N132" s="311"/>
    </row>
    <row r="133" spans="1:14">
      <c r="A133" s="293"/>
      <c r="B133" s="293"/>
      <c r="C133" s="293"/>
      <c r="D133" s="293"/>
      <c r="E133" s="293"/>
      <c r="F133" s="293"/>
      <c r="G133" s="293"/>
      <c r="H133" s="293"/>
      <c r="I133" s="293"/>
      <c r="J133" s="293"/>
      <c r="K133" s="293"/>
      <c r="L133" s="293"/>
      <c r="M133" s="293"/>
      <c r="N133" s="311"/>
    </row>
    <row r="134" spans="1:14">
      <c r="A134" s="293"/>
      <c r="B134" s="293"/>
      <c r="C134" s="293"/>
      <c r="D134" s="293"/>
      <c r="E134" s="293"/>
      <c r="F134" s="293"/>
      <c r="G134" s="293"/>
      <c r="H134" s="293"/>
      <c r="I134" s="293"/>
      <c r="J134" s="293"/>
      <c r="K134" s="293"/>
      <c r="L134" s="293"/>
      <c r="M134" s="293"/>
      <c r="N134" s="311"/>
    </row>
    <row r="135" spans="1:14">
      <c r="A135" s="293"/>
      <c r="B135" s="293"/>
      <c r="C135" s="293"/>
      <c r="D135" s="293"/>
      <c r="E135" s="293"/>
      <c r="F135" s="293"/>
      <c r="G135" s="293"/>
      <c r="H135" s="293"/>
      <c r="I135" s="293"/>
      <c r="J135" s="293"/>
      <c r="K135" s="293"/>
      <c r="L135" s="293"/>
      <c r="M135" s="293"/>
      <c r="N135" s="311"/>
    </row>
    <row r="136" spans="1:14">
      <c r="A136" s="293"/>
      <c r="B136" s="293"/>
      <c r="C136" s="293"/>
      <c r="D136" s="293"/>
      <c r="E136" s="293"/>
      <c r="F136" s="293"/>
      <c r="G136" s="293"/>
      <c r="H136" s="293"/>
      <c r="I136" s="293"/>
      <c r="J136" s="293"/>
      <c r="K136" s="293"/>
      <c r="L136" s="293"/>
      <c r="M136" s="293"/>
      <c r="N136" s="311"/>
    </row>
    <row r="137" spans="1:14">
      <c r="A137" s="293"/>
      <c r="B137" s="293"/>
      <c r="C137" s="293"/>
      <c r="D137" s="293"/>
      <c r="E137" s="293"/>
      <c r="F137" s="293"/>
      <c r="G137" s="293"/>
      <c r="H137" s="293"/>
      <c r="I137" s="293"/>
      <c r="J137" s="293"/>
      <c r="K137" s="293"/>
      <c r="L137" s="293"/>
      <c r="M137" s="293"/>
      <c r="N137" s="311"/>
    </row>
    <row r="138" spans="1:14">
      <c r="A138" s="293"/>
      <c r="B138" s="293"/>
      <c r="C138" s="293"/>
      <c r="D138" s="293"/>
      <c r="E138" s="293"/>
      <c r="F138" s="293"/>
      <c r="G138" s="293"/>
      <c r="H138" s="293"/>
      <c r="I138" s="293"/>
      <c r="J138" s="293"/>
      <c r="K138" s="293"/>
      <c r="L138" s="293"/>
      <c r="M138" s="293"/>
      <c r="N138" s="311"/>
    </row>
    <row r="139" spans="1:14">
      <c r="A139" s="293"/>
      <c r="B139" s="293"/>
      <c r="C139" s="293"/>
      <c r="D139" s="293"/>
      <c r="E139" s="293"/>
      <c r="F139" s="293"/>
      <c r="G139" s="293"/>
      <c r="H139" s="293"/>
      <c r="I139" s="293"/>
      <c r="J139" s="293"/>
      <c r="K139" s="293"/>
      <c r="L139" s="293"/>
      <c r="M139" s="293"/>
      <c r="N139" s="311"/>
    </row>
    <row r="140" spans="1:14">
      <c r="A140" s="293"/>
      <c r="B140" s="293"/>
      <c r="C140" s="293"/>
      <c r="D140" s="293"/>
      <c r="E140" s="293"/>
      <c r="F140" s="293"/>
      <c r="G140" s="293"/>
      <c r="H140" s="293"/>
      <c r="I140" s="293"/>
      <c r="J140" s="293"/>
      <c r="K140" s="293"/>
      <c r="L140" s="293"/>
      <c r="M140" s="293"/>
      <c r="N140" s="311"/>
    </row>
    <row r="141" spans="1:14">
      <c r="A141" s="293"/>
      <c r="B141" s="293"/>
      <c r="C141" s="293"/>
      <c r="D141" s="293"/>
      <c r="E141" s="293"/>
      <c r="F141" s="293"/>
      <c r="G141" s="293"/>
      <c r="H141" s="293"/>
      <c r="I141" s="293"/>
      <c r="J141" s="293"/>
      <c r="K141" s="293"/>
      <c r="L141" s="293"/>
      <c r="M141" s="293"/>
      <c r="N141" s="311"/>
    </row>
    <row r="142" spans="1:14">
      <c r="A142" s="293"/>
      <c r="B142" s="293"/>
      <c r="C142" s="293"/>
      <c r="D142" s="293"/>
      <c r="E142" s="293"/>
      <c r="F142" s="293"/>
      <c r="G142" s="293"/>
      <c r="H142" s="293"/>
      <c r="I142" s="293"/>
      <c r="J142" s="293"/>
      <c r="K142" s="293"/>
      <c r="L142" s="293"/>
      <c r="M142" s="293"/>
      <c r="N142" s="311"/>
    </row>
    <row r="143" spans="1:14">
      <c r="A143" s="293"/>
      <c r="B143" s="293"/>
      <c r="C143" s="293"/>
      <c r="D143" s="293"/>
      <c r="E143" s="293"/>
      <c r="F143" s="293"/>
      <c r="G143" s="293"/>
      <c r="H143" s="293"/>
      <c r="I143" s="293"/>
      <c r="J143" s="293"/>
      <c r="K143" s="293"/>
      <c r="L143" s="293"/>
      <c r="M143" s="293"/>
      <c r="N143" s="311"/>
    </row>
    <row r="144" spans="1:14">
      <c r="A144" s="293"/>
      <c r="B144" s="293"/>
      <c r="C144" s="293"/>
      <c r="D144" s="293"/>
      <c r="E144" s="293"/>
      <c r="F144" s="293"/>
      <c r="G144" s="293"/>
      <c r="H144" s="293"/>
      <c r="I144" s="293"/>
      <c r="J144" s="293"/>
      <c r="K144" s="293"/>
      <c r="L144" s="293"/>
      <c r="M144" s="293"/>
      <c r="N144" s="311"/>
    </row>
    <row r="145" spans="1:14">
      <c r="A145" s="293"/>
      <c r="B145" s="293"/>
      <c r="C145" s="293"/>
      <c r="D145" s="293"/>
      <c r="E145" s="293"/>
      <c r="F145" s="293"/>
      <c r="G145" s="293"/>
      <c r="H145" s="293"/>
      <c r="I145" s="293"/>
      <c r="J145" s="293"/>
      <c r="K145" s="293"/>
      <c r="L145" s="293"/>
      <c r="M145" s="293"/>
      <c r="N145" s="311"/>
    </row>
    <row r="146" spans="1:14">
      <c r="A146" s="293"/>
      <c r="B146" s="293"/>
      <c r="C146" s="293"/>
      <c r="D146" s="293"/>
      <c r="E146" s="293"/>
      <c r="F146" s="293"/>
      <c r="G146" s="293"/>
      <c r="H146" s="293"/>
      <c r="I146" s="293"/>
      <c r="J146" s="293"/>
      <c r="K146" s="293"/>
      <c r="L146" s="293"/>
      <c r="M146" s="293"/>
      <c r="N146" s="311"/>
    </row>
    <row r="147" spans="1:14">
      <c r="A147" s="293"/>
      <c r="B147" s="293"/>
      <c r="C147" s="293"/>
      <c r="D147" s="293"/>
      <c r="E147" s="293"/>
      <c r="F147" s="293"/>
      <c r="G147" s="293"/>
      <c r="H147" s="293"/>
      <c r="I147" s="293"/>
      <c r="J147" s="293"/>
      <c r="K147" s="293"/>
      <c r="L147" s="293"/>
      <c r="M147" s="293"/>
      <c r="N147" s="311"/>
    </row>
    <row r="148" spans="1:14">
      <c r="A148" s="293"/>
      <c r="B148" s="293"/>
      <c r="C148" s="293"/>
      <c r="D148" s="293"/>
      <c r="E148" s="293"/>
      <c r="F148" s="293"/>
      <c r="G148" s="293"/>
      <c r="H148" s="293"/>
      <c r="I148" s="293"/>
      <c r="J148" s="293"/>
      <c r="K148" s="293"/>
      <c r="L148" s="293"/>
      <c r="M148" s="293"/>
      <c r="N148" s="311"/>
    </row>
    <row r="149" spans="1:14">
      <c r="A149" s="293"/>
      <c r="B149" s="293"/>
      <c r="C149" s="293"/>
      <c r="D149" s="293"/>
      <c r="E149" s="293"/>
      <c r="F149" s="293"/>
      <c r="G149" s="293"/>
      <c r="H149" s="293"/>
      <c r="I149" s="293"/>
      <c r="J149" s="293"/>
      <c r="K149" s="293"/>
      <c r="L149" s="293"/>
      <c r="M149" s="293"/>
      <c r="N149" s="311"/>
    </row>
    <row r="150" spans="1:14">
      <c r="A150" s="293"/>
      <c r="B150" s="293"/>
      <c r="C150" s="293"/>
      <c r="D150" s="293"/>
      <c r="E150" s="293"/>
      <c r="F150" s="293"/>
      <c r="G150" s="293"/>
      <c r="H150" s="293"/>
      <c r="I150" s="293"/>
      <c r="J150" s="293"/>
      <c r="K150" s="293"/>
      <c r="L150" s="293"/>
      <c r="M150" s="293"/>
      <c r="N150" s="311"/>
    </row>
    <row r="151" spans="1:14">
      <c r="A151" s="293"/>
      <c r="B151" s="293"/>
      <c r="C151" s="293"/>
      <c r="D151" s="293"/>
      <c r="E151" s="293"/>
      <c r="F151" s="293"/>
      <c r="G151" s="293"/>
      <c r="H151" s="293"/>
      <c r="I151" s="293"/>
      <c r="J151" s="293"/>
      <c r="K151" s="293"/>
      <c r="L151" s="293"/>
      <c r="M151" s="293"/>
      <c r="N151" s="311"/>
    </row>
    <row r="152" spans="1:14">
      <c r="A152" s="293"/>
      <c r="B152" s="293"/>
      <c r="C152" s="293"/>
      <c r="D152" s="293"/>
      <c r="E152" s="293"/>
      <c r="F152" s="293"/>
      <c r="G152" s="293"/>
      <c r="H152" s="293"/>
      <c r="I152" s="293"/>
      <c r="J152" s="293"/>
      <c r="K152" s="293"/>
      <c r="L152" s="293"/>
      <c r="M152" s="293"/>
      <c r="N152" s="311"/>
    </row>
    <row r="153" spans="1:14">
      <c r="A153" s="293"/>
      <c r="B153" s="293"/>
      <c r="C153" s="293"/>
      <c r="D153" s="293"/>
      <c r="E153" s="293"/>
      <c r="F153" s="293"/>
      <c r="G153" s="293"/>
      <c r="H153" s="293"/>
      <c r="I153" s="293"/>
      <c r="J153" s="293"/>
      <c r="K153" s="293"/>
      <c r="L153" s="293"/>
      <c r="M153" s="293"/>
      <c r="N153" s="311"/>
    </row>
    <row r="154" spans="1:14">
      <c r="A154" s="293"/>
      <c r="B154" s="293"/>
      <c r="C154" s="293"/>
      <c r="D154" s="293"/>
      <c r="E154" s="293"/>
      <c r="F154" s="293"/>
      <c r="G154" s="293"/>
      <c r="H154" s="293"/>
      <c r="I154" s="293"/>
      <c r="J154" s="293"/>
      <c r="K154" s="293"/>
      <c r="L154" s="293"/>
      <c r="M154" s="293"/>
      <c r="N154" s="311"/>
    </row>
    <row r="155" spans="1:14">
      <c r="A155" s="293"/>
      <c r="B155" s="293"/>
      <c r="C155" s="293"/>
      <c r="D155" s="293"/>
      <c r="E155" s="293"/>
      <c r="F155" s="293"/>
      <c r="G155" s="293"/>
      <c r="H155" s="293"/>
      <c r="I155" s="293"/>
      <c r="J155" s="293"/>
      <c r="K155" s="293"/>
      <c r="L155" s="293"/>
      <c r="M155" s="293"/>
      <c r="N155" s="311"/>
    </row>
    <row r="156" spans="1:14">
      <c r="A156" s="293"/>
      <c r="B156" s="293"/>
      <c r="C156" s="293"/>
      <c r="D156" s="293"/>
      <c r="E156" s="293"/>
      <c r="F156" s="293"/>
      <c r="G156" s="293"/>
      <c r="H156" s="293"/>
      <c r="I156" s="293"/>
      <c r="J156" s="293"/>
      <c r="K156" s="293"/>
      <c r="L156" s="293"/>
      <c r="M156" s="293"/>
      <c r="N156" s="311"/>
    </row>
    <row r="157" spans="1:14">
      <c r="A157" s="293"/>
      <c r="B157" s="293"/>
      <c r="C157" s="293"/>
      <c r="D157" s="293"/>
      <c r="E157" s="293"/>
      <c r="F157" s="293"/>
      <c r="G157" s="293"/>
      <c r="H157" s="293"/>
      <c r="I157" s="293"/>
      <c r="J157" s="293"/>
      <c r="K157" s="293"/>
      <c r="L157" s="293"/>
      <c r="M157" s="293"/>
      <c r="N157" s="311"/>
    </row>
    <row r="158" spans="1:14">
      <c r="A158" s="293"/>
      <c r="B158" s="293"/>
      <c r="C158" s="293"/>
      <c r="D158" s="293"/>
      <c r="E158" s="293"/>
      <c r="F158" s="293"/>
      <c r="G158" s="293"/>
      <c r="H158" s="293"/>
      <c r="I158" s="293"/>
      <c r="J158" s="293"/>
      <c r="K158" s="293"/>
      <c r="L158" s="293"/>
      <c r="M158" s="293"/>
      <c r="N158" s="311"/>
    </row>
    <row r="159" spans="1:14">
      <c r="A159" s="293"/>
      <c r="B159" s="293"/>
      <c r="C159" s="293"/>
      <c r="D159" s="293"/>
      <c r="E159" s="293"/>
      <c r="F159" s="293"/>
      <c r="G159" s="293"/>
      <c r="H159" s="293"/>
      <c r="I159" s="293"/>
      <c r="J159" s="293"/>
      <c r="K159" s="293"/>
      <c r="L159" s="293"/>
      <c r="M159" s="293"/>
      <c r="N159" s="311"/>
    </row>
    <row r="160" spans="1:14">
      <c r="A160" s="293"/>
      <c r="B160" s="293"/>
      <c r="C160" s="293"/>
      <c r="D160" s="293"/>
      <c r="E160" s="293"/>
      <c r="F160" s="293"/>
      <c r="G160" s="293"/>
      <c r="H160" s="293"/>
      <c r="I160" s="293"/>
      <c r="J160" s="293"/>
      <c r="K160" s="293"/>
      <c r="L160" s="293"/>
      <c r="M160" s="293"/>
      <c r="N160" s="311"/>
    </row>
  </sheetData>
  <printOptions horizontalCentered="1" verticalCentered="1"/>
  <pageMargins left="0.19685039370078741" right="0.19685039370078741" top="0.78740157480314965" bottom="0.19685039370078741" header="0.39370078740157483" footer="0.19685039370078741"/>
  <pageSetup paperSize="9" scale="62" orientation="portrait" cellComments="atEnd" horizontalDpi="300" verticalDpi="3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63FFB-A2ED-094E-8CF2-6ACBB1383693}">
  <sheetPr>
    <tabColor rgb="FFFF0000"/>
    <pageSetUpPr fitToPage="1"/>
  </sheetPr>
  <dimension ref="B1:AA41"/>
  <sheetViews>
    <sheetView workbookViewId="0">
      <selection activeCell="O6" sqref="O6"/>
    </sheetView>
  </sheetViews>
  <sheetFormatPr baseColWidth="10" defaultColWidth="9.1640625" defaultRowHeight="15"/>
  <cols>
    <col min="1" max="1" width="9.1640625" style="219" customWidth="1"/>
    <col min="2" max="2" width="0.1640625" style="219" customWidth="1"/>
    <col min="3" max="3" width="1" style="219" hidden="1" customWidth="1"/>
    <col min="4" max="4" width="76.1640625" style="219" customWidth="1"/>
    <col min="5" max="5" width="16.5" style="219" bestFit="1" customWidth="1"/>
    <col min="6" max="14" width="9.1640625" style="219"/>
    <col min="15" max="15" width="16.1640625" style="219" customWidth="1"/>
    <col min="16" max="16384" width="9.1640625" style="219"/>
  </cols>
  <sheetData>
    <row r="1" spans="4:15" ht="26">
      <c r="D1" s="395" t="s">
        <v>288</v>
      </c>
      <c r="F1" s="395"/>
      <c r="G1" s="395" t="s">
        <v>289</v>
      </c>
    </row>
    <row r="2" spans="4:15" ht="16" thickBot="1"/>
    <row r="3" spans="4:15" ht="19">
      <c r="D3" s="869"/>
      <c r="E3" s="877" t="s">
        <v>186</v>
      </c>
      <c r="G3" s="865"/>
      <c r="H3" s="825"/>
      <c r="I3" s="825"/>
      <c r="J3" s="825"/>
      <c r="K3" s="825"/>
      <c r="L3" s="825"/>
      <c r="M3" s="825"/>
      <c r="N3" s="825"/>
      <c r="O3" s="826"/>
    </row>
    <row r="4" spans="4:15" ht="19">
      <c r="D4" s="870" t="s">
        <v>290</v>
      </c>
      <c r="E4" s="871">
        <f>'Budget før boligkøb'!N88</f>
        <v>26175.906999999996</v>
      </c>
      <c r="G4" s="875" t="s">
        <v>291</v>
      </c>
      <c r="O4" s="876">
        <f>(Banklån!D6+'Realkredit finansiering'!E3)/'Enlig skat før boligkøb'!C20</f>
        <v>6.1855670103092786</v>
      </c>
    </row>
    <row r="5" spans="4:15" ht="19">
      <c r="D5" s="870" t="s">
        <v>292</v>
      </c>
      <c r="E5" s="872" t="e">
        <f ca="1">'Budget efter boligkøb'!N88</f>
        <v>#NUM!</v>
      </c>
      <c r="G5" s="828"/>
      <c r="O5" s="829"/>
    </row>
    <row r="6" spans="4:15" ht="19">
      <c r="D6" s="870" t="s">
        <v>293</v>
      </c>
      <c r="E6" s="872" t="e">
        <f ca="1">E5+'Realkredit finansiering'!E28-'Realkredit finansiering'!F28</f>
        <v>#NUM!</v>
      </c>
      <c r="G6" s="875" t="s">
        <v>294</v>
      </c>
      <c r="O6" s="876" t="e">
        <f>(Banklån!D6+'Realkredit finansiering'!E3)/('Ægtepar skat før boligkøb'!C20+'Ægtepar skat før boligkøb'!D20)</f>
        <v>#DIV/0!</v>
      </c>
    </row>
    <row r="7" spans="4:15" ht="19">
      <c r="D7" s="870" t="s">
        <v>295</v>
      </c>
      <c r="E7" s="872" t="e">
        <f ca="1">E5+'Realkredit finansiering'!E28-'Realkredit finansiering'!G28</f>
        <v>#NUM!</v>
      </c>
      <c r="G7" s="828"/>
      <c r="O7" s="829"/>
    </row>
    <row r="8" spans="4:15" ht="20" thickBot="1">
      <c r="D8" s="873" t="s">
        <v>296</v>
      </c>
      <c r="E8" s="874" t="e">
        <f ca="1">E5+'Realkredit finansiering'!E28-'Realkredit finansiering'!H28</f>
        <v>#NUM!</v>
      </c>
      <c r="G8" s="842"/>
      <c r="H8" s="832"/>
      <c r="I8" s="832"/>
      <c r="J8" s="832"/>
      <c r="K8" s="832"/>
      <c r="L8" s="832"/>
      <c r="M8" s="832"/>
      <c r="N8" s="832"/>
      <c r="O8" s="833"/>
    </row>
    <row r="9" spans="4:15" ht="21">
      <c r="H9" s="222"/>
    </row>
    <row r="10" spans="4:15" ht="26">
      <c r="G10" s="395" t="s">
        <v>297</v>
      </c>
    </row>
    <row r="11" spans="4:15" ht="16" thickBot="1"/>
    <row r="12" spans="4:15" ht="19">
      <c r="G12" s="878" t="s">
        <v>298</v>
      </c>
      <c r="H12" s="825"/>
      <c r="I12" s="825"/>
      <c r="J12" s="825"/>
      <c r="K12" s="825"/>
      <c r="L12" s="825"/>
      <c r="M12" s="825"/>
      <c r="N12" s="825"/>
      <c r="O12" s="826"/>
    </row>
    <row r="13" spans="4:15" ht="19">
      <c r="G13" s="875" t="s">
        <v>299</v>
      </c>
      <c r="O13" s="829"/>
    </row>
    <row r="14" spans="4:15">
      <c r="G14" s="828"/>
      <c r="O14" s="829"/>
    </row>
    <row r="15" spans="4:15" ht="19">
      <c r="G15" s="879" t="s">
        <v>300</v>
      </c>
      <c r="O15" s="829"/>
    </row>
    <row r="16" spans="4:15" ht="19">
      <c r="G16" s="879" t="s">
        <v>301</v>
      </c>
      <c r="O16" s="829"/>
    </row>
    <row r="17" spans="4:20" ht="19">
      <c r="G17" s="879" t="s">
        <v>302</v>
      </c>
      <c r="O17" s="829"/>
    </row>
    <row r="18" spans="4:20" ht="19">
      <c r="G18" s="879"/>
      <c r="O18" s="829"/>
    </row>
    <row r="19" spans="4:20" ht="20" thickBot="1">
      <c r="G19" s="880" t="s">
        <v>303</v>
      </c>
      <c r="H19" s="832"/>
      <c r="I19" s="832"/>
      <c r="J19" s="832"/>
      <c r="K19" s="832"/>
      <c r="L19" s="832"/>
      <c r="M19" s="832"/>
      <c r="N19" s="832"/>
      <c r="O19" s="833"/>
    </row>
    <row r="30" spans="4:20">
      <c r="T30" s="221"/>
    </row>
    <row r="31" spans="4:20">
      <c r="H31" s="221"/>
    </row>
    <row r="32" spans="4:20" ht="19">
      <c r="D32" s="397"/>
      <c r="E32" s="398"/>
      <c r="F32" s="397"/>
    </row>
    <row r="33" spans="2:27" ht="19">
      <c r="B33" s="399"/>
      <c r="C33" s="399"/>
      <c r="D33" s="400"/>
      <c r="E33" s="401"/>
      <c r="F33" s="397"/>
      <c r="Q33" s="220"/>
      <c r="R33" s="220"/>
      <c r="S33" s="220"/>
      <c r="T33" s="220"/>
      <c r="U33" s="220"/>
      <c r="V33" s="220"/>
      <c r="W33" s="220"/>
      <c r="X33" s="220"/>
      <c r="Y33" s="220"/>
      <c r="Z33" s="220"/>
      <c r="AA33" s="220"/>
    </row>
    <row r="35" spans="2:27" ht="19">
      <c r="H35" s="226"/>
      <c r="I35" s="220"/>
      <c r="J35" s="220"/>
      <c r="K35" s="220"/>
      <c r="L35" s="220"/>
      <c r="M35" s="220"/>
      <c r="N35" s="220"/>
      <c r="O35" s="220"/>
      <c r="P35" s="220"/>
    </row>
    <row r="36" spans="2:27">
      <c r="I36" s="220"/>
      <c r="J36" s="220"/>
      <c r="K36" s="220"/>
      <c r="L36" s="220"/>
      <c r="M36" s="220"/>
      <c r="N36" s="220"/>
      <c r="O36" s="220"/>
      <c r="P36" s="220"/>
    </row>
    <row r="37" spans="2:27">
      <c r="I37" s="220"/>
      <c r="J37" s="220"/>
      <c r="K37" s="220"/>
      <c r="L37" s="220"/>
      <c r="M37" s="220"/>
      <c r="N37" s="220"/>
      <c r="O37" s="220"/>
      <c r="P37" s="220"/>
    </row>
    <row r="38" spans="2:27">
      <c r="I38" s="220"/>
      <c r="J38" s="220"/>
      <c r="K38" s="220"/>
      <c r="L38" s="220"/>
      <c r="M38" s="220"/>
      <c r="N38" s="220"/>
      <c r="O38" s="220"/>
      <c r="P38" s="220"/>
    </row>
    <row r="39" spans="2:27">
      <c r="H39" s="220"/>
    </row>
    <row r="40" spans="2:27">
      <c r="H40" s="220"/>
    </row>
    <row r="41" spans="2:27">
      <c r="H41" s="220"/>
    </row>
  </sheetData>
  <pageMargins left="0.70866141732283472" right="0.70866141732283472" top="0.74803149606299213" bottom="0.74803149606299213" header="0.31496062992125984" footer="0.31496062992125984"/>
  <pageSetup scale="59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2EF5E-B1BD-904C-A72F-75C5962ADDCC}">
  <sheetPr>
    <tabColor rgb="FF00B050"/>
    <pageSetUpPr fitToPage="1"/>
  </sheetPr>
  <dimension ref="E1:K64"/>
  <sheetViews>
    <sheetView topLeftCell="D30" zoomScale="125" zoomScaleNormal="90" workbookViewId="0">
      <selection activeCell="E42" sqref="E42"/>
    </sheetView>
  </sheetViews>
  <sheetFormatPr baseColWidth="10" defaultColWidth="9.1640625" defaultRowHeight="15"/>
  <cols>
    <col min="1" max="3" width="0" style="403" hidden="1" customWidth="1"/>
    <col min="4" max="4" width="3.6640625" style="403" customWidth="1"/>
    <col min="5" max="5" width="41.1640625" style="403" customWidth="1"/>
    <col min="6" max="6" width="6.1640625" style="403" customWidth="1"/>
    <col min="7" max="7" width="58.1640625" style="403" customWidth="1"/>
    <col min="8" max="8" width="19.5" style="403" bestFit="1" customWidth="1"/>
    <col min="9" max="9" width="18.6640625" style="403" bestFit="1" customWidth="1"/>
    <col min="10" max="10" width="16.5" style="403" bestFit="1" customWidth="1"/>
    <col min="11" max="11" width="13" style="403" customWidth="1"/>
    <col min="12" max="16384" width="9.1640625" style="403"/>
  </cols>
  <sheetData>
    <row r="1" spans="5:11" ht="21">
      <c r="E1" s="402" t="s">
        <v>304</v>
      </c>
      <c r="F1" s="402"/>
    </row>
    <row r="2" spans="5:11" ht="19">
      <c r="E2" s="404" t="s">
        <v>305</v>
      </c>
      <c r="F2" s="405">
        <f>H19</f>
        <v>0</v>
      </c>
      <c r="G2" s="406" t="s">
        <v>306</v>
      </c>
    </row>
    <row r="3" spans="5:11" ht="19">
      <c r="E3" s="407" t="s">
        <v>307</v>
      </c>
      <c r="G3" s="408" t="s">
        <v>308</v>
      </c>
      <c r="H3" s="409">
        <v>0</v>
      </c>
    </row>
    <row r="4" spans="5:11" ht="19">
      <c r="G4" s="408" t="s">
        <v>260</v>
      </c>
      <c r="H4" s="410"/>
      <c r="I4" s="408"/>
    </row>
    <row r="5" spans="5:11" ht="19">
      <c r="G5" s="408" t="s">
        <v>281</v>
      </c>
      <c r="H5" s="411">
        <v>6.8120000000000003E-3</v>
      </c>
      <c r="I5" s="408"/>
    </row>
    <row r="6" spans="5:11" ht="19">
      <c r="G6" s="408" t="s">
        <v>309</v>
      </c>
      <c r="H6" s="412">
        <f>H4+H5</f>
        <v>6.8120000000000003E-3</v>
      </c>
      <c r="I6" s="408"/>
    </row>
    <row r="7" spans="5:11" ht="19">
      <c r="G7" s="408" t="s">
        <v>310</v>
      </c>
      <c r="H7" s="413"/>
      <c r="I7" s="408" t="s">
        <v>311</v>
      </c>
    </row>
    <row r="8" spans="5:11" ht="19">
      <c r="G8" s="408" t="s">
        <v>312</v>
      </c>
      <c r="H8" s="409"/>
      <c r="I8" s="408"/>
    </row>
    <row r="9" spans="5:11" ht="19">
      <c r="G9" s="408" t="s">
        <v>264</v>
      </c>
      <c r="H9" s="414">
        <v>4</v>
      </c>
      <c r="I9" s="408"/>
    </row>
    <row r="10" spans="5:11" ht="19">
      <c r="G10" s="408" t="s">
        <v>265</v>
      </c>
      <c r="H10" s="415">
        <f>H8*H9</f>
        <v>0</v>
      </c>
      <c r="I10" s="408"/>
    </row>
    <row r="11" spans="5:11" ht="19">
      <c r="G11" s="408"/>
      <c r="H11" s="416"/>
      <c r="I11" s="408"/>
      <c r="J11" s="403" t="s">
        <v>75</v>
      </c>
    </row>
    <row r="12" spans="5:11" ht="19">
      <c r="G12" s="408" t="s">
        <v>266</v>
      </c>
      <c r="H12" s="415" t="e">
        <f>-PMT(H4/H9,H10,H3)</f>
        <v>#NUM!</v>
      </c>
      <c r="I12" s="415"/>
      <c r="J12" s="417" t="s">
        <v>75</v>
      </c>
    </row>
    <row r="13" spans="5:11" ht="19">
      <c r="G13" s="408" t="s">
        <v>313</v>
      </c>
      <c r="H13" s="415" t="e">
        <f>H12*H9</f>
        <v>#NUM!</v>
      </c>
      <c r="I13" s="415"/>
      <c r="J13" s="417"/>
      <c r="K13" s="403" t="s">
        <v>75</v>
      </c>
    </row>
    <row r="14" spans="5:11" ht="19">
      <c r="G14" s="408" t="s">
        <v>314</v>
      </c>
      <c r="H14" s="415" t="e">
        <f>($H$3+CUMPRINC($H$4/4,$H$10,$H$3,1,$F$2*$H$9,0))*$H$5/$H$9+($H$3+CUMPRINC($H$4/4,$H$10,$H$3,1,$F$2*$H$9+1,0))*$H$5/$H$9+($H$3+CUMPRINC($H$4/4,$H$10,$H$3,1,$F$2*$H$9+2,0))*$H$5/$H$9+($H$3+CUMPRINC($H$4/4,$H$10,$H$3,1,$F$2*$H$9+3,0))*$H$5/$H$9</f>
        <v>#NUM!</v>
      </c>
      <c r="I14" s="415"/>
      <c r="J14" s="417"/>
    </row>
    <row r="15" spans="5:11" ht="19">
      <c r="G15" s="408" t="s">
        <v>315</v>
      </c>
      <c r="H15" s="415" t="e">
        <f>SUM(H13:H14)</f>
        <v>#NUM!</v>
      </c>
      <c r="I15" s="415"/>
      <c r="J15" s="417"/>
    </row>
    <row r="16" spans="5:11" ht="19">
      <c r="G16" s="408" t="s">
        <v>316</v>
      </c>
      <c r="H16" s="415" t="e">
        <f>-CUMIPMT(H4/H9,H10,H3,H19*H9+1,H19*H9+4,0)</f>
        <v>#NUM!</v>
      </c>
      <c r="I16" s="415"/>
      <c r="J16" s="417"/>
    </row>
    <row r="17" spans="5:10" ht="19">
      <c r="G17" s="408" t="s">
        <v>317</v>
      </c>
      <c r="H17" s="415" t="e">
        <f>H15-1/3*(H14+H16)</f>
        <v>#NUM!</v>
      </c>
      <c r="I17" s="415"/>
      <c r="J17" s="417"/>
    </row>
    <row r="18" spans="5:10" ht="19">
      <c r="G18" s="408"/>
      <c r="H18" s="415"/>
      <c r="I18" s="415"/>
      <c r="J18" s="417"/>
    </row>
    <row r="19" spans="5:10" ht="19">
      <c r="G19" s="408" t="s">
        <v>318</v>
      </c>
      <c r="H19" s="409"/>
      <c r="I19" s="415"/>
      <c r="J19" s="417" t="s">
        <v>75</v>
      </c>
    </row>
    <row r="20" spans="5:10" ht="19">
      <c r="G20" s="408" t="s">
        <v>319</v>
      </c>
      <c r="H20" s="415" t="e">
        <f>-CUMPRINC(H4/H9,H10,H3,1,H19*H9,0)</f>
        <v>#NUM!</v>
      </c>
      <c r="I20" s="415"/>
      <c r="J20" s="417"/>
    </row>
    <row r="21" spans="5:10" ht="19">
      <c r="G21" s="418" t="s">
        <v>320</v>
      </c>
      <c r="H21" s="419" t="e">
        <f>H3-H20</f>
        <v>#NUM!</v>
      </c>
      <c r="I21" s="415"/>
    </row>
    <row r="22" spans="5:10" ht="24">
      <c r="E22" s="420" t="s">
        <v>321</v>
      </c>
      <c r="F22" s="421"/>
      <c r="G22" s="408"/>
      <c r="H22" s="416"/>
      <c r="I22" s="408"/>
    </row>
    <row r="23" spans="5:10" ht="19">
      <c r="G23" s="408"/>
      <c r="H23" s="416"/>
      <c r="I23" s="408"/>
    </row>
    <row r="24" spans="5:10" ht="19">
      <c r="G24" s="408" t="s">
        <v>322</v>
      </c>
      <c r="H24" s="416"/>
      <c r="I24" s="408"/>
    </row>
    <row r="25" spans="5:10" ht="19">
      <c r="G25" s="408" t="s">
        <v>323</v>
      </c>
      <c r="H25" s="416"/>
      <c r="I25" s="408"/>
    </row>
    <row r="26" spans="5:10" ht="19">
      <c r="G26" s="408"/>
      <c r="H26" s="416"/>
      <c r="I26" s="408"/>
    </row>
    <row r="27" spans="5:10" ht="19">
      <c r="E27" s="418" t="s">
        <v>324</v>
      </c>
      <c r="F27" s="418"/>
      <c r="I27" s="408"/>
    </row>
    <row r="28" spans="5:10" ht="19">
      <c r="G28" s="408" t="s">
        <v>325</v>
      </c>
      <c r="H28" s="415" t="e">
        <f>H21</f>
        <v>#NUM!</v>
      </c>
      <c r="I28" s="408"/>
    </row>
    <row r="29" spans="5:10" ht="19">
      <c r="G29" s="408" t="s">
        <v>326</v>
      </c>
      <c r="H29" s="415" t="e">
        <f>H28</f>
        <v>#NUM!</v>
      </c>
      <c r="I29" s="408"/>
    </row>
    <row r="30" spans="5:10" ht="19">
      <c r="G30" s="408"/>
      <c r="H30" s="415"/>
      <c r="I30" s="408"/>
    </row>
    <row r="31" spans="5:10" ht="21">
      <c r="E31" s="422" t="s">
        <v>327</v>
      </c>
      <c r="F31" s="422"/>
      <c r="G31" s="408" t="s">
        <v>328</v>
      </c>
      <c r="H31" s="409">
        <f>20000</f>
        <v>20000</v>
      </c>
      <c r="I31" s="423" t="s">
        <v>329</v>
      </c>
      <c r="J31" s="424"/>
    </row>
    <row r="32" spans="5:10" ht="19">
      <c r="G32" s="408" t="s">
        <v>330</v>
      </c>
      <c r="H32" s="415" t="e">
        <f>H29+H31</f>
        <v>#NUM!</v>
      </c>
      <c r="I32" s="408"/>
    </row>
    <row r="33" spans="5:9" ht="19">
      <c r="G33" s="408" t="s">
        <v>331</v>
      </c>
      <c r="H33" s="413"/>
      <c r="I33" s="408"/>
    </row>
    <row r="34" spans="5:9" ht="19">
      <c r="G34" s="408" t="s">
        <v>332</v>
      </c>
      <c r="H34" s="415" t="e">
        <f>H32/(H33/100)</f>
        <v>#NUM!</v>
      </c>
      <c r="I34" s="408"/>
    </row>
    <row r="35" spans="5:9" ht="19">
      <c r="G35" s="408" t="s">
        <v>260</v>
      </c>
      <c r="H35" s="411"/>
      <c r="I35" s="408"/>
    </row>
    <row r="36" spans="5:9" ht="19">
      <c r="G36" s="408" t="s">
        <v>281</v>
      </c>
      <c r="H36" s="411">
        <f>H5</f>
        <v>6.8120000000000003E-3</v>
      </c>
      <c r="I36" s="408"/>
    </row>
    <row r="37" spans="5:9" ht="19">
      <c r="G37" s="408" t="s">
        <v>309</v>
      </c>
      <c r="H37" s="412">
        <f>H35+H36</f>
        <v>6.8120000000000003E-3</v>
      </c>
      <c r="I37" s="408"/>
    </row>
    <row r="38" spans="5:9" ht="19">
      <c r="G38" s="408" t="s">
        <v>263</v>
      </c>
      <c r="H38" s="409"/>
      <c r="I38" s="408"/>
    </row>
    <row r="39" spans="5:9" ht="19">
      <c r="G39" s="408" t="s">
        <v>333</v>
      </c>
      <c r="H39" s="414">
        <f>H9</f>
        <v>4</v>
      </c>
      <c r="I39" s="408"/>
    </row>
    <row r="40" spans="5:9" ht="19">
      <c r="G40" s="408" t="s">
        <v>265</v>
      </c>
      <c r="H40" s="415">
        <f>H39*H38</f>
        <v>0</v>
      </c>
      <c r="I40" s="408"/>
    </row>
    <row r="41" spans="5:9" ht="19">
      <c r="G41" s="881"/>
      <c r="H41" s="415"/>
      <c r="I41" s="408"/>
    </row>
    <row r="42" spans="5:9" ht="19">
      <c r="E42" s="882"/>
      <c r="G42" s="408" t="s">
        <v>266</v>
      </c>
      <c r="H42" s="415" t="e">
        <f>-PMT(H35/H39,H40,H34)</f>
        <v>#NUM!</v>
      </c>
      <c r="I42" s="408"/>
    </row>
    <row r="43" spans="5:9" ht="19">
      <c r="G43" s="408" t="s">
        <v>313</v>
      </c>
      <c r="H43" s="415" t="e">
        <f>H42*H39</f>
        <v>#NUM!</v>
      </c>
      <c r="I43" s="408"/>
    </row>
    <row r="44" spans="5:9" ht="19">
      <c r="G44" s="408" t="s">
        <v>314</v>
      </c>
      <c r="H44" s="415" t="e">
        <f>H34*H36/H39+(H34+CUMPRINC(H35/H39,H40,H34,1,H39,0))*H36/H39+(H34+CUMPRINC(H35/H39,H40,H34,1,H39+1,0))*H36/H39+(H34+CUMPRINC(H35/H39,H40,H34,1,H39+2,0))*H36/H39</f>
        <v>#NUM!</v>
      </c>
      <c r="I44" s="408"/>
    </row>
    <row r="45" spans="5:9" ht="19">
      <c r="G45" s="408" t="s">
        <v>315</v>
      </c>
      <c r="H45" s="415" t="e">
        <f>SUM(H43:H44)</f>
        <v>#NUM!</v>
      </c>
      <c r="I45" s="408"/>
    </row>
    <row r="46" spans="5:9" ht="19">
      <c r="G46" s="408" t="s">
        <v>316</v>
      </c>
      <c r="H46" s="415" t="e">
        <f>-CUMIPMT(H35/H39,H40,H34,1,H39,0)</f>
        <v>#NUM!</v>
      </c>
      <c r="I46" s="408"/>
    </row>
    <row r="47" spans="5:9" ht="19">
      <c r="G47" s="408" t="s">
        <v>317</v>
      </c>
      <c r="H47" s="415" t="e">
        <f>H45-1/3*(H44+H46)</f>
        <v>#NUM!</v>
      </c>
      <c r="I47" s="408"/>
    </row>
    <row r="48" spans="5:9" ht="19">
      <c r="G48" s="408"/>
      <c r="H48" s="415"/>
      <c r="I48" s="408"/>
    </row>
    <row r="49" spans="7:9" ht="19">
      <c r="G49" s="408"/>
      <c r="H49" s="415"/>
      <c r="I49" s="408"/>
    </row>
    <row r="50" spans="7:9" ht="19">
      <c r="G50" s="408"/>
      <c r="H50" s="415"/>
      <c r="I50" s="408"/>
    </row>
    <row r="51" spans="7:9" ht="21">
      <c r="G51" s="5" t="s">
        <v>334</v>
      </c>
      <c r="H51" s="425" t="e">
        <f>(H15-H45)/H39</f>
        <v>#NUM!</v>
      </c>
      <c r="I51" s="408"/>
    </row>
    <row r="52" spans="7:9" ht="21">
      <c r="G52" s="5" t="s">
        <v>335</v>
      </c>
      <c r="H52" s="425" t="e">
        <f>(H17-H47)/H39</f>
        <v>#NUM!</v>
      </c>
      <c r="I52" s="408"/>
    </row>
    <row r="53" spans="7:9" ht="21">
      <c r="G53" s="426" t="s">
        <v>336</v>
      </c>
      <c r="H53" s="425" t="e">
        <f>H34-H28</f>
        <v>#NUM!</v>
      </c>
      <c r="I53" s="408"/>
    </row>
    <row r="54" spans="7:9" ht="21">
      <c r="G54" s="426" t="s">
        <v>337</v>
      </c>
      <c r="H54" s="425">
        <f>H38-(H8-H19)</f>
        <v>0</v>
      </c>
    </row>
    <row r="55" spans="7:9" ht="19">
      <c r="G55" s="408" t="s">
        <v>338</v>
      </c>
      <c r="H55" s="416"/>
      <c r="I55" s="408"/>
    </row>
    <row r="56" spans="7:9" ht="19">
      <c r="G56" s="408" t="s">
        <v>339</v>
      </c>
      <c r="H56" s="416"/>
      <c r="I56" s="408"/>
    </row>
    <row r="57" spans="7:9" ht="19">
      <c r="G57" s="408"/>
      <c r="H57" s="416"/>
      <c r="I57" s="408"/>
    </row>
    <row r="58" spans="7:9" ht="19">
      <c r="G58" s="408"/>
      <c r="H58" s="416"/>
      <c r="I58" s="408"/>
    </row>
    <row r="59" spans="7:9" ht="19">
      <c r="G59" s="408"/>
      <c r="H59" s="416"/>
      <c r="I59" s="408"/>
    </row>
    <row r="60" spans="7:9" ht="19">
      <c r="G60" s="408"/>
      <c r="H60" s="416"/>
      <c r="I60" s="408"/>
    </row>
    <row r="61" spans="7:9" ht="19">
      <c r="G61" s="408"/>
      <c r="H61" s="416"/>
      <c r="I61" s="408"/>
    </row>
    <row r="62" spans="7:9" ht="19">
      <c r="G62" s="408"/>
      <c r="H62" s="416"/>
      <c r="I62" s="408"/>
    </row>
    <row r="63" spans="7:9" ht="19">
      <c r="G63" s="408"/>
      <c r="H63" s="416"/>
      <c r="I63" s="408"/>
    </row>
    <row r="64" spans="7:9" ht="19">
      <c r="G64" s="408"/>
      <c r="H64" s="416"/>
      <c r="I64" s="408"/>
    </row>
  </sheetData>
  <pageMargins left="0.23622047244094491" right="0.23622047244094491" top="0.74803149606299213" bottom="0.74803149606299213" header="0.31496062992125984" footer="0.31496062992125984"/>
  <pageSetup paperSize="9" scale="58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E758C-E2A7-8E45-8C85-407D69C298D6}">
  <sheetPr>
    <tabColor rgb="FF00B050"/>
    <pageSetUpPr fitToPage="1"/>
  </sheetPr>
  <dimension ref="E1:K64"/>
  <sheetViews>
    <sheetView topLeftCell="D1" zoomScaleNormal="100" workbookViewId="0">
      <selection activeCell="E42" sqref="E42"/>
    </sheetView>
  </sheetViews>
  <sheetFormatPr baseColWidth="10" defaultColWidth="9.1640625" defaultRowHeight="15"/>
  <cols>
    <col min="1" max="3" width="0" style="403" hidden="1" customWidth="1"/>
    <col min="4" max="4" width="3.6640625" style="403" customWidth="1"/>
    <col min="5" max="5" width="41.1640625" style="403" customWidth="1"/>
    <col min="6" max="6" width="6.1640625" style="403" customWidth="1"/>
    <col min="7" max="7" width="58.1640625" style="403" customWidth="1"/>
    <col min="8" max="8" width="19.5" style="403" bestFit="1" customWidth="1"/>
    <col min="9" max="9" width="18.6640625" style="403" bestFit="1" customWidth="1"/>
    <col min="10" max="10" width="16.5" style="403" bestFit="1" customWidth="1"/>
    <col min="11" max="11" width="13" style="403" customWidth="1"/>
    <col min="12" max="16384" width="9.1640625" style="403"/>
  </cols>
  <sheetData>
    <row r="1" spans="5:11" ht="21">
      <c r="E1" s="402" t="s">
        <v>340</v>
      </c>
      <c r="F1" s="402"/>
    </row>
    <row r="2" spans="5:11" ht="19">
      <c r="E2" s="404" t="s">
        <v>305</v>
      </c>
      <c r="F2" s="405">
        <f>H19</f>
        <v>0</v>
      </c>
      <c r="G2" s="406" t="s">
        <v>306</v>
      </c>
    </row>
    <row r="3" spans="5:11" ht="19">
      <c r="E3" s="407" t="s">
        <v>307</v>
      </c>
      <c r="G3" s="408" t="s">
        <v>308</v>
      </c>
      <c r="H3" s="409"/>
    </row>
    <row r="4" spans="5:11" ht="19">
      <c r="G4" s="408" t="s">
        <v>260</v>
      </c>
      <c r="H4" s="410"/>
      <c r="I4" s="408"/>
    </row>
    <row r="5" spans="5:11" ht="19">
      <c r="G5" s="408" t="s">
        <v>281</v>
      </c>
      <c r="H5" s="411">
        <v>6.8120000000000003E-3</v>
      </c>
      <c r="I5" s="408"/>
    </row>
    <row r="6" spans="5:11" ht="19">
      <c r="G6" s="408" t="s">
        <v>309</v>
      </c>
      <c r="H6" s="412">
        <f>H4+H5</f>
        <v>6.8120000000000003E-3</v>
      </c>
      <c r="I6" s="408"/>
    </row>
    <row r="7" spans="5:11" ht="19">
      <c r="G7" s="408" t="s">
        <v>310</v>
      </c>
      <c r="H7" s="413"/>
      <c r="I7" s="408"/>
    </row>
    <row r="8" spans="5:11" ht="19">
      <c r="G8" s="408" t="s">
        <v>312</v>
      </c>
      <c r="H8" s="409"/>
      <c r="I8" s="408"/>
    </row>
    <row r="9" spans="5:11" ht="19">
      <c r="G9" s="408" t="s">
        <v>264</v>
      </c>
      <c r="H9" s="414">
        <v>4</v>
      </c>
      <c r="I9" s="408"/>
    </row>
    <row r="10" spans="5:11" ht="19">
      <c r="G10" s="408" t="s">
        <v>265</v>
      </c>
      <c r="H10" s="415">
        <f>H8*H9</f>
        <v>0</v>
      </c>
      <c r="I10" s="408"/>
    </row>
    <row r="11" spans="5:11" ht="19">
      <c r="G11" s="408"/>
      <c r="H11" s="416"/>
      <c r="I11" s="408"/>
      <c r="J11" s="403" t="s">
        <v>75</v>
      </c>
    </row>
    <row r="12" spans="5:11" ht="19">
      <c r="G12" s="408" t="s">
        <v>266</v>
      </c>
      <c r="H12" s="415" t="e">
        <f>-PMT(H4/H9,H10,H3)</f>
        <v>#NUM!</v>
      </c>
      <c r="I12" s="415"/>
      <c r="J12" s="417" t="s">
        <v>75</v>
      </c>
    </row>
    <row r="13" spans="5:11" ht="19">
      <c r="G13" s="408" t="s">
        <v>313</v>
      </c>
      <c r="H13" s="415" t="e">
        <f>H12*H9</f>
        <v>#NUM!</v>
      </c>
      <c r="I13" s="415"/>
      <c r="J13" s="417"/>
      <c r="K13" s="403" t="s">
        <v>75</v>
      </c>
    </row>
    <row r="14" spans="5:11" ht="19">
      <c r="G14" s="408" t="s">
        <v>314</v>
      </c>
      <c r="H14" s="415" t="e">
        <f>($H$3+CUMPRINC($H$4/4,$H$10,$H$3,1,$F$2*$H$9,0))*$H$5/$H$9+($H$3+CUMPRINC($H$4/4,$H$10,$H$3,1,$F$2*$H$9+1,0))*$H$5/$H$9+($H$3+CUMPRINC($H$4/4,$H$10,$H$3,1,$F$2*$H$9+2,0))*$H$5/$H$9+($H$3+CUMPRINC($H$4/4,$H$10,$H$3,1,$F$2*$H$9+3,0))*$H$5/$H$9</f>
        <v>#NUM!</v>
      </c>
      <c r="I14" s="415"/>
      <c r="J14" s="417"/>
    </row>
    <row r="15" spans="5:11" ht="19">
      <c r="G15" s="408" t="s">
        <v>315</v>
      </c>
      <c r="H15" s="415" t="e">
        <f>SUM(H13:H14)</f>
        <v>#NUM!</v>
      </c>
      <c r="I15" s="415"/>
      <c r="J15" s="417"/>
    </row>
    <row r="16" spans="5:11" ht="19">
      <c r="G16" s="408" t="s">
        <v>316</v>
      </c>
      <c r="H16" s="415" t="e">
        <f>-CUMIPMT(H4/H9,H10,H3,H19*H9+1,H19*H9+4,0)</f>
        <v>#NUM!</v>
      </c>
      <c r="I16" s="415"/>
      <c r="J16" s="417"/>
    </row>
    <row r="17" spans="5:10" ht="19">
      <c r="G17" s="408" t="s">
        <v>317</v>
      </c>
      <c r="H17" s="415" t="e">
        <f>H15-1/3*(H14+H16)</f>
        <v>#NUM!</v>
      </c>
      <c r="I17" s="415"/>
      <c r="J17" s="417"/>
    </row>
    <row r="18" spans="5:10" ht="19">
      <c r="G18" s="408"/>
      <c r="H18" s="415"/>
      <c r="I18" s="415"/>
      <c r="J18" s="417"/>
    </row>
    <row r="19" spans="5:10" ht="19">
      <c r="G19" s="408" t="s">
        <v>318</v>
      </c>
      <c r="H19" s="409"/>
      <c r="I19" s="415"/>
      <c r="J19" s="417" t="s">
        <v>75</v>
      </c>
    </row>
    <row r="20" spans="5:10" ht="19">
      <c r="G20" s="408" t="s">
        <v>319</v>
      </c>
      <c r="H20" s="415" t="e">
        <f>-CUMPRINC(H4/H9,H10,H3,1,H19*H9,0)</f>
        <v>#NUM!</v>
      </c>
      <c r="I20" s="415"/>
      <c r="J20" s="417"/>
    </row>
    <row r="21" spans="5:10" ht="19">
      <c r="G21" s="418" t="s">
        <v>320</v>
      </c>
      <c r="H21" s="419" t="e">
        <f>H3-H20</f>
        <v>#NUM!</v>
      </c>
      <c r="I21" s="415"/>
    </row>
    <row r="22" spans="5:10" ht="24">
      <c r="E22" s="420" t="s">
        <v>321</v>
      </c>
      <c r="F22" s="421"/>
      <c r="G22" s="408"/>
      <c r="H22" s="416"/>
      <c r="I22" s="408"/>
    </row>
    <row r="23" spans="5:10" ht="19">
      <c r="G23" s="408"/>
      <c r="H23" s="416"/>
      <c r="I23" s="408"/>
    </row>
    <row r="24" spans="5:10" ht="19">
      <c r="G24" s="408" t="s">
        <v>341</v>
      </c>
      <c r="H24" s="416"/>
      <c r="I24" s="408"/>
    </row>
    <row r="25" spans="5:10" ht="19">
      <c r="G25" s="408" t="s">
        <v>342</v>
      </c>
      <c r="H25" s="416"/>
      <c r="I25" s="408"/>
    </row>
    <row r="26" spans="5:10" ht="19">
      <c r="G26" s="408"/>
      <c r="H26" s="416"/>
      <c r="I26" s="408"/>
    </row>
    <row r="27" spans="5:10" ht="19">
      <c r="E27" s="418" t="s">
        <v>324</v>
      </c>
      <c r="F27" s="418"/>
      <c r="I27" s="408"/>
    </row>
    <row r="28" spans="5:10" ht="19">
      <c r="G28" s="408" t="s">
        <v>325</v>
      </c>
      <c r="H28" s="415" t="e">
        <f>H21</f>
        <v>#NUM!</v>
      </c>
      <c r="I28" s="408"/>
    </row>
    <row r="29" spans="5:10" ht="19">
      <c r="G29" s="408" t="s">
        <v>343</v>
      </c>
      <c r="H29" s="415" t="e">
        <f>H28*H7/100</f>
        <v>#NUM!</v>
      </c>
      <c r="I29" s="408"/>
    </row>
    <row r="30" spans="5:10" ht="19">
      <c r="G30" s="408"/>
      <c r="H30" s="415"/>
      <c r="I30" s="408"/>
    </row>
    <row r="31" spans="5:10" ht="21">
      <c r="E31" s="422" t="s">
        <v>327</v>
      </c>
      <c r="F31" s="422"/>
      <c r="G31" s="408" t="s">
        <v>328</v>
      </c>
      <c r="H31" s="409">
        <f>20000</f>
        <v>20000</v>
      </c>
      <c r="I31" s="423" t="s">
        <v>344</v>
      </c>
      <c r="J31" s="424"/>
    </row>
    <row r="32" spans="5:10" ht="19">
      <c r="G32" s="408" t="s">
        <v>330</v>
      </c>
      <c r="H32" s="415" t="e">
        <f>H29+H31</f>
        <v>#NUM!</v>
      </c>
      <c r="I32" s="408"/>
    </row>
    <row r="33" spans="5:9" ht="19">
      <c r="G33" s="408" t="s">
        <v>331</v>
      </c>
      <c r="H33" s="413"/>
      <c r="I33" s="408"/>
    </row>
    <row r="34" spans="5:9" ht="19">
      <c r="G34" s="408" t="s">
        <v>332</v>
      </c>
      <c r="H34" s="415" t="e">
        <f>H32/(H33/100)</f>
        <v>#NUM!</v>
      </c>
      <c r="I34" s="408"/>
    </row>
    <row r="35" spans="5:9" ht="19">
      <c r="G35" s="408" t="s">
        <v>260</v>
      </c>
      <c r="H35" s="411"/>
      <c r="I35" s="408"/>
    </row>
    <row r="36" spans="5:9" ht="19">
      <c r="G36" s="408" t="s">
        <v>281</v>
      </c>
      <c r="H36" s="411">
        <f>H5</f>
        <v>6.8120000000000003E-3</v>
      </c>
      <c r="I36" s="408"/>
    </row>
    <row r="37" spans="5:9" ht="19">
      <c r="G37" s="408" t="s">
        <v>309</v>
      </c>
      <c r="H37" s="412">
        <f>H35+H36</f>
        <v>6.8120000000000003E-3</v>
      </c>
      <c r="I37" s="408"/>
    </row>
    <row r="38" spans="5:9" ht="19">
      <c r="G38" s="408" t="s">
        <v>263</v>
      </c>
      <c r="H38" s="409"/>
      <c r="I38" s="408"/>
    </row>
    <row r="39" spans="5:9" ht="19">
      <c r="G39" s="408" t="s">
        <v>333</v>
      </c>
      <c r="H39" s="414">
        <f>H9</f>
        <v>4</v>
      </c>
      <c r="I39" s="408"/>
    </row>
    <row r="40" spans="5:9" ht="19">
      <c r="G40" s="408" t="s">
        <v>265</v>
      </c>
      <c r="H40" s="415">
        <f>H39*H38</f>
        <v>0</v>
      </c>
      <c r="I40" s="408"/>
    </row>
    <row r="41" spans="5:9" ht="19">
      <c r="G41" s="408"/>
      <c r="H41" s="415"/>
      <c r="I41" s="408"/>
    </row>
    <row r="42" spans="5:9" ht="19">
      <c r="E42" s="882"/>
      <c r="G42" s="408" t="s">
        <v>266</v>
      </c>
      <c r="H42" s="415" t="e">
        <f>-PMT(H35/H39,H40,H34)</f>
        <v>#NUM!</v>
      </c>
      <c r="I42" s="408"/>
    </row>
    <row r="43" spans="5:9" ht="19">
      <c r="G43" s="408" t="s">
        <v>313</v>
      </c>
      <c r="H43" s="415" t="e">
        <f>H42*H39</f>
        <v>#NUM!</v>
      </c>
      <c r="I43" s="408"/>
    </row>
    <row r="44" spans="5:9" ht="19">
      <c r="G44" s="408" t="s">
        <v>314</v>
      </c>
      <c r="H44" s="415" t="e">
        <f>H34*H36/H39+(H34+CUMPRINC(H35/H39,H40,H34,1,H39,0))*H36/H39+(H34+CUMPRINC(H35/H39,H40,H34,1,H39+1,0))*H36/H39+(H34+CUMPRINC(H35/H39,H40,H34,1,H39+2,0))*H36/H39</f>
        <v>#NUM!</v>
      </c>
      <c r="I44" s="408"/>
    </row>
    <row r="45" spans="5:9" ht="19">
      <c r="G45" s="408" t="s">
        <v>315</v>
      </c>
      <c r="H45" s="415" t="e">
        <f>SUM(H43:H44)</f>
        <v>#NUM!</v>
      </c>
      <c r="I45" s="408"/>
    </row>
    <row r="46" spans="5:9" ht="19">
      <c r="G46" s="408" t="s">
        <v>316</v>
      </c>
      <c r="H46" s="415" t="e">
        <f>-CUMIPMT(H35/H39,H40,H34,1,H39,0)</f>
        <v>#NUM!</v>
      </c>
      <c r="I46" s="408"/>
    </row>
    <row r="47" spans="5:9" ht="19">
      <c r="G47" s="408" t="s">
        <v>317</v>
      </c>
      <c r="H47" s="415" t="e">
        <f>H45-1/3*(H44+H46)</f>
        <v>#NUM!</v>
      </c>
      <c r="I47" s="408"/>
    </row>
    <row r="48" spans="5:9" ht="19">
      <c r="G48" s="408"/>
      <c r="H48" s="415"/>
      <c r="I48" s="408"/>
    </row>
    <row r="49" spans="7:9" ht="19">
      <c r="G49" s="408"/>
      <c r="H49" s="415"/>
      <c r="I49" s="408"/>
    </row>
    <row r="50" spans="7:9" ht="19">
      <c r="G50" s="408"/>
      <c r="H50" s="415"/>
      <c r="I50" s="408"/>
    </row>
    <row r="51" spans="7:9" ht="21">
      <c r="G51" s="5" t="s">
        <v>345</v>
      </c>
      <c r="H51" s="425" t="e">
        <f>(H45-H15)/H39</f>
        <v>#NUM!</v>
      </c>
      <c r="I51" s="408"/>
    </row>
    <row r="52" spans="7:9" ht="21">
      <c r="G52" s="5" t="s">
        <v>346</v>
      </c>
      <c r="H52" s="425" t="e">
        <f>(H47-H17)/H39</f>
        <v>#NUM!</v>
      </c>
      <c r="I52" s="408" t="s">
        <v>347</v>
      </c>
    </row>
    <row r="53" spans="7:9" ht="21">
      <c r="G53" s="426" t="s">
        <v>348</v>
      </c>
      <c r="H53" s="425" t="e">
        <f>H21-H34</f>
        <v>#NUM!</v>
      </c>
      <c r="I53" s="408"/>
    </row>
    <row r="54" spans="7:9" ht="21">
      <c r="G54" s="426" t="s">
        <v>337</v>
      </c>
      <c r="H54" s="425">
        <f>H38-(H8-H19)</f>
        <v>0</v>
      </c>
    </row>
    <row r="55" spans="7:9" ht="19">
      <c r="G55" s="408" t="s">
        <v>349</v>
      </c>
      <c r="H55" s="416"/>
      <c r="I55" s="408"/>
    </row>
    <row r="56" spans="7:9" ht="19">
      <c r="G56" s="408" t="s">
        <v>350</v>
      </c>
      <c r="H56" s="416"/>
      <c r="I56" s="408"/>
    </row>
    <row r="57" spans="7:9" ht="19">
      <c r="G57" s="408" t="s">
        <v>351</v>
      </c>
      <c r="H57" s="416"/>
      <c r="I57" s="408"/>
    </row>
    <row r="58" spans="7:9" ht="19">
      <c r="G58" s="408"/>
      <c r="H58" s="416"/>
      <c r="I58" s="408"/>
    </row>
    <row r="59" spans="7:9" ht="19">
      <c r="G59" s="408"/>
      <c r="H59" s="416"/>
      <c r="I59" s="408"/>
    </row>
    <row r="60" spans="7:9" ht="19">
      <c r="G60" s="408"/>
      <c r="H60" s="416"/>
      <c r="I60" s="408"/>
    </row>
    <row r="61" spans="7:9" ht="19">
      <c r="G61" s="408"/>
      <c r="H61" s="416"/>
      <c r="I61" s="408"/>
    </row>
    <row r="62" spans="7:9" ht="19">
      <c r="G62" s="408"/>
      <c r="H62" s="416"/>
      <c r="I62" s="408"/>
    </row>
    <row r="63" spans="7:9" ht="19">
      <c r="G63" s="408"/>
      <c r="H63" s="416"/>
      <c r="I63" s="408"/>
    </row>
    <row r="64" spans="7:9" ht="19">
      <c r="G64" s="408"/>
      <c r="H64" s="416"/>
      <c r="I64" s="408"/>
    </row>
  </sheetData>
  <pageMargins left="0.23622047244094491" right="0.23622047244094491" top="0.74803149606299213" bottom="0.74803149606299213" header="0.31496062992125984" footer="0.31496062992125984"/>
  <pageSetup paperSize="9" scale="58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B433B-6187-664A-8E4D-90B6BBC530B4}">
  <sheetPr>
    <tabColor rgb="FF92D050"/>
  </sheetPr>
  <dimension ref="A1:V370"/>
  <sheetViews>
    <sheetView zoomScale="98" zoomScaleNormal="98" workbookViewId="0">
      <selection activeCell="E24" sqref="E24"/>
    </sheetView>
  </sheetViews>
  <sheetFormatPr baseColWidth="10" defaultColWidth="8.6640625" defaultRowHeight="15"/>
  <cols>
    <col min="1" max="1" width="37.6640625" style="427" customWidth="1"/>
    <col min="2" max="2" width="15.1640625" style="427" customWidth="1"/>
    <col min="3" max="3" width="3" style="427" customWidth="1"/>
    <col min="4" max="4" width="40.1640625" style="427" customWidth="1"/>
    <col min="5" max="5" width="14.5" style="427" bestFit="1" customWidth="1"/>
    <col min="6" max="6" width="3.1640625" style="427" customWidth="1"/>
    <col min="7" max="12" width="11.6640625" style="428" customWidth="1"/>
    <col min="13" max="15" width="2.6640625" style="428" hidden="1" customWidth="1"/>
    <col min="16" max="18" width="1.6640625" style="428" hidden="1" customWidth="1"/>
    <col min="19" max="19" width="11.6640625" style="481" customWidth="1"/>
    <col min="20" max="20" width="11.6640625" style="482" customWidth="1"/>
    <col min="21" max="21" width="9.5" style="429" customWidth="1"/>
    <col min="22" max="22" width="13.6640625" style="429" customWidth="1"/>
    <col min="23" max="16384" width="8.6640625" style="427"/>
  </cols>
  <sheetData>
    <row r="1" spans="1:22" ht="30" customHeight="1">
      <c r="A1" s="427">
        <v>3</v>
      </c>
      <c r="D1" s="937" t="s">
        <v>245</v>
      </c>
      <c r="E1" s="937" t="s">
        <v>246</v>
      </c>
      <c r="G1" s="939" t="s">
        <v>352</v>
      </c>
      <c r="H1" s="923" t="s">
        <v>277</v>
      </c>
      <c r="I1" s="923" t="s">
        <v>278</v>
      </c>
      <c r="J1" s="923" t="s">
        <v>279</v>
      </c>
      <c r="K1" s="923" t="s">
        <v>280</v>
      </c>
      <c r="L1" s="923" t="s">
        <v>281</v>
      </c>
      <c r="S1" s="924" t="s">
        <v>282</v>
      </c>
      <c r="T1" s="926" t="s">
        <v>353</v>
      </c>
    </row>
    <row r="2" spans="1:22" ht="16" thickBot="1">
      <c r="A2" s="430" t="s">
        <v>249</v>
      </c>
      <c r="B2" s="431">
        <v>4000000</v>
      </c>
      <c r="D2" s="938"/>
      <c r="E2" s="938"/>
      <c r="G2" s="939"/>
      <c r="H2" s="923"/>
      <c r="I2" s="923"/>
      <c r="J2" s="923"/>
      <c r="K2" s="923"/>
      <c r="L2" s="923"/>
      <c r="M2" s="432" t="s">
        <v>354</v>
      </c>
      <c r="N2" s="432" t="s">
        <v>9</v>
      </c>
      <c r="O2" s="432" t="s">
        <v>355</v>
      </c>
      <c r="P2" s="433"/>
      <c r="Q2" s="433"/>
      <c r="R2" s="433"/>
      <c r="S2" s="925"/>
      <c r="T2" s="927"/>
      <c r="V2" s="434" t="s">
        <v>244</v>
      </c>
    </row>
    <row r="3" spans="1:22" ht="16">
      <c r="A3" s="430" t="s">
        <v>356</v>
      </c>
      <c r="B3" s="435">
        <f>0.8*B2</f>
        <v>3200000</v>
      </c>
      <c r="D3" s="436" t="s">
        <v>252</v>
      </c>
      <c r="E3" s="437">
        <f>E5*100/E4</f>
        <v>3232323.2323232321</v>
      </c>
      <c r="F3" s="438"/>
      <c r="G3" s="428">
        <v>0</v>
      </c>
      <c r="H3" s="439">
        <f>E3</f>
        <v>3232323.2323232321</v>
      </c>
      <c r="I3" s="439"/>
      <c r="J3" s="439"/>
      <c r="K3" s="439">
        <f>-E5</f>
        <v>-3200000</v>
      </c>
      <c r="L3" s="439"/>
      <c r="M3" s="439"/>
      <c r="N3" s="439"/>
      <c r="O3" s="439"/>
      <c r="P3" s="440"/>
      <c r="Q3" s="440"/>
      <c r="R3" s="440"/>
      <c r="S3" s="441">
        <f>-E7</f>
        <v>-3134906.3131313133</v>
      </c>
      <c r="T3" s="442"/>
      <c r="V3" s="443">
        <f>-E7</f>
        <v>-3134906.3131313133</v>
      </c>
    </row>
    <row r="4" spans="1:22" ht="16">
      <c r="D4" s="444" t="s">
        <v>253</v>
      </c>
      <c r="E4" s="445">
        <v>99</v>
      </c>
      <c r="G4" s="428">
        <v>1</v>
      </c>
      <c r="H4" s="440">
        <f t="shared" ref="H4:H67" si="0">H3-J4</f>
        <v>3227666.0375876483</v>
      </c>
      <c r="I4" s="440">
        <f t="shared" ref="I4:I67" si="1">$E$9/$E$13*H3</f>
        <v>10774.410774410775</v>
      </c>
      <c r="J4" s="440">
        <f t="shared" ref="J4:J67" si="2">K4-I4</f>
        <v>4657.1947355838729</v>
      </c>
      <c r="K4" s="440">
        <f t="shared" ref="K4:K67" si="3">IF(G4&gt;$E$14,0,$E$16)</f>
        <v>15431.605509994648</v>
      </c>
      <c r="L4" s="440">
        <f t="shared" ref="L4:L67" si="4">$E$10/$E$13*H3</f>
        <v>1834.882154882155</v>
      </c>
      <c r="M4" s="440"/>
      <c r="N4" s="440"/>
      <c r="O4" s="440"/>
      <c r="P4" s="440"/>
      <c r="Q4" s="440"/>
      <c r="R4" s="440"/>
      <c r="S4" s="441">
        <f t="shared" ref="S4:S67" si="5">K4+L4</f>
        <v>17266.487664876804</v>
      </c>
      <c r="T4" s="442">
        <f t="shared" ref="T4:T67" si="6">S4-1/3*(I4+L4)</f>
        <v>13063.390021779162</v>
      </c>
      <c r="V4" s="443">
        <f t="shared" ref="V4:V67" si="7">S4</f>
        <v>17266.487664876804</v>
      </c>
    </row>
    <row r="5" spans="1:22" ht="16">
      <c r="A5" s="430" t="s">
        <v>254</v>
      </c>
      <c r="D5" s="446" t="s">
        <v>255</v>
      </c>
      <c r="E5" s="447">
        <f>B3</f>
        <v>3200000</v>
      </c>
      <c r="F5" s="448"/>
      <c r="G5" s="428">
        <v>2</v>
      </c>
      <c r="H5" s="440">
        <f t="shared" si="0"/>
        <v>3222993.3188696126</v>
      </c>
      <c r="I5" s="440">
        <f t="shared" si="1"/>
        <v>10758.886791958828</v>
      </c>
      <c r="J5" s="440">
        <f t="shared" si="2"/>
        <v>4672.7187180358196</v>
      </c>
      <c r="K5" s="440">
        <f t="shared" si="3"/>
        <v>15431.605509994648</v>
      </c>
      <c r="L5" s="440">
        <f t="shared" si="4"/>
        <v>1832.2384206705885</v>
      </c>
      <c r="M5" s="440"/>
      <c r="N5" s="440"/>
      <c r="O5" s="440"/>
      <c r="P5" s="440"/>
      <c r="Q5" s="440"/>
      <c r="R5" s="440"/>
      <c r="S5" s="441">
        <f t="shared" si="5"/>
        <v>17263.843930665236</v>
      </c>
      <c r="T5" s="442">
        <f t="shared" si="6"/>
        <v>13066.802193122097</v>
      </c>
      <c r="U5" s="449" t="s">
        <v>75</v>
      </c>
      <c r="V5" s="443">
        <f t="shared" si="7"/>
        <v>17263.843930665236</v>
      </c>
    </row>
    <row r="6" spans="1:22" ht="16">
      <c r="A6" s="427" t="s">
        <v>233</v>
      </c>
      <c r="B6" s="450">
        <f>1.45%*E3+1825</f>
        <v>48693.686868686862</v>
      </c>
      <c r="D6" s="451" t="s">
        <v>256</v>
      </c>
      <c r="E6" s="452">
        <f>B9</f>
        <v>65093.686868686862</v>
      </c>
      <c r="F6" s="435"/>
      <c r="G6" s="428">
        <v>3</v>
      </c>
      <c r="H6" s="440">
        <f t="shared" si="0"/>
        <v>3218305.0244225166</v>
      </c>
      <c r="I6" s="440">
        <f t="shared" si="1"/>
        <v>10743.311062898709</v>
      </c>
      <c r="J6" s="440">
        <f t="shared" si="2"/>
        <v>4688.2944470959392</v>
      </c>
      <c r="K6" s="440">
        <f t="shared" si="3"/>
        <v>15431.605509994648</v>
      </c>
      <c r="L6" s="440">
        <f t="shared" si="4"/>
        <v>1829.5858740116503</v>
      </c>
      <c r="M6" s="440"/>
      <c r="N6" s="440"/>
      <c r="O6" s="440"/>
      <c r="P6" s="440"/>
      <c r="Q6" s="440"/>
      <c r="R6" s="440"/>
      <c r="S6" s="441">
        <f t="shared" si="5"/>
        <v>17261.191384006299</v>
      </c>
      <c r="T6" s="442">
        <f t="shared" si="6"/>
        <v>13070.225738369512</v>
      </c>
      <c r="V6" s="443">
        <f t="shared" si="7"/>
        <v>17261.191384006299</v>
      </c>
    </row>
    <row r="7" spans="1:22" ht="16">
      <c r="A7" s="427" t="s">
        <v>257</v>
      </c>
      <c r="B7" s="453">
        <v>10000</v>
      </c>
      <c r="D7" s="446" t="s">
        <v>258</v>
      </c>
      <c r="E7" s="452">
        <f>E5-E6</f>
        <v>3134906.3131313133</v>
      </c>
      <c r="F7" s="454"/>
      <c r="G7" s="428">
        <v>4</v>
      </c>
      <c r="H7" s="440">
        <f t="shared" si="0"/>
        <v>3213601.1023272634</v>
      </c>
      <c r="I7" s="440">
        <f t="shared" si="1"/>
        <v>10727.683414741723</v>
      </c>
      <c r="J7" s="440">
        <f t="shared" si="2"/>
        <v>4703.9220952529249</v>
      </c>
      <c r="K7" s="440">
        <f t="shared" si="3"/>
        <v>15431.605509994648</v>
      </c>
      <c r="L7" s="440">
        <f t="shared" si="4"/>
        <v>1826.9244855305155</v>
      </c>
      <c r="M7" s="440"/>
      <c r="N7" s="440"/>
      <c r="O7" s="440"/>
      <c r="P7" s="440"/>
      <c r="Q7" s="440"/>
      <c r="R7" s="440"/>
      <c r="S7" s="441">
        <f t="shared" si="5"/>
        <v>17258.529995525165</v>
      </c>
      <c r="T7" s="442">
        <f t="shared" si="6"/>
        <v>13073.660695434419</v>
      </c>
      <c r="V7" s="443"/>
    </row>
    <row r="8" spans="1:22" ht="16">
      <c r="A8" s="427" t="s">
        <v>259</v>
      </c>
      <c r="B8" s="455">
        <f>0.2%*B3</f>
        <v>6400</v>
      </c>
      <c r="D8" s="456"/>
      <c r="E8" s="456"/>
      <c r="G8" s="428">
        <v>5</v>
      </c>
      <c r="H8" s="440">
        <f t="shared" si="0"/>
        <v>3208881.5004916932</v>
      </c>
      <c r="I8" s="440">
        <f t="shared" si="1"/>
        <v>10712.003674424212</v>
      </c>
      <c r="J8" s="440">
        <f t="shared" si="2"/>
        <v>4719.6018355704364</v>
      </c>
      <c r="K8" s="440">
        <f t="shared" si="3"/>
        <v>15431.605509994648</v>
      </c>
      <c r="L8" s="440">
        <f t="shared" si="4"/>
        <v>1824.2542257544435</v>
      </c>
      <c r="M8" s="440"/>
      <c r="N8" s="440"/>
      <c r="O8" s="440"/>
      <c r="P8" s="440"/>
      <c r="Q8" s="440"/>
      <c r="R8" s="440"/>
      <c r="S8" s="441">
        <f t="shared" si="5"/>
        <v>17255.859735749091</v>
      </c>
      <c r="T8" s="442">
        <f t="shared" si="6"/>
        <v>13077.107102356207</v>
      </c>
      <c r="V8" s="443">
        <f t="shared" si="7"/>
        <v>17255.859735749091</v>
      </c>
    </row>
    <row r="9" spans="1:22" ht="16">
      <c r="A9" s="427" t="s">
        <v>84</v>
      </c>
      <c r="B9" s="457">
        <f>SUM(B6:B8)</f>
        <v>65093.686868686862</v>
      </c>
      <c r="D9" s="456" t="s">
        <v>260</v>
      </c>
      <c r="E9" s="458">
        <v>0.04</v>
      </c>
      <c r="F9" s="459"/>
      <c r="G9" s="428">
        <v>6</v>
      </c>
      <c r="H9" s="440">
        <f t="shared" si="0"/>
        <v>3204146.1666500042</v>
      </c>
      <c r="I9" s="440">
        <f t="shared" si="1"/>
        <v>10696.271668305644</v>
      </c>
      <c r="J9" s="440">
        <f t="shared" si="2"/>
        <v>4735.3338416890037</v>
      </c>
      <c r="K9" s="440">
        <f t="shared" si="3"/>
        <v>15431.605509994648</v>
      </c>
      <c r="L9" s="440">
        <f t="shared" si="4"/>
        <v>1821.5750651124513</v>
      </c>
      <c r="M9" s="440"/>
      <c r="N9" s="440"/>
      <c r="O9" s="440"/>
      <c r="P9" s="440"/>
      <c r="Q9" s="440"/>
      <c r="R9" s="440"/>
      <c r="S9" s="441">
        <f t="shared" si="5"/>
        <v>17253.180575107101</v>
      </c>
      <c r="T9" s="442">
        <f t="shared" si="6"/>
        <v>13080.56499730107</v>
      </c>
      <c r="V9" s="443">
        <f t="shared" si="7"/>
        <v>17253.180575107101</v>
      </c>
    </row>
    <row r="10" spans="1:22" ht="16">
      <c r="D10" s="456" t="s">
        <v>261</v>
      </c>
      <c r="E10" s="899">
        <v>6.8120000000000003E-3</v>
      </c>
      <c r="F10" s="459"/>
      <c r="G10" s="428">
        <v>7</v>
      </c>
      <c r="H10" s="440">
        <f t="shared" si="0"/>
        <v>3199395.0483621764</v>
      </c>
      <c r="I10" s="440">
        <f t="shared" si="1"/>
        <v>10680.487222166681</v>
      </c>
      <c r="J10" s="440">
        <f t="shared" si="2"/>
        <v>4751.1182878279669</v>
      </c>
      <c r="K10" s="440">
        <f t="shared" si="3"/>
        <v>15431.605509994648</v>
      </c>
      <c r="L10" s="440">
        <f t="shared" si="4"/>
        <v>1818.8869739349859</v>
      </c>
      <c r="M10" s="440"/>
      <c r="N10" s="440"/>
      <c r="O10" s="440"/>
      <c r="P10" s="440"/>
      <c r="Q10" s="440"/>
      <c r="R10" s="440"/>
      <c r="S10" s="441">
        <f t="shared" si="5"/>
        <v>17250.492483929633</v>
      </c>
      <c r="T10" s="442">
        <f t="shared" si="6"/>
        <v>13084.034418562411</v>
      </c>
      <c r="V10" s="443">
        <f t="shared" si="7"/>
        <v>17250.492483929633</v>
      </c>
    </row>
    <row r="11" spans="1:22" ht="18" thickBot="1">
      <c r="A11" s="460" t="s">
        <v>357</v>
      </c>
      <c r="B11" s="461"/>
      <c r="C11" s="461"/>
      <c r="D11" s="456" t="s">
        <v>262</v>
      </c>
      <c r="E11" s="462">
        <f>SUM(E9:E10)</f>
        <v>4.6811999999999999E-2</v>
      </c>
      <c r="F11" s="459"/>
      <c r="G11" s="428">
        <v>8</v>
      </c>
      <c r="H11" s="440">
        <f t="shared" si="0"/>
        <v>3194628.093013389</v>
      </c>
      <c r="I11" s="440">
        <f t="shared" si="1"/>
        <v>10664.650161207255</v>
      </c>
      <c r="J11" s="440">
        <f t="shared" si="2"/>
        <v>4766.9553487873927</v>
      </c>
      <c r="K11" s="440">
        <f t="shared" si="3"/>
        <v>15431.605509994648</v>
      </c>
      <c r="L11" s="440">
        <f t="shared" si="4"/>
        <v>1816.1899224535957</v>
      </c>
      <c r="M11" s="440"/>
      <c r="N11" s="440"/>
      <c r="O11" s="440"/>
      <c r="P11" s="440"/>
      <c r="Q11" s="440"/>
      <c r="R11" s="440"/>
      <c r="S11" s="441">
        <f t="shared" si="5"/>
        <v>17247.795432448245</v>
      </c>
      <c r="T11" s="442">
        <f t="shared" si="6"/>
        <v>13087.515404561294</v>
      </c>
      <c r="V11" s="443">
        <f t="shared" si="7"/>
        <v>17247.795432448245</v>
      </c>
    </row>
    <row r="12" spans="1:22" ht="16">
      <c r="A12" s="928" t="s">
        <v>358</v>
      </c>
      <c r="B12" s="929"/>
      <c r="C12" s="461"/>
      <c r="D12" s="456" t="s">
        <v>263</v>
      </c>
      <c r="E12" s="463">
        <v>30</v>
      </c>
      <c r="G12" s="428">
        <v>9</v>
      </c>
      <c r="H12" s="440">
        <f t="shared" si="0"/>
        <v>3189845.247813439</v>
      </c>
      <c r="I12" s="440">
        <f t="shared" si="1"/>
        <v>10648.76031004463</v>
      </c>
      <c r="J12" s="440">
        <f t="shared" si="2"/>
        <v>4782.8451999500176</v>
      </c>
      <c r="K12" s="440">
        <f t="shared" si="3"/>
        <v>15431.605509994648</v>
      </c>
      <c r="L12" s="440">
        <f t="shared" si="4"/>
        <v>1813.4838808006007</v>
      </c>
      <c r="M12" s="440"/>
      <c r="N12" s="440"/>
      <c r="O12" s="440"/>
      <c r="P12" s="440"/>
      <c r="Q12" s="440"/>
      <c r="R12" s="440"/>
      <c r="S12" s="441">
        <f t="shared" si="5"/>
        <v>17245.089390795249</v>
      </c>
      <c r="T12" s="442">
        <f t="shared" si="6"/>
        <v>13091.007993846839</v>
      </c>
      <c r="V12" s="443">
        <f t="shared" si="7"/>
        <v>17245.089390795249</v>
      </c>
    </row>
    <row r="13" spans="1:22" ht="16">
      <c r="A13" s="930"/>
      <c r="B13" s="931"/>
      <c r="C13" s="461"/>
      <c r="D13" s="456" t="s">
        <v>264</v>
      </c>
      <c r="E13" s="463">
        <v>12</v>
      </c>
      <c r="G13" s="428">
        <v>10</v>
      </c>
      <c r="H13" s="440">
        <f t="shared" si="0"/>
        <v>3185046.4597961558</v>
      </c>
      <c r="I13" s="440">
        <f t="shared" si="1"/>
        <v>10632.817492711463</v>
      </c>
      <c r="J13" s="440">
        <f t="shared" si="2"/>
        <v>4798.7880172831847</v>
      </c>
      <c r="K13" s="440">
        <f t="shared" si="3"/>
        <v>15431.605509994648</v>
      </c>
      <c r="L13" s="440">
        <f t="shared" si="4"/>
        <v>1810.7688190087624</v>
      </c>
      <c r="M13" s="440"/>
      <c r="N13" s="440"/>
      <c r="O13" s="440"/>
      <c r="P13" s="440"/>
      <c r="Q13" s="440"/>
      <c r="R13" s="440"/>
      <c r="S13" s="441">
        <f t="shared" si="5"/>
        <v>17242.374329003411</v>
      </c>
      <c r="T13" s="442">
        <f t="shared" si="6"/>
        <v>13094.512225096669</v>
      </c>
      <c r="V13" s="443">
        <f t="shared" si="7"/>
        <v>17242.374329003411</v>
      </c>
    </row>
    <row r="14" spans="1:22" ht="16">
      <c r="A14" s="930"/>
      <c r="B14" s="931"/>
      <c r="C14" s="461"/>
      <c r="D14" s="456" t="s">
        <v>265</v>
      </c>
      <c r="E14" s="456">
        <f>E12*E13</f>
        <v>360</v>
      </c>
      <c r="G14" s="428">
        <v>11</v>
      </c>
      <c r="H14" s="440">
        <f t="shared" si="0"/>
        <v>3180231.6758188149</v>
      </c>
      <c r="I14" s="440">
        <f t="shared" si="1"/>
        <v>10616.821532653854</v>
      </c>
      <c r="J14" s="440">
        <f t="shared" si="2"/>
        <v>4814.7839773407941</v>
      </c>
      <c r="K14" s="440">
        <f t="shared" si="3"/>
        <v>15431.605509994648</v>
      </c>
      <c r="L14" s="440">
        <f t="shared" si="4"/>
        <v>1808.0447070109512</v>
      </c>
      <c r="M14" s="440"/>
      <c r="N14" s="440"/>
      <c r="O14" s="440"/>
      <c r="P14" s="440"/>
      <c r="Q14" s="440"/>
      <c r="R14" s="440"/>
      <c r="S14" s="441">
        <f t="shared" si="5"/>
        <v>17239.650217005597</v>
      </c>
      <c r="T14" s="442">
        <f t="shared" si="6"/>
        <v>13098.02813711733</v>
      </c>
      <c r="V14" s="443">
        <f t="shared" si="7"/>
        <v>17239.650217005597</v>
      </c>
    </row>
    <row r="15" spans="1:22" ht="17" thickBot="1">
      <c r="A15" s="930"/>
      <c r="B15" s="931"/>
      <c r="C15" s="461"/>
      <c r="D15" s="456"/>
      <c r="E15" s="456"/>
      <c r="F15" s="459"/>
      <c r="G15" s="428">
        <v>12</v>
      </c>
      <c r="H15" s="440">
        <f t="shared" si="0"/>
        <v>3175400.8425615495</v>
      </c>
      <c r="I15" s="440">
        <f t="shared" si="1"/>
        <v>10600.772252729384</v>
      </c>
      <c r="J15" s="440">
        <f t="shared" si="2"/>
        <v>4830.8332572652635</v>
      </c>
      <c r="K15" s="440">
        <f t="shared" si="3"/>
        <v>15431.605509994648</v>
      </c>
      <c r="L15" s="440">
        <f t="shared" si="4"/>
        <v>1805.311514639814</v>
      </c>
      <c r="M15" s="440"/>
      <c r="N15" s="440"/>
      <c r="O15" s="440"/>
      <c r="P15" s="440"/>
      <c r="Q15" s="440"/>
      <c r="R15" s="440"/>
      <c r="S15" s="441">
        <f t="shared" si="5"/>
        <v>17236.917024634462</v>
      </c>
      <c r="T15" s="442">
        <f t="shared" si="6"/>
        <v>13101.55576884473</v>
      </c>
      <c r="V15" s="443">
        <f t="shared" si="7"/>
        <v>17236.917024634462</v>
      </c>
    </row>
    <row r="16" spans="1:22" ht="16">
      <c r="A16" s="930"/>
      <c r="B16" s="931"/>
      <c r="C16" s="461"/>
      <c r="D16" s="464" t="s">
        <v>266</v>
      </c>
      <c r="E16" s="465">
        <f>-PMT(E9/E13,E14,E3)</f>
        <v>15431.605509994648</v>
      </c>
      <c r="F16" s="438"/>
      <c r="G16" s="428">
        <v>13</v>
      </c>
      <c r="H16" s="440">
        <f t="shared" si="0"/>
        <v>3170553.9065267602</v>
      </c>
      <c r="I16" s="440">
        <f t="shared" si="1"/>
        <v>10584.669475205166</v>
      </c>
      <c r="J16" s="440">
        <f t="shared" si="2"/>
        <v>4846.9360347894817</v>
      </c>
      <c r="K16" s="440">
        <f t="shared" si="3"/>
        <v>15431.605509994648</v>
      </c>
      <c r="L16" s="440">
        <f t="shared" si="4"/>
        <v>1802.5692116274397</v>
      </c>
      <c r="M16" s="440"/>
      <c r="N16" s="440"/>
      <c r="O16" s="440"/>
      <c r="P16" s="440"/>
      <c r="Q16" s="440"/>
      <c r="R16" s="440"/>
      <c r="S16" s="441">
        <f t="shared" si="5"/>
        <v>17234.174721622087</v>
      </c>
      <c r="T16" s="442">
        <f t="shared" si="6"/>
        <v>13105.095159344552</v>
      </c>
      <c r="V16" s="443">
        <f t="shared" si="7"/>
        <v>17234.174721622087</v>
      </c>
    </row>
    <row r="17" spans="1:22" ht="16">
      <c r="A17" s="930"/>
      <c r="B17" s="931"/>
      <c r="C17" s="461"/>
      <c r="D17" s="456" t="s">
        <v>267</v>
      </c>
      <c r="E17" s="437">
        <f>E16*E13</f>
        <v>185179.26611993578</v>
      </c>
      <c r="F17" s="438"/>
      <c r="G17" s="428">
        <v>14</v>
      </c>
      <c r="H17" s="440">
        <f t="shared" si="0"/>
        <v>3165690.8140385216</v>
      </c>
      <c r="I17" s="440">
        <f t="shared" si="1"/>
        <v>10568.513021755867</v>
      </c>
      <c r="J17" s="440">
        <f t="shared" si="2"/>
        <v>4863.0924882387808</v>
      </c>
      <c r="K17" s="440">
        <f t="shared" si="3"/>
        <v>15431.605509994648</v>
      </c>
      <c r="L17" s="440">
        <f t="shared" si="4"/>
        <v>1799.8177676050243</v>
      </c>
      <c r="M17" s="440"/>
      <c r="N17" s="440"/>
      <c r="O17" s="440"/>
      <c r="P17" s="440"/>
      <c r="Q17" s="440"/>
      <c r="R17" s="440"/>
      <c r="S17" s="441">
        <f t="shared" si="5"/>
        <v>17231.423277599672</v>
      </c>
      <c r="T17" s="442">
        <f t="shared" si="6"/>
        <v>13108.646347812708</v>
      </c>
      <c r="V17" s="443">
        <f t="shared" si="7"/>
        <v>17231.423277599672</v>
      </c>
    </row>
    <row r="18" spans="1:22" ht="16">
      <c r="A18" s="930"/>
      <c r="B18" s="931"/>
      <c r="C18" s="461"/>
      <c r="D18" s="456" t="s">
        <v>268</v>
      </c>
      <c r="E18" s="437">
        <f ca="1">SUM(INDIRECT("L4"):INDIRECT("L"&amp;3+E13))</f>
        <v>21842.146043810513</v>
      </c>
      <c r="G18" s="428">
        <v>15</v>
      </c>
      <c r="H18" s="440">
        <f t="shared" si="0"/>
        <v>3160811.5112419887</v>
      </c>
      <c r="I18" s="440">
        <f t="shared" si="1"/>
        <v>10552.302713461739</v>
      </c>
      <c r="J18" s="440">
        <f t="shared" si="2"/>
        <v>4879.3027965329093</v>
      </c>
      <c r="K18" s="440">
        <f t="shared" si="3"/>
        <v>15431.605509994648</v>
      </c>
      <c r="L18" s="440">
        <f t="shared" si="4"/>
        <v>1797.0571521025342</v>
      </c>
      <c r="M18" s="440"/>
      <c r="N18" s="440"/>
      <c r="O18" s="440"/>
      <c r="P18" s="440"/>
      <c r="Q18" s="440"/>
      <c r="R18" s="440"/>
      <c r="S18" s="441">
        <f t="shared" si="5"/>
        <v>17228.662662097184</v>
      </c>
      <c r="T18" s="442">
        <f t="shared" si="6"/>
        <v>13112.209373575759</v>
      </c>
      <c r="V18" s="443">
        <f t="shared" si="7"/>
        <v>17228.662662097184</v>
      </c>
    </row>
    <row r="19" spans="1:22" ht="17" thickBot="1">
      <c r="A19" s="932"/>
      <c r="B19" s="933"/>
      <c r="C19" s="461"/>
      <c r="D19" s="456" t="s">
        <v>269</v>
      </c>
      <c r="E19" s="437">
        <f ca="1">SUM(E17:E18)</f>
        <v>207021.41216374631</v>
      </c>
      <c r="F19" s="438"/>
      <c r="G19" s="428">
        <v>16</v>
      </c>
      <c r="H19" s="440">
        <f t="shared" si="0"/>
        <v>3155915.9441028009</v>
      </c>
      <c r="I19" s="440">
        <f t="shared" si="1"/>
        <v>10536.038370806629</v>
      </c>
      <c r="J19" s="440">
        <f t="shared" si="2"/>
        <v>4895.5671391880187</v>
      </c>
      <c r="K19" s="440">
        <f t="shared" si="3"/>
        <v>15431.605509994648</v>
      </c>
      <c r="L19" s="440">
        <f t="shared" si="4"/>
        <v>1794.2873345483692</v>
      </c>
      <c r="M19" s="440"/>
      <c r="N19" s="440"/>
      <c r="O19" s="440"/>
      <c r="P19" s="440"/>
      <c r="Q19" s="440"/>
      <c r="R19" s="440"/>
      <c r="S19" s="441">
        <f t="shared" si="5"/>
        <v>17225.892844543017</v>
      </c>
      <c r="T19" s="442">
        <f t="shared" si="6"/>
        <v>13115.784276091352</v>
      </c>
      <c r="V19" s="443">
        <f t="shared" si="7"/>
        <v>17225.892844543017</v>
      </c>
    </row>
    <row r="20" spans="1:22" ht="16">
      <c r="A20" s="461"/>
      <c r="B20" s="461"/>
      <c r="C20" s="461"/>
      <c r="D20" s="456"/>
      <c r="E20" s="437"/>
      <c r="G20" s="428">
        <v>17</v>
      </c>
      <c r="H20" s="440">
        <f t="shared" si="0"/>
        <v>3151004.0584064825</v>
      </c>
      <c r="I20" s="440">
        <f t="shared" si="1"/>
        <v>10519.719813676003</v>
      </c>
      <c r="J20" s="440">
        <f t="shared" si="2"/>
        <v>4911.8856963186445</v>
      </c>
      <c r="K20" s="440">
        <f t="shared" si="3"/>
        <v>15431.605509994648</v>
      </c>
      <c r="L20" s="440">
        <f t="shared" si="4"/>
        <v>1791.5082842690235</v>
      </c>
      <c r="M20" s="440"/>
      <c r="N20" s="440"/>
      <c r="O20" s="440"/>
      <c r="P20" s="440"/>
      <c r="Q20" s="440"/>
      <c r="R20" s="440"/>
      <c r="S20" s="441">
        <f t="shared" si="5"/>
        <v>17223.113794263671</v>
      </c>
      <c r="T20" s="442">
        <f t="shared" si="6"/>
        <v>13119.371094948663</v>
      </c>
      <c r="V20" s="443">
        <f t="shared" si="7"/>
        <v>17223.113794263671</v>
      </c>
    </row>
    <row r="21" spans="1:22" ht="16.25" customHeight="1">
      <c r="A21" s="934" t="s">
        <v>359</v>
      </c>
      <c r="B21" s="935"/>
      <c r="C21" s="461"/>
      <c r="D21" s="456" t="s">
        <v>270</v>
      </c>
      <c r="E21" s="437">
        <f>-CUMIPMT(E9/E13,E14,E3,1,E13,0)</f>
        <v>128256.87635825312</v>
      </c>
      <c r="G21" s="428">
        <v>18</v>
      </c>
      <c r="H21" s="440">
        <f t="shared" si="0"/>
        <v>3146075.7997578429</v>
      </c>
      <c r="I21" s="440">
        <f t="shared" si="1"/>
        <v>10503.346861354943</v>
      </c>
      <c r="J21" s="440">
        <f t="shared" si="2"/>
        <v>4928.2586486397049</v>
      </c>
      <c r="K21" s="440">
        <f t="shared" si="3"/>
        <v>15431.605509994648</v>
      </c>
      <c r="L21" s="440">
        <f t="shared" si="4"/>
        <v>1788.7199704887466</v>
      </c>
      <c r="M21" s="440"/>
      <c r="N21" s="440"/>
      <c r="O21" s="440"/>
      <c r="P21" s="440"/>
      <c r="Q21" s="440"/>
      <c r="R21" s="440"/>
      <c r="S21" s="441">
        <f t="shared" si="5"/>
        <v>17220.325480483396</v>
      </c>
      <c r="T21" s="442">
        <f t="shared" si="6"/>
        <v>13122.969869868833</v>
      </c>
      <c r="V21" s="443">
        <f t="shared" si="7"/>
        <v>17220.325480483396</v>
      </c>
    </row>
    <row r="22" spans="1:22" ht="17" thickBot="1">
      <c r="A22" s="936"/>
      <c r="B22" s="936"/>
      <c r="C22" s="466"/>
      <c r="D22" s="456" t="s">
        <v>271</v>
      </c>
      <c r="E22" s="437">
        <f>-CUMPRINC(E9/E13,E14,E3,1,E13,0)</f>
        <v>56922.389761682651</v>
      </c>
      <c r="F22" s="438"/>
      <c r="G22" s="428">
        <v>19</v>
      </c>
      <c r="H22" s="440">
        <f t="shared" si="0"/>
        <v>3141131.1135803745</v>
      </c>
      <c r="I22" s="440">
        <f t="shared" si="1"/>
        <v>10486.919332526144</v>
      </c>
      <c r="J22" s="440">
        <f t="shared" si="2"/>
        <v>4944.686177468504</v>
      </c>
      <c r="K22" s="440">
        <f t="shared" si="3"/>
        <v>15431.605509994648</v>
      </c>
      <c r="L22" s="440">
        <f t="shared" si="4"/>
        <v>1785.9223623292023</v>
      </c>
      <c r="M22" s="440"/>
      <c r="N22" s="440"/>
      <c r="O22" s="440"/>
      <c r="P22" s="440"/>
      <c r="Q22" s="440"/>
      <c r="R22" s="440"/>
      <c r="S22" s="441">
        <f t="shared" si="5"/>
        <v>17217.527872323852</v>
      </c>
      <c r="T22" s="442">
        <f t="shared" si="6"/>
        <v>13126.580640705404</v>
      </c>
      <c r="V22" s="443">
        <f t="shared" si="7"/>
        <v>17217.527872323852</v>
      </c>
    </row>
    <row r="23" spans="1:22" ht="16">
      <c r="A23" s="928" t="s">
        <v>360</v>
      </c>
      <c r="B23" s="940"/>
      <c r="C23" s="461"/>
      <c r="D23" s="456"/>
      <c r="E23" s="437"/>
      <c r="G23" s="428">
        <v>20</v>
      </c>
      <c r="H23" s="440">
        <f t="shared" si="0"/>
        <v>3136169.9451156477</v>
      </c>
      <c r="I23" s="440">
        <f t="shared" si="1"/>
        <v>10470.437045267916</v>
      </c>
      <c r="J23" s="440">
        <f t="shared" si="2"/>
        <v>4961.1684647267321</v>
      </c>
      <c r="K23" s="440">
        <f t="shared" si="3"/>
        <v>15431.605509994648</v>
      </c>
      <c r="L23" s="440">
        <f t="shared" si="4"/>
        <v>1783.1154288091261</v>
      </c>
      <c r="M23" s="440"/>
      <c r="N23" s="440"/>
      <c r="O23" s="440"/>
      <c r="P23" s="440"/>
      <c r="Q23" s="440"/>
      <c r="R23" s="440"/>
      <c r="S23" s="441">
        <f t="shared" si="5"/>
        <v>17214.720938803774</v>
      </c>
      <c r="T23" s="442">
        <f t="shared" si="6"/>
        <v>13130.203447444761</v>
      </c>
      <c r="V23" s="443">
        <f t="shared" si="7"/>
        <v>17214.720938803774</v>
      </c>
    </row>
    <row r="24" spans="1:22" ht="16">
      <c r="A24" s="930"/>
      <c r="B24" s="941"/>
      <c r="C24" s="461"/>
      <c r="D24" s="456" t="s">
        <v>272</v>
      </c>
      <c r="E24" s="437">
        <f ca="1">SUM(INDIRECT("T4"):INDIRECT("T"&amp;3+E13))</f>
        <v>156988.40469639175</v>
      </c>
      <c r="F24" s="438"/>
      <c r="G24" s="428">
        <v>21</v>
      </c>
      <c r="H24" s="440">
        <f t="shared" si="0"/>
        <v>3131192.239422705</v>
      </c>
      <c r="I24" s="440">
        <f t="shared" si="1"/>
        <v>10453.899817052159</v>
      </c>
      <c r="J24" s="440">
        <f t="shared" si="2"/>
        <v>4977.7056929424889</v>
      </c>
      <c r="K24" s="440">
        <f t="shared" si="3"/>
        <v>15431.605509994648</v>
      </c>
      <c r="L24" s="440">
        <f t="shared" si="4"/>
        <v>1780.299138843983</v>
      </c>
      <c r="M24" s="440"/>
      <c r="N24" s="440"/>
      <c r="O24" s="440"/>
      <c r="P24" s="440"/>
      <c r="Q24" s="440"/>
      <c r="R24" s="440"/>
      <c r="S24" s="441">
        <f t="shared" si="5"/>
        <v>17211.90464883863</v>
      </c>
      <c r="T24" s="442">
        <f t="shared" si="6"/>
        <v>13133.838330206583</v>
      </c>
      <c r="V24" s="443">
        <f t="shared" si="7"/>
        <v>17211.90464883863</v>
      </c>
    </row>
    <row r="25" spans="1:22" ht="16">
      <c r="A25" s="930"/>
      <c r="B25" s="941"/>
      <c r="C25" s="461"/>
      <c r="D25" s="467" t="s">
        <v>273</v>
      </c>
      <c r="E25" s="468">
        <f ca="1">E24/E13</f>
        <v>13082.367058032645</v>
      </c>
      <c r="F25" s="469"/>
      <c r="G25" s="428">
        <v>22</v>
      </c>
      <c r="H25" s="440">
        <f t="shared" si="0"/>
        <v>3126197.9413774526</v>
      </c>
      <c r="I25" s="440">
        <f t="shared" si="1"/>
        <v>10437.307464742351</v>
      </c>
      <c r="J25" s="440">
        <f t="shared" si="2"/>
        <v>4994.298045252297</v>
      </c>
      <c r="K25" s="440">
        <f t="shared" si="3"/>
        <v>15431.605509994648</v>
      </c>
      <c r="L25" s="440">
        <f t="shared" si="4"/>
        <v>1777.4734612456225</v>
      </c>
      <c r="M25" s="440"/>
      <c r="N25" s="440"/>
      <c r="O25" s="440"/>
      <c r="P25" s="440"/>
      <c r="Q25" s="440"/>
      <c r="R25" s="440"/>
      <c r="S25" s="441">
        <f t="shared" si="5"/>
        <v>17209.078971240269</v>
      </c>
      <c r="T25" s="442">
        <f t="shared" si="6"/>
        <v>13137.485329244279</v>
      </c>
      <c r="V25" s="443">
        <f t="shared" si="7"/>
        <v>17209.078971240269</v>
      </c>
    </row>
    <row r="26" spans="1:22" ht="16">
      <c r="A26" s="930"/>
      <c r="B26" s="941"/>
      <c r="C26" s="461"/>
      <c r="D26" s="456"/>
      <c r="E26" s="437"/>
      <c r="G26" s="428">
        <v>23</v>
      </c>
      <c r="H26" s="440">
        <f t="shared" si="0"/>
        <v>3121186.9956720495</v>
      </c>
      <c r="I26" s="440">
        <f t="shared" si="1"/>
        <v>10420.659804591509</v>
      </c>
      <c r="J26" s="440">
        <f t="shared" si="2"/>
        <v>5010.9457054031391</v>
      </c>
      <c r="K26" s="440">
        <f t="shared" si="3"/>
        <v>15431.605509994648</v>
      </c>
      <c r="L26" s="440">
        <f t="shared" si="4"/>
        <v>1774.6383647219341</v>
      </c>
      <c r="M26" s="440"/>
      <c r="N26" s="440"/>
      <c r="O26" s="440"/>
      <c r="P26" s="440"/>
      <c r="Q26" s="440"/>
      <c r="R26" s="440"/>
      <c r="S26" s="441">
        <f t="shared" si="5"/>
        <v>17206.243874716583</v>
      </c>
      <c r="T26" s="442">
        <f t="shared" si="6"/>
        <v>13141.144484945436</v>
      </c>
      <c r="V26" s="443">
        <f t="shared" si="7"/>
        <v>17206.243874716583</v>
      </c>
    </row>
    <row r="27" spans="1:22" ht="21" customHeight="1" thickBot="1">
      <c r="A27" s="942"/>
      <c r="B27" s="943"/>
      <c r="C27" s="461"/>
      <c r="D27" s="467" t="s">
        <v>274</v>
      </c>
      <c r="E27" s="468">
        <f ca="1">E19/12</f>
        <v>17251.78434697886</v>
      </c>
      <c r="F27" s="470"/>
      <c r="G27" s="428">
        <v>24</v>
      </c>
      <c r="H27" s="440">
        <f t="shared" si="0"/>
        <v>3116159.3468142948</v>
      </c>
      <c r="I27" s="440">
        <f t="shared" si="1"/>
        <v>10403.956652240166</v>
      </c>
      <c r="J27" s="440">
        <f t="shared" si="2"/>
        <v>5027.6488577544824</v>
      </c>
      <c r="K27" s="440">
        <f t="shared" si="3"/>
        <v>15431.605509994648</v>
      </c>
      <c r="L27" s="440">
        <f t="shared" si="4"/>
        <v>1771.7938178765003</v>
      </c>
      <c r="M27" s="440"/>
      <c r="N27" s="440"/>
      <c r="O27" s="440"/>
      <c r="P27" s="440"/>
      <c r="Q27" s="440"/>
      <c r="R27" s="440"/>
      <c r="S27" s="441">
        <f t="shared" si="5"/>
        <v>17203.39932787115</v>
      </c>
      <c r="T27" s="442">
        <f t="shared" si="6"/>
        <v>13144.815837832262</v>
      </c>
      <c r="V27" s="443">
        <f t="shared" si="7"/>
        <v>17203.39932787115</v>
      </c>
    </row>
    <row r="28" spans="1:22" ht="17" thickBot="1">
      <c r="A28" s="944"/>
      <c r="B28" s="945"/>
      <c r="C28" s="466"/>
      <c r="D28" s="471" t="s">
        <v>275</v>
      </c>
      <c r="E28" s="472">
        <f ca="1">E24/12</f>
        <v>13082.367058032645</v>
      </c>
      <c r="F28" s="470"/>
      <c r="G28" s="428">
        <v>25</v>
      </c>
      <c r="H28" s="440">
        <f t="shared" si="0"/>
        <v>3111114.9391270145</v>
      </c>
      <c r="I28" s="440">
        <f t="shared" si="1"/>
        <v>10387.197822714317</v>
      </c>
      <c r="J28" s="440">
        <f t="shared" si="2"/>
        <v>5044.4076872803307</v>
      </c>
      <c r="K28" s="440">
        <f t="shared" si="3"/>
        <v>15431.605509994648</v>
      </c>
      <c r="L28" s="440">
        <f t="shared" si="4"/>
        <v>1768.9397892082482</v>
      </c>
      <c r="M28" s="440"/>
      <c r="N28" s="440"/>
      <c r="O28" s="440"/>
      <c r="P28" s="440"/>
      <c r="Q28" s="440"/>
      <c r="R28" s="440"/>
      <c r="S28" s="441">
        <f t="shared" si="5"/>
        <v>17200.545299202895</v>
      </c>
      <c r="T28" s="442">
        <f t="shared" si="6"/>
        <v>13148.49942856204</v>
      </c>
      <c r="V28" s="443">
        <f t="shared" si="7"/>
        <v>17200.545299202895</v>
      </c>
    </row>
    <row r="29" spans="1:22">
      <c r="A29" s="946" t="s">
        <v>361</v>
      </c>
      <c r="B29" s="947"/>
      <c r="C29" s="461"/>
      <c r="D29" s="428"/>
      <c r="E29" s="428"/>
      <c r="G29" s="428">
        <v>26</v>
      </c>
      <c r="H29" s="440">
        <f t="shared" si="0"/>
        <v>3106053.7167474432</v>
      </c>
      <c r="I29" s="440">
        <f t="shared" si="1"/>
        <v>10370.383130423383</v>
      </c>
      <c r="J29" s="440">
        <f t="shared" si="2"/>
        <v>5061.2223795712653</v>
      </c>
      <c r="K29" s="440">
        <f t="shared" si="3"/>
        <v>15431.605509994648</v>
      </c>
      <c r="L29" s="440">
        <f t="shared" si="4"/>
        <v>1766.076247111102</v>
      </c>
      <c r="M29" s="440"/>
      <c r="N29" s="440"/>
      <c r="O29" s="440"/>
      <c r="P29" s="440"/>
      <c r="Q29" s="440"/>
      <c r="R29" s="440"/>
      <c r="S29" s="441">
        <f t="shared" si="5"/>
        <v>17197.681757105751</v>
      </c>
      <c r="T29" s="442">
        <f t="shared" si="6"/>
        <v>13152.19529792759</v>
      </c>
      <c r="V29" s="443">
        <f t="shared" si="7"/>
        <v>17197.681757105751</v>
      </c>
    </row>
    <row r="30" spans="1:22" ht="15" customHeight="1" thickBot="1">
      <c r="A30" s="948"/>
      <c r="B30" s="948"/>
      <c r="C30" s="461"/>
      <c r="D30" s="429"/>
      <c r="E30" s="473"/>
      <c r="F30" s="474"/>
      <c r="G30" s="428">
        <v>27</v>
      </c>
      <c r="H30" s="440">
        <f t="shared" si="0"/>
        <v>3100975.6236266065</v>
      </c>
      <c r="I30" s="440">
        <f t="shared" si="1"/>
        <v>10353.512389158144</v>
      </c>
      <c r="J30" s="440">
        <f t="shared" si="2"/>
        <v>5078.0931208365037</v>
      </c>
      <c r="K30" s="440">
        <f t="shared" si="3"/>
        <v>15431.605509994648</v>
      </c>
      <c r="L30" s="440">
        <f t="shared" si="4"/>
        <v>1763.2031598736321</v>
      </c>
      <c r="M30" s="440"/>
      <c r="N30" s="440"/>
      <c r="O30" s="440"/>
      <c r="P30" s="440"/>
      <c r="Q30" s="440"/>
      <c r="R30" s="440"/>
      <c r="S30" s="441">
        <f t="shared" si="5"/>
        <v>17194.808669868282</v>
      </c>
      <c r="T30" s="442">
        <f t="shared" si="6"/>
        <v>13155.903486857689</v>
      </c>
      <c r="V30" s="443">
        <f t="shared" si="7"/>
        <v>17194.808669868282</v>
      </c>
    </row>
    <row r="31" spans="1:22" ht="16">
      <c r="A31" s="928" t="s">
        <v>362</v>
      </c>
      <c r="B31" s="949"/>
      <c r="C31" s="461"/>
      <c r="D31" s="464" t="s">
        <v>363</v>
      </c>
      <c r="E31" s="475">
        <f>RATE(E14,-E16,E5)</f>
        <v>3.4028588106725871E-3</v>
      </c>
      <c r="F31" s="476"/>
      <c r="G31" s="428">
        <v>28</v>
      </c>
      <c r="H31" s="440">
        <f t="shared" si="0"/>
        <v>3095880.6035287008</v>
      </c>
      <c r="I31" s="440">
        <f t="shared" si="1"/>
        <v>10336.585412088689</v>
      </c>
      <c r="J31" s="440">
        <f t="shared" si="2"/>
        <v>5095.0200979059591</v>
      </c>
      <c r="K31" s="440">
        <f t="shared" si="3"/>
        <v>15431.605509994648</v>
      </c>
      <c r="L31" s="440">
        <f t="shared" si="4"/>
        <v>1760.3204956787038</v>
      </c>
      <c r="M31" s="440"/>
      <c r="N31" s="440"/>
      <c r="O31" s="440"/>
      <c r="P31" s="440"/>
      <c r="Q31" s="440"/>
      <c r="R31" s="440"/>
      <c r="S31" s="441">
        <f t="shared" si="5"/>
        <v>17191.926005673351</v>
      </c>
      <c r="T31" s="442">
        <f t="shared" si="6"/>
        <v>13159.624036417554</v>
      </c>
      <c r="V31" s="443">
        <f t="shared" si="7"/>
        <v>17191.926005673351</v>
      </c>
    </row>
    <row r="32" spans="1:22" ht="16">
      <c r="A32" s="950"/>
      <c r="B32" s="951"/>
      <c r="C32" s="461"/>
      <c r="D32" s="467" t="s">
        <v>364</v>
      </c>
      <c r="E32" s="477">
        <f>(1+E31)^E13-1</f>
        <v>4.160728474582398E-2</v>
      </c>
      <c r="G32" s="428">
        <v>29</v>
      </c>
      <c r="H32" s="440">
        <f t="shared" si="0"/>
        <v>3090768.6000304683</v>
      </c>
      <c r="I32" s="440">
        <f t="shared" si="1"/>
        <v>10319.602011762336</v>
      </c>
      <c r="J32" s="440">
        <f t="shared" si="2"/>
        <v>5112.0034982323123</v>
      </c>
      <c r="K32" s="440">
        <f t="shared" si="3"/>
        <v>15431.605509994648</v>
      </c>
      <c r="L32" s="440">
        <f t="shared" si="4"/>
        <v>1757.428222603126</v>
      </c>
      <c r="M32" s="440"/>
      <c r="N32" s="440"/>
      <c r="O32" s="440"/>
      <c r="P32" s="440"/>
      <c r="Q32" s="440"/>
      <c r="R32" s="440"/>
      <c r="S32" s="441">
        <f t="shared" si="5"/>
        <v>17189.033732597774</v>
      </c>
      <c r="T32" s="442">
        <f t="shared" si="6"/>
        <v>13163.356987809288</v>
      </c>
      <c r="V32" s="443">
        <f t="shared" si="7"/>
        <v>17189.033732597774</v>
      </c>
    </row>
    <row r="33" spans="1:22" ht="16">
      <c r="A33" s="950"/>
      <c r="B33" s="951"/>
      <c r="C33" s="461"/>
      <c r="D33" s="456"/>
      <c r="E33" s="478"/>
      <c r="G33" s="428">
        <v>30</v>
      </c>
      <c r="H33" s="440">
        <f t="shared" si="0"/>
        <v>3085639.5565205752</v>
      </c>
      <c r="I33" s="440">
        <f t="shared" si="1"/>
        <v>10302.562000101561</v>
      </c>
      <c r="J33" s="440">
        <f t="shared" si="2"/>
        <v>5129.0435098930866</v>
      </c>
      <c r="K33" s="440">
        <f t="shared" si="3"/>
        <v>15431.605509994648</v>
      </c>
      <c r="L33" s="440">
        <f t="shared" si="4"/>
        <v>1754.5263086172961</v>
      </c>
      <c r="M33" s="440"/>
      <c r="N33" s="440"/>
      <c r="O33" s="440"/>
      <c r="P33" s="440"/>
      <c r="Q33" s="440"/>
      <c r="R33" s="440"/>
      <c r="S33" s="441">
        <f t="shared" si="5"/>
        <v>17186.131818611942</v>
      </c>
      <c r="T33" s="442">
        <f t="shared" si="6"/>
        <v>13167.102382372323</v>
      </c>
      <c r="V33" s="443">
        <f t="shared" si="7"/>
        <v>17186.131818611942</v>
      </c>
    </row>
    <row r="34" spans="1:22" ht="16">
      <c r="A34" s="950"/>
      <c r="B34" s="951"/>
      <c r="C34" s="461"/>
      <c r="D34" s="456" t="s">
        <v>365</v>
      </c>
      <c r="E34" s="478">
        <f>IRR(S3:S363)</f>
        <v>4.1270353851554642E-3</v>
      </c>
      <c r="G34" s="428">
        <v>31</v>
      </c>
      <c r="H34" s="440">
        <f t="shared" si="0"/>
        <v>3080493.4161989824</v>
      </c>
      <c r="I34" s="440">
        <f t="shared" si="1"/>
        <v>10285.465188401919</v>
      </c>
      <c r="J34" s="440">
        <f t="shared" si="2"/>
        <v>5146.1403215927294</v>
      </c>
      <c r="K34" s="440">
        <f t="shared" si="3"/>
        <v>15431.605509994648</v>
      </c>
      <c r="L34" s="440">
        <f t="shared" si="4"/>
        <v>1751.6147215848466</v>
      </c>
      <c r="M34" s="440"/>
      <c r="N34" s="440"/>
      <c r="O34" s="440"/>
      <c r="P34" s="440"/>
      <c r="Q34" s="440"/>
      <c r="R34" s="440"/>
      <c r="S34" s="441">
        <f t="shared" si="5"/>
        <v>17183.220231579493</v>
      </c>
      <c r="T34" s="442">
        <f t="shared" si="6"/>
        <v>13170.860261583905</v>
      </c>
      <c r="V34" s="443">
        <f t="shared" si="7"/>
        <v>17183.220231579493</v>
      </c>
    </row>
    <row r="35" spans="1:22" ht="17" thickBot="1">
      <c r="A35" s="950"/>
      <c r="B35" s="951"/>
      <c r="D35" s="471" t="s">
        <v>366</v>
      </c>
      <c r="E35" s="479">
        <f>(1+E34)^E13-1</f>
        <v>5.0664173515471367E-2</v>
      </c>
      <c r="F35" s="459"/>
      <c r="G35" s="428">
        <v>32</v>
      </c>
      <c r="H35" s="440">
        <f t="shared" si="0"/>
        <v>3075330.1220763177</v>
      </c>
      <c r="I35" s="440">
        <f t="shared" si="1"/>
        <v>10268.311387329943</v>
      </c>
      <c r="J35" s="440">
        <f t="shared" si="2"/>
        <v>5163.2941226647054</v>
      </c>
      <c r="K35" s="440">
        <f t="shared" si="3"/>
        <v>15431.605509994648</v>
      </c>
      <c r="L35" s="440">
        <f t="shared" si="4"/>
        <v>1748.6934292622891</v>
      </c>
      <c r="M35" s="440"/>
      <c r="N35" s="440"/>
      <c r="O35" s="440"/>
      <c r="P35" s="440"/>
      <c r="Q35" s="440"/>
      <c r="R35" s="440"/>
      <c r="S35" s="441">
        <f t="shared" si="5"/>
        <v>17180.298939256936</v>
      </c>
      <c r="T35" s="442">
        <f t="shared" si="6"/>
        <v>13174.630667059526</v>
      </c>
      <c r="V35" s="443">
        <f t="shared" si="7"/>
        <v>17180.298939256936</v>
      </c>
    </row>
    <row r="36" spans="1:22">
      <c r="A36" s="950"/>
      <c r="B36" s="951"/>
      <c r="E36" s="476"/>
      <c r="F36" s="476"/>
      <c r="G36" s="428">
        <v>33</v>
      </c>
      <c r="H36" s="440">
        <f t="shared" si="0"/>
        <v>3070149.6169732441</v>
      </c>
      <c r="I36" s="440">
        <f t="shared" si="1"/>
        <v>10251.100406921059</v>
      </c>
      <c r="J36" s="440">
        <f t="shared" si="2"/>
        <v>5180.5051030735885</v>
      </c>
      <c r="K36" s="440">
        <f t="shared" si="3"/>
        <v>15431.605509994648</v>
      </c>
      <c r="L36" s="440">
        <f t="shared" si="4"/>
        <v>1745.7623992986564</v>
      </c>
      <c r="M36" s="440"/>
      <c r="N36" s="440"/>
      <c r="O36" s="440"/>
      <c r="P36" s="440"/>
      <c r="Q36" s="440"/>
      <c r="R36" s="440"/>
      <c r="S36" s="441">
        <f t="shared" si="5"/>
        <v>17177.367909293305</v>
      </c>
      <c r="T36" s="442">
        <f t="shared" si="6"/>
        <v>13178.413640553401</v>
      </c>
      <c r="V36" s="443">
        <f t="shared" si="7"/>
        <v>17177.367909293305</v>
      </c>
    </row>
    <row r="37" spans="1:22" ht="16" thickBot="1">
      <c r="A37" s="942"/>
      <c r="B37" s="943"/>
      <c r="G37" s="428">
        <v>34</v>
      </c>
      <c r="H37" s="440">
        <f t="shared" si="0"/>
        <v>3064951.8435198269</v>
      </c>
      <c r="I37" s="440">
        <f t="shared" si="1"/>
        <v>10233.832056577481</v>
      </c>
      <c r="J37" s="440">
        <f t="shared" si="2"/>
        <v>5197.7734534171668</v>
      </c>
      <c r="K37" s="440">
        <f t="shared" si="3"/>
        <v>15431.605509994648</v>
      </c>
      <c r="L37" s="440">
        <f t="shared" si="4"/>
        <v>1742.8215992351452</v>
      </c>
      <c r="M37" s="440"/>
      <c r="N37" s="440"/>
      <c r="O37" s="440"/>
      <c r="P37" s="440"/>
      <c r="Q37" s="440"/>
      <c r="R37" s="440"/>
      <c r="S37" s="441">
        <f t="shared" si="5"/>
        <v>17174.427109229793</v>
      </c>
      <c r="T37" s="442">
        <f t="shared" si="6"/>
        <v>13182.209223958918</v>
      </c>
      <c r="V37" s="443">
        <f t="shared" si="7"/>
        <v>17174.427109229793</v>
      </c>
    </row>
    <row r="38" spans="1:22">
      <c r="G38" s="428">
        <v>35</v>
      </c>
      <c r="H38" s="440">
        <f t="shared" si="0"/>
        <v>3059736.7441548984</v>
      </c>
      <c r="I38" s="440">
        <f t="shared" si="1"/>
        <v>10216.506145066091</v>
      </c>
      <c r="J38" s="440">
        <f t="shared" si="2"/>
        <v>5215.0993649285574</v>
      </c>
      <c r="K38" s="440">
        <f t="shared" si="3"/>
        <v>15431.605509994648</v>
      </c>
      <c r="L38" s="440">
        <f t="shared" si="4"/>
        <v>1739.8709965047553</v>
      </c>
      <c r="M38" s="440"/>
      <c r="N38" s="440"/>
      <c r="O38" s="440"/>
      <c r="P38" s="440"/>
      <c r="Q38" s="440"/>
      <c r="R38" s="440"/>
      <c r="S38" s="441">
        <f t="shared" si="5"/>
        <v>17171.476506499403</v>
      </c>
      <c r="T38" s="442">
        <f t="shared" si="6"/>
        <v>13186.017459309121</v>
      </c>
      <c r="V38" s="443">
        <f t="shared" si="7"/>
        <v>17171.476506499403</v>
      </c>
    </row>
    <row r="39" spans="1:22">
      <c r="A39" s="480" t="s">
        <v>367</v>
      </c>
      <c r="G39" s="428">
        <v>36</v>
      </c>
      <c r="H39" s="440">
        <f t="shared" si="0"/>
        <v>3054504.2611254202</v>
      </c>
      <c r="I39" s="440">
        <f t="shared" si="1"/>
        <v>10199.122480516329</v>
      </c>
      <c r="J39" s="440">
        <f t="shared" si="2"/>
        <v>5232.4830294783187</v>
      </c>
      <c r="K39" s="440">
        <f t="shared" si="3"/>
        <v>15431.605509994648</v>
      </c>
      <c r="L39" s="440">
        <f t="shared" si="4"/>
        <v>1736.9105584319309</v>
      </c>
      <c r="M39" s="440"/>
      <c r="N39" s="440"/>
      <c r="O39" s="440"/>
      <c r="P39" s="440"/>
      <c r="Q39" s="440"/>
      <c r="R39" s="440"/>
      <c r="S39" s="441">
        <f t="shared" si="5"/>
        <v>17168.516068426579</v>
      </c>
      <c r="T39" s="442">
        <f t="shared" si="6"/>
        <v>13189.83838877716</v>
      </c>
      <c r="V39" s="443">
        <f t="shared" si="7"/>
        <v>17168.516068426579</v>
      </c>
    </row>
    <row r="40" spans="1:22">
      <c r="G40" s="428">
        <v>37</v>
      </c>
      <c r="H40" s="440">
        <f t="shared" si="0"/>
        <v>3049254.3364858436</v>
      </c>
      <c r="I40" s="440">
        <f t="shared" si="1"/>
        <v>10181.680870418068</v>
      </c>
      <c r="J40" s="440">
        <f t="shared" si="2"/>
        <v>5249.9246395765804</v>
      </c>
      <c r="K40" s="440">
        <f t="shared" si="3"/>
        <v>15431.605509994648</v>
      </c>
      <c r="L40" s="440">
        <f t="shared" si="4"/>
        <v>1733.9402522321971</v>
      </c>
      <c r="M40" s="440"/>
      <c r="N40" s="440"/>
      <c r="O40" s="440"/>
      <c r="P40" s="440"/>
      <c r="Q40" s="440"/>
      <c r="R40" s="440"/>
      <c r="S40" s="441">
        <f t="shared" si="5"/>
        <v>17165.545762226844</v>
      </c>
      <c r="T40" s="442">
        <f t="shared" si="6"/>
        <v>13193.672054676757</v>
      </c>
      <c r="V40" s="443">
        <f t="shared" si="7"/>
        <v>17165.545762226844</v>
      </c>
    </row>
    <row r="41" spans="1:22">
      <c r="G41" s="428">
        <v>38</v>
      </c>
      <c r="H41" s="440">
        <f t="shared" si="0"/>
        <v>3043986.9120974685</v>
      </c>
      <c r="I41" s="440">
        <f t="shared" si="1"/>
        <v>10164.18112161948</v>
      </c>
      <c r="J41" s="440">
        <f t="shared" si="2"/>
        <v>5267.4243883751678</v>
      </c>
      <c r="K41" s="440">
        <f t="shared" si="3"/>
        <v>15431.605509994648</v>
      </c>
      <c r="L41" s="440">
        <f t="shared" si="4"/>
        <v>1730.9600450117975</v>
      </c>
      <c r="M41" s="440"/>
      <c r="N41" s="440"/>
      <c r="O41" s="440"/>
      <c r="P41" s="440"/>
      <c r="Q41" s="440"/>
      <c r="R41" s="440"/>
      <c r="S41" s="441">
        <f t="shared" si="5"/>
        <v>17162.565555006444</v>
      </c>
      <c r="T41" s="442">
        <f t="shared" si="6"/>
        <v>13197.518499462685</v>
      </c>
      <c r="V41" s="443">
        <f t="shared" si="7"/>
        <v>17162.565555006444</v>
      </c>
    </row>
    <row r="42" spans="1:22">
      <c r="G42" s="428">
        <v>39</v>
      </c>
      <c r="H42" s="440">
        <f t="shared" si="0"/>
        <v>3038701.929627799</v>
      </c>
      <c r="I42" s="440">
        <f t="shared" si="1"/>
        <v>10146.623040324896</v>
      </c>
      <c r="J42" s="440">
        <f t="shared" si="2"/>
        <v>5284.9824696697524</v>
      </c>
      <c r="K42" s="440">
        <f t="shared" si="3"/>
        <v>15431.605509994648</v>
      </c>
      <c r="L42" s="440">
        <f t="shared" si="4"/>
        <v>1727.9699037673299</v>
      </c>
      <c r="M42" s="440"/>
      <c r="N42" s="440"/>
      <c r="O42" s="440"/>
      <c r="P42" s="440"/>
      <c r="Q42" s="440"/>
      <c r="R42" s="440"/>
      <c r="S42" s="441">
        <f t="shared" si="5"/>
        <v>17159.575413761977</v>
      </c>
      <c r="T42" s="442">
        <f t="shared" si="6"/>
        <v>13201.377765731235</v>
      </c>
      <c r="V42" s="443">
        <f t="shared" si="7"/>
        <v>17159.575413761977</v>
      </c>
    </row>
    <row r="43" spans="1:22">
      <c r="G43" s="428">
        <v>40</v>
      </c>
      <c r="H43" s="440">
        <f t="shared" si="0"/>
        <v>3033399.3305498972</v>
      </c>
      <c r="I43" s="440">
        <f t="shared" si="1"/>
        <v>10129.006432092663</v>
      </c>
      <c r="J43" s="440">
        <f t="shared" si="2"/>
        <v>5302.5990779019849</v>
      </c>
      <c r="K43" s="440">
        <f t="shared" si="3"/>
        <v>15431.605509994648</v>
      </c>
      <c r="L43" s="440">
        <f t="shared" si="4"/>
        <v>1724.9697953853808</v>
      </c>
      <c r="M43" s="440"/>
      <c r="N43" s="440"/>
      <c r="O43" s="440"/>
      <c r="P43" s="440"/>
      <c r="Q43" s="440"/>
      <c r="R43" s="440"/>
      <c r="S43" s="441">
        <f t="shared" si="5"/>
        <v>17156.575305380029</v>
      </c>
      <c r="T43" s="442">
        <f t="shared" si="6"/>
        <v>13205.249896220681</v>
      </c>
      <c r="V43" s="443">
        <f t="shared" si="7"/>
        <v>17156.575305380029</v>
      </c>
    </row>
    <row r="44" spans="1:22">
      <c r="G44" s="428">
        <v>41</v>
      </c>
      <c r="H44" s="440">
        <f t="shared" si="0"/>
        <v>3028079.0561417355</v>
      </c>
      <c r="I44" s="440">
        <f t="shared" si="1"/>
        <v>10111.331101832991</v>
      </c>
      <c r="J44" s="440">
        <f t="shared" si="2"/>
        <v>5320.2744081616565</v>
      </c>
      <c r="K44" s="440">
        <f t="shared" si="3"/>
        <v>15431.605509994648</v>
      </c>
      <c r="L44" s="440">
        <f t="shared" si="4"/>
        <v>1721.9596866421584</v>
      </c>
      <c r="M44" s="440"/>
      <c r="N44" s="440"/>
      <c r="O44" s="440"/>
      <c r="P44" s="440"/>
      <c r="Q44" s="440"/>
      <c r="R44" s="440"/>
      <c r="S44" s="441">
        <f t="shared" si="5"/>
        <v>17153.565196636806</v>
      </c>
      <c r="T44" s="442">
        <f t="shared" si="6"/>
        <v>13209.134933811756</v>
      </c>
      <c r="V44" s="443">
        <f t="shared" si="7"/>
        <v>17153.565196636806</v>
      </c>
    </row>
    <row r="45" spans="1:22">
      <c r="G45" s="428">
        <v>42</v>
      </c>
      <c r="H45" s="440">
        <f t="shared" si="0"/>
        <v>3022741.0474855467</v>
      </c>
      <c r="I45" s="440">
        <f t="shared" si="1"/>
        <v>10093.596853805786</v>
      </c>
      <c r="J45" s="440">
        <f t="shared" si="2"/>
        <v>5338.008656188862</v>
      </c>
      <c r="K45" s="440">
        <f t="shared" si="3"/>
        <v>15431.605509994648</v>
      </c>
      <c r="L45" s="440">
        <f t="shared" si="4"/>
        <v>1718.9395442031255</v>
      </c>
      <c r="M45" s="440"/>
      <c r="N45" s="440"/>
      <c r="O45" s="440"/>
      <c r="P45" s="440"/>
      <c r="Q45" s="440"/>
      <c r="R45" s="440"/>
      <c r="S45" s="441">
        <f t="shared" si="5"/>
        <v>17150.545054197773</v>
      </c>
      <c r="T45" s="442">
        <f t="shared" si="6"/>
        <v>13213.032921528136</v>
      </c>
      <c r="V45" s="443">
        <f t="shared" si="7"/>
        <v>17150.545054197773</v>
      </c>
    </row>
    <row r="46" spans="1:22">
      <c r="G46" s="428">
        <v>43</v>
      </c>
      <c r="H46" s="440">
        <f t="shared" si="0"/>
        <v>3017385.2454671706</v>
      </c>
      <c r="I46" s="440">
        <f t="shared" si="1"/>
        <v>10075.80349161849</v>
      </c>
      <c r="J46" s="440">
        <f t="shared" si="2"/>
        <v>5355.8020183761582</v>
      </c>
      <c r="K46" s="440">
        <f t="shared" si="3"/>
        <v>15431.605509994648</v>
      </c>
      <c r="L46" s="440">
        <f t="shared" si="4"/>
        <v>1715.9093346226289</v>
      </c>
      <c r="M46" s="440"/>
      <c r="N46" s="440"/>
      <c r="O46" s="440"/>
      <c r="P46" s="440"/>
      <c r="Q46" s="440"/>
      <c r="R46" s="440"/>
      <c r="S46" s="441">
        <f t="shared" si="5"/>
        <v>17147.514844617275</v>
      </c>
      <c r="T46" s="442">
        <f t="shared" si="6"/>
        <v>13216.943902536903</v>
      </c>
      <c r="V46" s="443">
        <f t="shared" si="7"/>
        <v>17147.514844617275</v>
      </c>
    </row>
    <row r="47" spans="1:22">
      <c r="G47" s="428">
        <v>44</v>
      </c>
      <c r="H47" s="440">
        <f t="shared" si="0"/>
        <v>3012011.5907753999</v>
      </c>
      <c r="I47" s="440">
        <f t="shared" si="1"/>
        <v>10057.950818223902</v>
      </c>
      <c r="J47" s="440">
        <f t="shared" si="2"/>
        <v>5373.6546917707456</v>
      </c>
      <c r="K47" s="440">
        <f t="shared" si="3"/>
        <v>15431.605509994648</v>
      </c>
      <c r="L47" s="440">
        <f t="shared" si="4"/>
        <v>1712.8690243435308</v>
      </c>
      <c r="M47" s="440"/>
      <c r="N47" s="440"/>
      <c r="O47" s="440"/>
      <c r="P47" s="440"/>
      <c r="Q47" s="440"/>
      <c r="R47" s="440"/>
      <c r="S47" s="441">
        <f t="shared" si="5"/>
        <v>17144.47453433818</v>
      </c>
      <c r="T47" s="442">
        <f t="shared" si="6"/>
        <v>13220.867920149036</v>
      </c>
      <c r="V47" s="443">
        <f t="shared" si="7"/>
        <v>17144.47453433818</v>
      </c>
    </row>
    <row r="48" spans="1:22">
      <c r="G48" s="428">
        <v>45</v>
      </c>
      <c r="H48" s="440">
        <f t="shared" si="0"/>
        <v>3006620.0239013233</v>
      </c>
      <c r="I48" s="440">
        <f t="shared" si="1"/>
        <v>10040.038635918001</v>
      </c>
      <c r="J48" s="440">
        <f t="shared" si="2"/>
        <v>5391.5668740766469</v>
      </c>
      <c r="K48" s="440">
        <f t="shared" si="3"/>
        <v>15431.605509994648</v>
      </c>
      <c r="L48" s="440">
        <f t="shared" si="4"/>
        <v>1709.8185796968355</v>
      </c>
      <c r="M48" s="440"/>
      <c r="N48" s="440"/>
      <c r="O48" s="440"/>
      <c r="P48" s="440"/>
      <c r="Q48" s="440"/>
      <c r="R48" s="440"/>
      <c r="S48" s="441">
        <f t="shared" si="5"/>
        <v>17141.424089691485</v>
      </c>
      <c r="T48" s="442">
        <f t="shared" si="6"/>
        <v>13224.805017819874</v>
      </c>
      <c r="V48" s="443">
        <f t="shared" si="7"/>
        <v>17141.424089691485</v>
      </c>
    </row>
    <row r="49" spans="2:22">
      <c r="B49" s="427" t="s">
        <v>75</v>
      </c>
      <c r="G49" s="428">
        <v>46</v>
      </c>
      <c r="H49" s="440">
        <f t="shared" si="0"/>
        <v>3001210.4851376666</v>
      </c>
      <c r="I49" s="440">
        <f t="shared" si="1"/>
        <v>10022.066746337745</v>
      </c>
      <c r="J49" s="440">
        <f t="shared" si="2"/>
        <v>5409.538763656903</v>
      </c>
      <c r="K49" s="440">
        <f t="shared" si="3"/>
        <v>15431.605509994648</v>
      </c>
      <c r="L49" s="440">
        <f t="shared" si="4"/>
        <v>1706.757966901318</v>
      </c>
      <c r="M49" s="440"/>
      <c r="N49" s="440"/>
      <c r="O49" s="440"/>
      <c r="P49" s="440"/>
      <c r="Q49" s="440"/>
      <c r="R49" s="440"/>
      <c r="S49" s="441">
        <f t="shared" si="5"/>
        <v>17138.363476895967</v>
      </c>
      <c r="T49" s="442">
        <f t="shared" si="6"/>
        <v>13228.755239149614</v>
      </c>
      <c r="V49" s="443">
        <f t="shared" si="7"/>
        <v>17138.363476895967</v>
      </c>
    </row>
    <row r="50" spans="2:22">
      <c r="G50" s="428">
        <v>47</v>
      </c>
      <c r="H50" s="440">
        <f t="shared" si="0"/>
        <v>2995782.9145781309</v>
      </c>
      <c r="I50" s="440">
        <f t="shared" si="1"/>
        <v>10004.034950458888</v>
      </c>
      <c r="J50" s="440">
        <f t="shared" si="2"/>
        <v>5427.5705595357595</v>
      </c>
      <c r="K50" s="440">
        <f t="shared" si="3"/>
        <v>15431.605509994648</v>
      </c>
      <c r="L50" s="440">
        <f t="shared" si="4"/>
        <v>1703.6871520631489</v>
      </c>
      <c r="M50" s="440"/>
      <c r="N50" s="440"/>
      <c r="O50" s="440"/>
      <c r="P50" s="440"/>
      <c r="Q50" s="440"/>
      <c r="R50" s="440"/>
      <c r="S50" s="441">
        <f t="shared" si="5"/>
        <v>17135.292662057796</v>
      </c>
      <c r="T50" s="442">
        <f t="shared" si="6"/>
        <v>13232.718627883783</v>
      </c>
      <c r="V50" s="443">
        <f t="shared" si="7"/>
        <v>17135.292662057796</v>
      </c>
    </row>
    <row r="51" spans="2:22">
      <c r="G51" s="428">
        <v>48</v>
      </c>
      <c r="H51" s="440">
        <f t="shared" si="0"/>
        <v>2990337.25211673</v>
      </c>
      <c r="I51" s="440">
        <f t="shared" si="1"/>
        <v>9985.9430485937701</v>
      </c>
      <c r="J51" s="440">
        <f t="shared" si="2"/>
        <v>5445.6624614008779</v>
      </c>
      <c r="K51" s="440">
        <f t="shared" si="3"/>
        <v>15431.605509994648</v>
      </c>
      <c r="L51" s="440">
        <f t="shared" si="4"/>
        <v>1700.6061011755191</v>
      </c>
      <c r="M51" s="440"/>
      <c r="N51" s="440"/>
      <c r="O51" s="440"/>
      <c r="P51" s="440"/>
      <c r="Q51" s="440"/>
      <c r="R51" s="440"/>
      <c r="S51" s="441">
        <f t="shared" si="5"/>
        <v>17132.211611170169</v>
      </c>
      <c r="T51" s="442">
        <f t="shared" si="6"/>
        <v>13236.69522791374</v>
      </c>
      <c r="V51" s="443">
        <f t="shared" si="7"/>
        <v>17132.211611170169</v>
      </c>
    </row>
    <row r="52" spans="2:22">
      <c r="C52" s="430"/>
      <c r="G52" s="428">
        <v>49</v>
      </c>
      <c r="H52" s="440">
        <f t="shared" si="0"/>
        <v>2984873.4374471246</v>
      </c>
      <c r="I52" s="440">
        <f t="shared" si="1"/>
        <v>9967.7908403890997</v>
      </c>
      <c r="J52" s="440">
        <f t="shared" si="2"/>
        <v>5463.8146696055483</v>
      </c>
      <c r="K52" s="440">
        <f t="shared" si="3"/>
        <v>15431.605509994648</v>
      </c>
      <c r="L52" s="440">
        <f t="shared" si="4"/>
        <v>1697.5147801182638</v>
      </c>
      <c r="M52" s="440"/>
      <c r="N52" s="440"/>
      <c r="O52" s="440"/>
      <c r="P52" s="440"/>
      <c r="Q52" s="440"/>
      <c r="R52" s="440"/>
      <c r="S52" s="441">
        <f t="shared" si="5"/>
        <v>17129.120290112911</v>
      </c>
      <c r="T52" s="442">
        <f t="shared" si="6"/>
        <v>13240.685083277123</v>
      </c>
      <c r="V52" s="443">
        <f t="shared" si="7"/>
        <v>17129.120290112911</v>
      </c>
    </row>
    <row r="53" spans="2:22">
      <c r="G53" s="428">
        <v>50</v>
      </c>
      <c r="H53" s="440">
        <f t="shared" si="0"/>
        <v>2979391.4100619536</v>
      </c>
      <c r="I53" s="440">
        <f t="shared" si="1"/>
        <v>9949.578124823749</v>
      </c>
      <c r="J53" s="440">
        <f t="shared" si="2"/>
        <v>5482.0273851708989</v>
      </c>
      <c r="K53" s="440">
        <f t="shared" si="3"/>
        <v>15431.605509994648</v>
      </c>
      <c r="L53" s="440">
        <f t="shared" si="4"/>
        <v>1694.4131546574847</v>
      </c>
      <c r="M53" s="440"/>
      <c r="N53" s="440"/>
      <c r="O53" s="440"/>
      <c r="P53" s="440"/>
      <c r="Q53" s="440"/>
      <c r="R53" s="440"/>
      <c r="S53" s="441">
        <f t="shared" si="5"/>
        <v>17126.018664652132</v>
      </c>
      <c r="T53" s="442">
        <f t="shared" si="6"/>
        <v>13244.688238158389</v>
      </c>
      <c r="V53" s="443">
        <f t="shared" si="7"/>
        <v>17126.018664652132</v>
      </c>
    </row>
    <row r="54" spans="2:22">
      <c r="G54" s="428">
        <v>51</v>
      </c>
      <c r="H54" s="440">
        <f t="shared" si="0"/>
        <v>2973891.1092521655</v>
      </c>
      <c r="I54" s="440">
        <f t="shared" si="1"/>
        <v>9931.3047002065123</v>
      </c>
      <c r="J54" s="440">
        <f t="shared" si="2"/>
        <v>5500.3008097881357</v>
      </c>
      <c r="K54" s="440">
        <f t="shared" si="3"/>
        <v>15431.605509994648</v>
      </c>
      <c r="L54" s="440">
        <f t="shared" si="4"/>
        <v>1691.3011904451691</v>
      </c>
      <c r="M54" s="440"/>
      <c r="N54" s="440"/>
      <c r="O54" s="440"/>
      <c r="P54" s="440"/>
      <c r="Q54" s="440"/>
      <c r="R54" s="440"/>
      <c r="S54" s="441">
        <f t="shared" si="5"/>
        <v>17122.906700439817</v>
      </c>
      <c r="T54" s="442">
        <f t="shared" si="6"/>
        <v>13248.704736889256</v>
      </c>
      <c r="V54" s="443">
        <f t="shared" si="7"/>
        <v>17122.906700439817</v>
      </c>
    </row>
    <row r="55" spans="2:22">
      <c r="G55" s="428">
        <v>52</v>
      </c>
      <c r="H55" s="440">
        <f t="shared" si="0"/>
        <v>2968372.4741063449</v>
      </c>
      <c r="I55" s="440">
        <f t="shared" si="1"/>
        <v>9912.9703641738852</v>
      </c>
      <c r="J55" s="440">
        <f t="shared" si="2"/>
        <v>5518.6351458207628</v>
      </c>
      <c r="K55" s="440">
        <f t="shared" si="3"/>
        <v>15431.605509994648</v>
      </c>
      <c r="L55" s="440">
        <f t="shared" si="4"/>
        <v>1688.1788530188128</v>
      </c>
      <c r="M55" s="440"/>
      <c r="N55" s="440"/>
      <c r="O55" s="440"/>
      <c r="P55" s="440"/>
      <c r="Q55" s="440"/>
      <c r="R55" s="440"/>
      <c r="S55" s="441">
        <f t="shared" si="5"/>
        <v>17119.784363013459</v>
      </c>
      <c r="T55" s="442">
        <f t="shared" si="6"/>
        <v>13252.734623949227</v>
      </c>
      <c r="V55" s="443">
        <f t="shared" si="7"/>
        <v>17119.784363013459</v>
      </c>
    </row>
    <row r="56" spans="2:22">
      <c r="G56" s="428">
        <v>53</v>
      </c>
      <c r="H56" s="440">
        <f t="shared" si="0"/>
        <v>2962835.4435100378</v>
      </c>
      <c r="I56" s="440">
        <f t="shared" si="1"/>
        <v>9894.5749136878167</v>
      </c>
      <c r="J56" s="440">
        <f t="shared" si="2"/>
        <v>5537.0305963068313</v>
      </c>
      <c r="K56" s="440">
        <f t="shared" si="3"/>
        <v>15431.605509994648</v>
      </c>
      <c r="L56" s="440">
        <f t="shared" si="4"/>
        <v>1685.0461078010353</v>
      </c>
      <c r="M56" s="440"/>
      <c r="N56" s="440"/>
      <c r="O56" s="440"/>
      <c r="P56" s="440"/>
      <c r="Q56" s="440"/>
      <c r="R56" s="440"/>
      <c r="S56" s="441">
        <f t="shared" si="5"/>
        <v>17116.651617795684</v>
      </c>
      <c r="T56" s="442">
        <f t="shared" si="6"/>
        <v>13256.777943966066</v>
      </c>
      <c r="V56" s="443">
        <f t="shared" si="7"/>
        <v>17116.651617795684</v>
      </c>
    </row>
    <row r="57" spans="2:22">
      <c r="G57" s="428">
        <v>54</v>
      </c>
      <c r="H57" s="440">
        <f t="shared" si="0"/>
        <v>2957279.9561450765</v>
      </c>
      <c r="I57" s="440">
        <f t="shared" si="1"/>
        <v>9876.1181450334607</v>
      </c>
      <c r="J57" s="440">
        <f t="shared" si="2"/>
        <v>5555.4873649611873</v>
      </c>
      <c r="K57" s="440">
        <f t="shared" si="3"/>
        <v>15431.605509994648</v>
      </c>
      <c r="L57" s="440">
        <f t="shared" si="4"/>
        <v>1681.9029200991984</v>
      </c>
      <c r="M57" s="440"/>
      <c r="N57" s="440"/>
      <c r="O57" s="440"/>
      <c r="P57" s="440"/>
      <c r="Q57" s="440"/>
      <c r="R57" s="440"/>
      <c r="S57" s="441">
        <f t="shared" si="5"/>
        <v>17113.508430093847</v>
      </c>
      <c r="T57" s="442">
        <f t="shared" si="6"/>
        <v>13260.834741716295</v>
      </c>
      <c r="V57" s="443">
        <f t="shared" si="7"/>
        <v>17113.508430093847</v>
      </c>
    </row>
    <row r="58" spans="2:22">
      <c r="G58" s="428">
        <v>55</v>
      </c>
      <c r="H58" s="440">
        <f t="shared" si="0"/>
        <v>2951705.9504888989</v>
      </c>
      <c r="I58" s="440">
        <f t="shared" si="1"/>
        <v>9857.5998538169224</v>
      </c>
      <c r="J58" s="440">
        <f t="shared" si="2"/>
        <v>5574.0056561777255</v>
      </c>
      <c r="K58" s="440">
        <f t="shared" si="3"/>
        <v>15431.605509994648</v>
      </c>
      <c r="L58" s="440">
        <f t="shared" si="4"/>
        <v>1678.749255105022</v>
      </c>
      <c r="M58" s="440"/>
      <c r="N58" s="440"/>
      <c r="O58" s="440"/>
      <c r="P58" s="440"/>
      <c r="Q58" s="440"/>
      <c r="R58" s="440"/>
      <c r="S58" s="441">
        <f t="shared" si="5"/>
        <v>17110.35476509967</v>
      </c>
      <c r="T58" s="442">
        <f t="shared" si="6"/>
        <v>13264.905062125688</v>
      </c>
      <c r="V58" s="443">
        <f t="shared" si="7"/>
        <v>17110.35476509967</v>
      </c>
    </row>
    <row r="59" spans="2:22">
      <c r="G59" s="428">
        <v>56</v>
      </c>
      <c r="H59" s="440">
        <f t="shared" si="0"/>
        <v>2946113.364813867</v>
      </c>
      <c r="I59" s="440">
        <f t="shared" si="1"/>
        <v>9839.0198349629973</v>
      </c>
      <c r="J59" s="440">
        <f t="shared" si="2"/>
        <v>5592.5856750316507</v>
      </c>
      <c r="K59" s="440">
        <f t="shared" si="3"/>
        <v>15431.605509994648</v>
      </c>
      <c r="L59" s="440">
        <f t="shared" si="4"/>
        <v>1675.5850778941985</v>
      </c>
      <c r="M59" s="440"/>
      <c r="N59" s="440"/>
      <c r="O59" s="440"/>
      <c r="P59" s="440"/>
      <c r="Q59" s="440"/>
      <c r="R59" s="440"/>
      <c r="S59" s="441">
        <f t="shared" si="5"/>
        <v>17107.190587888846</v>
      </c>
      <c r="T59" s="442">
        <f t="shared" si="6"/>
        <v>13268.988950269781</v>
      </c>
      <c r="V59" s="443">
        <f t="shared" si="7"/>
        <v>17107.190587888846</v>
      </c>
    </row>
    <row r="60" spans="2:22">
      <c r="G60" s="428">
        <v>57</v>
      </c>
      <c r="H60" s="440">
        <f t="shared" si="0"/>
        <v>2940502.1371865855</v>
      </c>
      <c r="I60" s="440">
        <f t="shared" si="1"/>
        <v>9820.3778827128899</v>
      </c>
      <c r="J60" s="440">
        <f t="shared" si="2"/>
        <v>5611.227627281758</v>
      </c>
      <c r="K60" s="440">
        <f t="shared" si="3"/>
        <v>15431.605509994648</v>
      </c>
      <c r="L60" s="440">
        <f t="shared" si="4"/>
        <v>1672.4103534260055</v>
      </c>
      <c r="M60" s="440"/>
      <c r="N60" s="440"/>
      <c r="O60" s="440"/>
      <c r="P60" s="440"/>
      <c r="Q60" s="440"/>
      <c r="R60" s="440"/>
      <c r="S60" s="441">
        <f t="shared" si="5"/>
        <v>17104.015863420653</v>
      </c>
      <c r="T60" s="442">
        <f t="shared" si="6"/>
        <v>13273.086451374355</v>
      </c>
      <c r="V60" s="443">
        <f t="shared" si="7"/>
        <v>17104.015863420653</v>
      </c>
    </row>
    <row r="61" spans="2:22">
      <c r="G61" s="428">
        <v>58</v>
      </c>
      <c r="H61" s="440">
        <f t="shared" si="0"/>
        <v>2934872.2054672129</v>
      </c>
      <c r="I61" s="440">
        <f t="shared" si="1"/>
        <v>9801.6737906219514</v>
      </c>
      <c r="J61" s="440">
        <f t="shared" si="2"/>
        <v>5629.9317193726965</v>
      </c>
      <c r="K61" s="440">
        <f t="shared" si="3"/>
        <v>15431.605509994648</v>
      </c>
      <c r="L61" s="440">
        <f t="shared" si="4"/>
        <v>1669.2250465429186</v>
      </c>
      <c r="M61" s="440"/>
      <c r="N61" s="440"/>
      <c r="O61" s="440"/>
      <c r="P61" s="440"/>
      <c r="Q61" s="440"/>
      <c r="R61" s="440"/>
      <c r="S61" s="441">
        <f t="shared" si="5"/>
        <v>17100.830556537567</v>
      </c>
      <c r="T61" s="442">
        <f t="shared" si="6"/>
        <v>13277.197610815943</v>
      </c>
      <c r="V61" s="443">
        <f t="shared" si="7"/>
        <v>17100.830556537567</v>
      </c>
    </row>
    <row r="62" spans="2:22">
      <c r="G62" s="428">
        <v>59</v>
      </c>
      <c r="H62" s="440">
        <f t="shared" si="0"/>
        <v>2929223.5073087756</v>
      </c>
      <c r="I62" s="440">
        <f t="shared" si="1"/>
        <v>9782.9073515573764</v>
      </c>
      <c r="J62" s="440">
        <f t="shared" si="2"/>
        <v>5648.6981584372716</v>
      </c>
      <c r="K62" s="440">
        <f t="shared" si="3"/>
        <v>15431.605509994648</v>
      </c>
      <c r="L62" s="440">
        <f t="shared" si="4"/>
        <v>1666.0291219702215</v>
      </c>
      <c r="M62" s="440"/>
      <c r="N62" s="440"/>
      <c r="O62" s="440"/>
      <c r="P62" s="440"/>
      <c r="Q62" s="440"/>
      <c r="R62" s="440"/>
      <c r="S62" s="441">
        <f t="shared" si="5"/>
        <v>17097.634631964869</v>
      </c>
      <c r="T62" s="442">
        <f t="shared" si="6"/>
        <v>13281.322474122337</v>
      </c>
      <c r="V62" s="443">
        <f t="shared" si="7"/>
        <v>17097.634631964869</v>
      </c>
    </row>
    <row r="63" spans="2:22">
      <c r="G63" s="428">
        <v>60</v>
      </c>
      <c r="H63" s="440">
        <f t="shared" si="0"/>
        <v>2923555.9801564766</v>
      </c>
      <c r="I63" s="440">
        <f t="shared" si="1"/>
        <v>9764.0783576959184</v>
      </c>
      <c r="J63" s="440">
        <f t="shared" si="2"/>
        <v>5667.5271522987296</v>
      </c>
      <c r="K63" s="440">
        <f t="shared" si="3"/>
        <v>15431.605509994648</v>
      </c>
      <c r="L63" s="440">
        <f t="shared" si="4"/>
        <v>1662.822544315615</v>
      </c>
      <c r="M63" s="440"/>
      <c r="N63" s="440"/>
      <c r="O63" s="440"/>
      <c r="P63" s="440"/>
      <c r="Q63" s="440"/>
      <c r="R63" s="440"/>
      <c r="S63" s="441">
        <f t="shared" si="5"/>
        <v>17094.428054310261</v>
      </c>
      <c r="T63" s="442">
        <f t="shared" si="6"/>
        <v>13285.461086973084</v>
      </c>
      <c r="V63" s="443">
        <f t="shared" si="7"/>
        <v>17094.428054310261</v>
      </c>
    </row>
    <row r="64" spans="2:22">
      <c r="G64" s="428">
        <v>61</v>
      </c>
      <c r="H64" s="440">
        <f t="shared" si="0"/>
        <v>2917869.5612470037</v>
      </c>
      <c r="I64" s="440">
        <f t="shared" si="1"/>
        <v>9745.1866005215888</v>
      </c>
      <c r="J64" s="440">
        <f t="shared" si="2"/>
        <v>5686.4189094730591</v>
      </c>
      <c r="K64" s="440">
        <f t="shared" si="3"/>
        <v>15431.605509994648</v>
      </c>
      <c r="L64" s="440">
        <f t="shared" si="4"/>
        <v>1659.6052780688267</v>
      </c>
      <c r="M64" s="440"/>
      <c r="N64" s="440"/>
      <c r="O64" s="440"/>
      <c r="P64" s="440"/>
      <c r="Q64" s="440"/>
      <c r="R64" s="440"/>
      <c r="S64" s="441">
        <f t="shared" si="5"/>
        <v>17091.210788063476</v>
      </c>
      <c r="T64" s="442">
        <f t="shared" si="6"/>
        <v>13289.613495200005</v>
      </c>
      <c r="V64" s="443">
        <f t="shared" si="7"/>
        <v>17091.210788063476</v>
      </c>
    </row>
    <row r="65" spans="7:22">
      <c r="G65" s="428">
        <v>62</v>
      </c>
      <c r="H65" s="440">
        <f t="shared" si="0"/>
        <v>2912164.1876078323</v>
      </c>
      <c r="I65" s="440">
        <f t="shared" si="1"/>
        <v>9726.231870823347</v>
      </c>
      <c r="J65" s="440">
        <f t="shared" si="2"/>
        <v>5705.373639171301</v>
      </c>
      <c r="K65" s="440">
        <f t="shared" si="3"/>
        <v>15431.605509994648</v>
      </c>
      <c r="L65" s="440">
        <f t="shared" si="4"/>
        <v>1656.377287601216</v>
      </c>
      <c r="M65" s="440"/>
      <c r="N65" s="440"/>
      <c r="O65" s="440"/>
      <c r="P65" s="440"/>
      <c r="Q65" s="440"/>
      <c r="R65" s="440"/>
      <c r="S65" s="441">
        <f t="shared" si="5"/>
        <v>17087.982797595865</v>
      </c>
      <c r="T65" s="442">
        <f t="shared" si="6"/>
        <v>13293.779744787678</v>
      </c>
      <c r="V65" s="443">
        <f t="shared" si="7"/>
        <v>17087.982797595865</v>
      </c>
    </row>
    <row r="66" spans="7:22">
      <c r="G66" s="428">
        <v>63</v>
      </c>
      <c r="H66" s="440">
        <f t="shared" si="0"/>
        <v>2906439.7960565304</v>
      </c>
      <c r="I66" s="440">
        <f t="shared" si="1"/>
        <v>9707.2139586927751</v>
      </c>
      <c r="J66" s="440">
        <f t="shared" si="2"/>
        <v>5724.3915513018728</v>
      </c>
      <c r="K66" s="440">
        <f t="shared" si="3"/>
        <v>15431.605509994648</v>
      </c>
      <c r="L66" s="440">
        <f t="shared" si="4"/>
        <v>1653.1385371653796</v>
      </c>
      <c r="M66" s="440"/>
      <c r="N66" s="440"/>
      <c r="O66" s="440"/>
      <c r="P66" s="440"/>
      <c r="Q66" s="440"/>
      <c r="R66" s="440"/>
      <c r="S66" s="441">
        <f t="shared" si="5"/>
        <v>17084.744047160028</v>
      </c>
      <c r="T66" s="442">
        <f t="shared" si="6"/>
        <v>13297.959881873976</v>
      </c>
      <c r="V66" s="443">
        <f t="shared" si="7"/>
        <v>17084.744047160028</v>
      </c>
    </row>
    <row r="67" spans="7:22">
      <c r="G67" s="428">
        <v>64</v>
      </c>
      <c r="H67" s="440">
        <f t="shared" si="0"/>
        <v>2900696.3232000577</v>
      </c>
      <c r="I67" s="440">
        <f t="shared" si="1"/>
        <v>9688.1326535217686</v>
      </c>
      <c r="J67" s="440">
        <f t="shared" si="2"/>
        <v>5743.4728564728794</v>
      </c>
      <c r="K67" s="440">
        <f t="shared" si="3"/>
        <v>15431.605509994648</v>
      </c>
      <c r="L67" s="440">
        <f t="shared" si="4"/>
        <v>1649.8889908947574</v>
      </c>
      <c r="M67" s="440"/>
      <c r="N67" s="440"/>
      <c r="O67" s="440"/>
      <c r="P67" s="440"/>
      <c r="Q67" s="440"/>
      <c r="R67" s="440"/>
      <c r="S67" s="441">
        <f t="shared" si="5"/>
        <v>17081.494500889406</v>
      </c>
      <c r="T67" s="442">
        <f t="shared" si="6"/>
        <v>13302.153952750565</v>
      </c>
      <c r="V67" s="443">
        <f t="shared" si="7"/>
        <v>17081.494500889406</v>
      </c>
    </row>
    <row r="68" spans="7:22">
      <c r="G68" s="428">
        <v>65</v>
      </c>
      <c r="H68" s="440">
        <f t="shared" ref="H68:H123" si="8">H67-J68</f>
        <v>2894933.7054340634</v>
      </c>
      <c r="I68" s="440">
        <f t="shared" ref="I68:I123" si="9">$E$9/$E$13*H67</f>
        <v>9668.9877440001928</v>
      </c>
      <c r="J68" s="440">
        <f t="shared" ref="J68:J123" si="10">K68-I68</f>
        <v>5762.6177659944551</v>
      </c>
      <c r="K68" s="440">
        <f t="shared" ref="K68:K123" si="11">IF(G68&gt;$E$14,0,$E$16)</f>
        <v>15431.605509994648</v>
      </c>
      <c r="L68" s="440">
        <f t="shared" ref="L68:L123" si="12">$E$10/$E$13*H67</f>
        <v>1646.628612803233</v>
      </c>
      <c r="M68" s="440"/>
      <c r="N68" s="440"/>
      <c r="O68" s="440"/>
      <c r="P68" s="440"/>
      <c r="Q68" s="440"/>
      <c r="R68" s="440"/>
      <c r="S68" s="441">
        <f t="shared" ref="S68:S123" si="13">K68+L68</f>
        <v>17078.23412279788</v>
      </c>
      <c r="T68" s="442">
        <f t="shared" ref="T68:T123" si="14">S68-1/3*(I68+L68)</f>
        <v>13306.362003863404</v>
      </c>
      <c r="V68" s="443">
        <f t="shared" ref="V68:V123" si="15">S68</f>
        <v>17078.23412279788</v>
      </c>
    </row>
    <row r="69" spans="7:22">
      <c r="G69" s="428">
        <v>66</v>
      </c>
      <c r="H69" s="440">
        <f t="shared" si="8"/>
        <v>2889151.8789421823</v>
      </c>
      <c r="I69" s="440">
        <f t="shared" si="9"/>
        <v>9649.779018113546</v>
      </c>
      <c r="J69" s="440">
        <f t="shared" si="10"/>
        <v>5781.8264918811019</v>
      </c>
      <c r="K69" s="440">
        <f t="shared" si="11"/>
        <v>15431.605509994648</v>
      </c>
      <c r="L69" s="440">
        <f t="shared" si="12"/>
        <v>1643.3573667847368</v>
      </c>
      <c r="M69" s="440"/>
      <c r="N69" s="440"/>
      <c r="O69" s="440"/>
      <c r="P69" s="440"/>
      <c r="Q69" s="440"/>
      <c r="R69" s="440"/>
      <c r="S69" s="441">
        <f t="shared" si="13"/>
        <v>17074.962876779384</v>
      </c>
      <c r="T69" s="442">
        <f t="shared" si="14"/>
        <v>13310.584081813289</v>
      </c>
      <c r="V69" s="443">
        <f t="shared" si="15"/>
        <v>17074.962876779384</v>
      </c>
    </row>
    <row r="70" spans="7:22">
      <c r="G70" s="428">
        <v>67</v>
      </c>
      <c r="H70" s="440">
        <f t="shared" si="8"/>
        <v>2883350.7796953283</v>
      </c>
      <c r="I70" s="440">
        <f t="shared" si="9"/>
        <v>9630.506263140609</v>
      </c>
      <c r="J70" s="440">
        <f t="shared" si="10"/>
        <v>5801.0992468540389</v>
      </c>
      <c r="K70" s="440">
        <f t="shared" si="11"/>
        <v>15431.605509994648</v>
      </c>
      <c r="L70" s="440">
        <f t="shared" si="12"/>
        <v>1640.0752166128457</v>
      </c>
      <c r="M70" s="440"/>
      <c r="N70" s="440"/>
      <c r="O70" s="440"/>
      <c r="P70" s="440"/>
      <c r="Q70" s="440"/>
      <c r="R70" s="440"/>
      <c r="S70" s="441">
        <f t="shared" si="13"/>
        <v>17071.680726607494</v>
      </c>
      <c r="T70" s="442">
        <f t="shared" si="14"/>
        <v>13314.820233356342</v>
      </c>
      <c r="V70" s="443">
        <f t="shared" si="15"/>
        <v>17071.680726607494</v>
      </c>
    </row>
    <row r="71" spans="7:22">
      <c r="G71" s="428">
        <v>68</v>
      </c>
      <c r="H71" s="440">
        <f t="shared" si="8"/>
        <v>2877530.3434509849</v>
      </c>
      <c r="I71" s="440">
        <f t="shared" si="9"/>
        <v>9611.169265651095</v>
      </c>
      <c r="J71" s="440">
        <f t="shared" si="10"/>
        <v>5820.436244343553</v>
      </c>
      <c r="K71" s="440">
        <f t="shared" si="11"/>
        <v>15431.605509994648</v>
      </c>
      <c r="L71" s="440">
        <f t="shared" si="12"/>
        <v>1636.7821259403815</v>
      </c>
      <c r="M71" s="440"/>
      <c r="N71" s="440"/>
      <c r="O71" s="440"/>
      <c r="P71" s="440"/>
      <c r="Q71" s="440"/>
      <c r="R71" s="440"/>
      <c r="S71" s="441">
        <f t="shared" si="13"/>
        <v>17068.387635935029</v>
      </c>
      <c r="T71" s="442">
        <f t="shared" si="14"/>
        <v>13319.070505404537</v>
      </c>
      <c r="V71" s="443">
        <f t="shared" si="15"/>
        <v>17068.387635935029</v>
      </c>
    </row>
    <row r="72" spans="7:22">
      <c r="G72" s="428">
        <v>69</v>
      </c>
      <c r="H72" s="440">
        <f t="shared" si="8"/>
        <v>2871690.5057524936</v>
      </c>
      <c r="I72" s="440">
        <f t="shared" si="9"/>
        <v>9591.7678115032832</v>
      </c>
      <c r="J72" s="440">
        <f t="shared" si="10"/>
        <v>5839.8376984913648</v>
      </c>
      <c r="K72" s="440">
        <f t="shared" si="11"/>
        <v>15431.605509994648</v>
      </c>
      <c r="L72" s="440">
        <f t="shared" si="12"/>
        <v>1633.4780582990093</v>
      </c>
      <c r="M72" s="440"/>
      <c r="N72" s="440"/>
      <c r="O72" s="440"/>
      <c r="P72" s="440"/>
      <c r="Q72" s="440"/>
      <c r="R72" s="440"/>
      <c r="S72" s="441">
        <f t="shared" si="13"/>
        <v>17065.083568293656</v>
      </c>
      <c r="T72" s="442">
        <f t="shared" si="14"/>
        <v>13323.334945026225</v>
      </c>
      <c r="V72" s="443">
        <f t="shared" si="15"/>
        <v>17065.083568293656</v>
      </c>
    </row>
    <row r="73" spans="7:22">
      <c r="G73" s="428">
        <v>70</v>
      </c>
      <c r="H73" s="440">
        <f t="shared" si="8"/>
        <v>2865831.2019283408</v>
      </c>
      <c r="I73" s="440">
        <f t="shared" si="9"/>
        <v>9572.3016858416468</v>
      </c>
      <c r="J73" s="440">
        <f t="shared" si="10"/>
        <v>5859.3038241530012</v>
      </c>
      <c r="K73" s="440">
        <f t="shared" si="11"/>
        <v>15431.605509994648</v>
      </c>
      <c r="L73" s="440">
        <f t="shared" si="12"/>
        <v>1630.1629770988325</v>
      </c>
      <c r="M73" s="440"/>
      <c r="N73" s="440"/>
      <c r="O73" s="440"/>
      <c r="P73" s="440"/>
      <c r="Q73" s="440"/>
      <c r="R73" s="440"/>
      <c r="S73" s="441">
        <f t="shared" si="13"/>
        <v>17061.768487093479</v>
      </c>
      <c r="T73" s="442">
        <f t="shared" si="14"/>
        <v>13327.613599446653</v>
      </c>
      <c r="V73" s="443">
        <f t="shared" si="15"/>
        <v>17061.768487093479</v>
      </c>
    </row>
    <row r="74" spans="7:22">
      <c r="G74" s="428">
        <v>71</v>
      </c>
      <c r="H74" s="440">
        <f t="shared" si="8"/>
        <v>2859952.3670914406</v>
      </c>
      <c r="I74" s="440">
        <f t="shared" si="9"/>
        <v>9552.7706730944701</v>
      </c>
      <c r="J74" s="440">
        <f t="shared" si="10"/>
        <v>5878.8348369001778</v>
      </c>
      <c r="K74" s="440">
        <f t="shared" si="11"/>
        <v>15431.605509994648</v>
      </c>
      <c r="L74" s="440">
        <f t="shared" si="12"/>
        <v>1626.8368456279884</v>
      </c>
      <c r="M74" s="440"/>
      <c r="N74" s="440"/>
      <c r="O74" s="440"/>
      <c r="P74" s="440"/>
      <c r="Q74" s="440"/>
      <c r="R74" s="440"/>
      <c r="S74" s="441">
        <f t="shared" si="13"/>
        <v>17058.442355622636</v>
      </c>
      <c r="T74" s="442">
        <f t="shared" si="14"/>
        <v>13331.906516048482</v>
      </c>
      <c r="V74" s="443">
        <f t="shared" si="15"/>
        <v>17058.442355622636</v>
      </c>
    </row>
    <row r="75" spans="7:22">
      <c r="G75" s="428">
        <v>72</v>
      </c>
      <c r="H75" s="440">
        <f t="shared" si="8"/>
        <v>2854053.9361384176</v>
      </c>
      <c r="I75" s="440">
        <f t="shared" si="9"/>
        <v>9533.1745569714694</v>
      </c>
      <c r="J75" s="440">
        <f t="shared" si="10"/>
        <v>5898.4309530231785</v>
      </c>
      <c r="K75" s="440">
        <f t="shared" si="11"/>
        <v>15431.605509994648</v>
      </c>
      <c r="L75" s="440">
        <f t="shared" si="12"/>
        <v>1623.4996270522413</v>
      </c>
      <c r="M75" s="440"/>
      <c r="N75" s="440"/>
      <c r="O75" s="440"/>
      <c r="P75" s="440"/>
      <c r="Q75" s="440"/>
      <c r="R75" s="440"/>
      <c r="S75" s="441">
        <f t="shared" si="13"/>
        <v>17055.105137046889</v>
      </c>
      <c r="T75" s="442">
        <f t="shared" si="14"/>
        <v>13336.213742372318</v>
      </c>
      <c r="V75" s="443">
        <f t="shared" si="15"/>
        <v>17055.105137046889</v>
      </c>
    </row>
    <row r="76" spans="7:22">
      <c r="G76" s="428">
        <v>73</v>
      </c>
      <c r="H76" s="440">
        <f t="shared" si="8"/>
        <v>2848135.8437488843</v>
      </c>
      <c r="I76" s="440">
        <f t="shared" si="9"/>
        <v>9513.5131204613917</v>
      </c>
      <c r="J76" s="440">
        <f t="shared" si="10"/>
        <v>5918.0923895332562</v>
      </c>
      <c r="K76" s="440">
        <f t="shared" si="11"/>
        <v>15431.605509994648</v>
      </c>
      <c r="L76" s="440">
        <f t="shared" si="12"/>
        <v>1620.1512844145752</v>
      </c>
      <c r="M76" s="440"/>
      <c r="N76" s="440"/>
      <c r="O76" s="440"/>
      <c r="P76" s="440"/>
      <c r="Q76" s="440"/>
      <c r="R76" s="440"/>
      <c r="S76" s="441">
        <f t="shared" si="13"/>
        <v>17051.756794409222</v>
      </c>
      <c r="T76" s="442">
        <f t="shared" si="14"/>
        <v>13340.535326117235</v>
      </c>
      <c r="V76" s="443">
        <f t="shared" si="15"/>
        <v>17051.756794409222</v>
      </c>
    </row>
    <row r="77" spans="7:22">
      <c r="G77" s="428">
        <v>74</v>
      </c>
      <c r="H77" s="440">
        <f t="shared" si="8"/>
        <v>2842198.0243847193</v>
      </c>
      <c r="I77" s="440">
        <f t="shared" si="9"/>
        <v>9493.7861458296156</v>
      </c>
      <c r="J77" s="440">
        <f t="shared" si="10"/>
        <v>5937.8193641650323</v>
      </c>
      <c r="K77" s="440">
        <f t="shared" si="11"/>
        <v>15431.605509994648</v>
      </c>
      <c r="L77" s="440">
        <f t="shared" si="12"/>
        <v>1616.7917806347834</v>
      </c>
      <c r="M77" s="440"/>
      <c r="N77" s="440"/>
      <c r="O77" s="440"/>
      <c r="P77" s="440"/>
      <c r="Q77" s="440"/>
      <c r="R77" s="440"/>
      <c r="S77" s="441">
        <f t="shared" si="13"/>
        <v>17048.397290629433</v>
      </c>
      <c r="T77" s="442">
        <f t="shared" si="14"/>
        <v>13344.871315141299</v>
      </c>
      <c r="V77" s="443">
        <f t="shared" si="15"/>
        <v>17048.397290629433</v>
      </c>
    </row>
    <row r="78" spans="7:22">
      <c r="G78" s="428">
        <v>75</v>
      </c>
      <c r="H78" s="440">
        <f t="shared" si="8"/>
        <v>2836240.4122893405</v>
      </c>
      <c r="I78" s="440">
        <f t="shared" si="9"/>
        <v>9473.993414615732</v>
      </c>
      <c r="J78" s="440">
        <f t="shared" si="10"/>
        <v>5957.6120953789159</v>
      </c>
      <c r="K78" s="440">
        <f t="shared" si="11"/>
        <v>15431.605509994648</v>
      </c>
      <c r="L78" s="440">
        <f t="shared" si="12"/>
        <v>1613.4210785090593</v>
      </c>
      <c r="M78" s="440"/>
      <c r="N78" s="440"/>
      <c r="O78" s="440"/>
      <c r="P78" s="440"/>
      <c r="Q78" s="440"/>
      <c r="R78" s="440"/>
      <c r="S78" s="441">
        <f t="shared" si="13"/>
        <v>17045.026588503708</v>
      </c>
      <c r="T78" s="442">
        <f t="shared" si="14"/>
        <v>13349.22175746211</v>
      </c>
      <c r="V78" s="443">
        <f t="shared" si="15"/>
        <v>17045.026588503708</v>
      </c>
    </row>
    <row r="79" spans="7:22">
      <c r="G79" s="428">
        <v>76</v>
      </c>
      <c r="H79" s="440">
        <f t="shared" si="8"/>
        <v>2830262.941486977</v>
      </c>
      <c r="I79" s="440">
        <f t="shared" si="9"/>
        <v>9454.1347076311358</v>
      </c>
      <c r="J79" s="440">
        <f t="shared" si="10"/>
        <v>5977.4708023635121</v>
      </c>
      <c r="K79" s="440">
        <f t="shared" si="11"/>
        <v>15431.605509994648</v>
      </c>
      <c r="L79" s="440">
        <f t="shared" si="12"/>
        <v>1610.0391407095824</v>
      </c>
      <c r="M79" s="440"/>
      <c r="N79" s="440"/>
      <c r="O79" s="440"/>
      <c r="P79" s="440"/>
      <c r="Q79" s="440"/>
      <c r="R79" s="440"/>
      <c r="S79" s="441">
        <f t="shared" si="13"/>
        <v>17041.644650704231</v>
      </c>
      <c r="T79" s="442">
        <f t="shared" si="14"/>
        <v>13353.586701257325</v>
      </c>
      <c r="V79" s="443">
        <f t="shared" si="15"/>
        <v>17041.644650704231</v>
      </c>
    </row>
    <row r="80" spans="7:22">
      <c r="G80" s="428">
        <v>77</v>
      </c>
      <c r="H80" s="440">
        <f t="shared" si="8"/>
        <v>2824265.5457819388</v>
      </c>
      <c r="I80" s="440">
        <f t="shared" si="9"/>
        <v>9434.2098049565902</v>
      </c>
      <c r="J80" s="440">
        <f t="shared" si="10"/>
        <v>5997.3957050380577</v>
      </c>
      <c r="K80" s="440">
        <f t="shared" si="11"/>
        <v>15431.605509994648</v>
      </c>
      <c r="L80" s="440">
        <f t="shared" si="12"/>
        <v>1606.6459297841075</v>
      </c>
      <c r="M80" s="440"/>
      <c r="N80" s="440"/>
      <c r="O80" s="440"/>
      <c r="P80" s="440"/>
      <c r="Q80" s="440"/>
      <c r="R80" s="440"/>
      <c r="S80" s="441">
        <f t="shared" si="13"/>
        <v>17038.251439778756</v>
      </c>
      <c r="T80" s="442">
        <f t="shared" si="14"/>
        <v>13357.966194865192</v>
      </c>
      <c r="V80" s="443">
        <f t="shared" si="15"/>
        <v>17038.251439778756</v>
      </c>
    </row>
    <row r="81" spans="7:22">
      <c r="G81" s="428">
        <v>78</v>
      </c>
      <c r="H81" s="440">
        <f t="shared" si="8"/>
        <v>2818248.1587578841</v>
      </c>
      <c r="I81" s="440">
        <f t="shared" si="9"/>
        <v>9414.2184859397967</v>
      </c>
      <c r="J81" s="440">
        <f t="shared" si="10"/>
        <v>6017.3870240548513</v>
      </c>
      <c r="K81" s="440">
        <f t="shared" si="11"/>
        <v>15431.605509994648</v>
      </c>
      <c r="L81" s="440">
        <f t="shared" si="12"/>
        <v>1603.2414081555476</v>
      </c>
      <c r="M81" s="440"/>
      <c r="N81" s="440"/>
      <c r="O81" s="440"/>
      <c r="P81" s="440"/>
      <c r="Q81" s="440"/>
      <c r="R81" s="440"/>
      <c r="S81" s="441">
        <f t="shared" si="13"/>
        <v>17034.846918150197</v>
      </c>
      <c r="T81" s="442">
        <f t="shared" si="14"/>
        <v>13362.360286785082</v>
      </c>
      <c r="V81" s="443">
        <f t="shared" si="15"/>
        <v>17034.846918150197</v>
      </c>
    </row>
    <row r="82" spans="7:22">
      <c r="G82" s="428">
        <v>79</v>
      </c>
      <c r="H82" s="440">
        <f t="shared" si="8"/>
        <v>2812210.7137770825</v>
      </c>
      <c r="I82" s="440">
        <f t="shared" si="9"/>
        <v>9394.1605291929482</v>
      </c>
      <c r="J82" s="440">
        <f t="shared" si="10"/>
        <v>6037.4449808016998</v>
      </c>
      <c r="K82" s="440">
        <f t="shared" si="11"/>
        <v>15431.605509994648</v>
      </c>
      <c r="L82" s="440">
        <f t="shared" si="12"/>
        <v>1599.825538121559</v>
      </c>
      <c r="M82" s="440"/>
      <c r="N82" s="440"/>
      <c r="O82" s="440"/>
      <c r="P82" s="440"/>
      <c r="Q82" s="440"/>
      <c r="R82" s="440"/>
      <c r="S82" s="441">
        <f t="shared" si="13"/>
        <v>17031.431048116207</v>
      </c>
      <c r="T82" s="442">
        <f t="shared" si="14"/>
        <v>13366.769025678037</v>
      </c>
      <c r="V82" s="443">
        <f t="shared" si="15"/>
        <v>17031.431048116207</v>
      </c>
    </row>
    <row r="83" spans="7:22">
      <c r="G83" s="428">
        <v>80</v>
      </c>
      <c r="H83" s="440">
        <f t="shared" si="8"/>
        <v>2806153.1439796779</v>
      </c>
      <c r="I83" s="440">
        <f t="shared" si="9"/>
        <v>9374.0357125902756</v>
      </c>
      <c r="J83" s="440">
        <f t="shared" si="10"/>
        <v>6057.5697974043724</v>
      </c>
      <c r="K83" s="440">
        <f t="shared" si="11"/>
        <v>15431.605509994648</v>
      </c>
      <c r="L83" s="440">
        <f t="shared" si="12"/>
        <v>1596.398281854124</v>
      </c>
      <c r="M83" s="440"/>
      <c r="N83" s="440"/>
      <c r="O83" s="440"/>
      <c r="P83" s="440"/>
      <c r="Q83" s="440"/>
      <c r="R83" s="440"/>
      <c r="S83" s="441">
        <f t="shared" si="13"/>
        <v>17028.003791848772</v>
      </c>
      <c r="T83" s="442">
        <f t="shared" si="14"/>
        <v>13371.192460367307</v>
      </c>
      <c r="V83" s="443">
        <f t="shared" si="15"/>
        <v>17028.003791848772</v>
      </c>
    </row>
    <row r="84" spans="7:22">
      <c r="G84" s="428">
        <v>81</v>
      </c>
      <c r="H84" s="440">
        <f t="shared" si="8"/>
        <v>2800075.3822829491</v>
      </c>
      <c r="I84" s="440">
        <f t="shared" si="9"/>
        <v>9353.8438132655938</v>
      </c>
      <c r="J84" s="440">
        <f t="shared" si="10"/>
        <v>6077.7616967290542</v>
      </c>
      <c r="K84" s="440">
        <f t="shared" si="11"/>
        <v>15431.605509994648</v>
      </c>
      <c r="L84" s="440">
        <f t="shared" si="12"/>
        <v>1592.9596013991306</v>
      </c>
      <c r="M84" s="440"/>
      <c r="N84" s="440"/>
      <c r="O84" s="440"/>
      <c r="P84" s="440"/>
      <c r="Q84" s="440"/>
      <c r="R84" s="440"/>
      <c r="S84" s="441">
        <f t="shared" si="13"/>
        <v>17024.565111393778</v>
      </c>
      <c r="T84" s="442">
        <f t="shared" si="14"/>
        <v>13375.63063983887</v>
      </c>
      <c r="V84" s="443">
        <f t="shared" si="15"/>
        <v>17024.565111393778</v>
      </c>
    </row>
    <row r="85" spans="7:22">
      <c r="G85" s="428">
        <v>82</v>
      </c>
      <c r="H85" s="440">
        <f t="shared" si="8"/>
        <v>2793977.361380564</v>
      </c>
      <c r="I85" s="440">
        <f t="shared" si="9"/>
        <v>9333.5846076098314</v>
      </c>
      <c r="J85" s="440">
        <f t="shared" si="10"/>
        <v>6098.0209023848165</v>
      </c>
      <c r="K85" s="440">
        <f t="shared" si="11"/>
        <v>15431.605509994648</v>
      </c>
      <c r="L85" s="440">
        <f t="shared" si="12"/>
        <v>1589.5094586759542</v>
      </c>
      <c r="M85" s="440"/>
      <c r="N85" s="440"/>
      <c r="O85" s="440"/>
      <c r="P85" s="440"/>
      <c r="Q85" s="440"/>
      <c r="R85" s="440"/>
      <c r="S85" s="441">
        <f t="shared" si="13"/>
        <v>17021.114968670601</v>
      </c>
      <c r="T85" s="442">
        <f t="shared" si="14"/>
        <v>13380.083613242006</v>
      </c>
      <c r="V85" s="443">
        <f t="shared" si="15"/>
        <v>17021.114968670601</v>
      </c>
    </row>
    <row r="86" spans="7:22">
      <c r="G86" s="428">
        <v>83</v>
      </c>
      <c r="H86" s="440">
        <f t="shared" si="8"/>
        <v>2787859.0137418378</v>
      </c>
      <c r="I86" s="440">
        <f t="shared" si="9"/>
        <v>9313.2578712685481</v>
      </c>
      <c r="J86" s="440">
        <f t="shared" si="10"/>
        <v>6118.3476387260998</v>
      </c>
      <c r="K86" s="440">
        <f t="shared" si="11"/>
        <v>15431.605509994648</v>
      </c>
      <c r="L86" s="440">
        <f t="shared" si="12"/>
        <v>1586.0478154770337</v>
      </c>
      <c r="M86" s="440"/>
      <c r="N86" s="440"/>
      <c r="O86" s="440"/>
      <c r="P86" s="440"/>
      <c r="Q86" s="440"/>
      <c r="R86" s="440"/>
      <c r="S86" s="441">
        <f t="shared" si="13"/>
        <v>17017.653325471681</v>
      </c>
      <c r="T86" s="442">
        <f t="shared" si="14"/>
        <v>13384.551429889822</v>
      </c>
      <c r="V86" s="443">
        <f t="shared" si="15"/>
        <v>17017.653325471681</v>
      </c>
    </row>
    <row r="87" spans="7:22">
      <c r="G87" s="428">
        <v>84</v>
      </c>
      <c r="H87" s="440">
        <f t="shared" si="8"/>
        <v>2781720.2716109827</v>
      </c>
      <c r="I87" s="440">
        <f t="shared" si="9"/>
        <v>9292.8633791394604</v>
      </c>
      <c r="J87" s="440">
        <f t="shared" si="10"/>
        <v>6138.7421308551875</v>
      </c>
      <c r="K87" s="440">
        <f t="shared" si="11"/>
        <v>15431.605509994648</v>
      </c>
      <c r="L87" s="440">
        <f t="shared" si="12"/>
        <v>1582.5746334674502</v>
      </c>
      <c r="M87" s="440"/>
      <c r="N87" s="440"/>
      <c r="O87" s="440"/>
      <c r="P87" s="440"/>
      <c r="Q87" s="440"/>
      <c r="R87" s="440"/>
      <c r="S87" s="441">
        <f t="shared" si="13"/>
        <v>17014.180143462097</v>
      </c>
      <c r="T87" s="442">
        <f t="shared" si="14"/>
        <v>13389.034139259795</v>
      </c>
      <c r="V87" s="443">
        <f t="shared" si="15"/>
        <v>17014.180143462097</v>
      </c>
    </row>
    <row r="88" spans="7:22">
      <c r="G88" s="428">
        <v>85</v>
      </c>
      <c r="H88" s="440">
        <f t="shared" si="8"/>
        <v>2775561.0670063579</v>
      </c>
      <c r="I88" s="440">
        <f t="shared" si="9"/>
        <v>9272.4009053699428</v>
      </c>
      <c r="J88" s="440">
        <f t="shared" si="10"/>
        <v>6159.2046046247051</v>
      </c>
      <c r="K88" s="440">
        <f t="shared" si="11"/>
        <v>15431.605509994648</v>
      </c>
      <c r="L88" s="440">
        <f t="shared" si="12"/>
        <v>1579.0898741845015</v>
      </c>
      <c r="M88" s="440"/>
      <c r="N88" s="440"/>
      <c r="O88" s="440"/>
      <c r="P88" s="440"/>
      <c r="Q88" s="440"/>
      <c r="R88" s="440"/>
      <c r="S88" s="441">
        <f t="shared" si="13"/>
        <v>17010.695384179151</v>
      </c>
      <c r="T88" s="442">
        <f t="shared" si="14"/>
        <v>13393.531790994337</v>
      </c>
      <c r="V88" s="443">
        <f t="shared" si="15"/>
        <v>17010.695384179151</v>
      </c>
    </row>
    <row r="89" spans="7:22">
      <c r="G89" s="428">
        <v>86</v>
      </c>
      <c r="H89" s="440">
        <f t="shared" si="8"/>
        <v>2769381.3317197179</v>
      </c>
      <c r="I89" s="440">
        <f t="shared" si="9"/>
        <v>9251.8702233545264</v>
      </c>
      <c r="J89" s="440">
        <f t="shared" si="10"/>
        <v>6179.7352866401216</v>
      </c>
      <c r="K89" s="440">
        <f t="shared" si="11"/>
        <v>15431.605509994648</v>
      </c>
      <c r="L89" s="440">
        <f t="shared" si="12"/>
        <v>1575.5934990372759</v>
      </c>
      <c r="M89" s="440"/>
      <c r="N89" s="440"/>
      <c r="O89" s="440"/>
      <c r="P89" s="440"/>
      <c r="Q89" s="440"/>
      <c r="R89" s="440"/>
      <c r="S89" s="441">
        <f t="shared" si="13"/>
        <v>17007.199009031923</v>
      </c>
      <c r="T89" s="442">
        <f t="shared" si="14"/>
        <v>13398.044434901323</v>
      </c>
      <c r="V89" s="443">
        <f t="shared" si="15"/>
        <v>17007.199009031923</v>
      </c>
    </row>
    <row r="90" spans="7:22">
      <c r="G90" s="428">
        <v>87</v>
      </c>
      <c r="H90" s="440">
        <f t="shared" si="8"/>
        <v>2763180.9973154557</v>
      </c>
      <c r="I90" s="440">
        <f t="shared" si="9"/>
        <v>9231.2711057323941</v>
      </c>
      <c r="J90" s="440">
        <f t="shared" si="10"/>
        <v>6200.3344042622539</v>
      </c>
      <c r="K90" s="440">
        <f t="shared" si="11"/>
        <v>15431.605509994648</v>
      </c>
      <c r="L90" s="440">
        <f t="shared" si="12"/>
        <v>1572.0854693062267</v>
      </c>
      <c r="M90" s="440"/>
      <c r="N90" s="440"/>
      <c r="O90" s="440"/>
      <c r="P90" s="440"/>
      <c r="Q90" s="440"/>
      <c r="R90" s="440"/>
      <c r="S90" s="441">
        <f t="shared" si="13"/>
        <v>17003.690979300874</v>
      </c>
      <c r="T90" s="442">
        <f t="shared" si="14"/>
        <v>13402.572120954668</v>
      </c>
      <c r="V90" s="443">
        <f t="shared" si="15"/>
        <v>17003.690979300874</v>
      </c>
    </row>
    <row r="91" spans="7:22">
      <c r="G91" s="428">
        <v>88</v>
      </c>
      <c r="H91" s="440">
        <f t="shared" si="8"/>
        <v>2756959.995129846</v>
      </c>
      <c r="I91" s="440">
        <f t="shared" si="9"/>
        <v>9210.6033243848524</v>
      </c>
      <c r="J91" s="440">
        <f t="shared" si="10"/>
        <v>6221.0021856097956</v>
      </c>
      <c r="K91" s="440">
        <f t="shared" si="11"/>
        <v>15431.605509994648</v>
      </c>
      <c r="L91" s="440">
        <f t="shared" si="12"/>
        <v>1568.5657461427406</v>
      </c>
      <c r="M91" s="440"/>
      <c r="N91" s="440"/>
      <c r="O91" s="440"/>
      <c r="P91" s="440"/>
      <c r="Q91" s="440"/>
      <c r="R91" s="440"/>
      <c r="S91" s="441">
        <f t="shared" si="13"/>
        <v>17000.17125613739</v>
      </c>
      <c r="T91" s="442">
        <f t="shared" si="14"/>
        <v>13407.114899294858</v>
      </c>
      <c r="V91" s="443">
        <f t="shared" si="15"/>
        <v>17000.17125613739</v>
      </c>
    </row>
    <row r="92" spans="7:22">
      <c r="G92" s="428">
        <v>89</v>
      </c>
      <c r="H92" s="440">
        <f t="shared" si="8"/>
        <v>2750718.2562702843</v>
      </c>
      <c r="I92" s="440">
        <f t="shared" si="9"/>
        <v>9189.8666504328212</v>
      </c>
      <c r="J92" s="440">
        <f t="shared" si="10"/>
        <v>6241.7388595618268</v>
      </c>
      <c r="K92" s="440">
        <f t="shared" si="11"/>
        <v>15431.605509994648</v>
      </c>
      <c r="L92" s="440">
        <f t="shared" si="12"/>
        <v>1565.0342905687094</v>
      </c>
      <c r="M92" s="440"/>
      <c r="N92" s="440"/>
      <c r="O92" s="440"/>
      <c r="P92" s="440"/>
      <c r="Q92" s="440"/>
      <c r="R92" s="440"/>
      <c r="S92" s="441">
        <f t="shared" si="13"/>
        <v>16996.639800563356</v>
      </c>
      <c r="T92" s="442">
        <f t="shared" si="14"/>
        <v>13411.672820229513</v>
      </c>
      <c r="V92" s="443">
        <f t="shared" si="15"/>
        <v>16996.639800563356</v>
      </c>
    </row>
    <row r="93" spans="7:22">
      <c r="G93" s="428">
        <v>90</v>
      </c>
      <c r="H93" s="440">
        <f t="shared" si="8"/>
        <v>2744455.711614524</v>
      </c>
      <c r="I93" s="440">
        <f t="shared" si="9"/>
        <v>9169.0608542342816</v>
      </c>
      <c r="J93" s="440">
        <f t="shared" si="10"/>
        <v>6262.5446557603664</v>
      </c>
      <c r="K93" s="440">
        <f t="shared" si="11"/>
        <v>15431.605509994648</v>
      </c>
      <c r="L93" s="440">
        <f t="shared" si="12"/>
        <v>1561.4910634760981</v>
      </c>
      <c r="M93" s="440"/>
      <c r="N93" s="440"/>
      <c r="O93" s="440"/>
      <c r="P93" s="440"/>
      <c r="Q93" s="440"/>
      <c r="R93" s="440"/>
      <c r="S93" s="441">
        <f t="shared" si="13"/>
        <v>16993.096573470746</v>
      </c>
      <c r="T93" s="442">
        <f t="shared" si="14"/>
        <v>13416.245934233953</v>
      </c>
      <c r="V93" s="443">
        <f t="shared" si="15"/>
        <v>16993.096573470746</v>
      </c>
    </row>
    <row r="94" spans="7:22">
      <c r="G94" s="428">
        <v>91</v>
      </c>
      <c r="H94" s="440">
        <f t="shared" si="8"/>
        <v>2738172.2918099109</v>
      </c>
      <c r="I94" s="440">
        <f t="shared" si="9"/>
        <v>9148.1857053817475</v>
      </c>
      <c r="J94" s="440">
        <f t="shared" si="10"/>
        <v>6283.4198046129004</v>
      </c>
      <c r="K94" s="440">
        <f t="shared" si="11"/>
        <v>15431.605509994648</v>
      </c>
      <c r="L94" s="440">
        <f t="shared" si="12"/>
        <v>1557.9360256265115</v>
      </c>
      <c r="M94" s="440"/>
      <c r="N94" s="440"/>
      <c r="O94" s="440"/>
      <c r="P94" s="440"/>
      <c r="Q94" s="440"/>
      <c r="R94" s="440"/>
      <c r="S94" s="441">
        <f t="shared" si="13"/>
        <v>16989.54153562116</v>
      </c>
      <c r="T94" s="442">
        <f t="shared" si="14"/>
        <v>13420.83429195174</v>
      </c>
      <c r="V94" s="443">
        <f t="shared" si="15"/>
        <v>16989.54153562116</v>
      </c>
    </row>
    <row r="95" spans="7:22">
      <c r="G95" s="428">
        <v>92</v>
      </c>
      <c r="H95" s="440">
        <f t="shared" si="8"/>
        <v>2731867.927272616</v>
      </c>
      <c r="I95" s="440">
        <f t="shared" si="9"/>
        <v>9127.240972699703</v>
      </c>
      <c r="J95" s="440">
        <f t="shared" si="10"/>
        <v>6304.364537294945</v>
      </c>
      <c r="K95" s="440">
        <f t="shared" si="11"/>
        <v>15431.605509994648</v>
      </c>
      <c r="L95" s="440">
        <f t="shared" si="12"/>
        <v>1554.3691376507595</v>
      </c>
      <c r="M95" s="440"/>
      <c r="N95" s="440"/>
      <c r="O95" s="440"/>
      <c r="P95" s="440"/>
      <c r="Q95" s="440"/>
      <c r="R95" s="440"/>
      <c r="S95" s="441">
        <f t="shared" si="13"/>
        <v>16985.974647645409</v>
      </c>
      <c r="T95" s="442">
        <f t="shared" si="14"/>
        <v>13425.437944195255</v>
      </c>
      <c r="V95" s="443">
        <f t="shared" si="15"/>
        <v>16985.974647645409</v>
      </c>
    </row>
    <row r="96" spans="7:22">
      <c r="G96" s="428">
        <v>93</v>
      </c>
      <c r="H96" s="440">
        <f t="shared" si="8"/>
        <v>2725542.5481868633</v>
      </c>
      <c r="I96" s="440">
        <f t="shared" si="9"/>
        <v>9106.2264242420533</v>
      </c>
      <c r="J96" s="440">
        <f t="shared" si="10"/>
        <v>6325.3790857525946</v>
      </c>
      <c r="K96" s="440">
        <f t="shared" si="11"/>
        <v>15431.605509994648</v>
      </c>
      <c r="L96" s="440">
        <f t="shared" si="12"/>
        <v>1550.7903600484219</v>
      </c>
      <c r="M96" s="440"/>
      <c r="N96" s="440"/>
      <c r="O96" s="440"/>
      <c r="P96" s="440"/>
      <c r="Q96" s="440"/>
      <c r="R96" s="440"/>
      <c r="S96" s="441">
        <f t="shared" si="13"/>
        <v>16982.39587004307</v>
      </c>
      <c r="T96" s="442">
        <f t="shared" si="14"/>
        <v>13430.056941946244</v>
      </c>
      <c r="V96" s="443">
        <f t="shared" si="15"/>
        <v>16982.39587004307</v>
      </c>
    </row>
    <row r="97" spans="7:22">
      <c r="G97" s="428">
        <v>94</v>
      </c>
      <c r="H97" s="440">
        <f t="shared" si="8"/>
        <v>2719196.0845041582</v>
      </c>
      <c r="I97" s="440">
        <f t="shared" si="9"/>
        <v>9085.1418272895444</v>
      </c>
      <c r="J97" s="440">
        <f t="shared" si="10"/>
        <v>6346.4636827051036</v>
      </c>
      <c r="K97" s="440">
        <f t="shared" si="11"/>
        <v>15431.605509994648</v>
      </c>
      <c r="L97" s="440">
        <f t="shared" si="12"/>
        <v>1547.1996531874097</v>
      </c>
      <c r="M97" s="440"/>
      <c r="N97" s="440"/>
      <c r="O97" s="440"/>
      <c r="P97" s="440"/>
      <c r="Q97" s="440"/>
      <c r="R97" s="440"/>
      <c r="S97" s="441">
        <f t="shared" si="13"/>
        <v>16978.805163182056</v>
      </c>
      <c r="T97" s="442">
        <f t="shared" si="14"/>
        <v>13434.691336356405</v>
      </c>
      <c r="V97" s="443">
        <f t="shared" si="15"/>
        <v>16978.805163182056</v>
      </c>
    </row>
    <row r="98" spans="7:22">
      <c r="G98" s="428">
        <v>95</v>
      </c>
      <c r="H98" s="440">
        <f t="shared" si="8"/>
        <v>2712828.4659425109</v>
      </c>
      <c r="I98" s="440">
        <f t="shared" si="9"/>
        <v>9063.9869483471939</v>
      </c>
      <c r="J98" s="440">
        <f t="shared" si="10"/>
        <v>6367.618561647454</v>
      </c>
      <c r="K98" s="440">
        <f t="shared" si="11"/>
        <v>15431.605509994648</v>
      </c>
      <c r="L98" s="440">
        <f t="shared" si="12"/>
        <v>1543.5969773035274</v>
      </c>
      <c r="M98" s="440"/>
      <c r="N98" s="440"/>
      <c r="O98" s="440"/>
      <c r="P98" s="440"/>
      <c r="Q98" s="440"/>
      <c r="R98" s="440"/>
      <c r="S98" s="441">
        <f t="shared" si="13"/>
        <v>16975.202487298175</v>
      </c>
      <c r="T98" s="442">
        <f t="shared" si="14"/>
        <v>13439.341178747934</v>
      </c>
      <c r="V98" s="443">
        <f t="shared" si="15"/>
        <v>16975.202487298175</v>
      </c>
    </row>
    <row r="99" spans="7:22">
      <c r="G99" s="428">
        <v>96</v>
      </c>
      <c r="H99" s="440">
        <f t="shared" si="8"/>
        <v>2706439.6219856581</v>
      </c>
      <c r="I99" s="440">
        <f t="shared" si="9"/>
        <v>9042.7615531417032</v>
      </c>
      <c r="J99" s="440">
        <f t="shared" si="10"/>
        <v>6388.8439568529448</v>
      </c>
      <c r="K99" s="440">
        <f t="shared" si="11"/>
        <v>15431.605509994648</v>
      </c>
      <c r="L99" s="440">
        <f t="shared" si="12"/>
        <v>1539.9822925000321</v>
      </c>
      <c r="M99" s="440"/>
      <c r="N99" s="440"/>
      <c r="O99" s="440"/>
      <c r="P99" s="440"/>
      <c r="Q99" s="440"/>
      <c r="R99" s="440"/>
      <c r="S99" s="441">
        <f t="shared" si="13"/>
        <v>16971.58780249468</v>
      </c>
      <c r="T99" s="442">
        <f t="shared" si="14"/>
        <v>13444.006520614101</v>
      </c>
      <c r="V99" s="443">
        <f t="shared" si="15"/>
        <v>16971.58780249468</v>
      </c>
    </row>
    <row r="100" spans="7:22">
      <c r="G100" s="428">
        <v>97</v>
      </c>
      <c r="H100" s="440">
        <f t="shared" si="8"/>
        <v>2700029.4818822821</v>
      </c>
      <c r="I100" s="440">
        <f t="shared" si="9"/>
        <v>9021.4654066188614</v>
      </c>
      <c r="J100" s="440">
        <f t="shared" si="10"/>
        <v>6410.1401033757866</v>
      </c>
      <c r="K100" s="440">
        <f t="shared" si="11"/>
        <v>15431.605509994648</v>
      </c>
      <c r="L100" s="440">
        <f t="shared" si="12"/>
        <v>1536.3555587471922</v>
      </c>
      <c r="M100" s="440"/>
      <c r="N100" s="440"/>
      <c r="O100" s="440"/>
      <c r="P100" s="440"/>
      <c r="Q100" s="440"/>
      <c r="R100" s="440"/>
      <c r="S100" s="441">
        <f t="shared" si="13"/>
        <v>16967.961068741839</v>
      </c>
      <c r="T100" s="442">
        <f t="shared" si="14"/>
        <v>13448.68741361982</v>
      </c>
      <c r="V100" s="443">
        <f t="shared" si="15"/>
        <v>16967.961068741839</v>
      </c>
    </row>
    <row r="101" spans="7:22">
      <c r="G101" s="428">
        <v>98</v>
      </c>
      <c r="H101" s="440">
        <f t="shared" si="8"/>
        <v>2693597.9746452286</v>
      </c>
      <c r="I101" s="440">
        <f t="shared" si="9"/>
        <v>9000.0982729409407</v>
      </c>
      <c r="J101" s="440">
        <f t="shared" si="10"/>
        <v>6431.5072370537073</v>
      </c>
      <c r="K101" s="440">
        <f t="shared" si="11"/>
        <v>15431.605509994648</v>
      </c>
      <c r="L101" s="440">
        <f t="shared" si="12"/>
        <v>1532.7167358818424</v>
      </c>
      <c r="M101" s="440"/>
      <c r="N101" s="440"/>
      <c r="O101" s="440"/>
      <c r="P101" s="440"/>
      <c r="Q101" s="440"/>
      <c r="R101" s="440"/>
      <c r="S101" s="441">
        <f t="shared" si="13"/>
        <v>16964.32224587649</v>
      </c>
      <c r="T101" s="442">
        <f t="shared" si="14"/>
        <v>13453.383909602229</v>
      </c>
      <c r="V101" s="443">
        <f t="shared" si="15"/>
        <v>16964.32224587649</v>
      </c>
    </row>
    <row r="102" spans="7:22">
      <c r="G102" s="428">
        <v>99</v>
      </c>
      <c r="H102" s="440">
        <f t="shared" si="8"/>
        <v>2687145.0290507181</v>
      </c>
      <c r="I102" s="440">
        <f t="shared" si="9"/>
        <v>8978.6599154840951</v>
      </c>
      <c r="J102" s="440">
        <f t="shared" si="10"/>
        <v>6452.9455945105528</v>
      </c>
      <c r="K102" s="440">
        <f t="shared" si="11"/>
        <v>15431.605509994648</v>
      </c>
      <c r="L102" s="440">
        <f t="shared" si="12"/>
        <v>1529.0657836069415</v>
      </c>
      <c r="M102" s="440"/>
      <c r="N102" s="440"/>
      <c r="O102" s="440"/>
      <c r="P102" s="440"/>
      <c r="Q102" s="440"/>
      <c r="R102" s="440"/>
      <c r="S102" s="441">
        <f t="shared" si="13"/>
        <v>16960.67129360159</v>
      </c>
      <c r="T102" s="442">
        <f t="shared" si="14"/>
        <v>13458.096060571244</v>
      </c>
      <c r="V102" s="443">
        <f t="shared" si="15"/>
        <v>16960.67129360159</v>
      </c>
    </row>
    <row r="103" spans="7:22">
      <c r="G103" s="428">
        <v>100</v>
      </c>
      <c r="H103" s="440">
        <f t="shared" si="8"/>
        <v>2680670.5736375591</v>
      </c>
      <c r="I103" s="440">
        <f t="shared" si="9"/>
        <v>8957.1500968357268</v>
      </c>
      <c r="J103" s="440">
        <f t="shared" si="10"/>
        <v>6474.4554131589211</v>
      </c>
      <c r="K103" s="440">
        <f t="shared" si="11"/>
        <v>15431.605509994648</v>
      </c>
      <c r="L103" s="440">
        <f t="shared" si="12"/>
        <v>1525.4026614911245</v>
      </c>
      <c r="M103" s="440"/>
      <c r="N103" s="440"/>
      <c r="O103" s="440"/>
      <c r="P103" s="440"/>
      <c r="Q103" s="440"/>
      <c r="R103" s="440"/>
      <c r="S103" s="441">
        <f t="shared" si="13"/>
        <v>16957.008171485773</v>
      </c>
      <c r="T103" s="442">
        <f t="shared" si="14"/>
        <v>13462.823918710157</v>
      </c>
      <c r="V103" s="443">
        <f t="shared" si="15"/>
        <v>16957.008171485773</v>
      </c>
    </row>
    <row r="104" spans="7:22">
      <c r="G104" s="428">
        <v>101</v>
      </c>
      <c r="H104" s="440">
        <f t="shared" si="8"/>
        <v>2674174.5367063563</v>
      </c>
      <c r="I104" s="440">
        <f t="shared" si="9"/>
        <v>8935.5685787918646</v>
      </c>
      <c r="J104" s="440">
        <f t="shared" si="10"/>
        <v>6496.0369312027833</v>
      </c>
      <c r="K104" s="440">
        <f t="shared" si="11"/>
        <v>15431.605509994648</v>
      </c>
      <c r="L104" s="440">
        <f t="shared" si="12"/>
        <v>1521.7273289682546</v>
      </c>
      <c r="M104" s="440"/>
      <c r="N104" s="440"/>
      <c r="O104" s="440"/>
      <c r="P104" s="440"/>
      <c r="Q104" s="440"/>
      <c r="R104" s="440"/>
      <c r="S104" s="441">
        <f t="shared" si="13"/>
        <v>16953.332838962902</v>
      </c>
      <c r="T104" s="442">
        <f t="shared" si="14"/>
        <v>13467.567536376197</v>
      </c>
      <c r="V104" s="443">
        <f t="shared" si="15"/>
        <v>16953.332838962902</v>
      </c>
    </row>
    <row r="105" spans="7:22">
      <c r="G105" s="428">
        <v>102</v>
      </c>
      <c r="H105" s="440">
        <f t="shared" si="8"/>
        <v>2667656.8463187162</v>
      </c>
      <c r="I105" s="440">
        <f t="shared" si="9"/>
        <v>8913.9151223545214</v>
      </c>
      <c r="J105" s="440">
        <f t="shared" si="10"/>
        <v>6517.6903876401266</v>
      </c>
      <c r="K105" s="440">
        <f t="shared" si="11"/>
        <v>15431.605509994648</v>
      </c>
      <c r="L105" s="440">
        <f t="shared" si="12"/>
        <v>1518.0397453369751</v>
      </c>
      <c r="M105" s="440"/>
      <c r="N105" s="440"/>
      <c r="O105" s="440"/>
      <c r="P105" s="440"/>
      <c r="Q105" s="440"/>
      <c r="R105" s="440"/>
      <c r="S105" s="441">
        <f t="shared" si="13"/>
        <v>16949.645255331623</v>
      </c>
      <c r="T105" s="442">
        <f t="shared" si="14"/>
        <v>13472.326966101125</v>
      </c>
      <c r="V105" s="443">
        <f t="shared" si="15"/>
        <v>16949.645255331623</v>
      </c>
    </row>
    <row r="106" spans="7:22">
      <c r="G106" s="428">
        <v>103</v>
      </c>
      <c r="H106" s="440">
        <f t="shared" si="8"/>
        <v>2661117.4302964504</v>
      </c>
      <c r="I106" s="440">
        <f t="shared" si="9"/>
        <v>8892.1894877290542</v>
      </c>
      <c r="J106" s="440">
        <f t="shared" si="10"/>
        <v>6539.4160222655937</v>
      </c>
      <c r="K106" s="440">
        <f t="shared" si="11"/>
        <v>15431.605509994648</v>
      </c>
      <c r="L106" s="440">
        <f t="shared" si="12"/>
        <v>1514.3398697602581</v>
      </c>
      <c r="M106" s="440"/>
      <c r="N106" s="440"/>
      <c r="O106" s="440"/>
      <c r="P106" s="440"/>
      <c r="Q106" s="440"/>
      <c r="R106" s="440"/>
      <c r="S106" s="441">
        <f t="shared" si="13"/>
        <v>16945.945379754907</v>
      </c>
      <c r="T106" s="442">
        <f t="shared" si="14"/>
        <v>13477.102260591802</v>
      </c>
      <c r="V106" s="443">
        <f t="shared" si="15"/>
        <v>16945.945379754907</v>
      </c>
    </row>
    <row r="107" spans="7:22">
      <c r="G107" s="428">
        <v>104</v>
      </c>
      <c r="H107" s="440">
        <f t="shared" si="8"/>
        <v>2654556.216220777</v>
      </c>
      <c r="I107" s="440">
        <f t="shared" si="9"/>
        <v>8870.3914343215019</v>
      </c>
      <c r="J107" s="440">
        <f t="shared" si="10"/>
        <v>6561.214075673146</v>
      </c>
      <c r="K107" s="440">
        <f t="shared" si="11"/>
        <v>15431.605509994648</v>
      </c>
      <c r="L107" s="440">
        <f t="shared" si="12"/>
        <v>1510.6276612649519</v>
      </c>
      <c r="M107" s="440"/>
      <c r="N107" s="440"/>
      <c r="O107" s="440"/>
      <c r="P107" s="440"/>
      <c r="Q107" s="440"/>
      <c r="R107" s="440"/>
      <c r="S107" s="441">
        <f t="shared" si="13"/>
        <v>16942.233171259599</v>
      </c>
      <c r="T107" s="442">
        <f t="shared" si="14"/>
        <v>13481.893472730781</v>
      </c>
      <c r="V107" s="443">
        <f t="shared" si="15"/>
        <v>16942.233171259599</v>
      </c>
    </row>
    <row r="108" spans="7:22">
      <c r="G108" s="428">
        <v>105</v>
      </c>
      <c r="H108" s="440">
        <f t="shared" si="8"/>
        <v>2647973.1314315181</v>
      </c>
      <c r="I108" s="440">
        <f t="shared" si="9"/>
        <v>8848.5207207359235</v>
      </c>
      <c r="J108" s="440">
        <f t="shared" si="10"/>
        <v>6583.0847892587244</v>
      </c>
      <c r="K108" s="440">
        <f t="shared" si="11"/>
        <v>15431.605509994648</v>
      </c>
      <c r="L108" s="440">
        <f t="shared" si="12"/>
        <v>1506.9030787413278</v>
      </c>
      <c r="M108" s="440"/>
      <c r="N108" s="440"/>
      <c r="O108" s="440"/>
      <c r="P108" s="440"/>
      <c r="Q108" s="440"/>
      <c r="R108" s="440"/>
      <c r="S108" s="441">
        <f t="shared" si="13"/>
        <v>16938.508588735975</v>
      </c>
      <c r="T108" s="442">
        <f t="shared" si="14"/>
        <v>13486.700655576891</v>
      </c>
      <c r="V108" s="443">
        <f t="shared" si="15"/>
        <v>16938.508588735975</v>
      </c>
    </row>
    <row r="109" spans="7:22">
      <c r="G109" s="428">
        <v>106</v>
      </c>
      <c r="H109" s="440">
        <f t="shared" si="8"/>
        <v>2641368.1030262951</v>
      </c>
      <c r="I109" s="440">
        <f t="shared" si="9"/>
        <v>8826.577104771728</v>
      </c>
      <c r="J109" s="440">
        <f t="shared" si="10"/>
        <v>6605.0284052229199</v>
      </c>
      <c r="K109" s="440">
        <f t="shared" si="11"/>
        <v>15431.605509994648</v>
      </c>
      <c r="L109" s="440">
        <f t="shared" si="12"/>
        <v>1503.1660809426253</v>
      </c>
      <c r="M109" s="440"/>
      <c r="N109" s="440"/>
      <c r="O109" s="440"/>
      <c r="P109" s="440"/>
      <c r="Q109" s="440"/>
      <c r="R109" s="440"/>
      <c r="S109" s="441">
        <f t="shared" si="13"/>
        <v>16934.771590937275</v>
      </c>
      <c r="T109" s="442">
        <f t="shared" si="14"/>
        <v>13491.523862365824</v>
      </c>
      <c r="V109" s="443">
        <f t="shared" si="15"/>
        <v>16934.771590937275</v>
      </c>
    </row>
    <row r="110" spans="7:22">
      <c r="G110" s="428">
        <v>107</v>
      </c>
      <c r="H110" s="440">
        <f t="shared" si="8"/>
        <v>2634741.0578597216</v>
      </c>
      <c r="I110" s="440">
        <f t="shared" si="9"/>
        <v>8804.5603434209843</v>
      </c>
      <c r="J110" s="440">
        <f t="shared" si="10"/>
        <v>6627.0451665736637</v>
      </c>
      <c r="K110" s="440">
        <f t="shared" si="11"/>
        <v>15431.605509994648</v>
      </c>
      <c r="L110" s="440">
        <f t="shared" si="12"/>
        <v>1499.4166264845937</v>
      </c>
      <c r="M110" s="440"/>
      <c r="N110" s="440"/>
      <c r="O110" s="440"/>
      <c r="P110" s="440"/>
      <c r="Q110" s="440"/>
      <c r="R110" s="440"/>
      <c r="S110" s="441">
        <f t="shared" si="13"/>
        <v>16931.022136479241</v>
      </c>
      <c r="T110" s="442">
        <f t="shared" si="14"/>
        <v>13496.363146510716</v>
      </c>
      <c r="V110" s="443">
        <f t="shared" si="15"/>
        <v>16931.022136479241</v>
      </c>
    </row>
    <row r="111" spans="7:22">
      <c r="G111" s="428">
        <v>108</v>
      </c>
      <c r="H111" s="440">
        <f t="shared" si="8"/>
        <v>2628091.9225425925</v>
      </c>
      <c r="I111" s="440">
        <f t="shared" si="9"/>
        <v>8782.4701928657396</v>
      </c>
      <c r="J111" s="440">
        <f t="shared" si="10"/>
        <v>6649.1353171289084</v>
      </c>
      <c r="K111" s="440">
        <f t="shared" si="11"/>
        <v>15431.605509994648</v>
      </c>
      <c r="L111" s="440">
        <f t="shared" si="12"/>
        <v>1495.6546738450354</v>
      </c>
      <c r="M111" s="440"/>
      <c r="N111" s="440"/>
      <c r="O111" s="440"/>
      <c r="P111" s="440"/>
      <c r="Q111" s="440"/>
      <c r="R111" s="440"/>
      <c r="S111" s="441">
        <f t="shared" si="13"/>
        <v>16927.260183839684</v>
      </c>
      <c r="T111" s="442">
        <f t="shared" si="14"/>
        <v>13501.21856160276</v>
      </c>
      <c r="V111" s="443">
        <f t="shared" si="15"/>
        <v>16927.260183839684</v>
      </c>
    </row>
    <row r="112" spans="7:22">
      <c r="G112" s="428">
        <v>109</v>
      </c>
      <c r="H112" s="440">
        <f t="shared" si="8"/>
        <v>2621420.6234410731</v>
      </c>
      <c r="I112" s="440">
        <f t="shared" si="9"/>
        <v>8760.3064084753096</v>
      </c>
      <c r="J112" s="440">
        <f t="shared" si="10"/>
        <v>6671.2991015193384</v>
      </c>
      <c r="K112" s="440">
        <f t="shared" si="11"/>
        <v>15431.605509994648</v>
      </c>
      <c r="L112" s="440">
        <f t="shared" si="12"/>
        <v>1491.8801813633452</v>
      </c>
      <c r="M112" s="440"/>
      <c r="N112" s="440"/>
      <c r="O112" s="440"/>
      <c r="P112" s="440"/>
      <c r="Q112" s="440"/>
      <c r="R112" s="440"/>
      <c r="S112" s="441">
        <f t="shared" si="13"/>
        <v>16923.485691357993</v>
      </c>
      <c r="T112" s="442">
        <f t="shared" si="14"/>
        <v>13506.090161411776</v>
      </c>
      <c r="V112" s="443">
        <f t="shared" si="15"/>
        <v>16923.485691357993</v>
      </c>
    </row>
    <row r="113" spans="7:22">
      <c r="G113" s="428">
        <v>110</v>
      </c>
      <c r="H113" s="440">
        <f t="shared" si="8"/>
        <v>2614727.0866758819</v>
      </c>
      <c r="I113" s="440">
        <f t="shared" si="9"/>
        <v>8738.0687448035769</v>
      </c>
      <c r="J113" s="440">
        <f t="shared" si="10"/>
        <v>6693.536765191071</v>
      </c>
      <c r="K113" s="440">
        <f t="shared" si="11"/>
        <v>15431.605509994648</v>
      </c>
      <c r="L113" s="440">
        <f t="shared" si="12"/>
        <v>1488.0931072400494</v>
      </c>
      <c r="M113" s="440"/>
      <c r="N113" s="440"/>
      <c r="O113" s="440"/>
      <c r="P113" s="440"/>
      <c r="Q113" s="440"/>
      <c r="R113" s="440"/>
      <c r="S113" s="441">
        <f t="shared" si="13"/>
        <v>16919.698617234699</v>
      </c>
      <c r="T113" s="442">
        <f t="shared" si="14"/>
        <v>13510.977999886823</v>
      </c>
      <c r="V113" s="443">
        <f t="shared" si="15"/>
        <v>16919.698617234699</v>
      </c>
    </row>
    <row r="114" spans="7:22">
      <c r="G114" s="428">
        <v>111</v>
      </c>
      <c r="H114" s="440">
        <f t="shared" si="8"/>
        <v>2608011.2381214737</v>
      </c>
      <c r="I114" s="440">
        <f t="shared" si="9"/>
        <v>8715.7569555862738</v>
      </c>
      <c r="J114" s="440">
        <f t="shared" si="10"/>
        <v>6715.8485544083742</v>
      </c>
      <c r="K114" s="440">
        <f t="shared" si="11"/>
        <v>15431.605509994648</v>
      </c>
      <c r="L114" s="440">
        <f t="shared" si="12"/>
        <v>1484.2934095363426</v>
      </c>
      <c r="M114" s="440"/>
      <c r="N114" s="440"/>
      <c r="O114" s="440"/>
      <c r="P114" s="440"/>
      <c r="Q114" s="440"/>
      <c r="R114" s="440"/>
      <c r="S114" s="441">
        <f t="shared" si="13"/>
        <v>16915.898919530991</v>
      </c>
      <c r="T114" s="442">
        <f t="shared" si="14"/>
        <v>13515.882131156786</v>
      </c>
      <c r="V114" s="443">
        <f t="shared" si="15"/>
        <v>16915.898919530991</v>
      </c>
    </row>
    <row r="115" spans="7:22">
      <c r="G115" s="428">
        <v>112</v>
      </c>
      <c r="H115" s="440">
        <f t="shared" si="8"/>
        <v>2601273.0034052171</v>
      </c>
      <c r="I115" s="440">
        <f t="shared" si="9"/>
        <v>8693.370793738246</v>
      </c>
      <c r="J115" s="440">
        <f t="shared" si="10"/>
        <v>6738.234716256402</v>
      </c>
      <c r="K115" s="440">
        <f t="shared" si="11"/>
        <v>15431.605509994648</v>
      </c>
      <c r="L115" s="440">
        <f t="shared" si="12"/>
        <v>1480.4810461736233</v>
      </c>
      <c r="M115" s="440"/>
      <c r="N115" s="440"/>
      <c r="O115" s="440"/>
      <c r="P115" s="440"/>
      <c r="Q115" s="440"/>
      <c r="R115" s="440"/>
      <c r="S115" s="441">
        <f t="shared" si="13"/>
        <v>16912.086556168273</v>
      </c>
      <c r="T115" s="442">
        <f t="shared" si="14"/>
        <v>13520.802609530983</v>
      </c>
      <c r="V115" s="443">
        <f t="shared" si="15"/>
        <v>16912.086556168273</v>
      </c>
    </row>
    <row r="116" spans="7:22">
      <c r="G116" s="428">
        <v>113</v>
      </c>
      <c r="H116" s="440">
        <f t="shared" si="8"/>
        <v>2594512.3079065732</v>
      </c>
      <c r="I116" s="440">
        <f t="shared" si="9"/>
        <v>8670.9100113507247</v>
      </c>
      <c r="J116" s="440">
        <f t="shared" si="10"/>
        <v>6760.6954986439232</v>
      </c>
      <c r="K116" s="440">
        <f t="shared" si="11"/>
        <v>15431.605509994648</v>
      </c>
      <c r="L116" s="440">
        <f t="shared" si="12"/>
        <v>1476.6559749330283</v>
      </c>
      <c r="M116" s="440"/>
      <c r="N116" s="440"/>
      <c r="O116" s="440"/>
      <c r="P116" s="440"/>
      <c r="Q116" s="440"/>
      <c r="R116" s="440"/>
      <c r="S116" s="441">
        <f t="shared" si="13"/>
        <v>16908.261484927676</v>
      </c>
      <c r="T116" s="442">
        <f t="shared" si="14"/>
        <v>13525.73948949976</v>
      </c>
      <c r="V116" s="443">
        <f t="shared" si="15"/>
        <v>16908.261484927676</v>
      </c>
    </row>
    <row r="117" spans="7:22">
      <c r="G117" s="428">
        <v>114</v>
      </c>
      <c r="H117" s="440">
        <f t="shared" si="8"/>
        <v>2587729.0767562669</v>
      </c>
      <c r="I117" s="440">
        <f t="shared" si="9"/>
        <v>8648.3743596885779</v>
      </c>
      <c r="J117" s="440">
        <f t="shared" si="10"/>
        <v>6783.23115030607</v>
      </c>
      <c r="K117" s="440">
        <f t="shared" si="11"/>
        <v>15431.605509994648</v>
      </c>
      <c r="L117" s="440">
        <f t="shared" si="12"/>
        <v>1472.8181534549649</v>
      </c>
      <c r="M117" s="440"/>
      <c r="N117" s="440"/>
      <c r="O117" s="440"/>
      <c r="P117" s="440"/>
      <c r="Q117" s="440"/>
      <c r="R117" s="440"/>
      <c r="S117" s="441">
        <f t="shared" si="13"/>
        <v>16904.423663449612</v>
      </c>
      <c r="T117" s="442">
        <f t="shared" si="14"/>
        <v>13530.692825735099</v>
      </c>
      <c r="V117" s="443">
        <f t="shared" si="15"/>
        <v>16904.423663449612</v>
      </c>
    </row>
    <row r="118" spans="7:22">
      <c r="G118" s="428">
        <v>115</v>
      </c>
      <c r="H118" s="440">
        <f t="shared" si="8"/>
        <v>2580923.2348354599</v>
      </c>
      <c r="I118" s="440">
        <f t="shared" si="9"/>
        <v>8625.7635891875561</v>
      </c>
      <c r="J118" s="440">
        <f t="shared" si="10"/>
        <v>6805.8419208070918</v>
      </c>
      <c r="K118" s="440">
        <f t="shared" si="11"/>
        <v>15431.605509994648</v>
      </c>
      <c r="L118" s="440">
        <f t="shared" si="12"/>
        <v>1468.9675392386409</v>
      </c>
      <c r="M118" s="440"/>
      <c r="N118" s="440"/>
      <c r="O118" s="440"/>
      <c r="P118" s="440"/>
      <c r="Q118" s="440"/>
      <c r="R118" s="440"/>
      <c r="S118" s="441">
        <f t="shared" si="13"/>
        <v>16900.573049233288</v>
      </c>
      <c r="T118" s="442">
        <f t="shared" si="14"/>
        <v>13535.662673091221</v>
      </c>
      <c r="V118" s="443">
        <f t="shared" si="15"/>
        <v>16900.573049233288</v>
      </c>
    </row>
    <row r="119" spans="7:22">
      <c r="G119" s="428">
        <v>116</v>
      </c>
      <c r="H119" s="440">
        <f t="shared" si="8"/>
        <v>2574094.706774917</v>
      </c>
      <c r="I119" s="440">
        <f t="shared" si="9"/>
        <v>8603.0774494515335</v>
      </c>
      <c r="J119" s="440">
        <f t="shared" si="10"/>
        <v>6828.5280605431144</v>
      </c>
      <c r="K119" s="440">
        <f t="shared" si="11"/>
        <v>15431.605509994648</v>
      </c>
      <c r="L119" s="440">
        <f t="shared" si="12"/>
        <v>1465.1040896415961</v>
      </c>
      <c r="M119" s="440"/>
      <c r="N119" s="440"/>
      <c r="O119" s="440"/>
      <c r="P119" s="440"/>
      <c r="Q119" s="440"/>
      <c r="R119" s="440"/>
      <c r="S119" s="441">
        <f t="shared" si="13"/>
        <v>16896.709599636244</v>
      </c>
      <c r="T119" s="442">
        <f t="shared" si="14"/>
        <v>13540.649086605201</v>
      </c>
      <c r="V119" s="443">
        <f t="shared" si="15"/>
        <v>16896.709599636244</v>
      </c>
    </row>
    <row r="120" spans="7:22">
      <c r="G120" s="428">
        <v>117</v>
      </c>
      <c r="H120" s="440">
        <f t="shared" si="8"/>
        <v>2567243.4169541718</v>
      </c>
      <c r="I120" s="440">
        <f t="shared" si="9"/>
        <v>8580.3156892497245</v>
      </c>
      <c r="J120" s="440">
        <f t="shared" si="10"/>
        <v>6851.2898207449234</v>
      </c>
      <c r="K120" s="440">
        <f t="shared" si="11"/>
        <v>15431.605509994648</v>
      </c>
      <c r="L120" s="440">
        <f t="shared" si="12"/>
        <v>1461.227761879228</v>
      </c>
      <c r="M120" s="440"/>
      <c r="N120" s="440"/>
      <c r="O120" s="440"/>
      <c r="P120" s="440"/>
      <c r="Q120" s="440"/>
      <c r="R120" s="440"/>
      <c r="S120" s="441">
        <f t="shared" si="13"/>
        <v>16892.833271873875</v>
      </c>
      <c r="T120" s="442">
        <f t="shared" si="14"/>
        <v>13545.652121497558</v>
      </c>
      <c r="V120" s="443">
        <f t="shared" si="15"/>
        <v>16892.833271873875</v>
      </c>
    </row>
    <row r="121" spans="7:22">
      <c r="G121" s="428">
        <v>118</v>
      </c>
      <c r="H121" s="440">
        <f t="shared" si="8"/>
        <v>2560369.289500691</v>
      </c>
      <c r="I121" s="440">
        <f t="shared" si="9"/>
        <v>8557.4780565139063</v>
      </c>
      <c r="J121" s="440">
        <f t="shared" si="10"/>
        <v>6874.1274534807417</v>
      </c>
      <c r="K121" s="440">
        <f t="shared" si="11"/>
        <v>15431.605509994648</v>
      </c>
      <c r="L121" s="440">
        <f t="shared" si="12"/>
        <v>1457.3385130243184</v>
      </c>
      <c r="M121" s="440"/>
      <c r="N121" s="440"/>
      <c r="O121" s="440"/>
      <c r="P121" s="440"/>
      <c r="Q121" s="440"/>
      <c r="R121" s="440"/>
      <c r="S121" s="441">
        <f t="shared" si="13"/>
        <v>16888.944023018965</v>
      </c>
      <c r="T121" s="442">
        <f t="shared" si="14"/>
        <v>13550.67183317289</v>
      </c>
      <c r="V121" s="443">
        <f t="shared" si="15"/>
        <v>16888.944023018965</v>
      </c>
    </row>
    <row r="122" spans="7:22">
      <c r="G122" s="428">
        <v>119</v>
      </c>
      <c r="H122" s="440">
        <f t="shared" si="8"/>
        <v>2553472.2482890319</v>
      </c>
      <c r="I122" s="440">
        <f t="shared" si="9"/>
        <v>8534.5642983356374</v>
      </c>
      <c r="J122" s="440">
        <f t="shared" si="10"/>
        <v>6897.0412116590105</v>
      </c>
      <c r="K122" s="440">
        <f t="shared" si="11"/>
        <v>15431.605509994648</v>
      </c>
      <c r="L122" s="440">
        <f t="shared" si="12"/>
        <v>1453.4363000065591</v>
      </c>
      <c r="M122" s="440"/>
      <c r="N122" s="440"/>
      <c r="O122" s="440"/>
      <c r="P122" s="440"/>
      <c r="Q122" s="440"/>
      <c r="R122" s="440"/>
      <c r="S122" s="441">
        <f t="shared" si="13"/>
        <v>16885.041810001207</v>
      </c>
      <c r="T122" s="442">
        <f t="shared" si="14"/>
        <v>13555.708277220474</v>
      </c>
      <c r="V122" s="443">
        <f t="shared" si="15"/>
        <v>16885.041810001207</v>
      </c>
    </row>
    <row r="123" spans="7:22">
      <c r="G123" s="428">
        <v>120</v>
      </c>
      <c r="H123" s="440">
        <f t="shared" si="8"/>
        <v>2546552.2169400007</v>
      </c>
      <c r="I123" s="440">
        <f t="shared" si="9"/>
        <v>8511.5741609634406</v>
      </c>
      <c r="J123" s="440">
        <f t="shared" si="10"/>
        <v>6920.0313490312074</v>
      </c>
      <c r="K123" s="440">
        <f t="shared" si="11"/>
        <v>15431.605509994648</v>
      </c>
      <c r="L123" s="440">
        <f t="shared" si="12"/>
        <v>1449.5210796120739</v>
      </c>
      <c r="M123" s="440"/>
      <c r="N123" s="440"/>
      <c r="O123" s="440"/>
      <c r="P123" s="440"/>
      <c r="Q123" s="440"/>
      <c r="R123" s="440"/>
      <c r="S123" s="441">
        <f t="shared" si="13"/>
        <v>16881.126589606723</v>
      </c>
      <c r="T123" s="442">
        <f t="shared" si="14"/>
        <v>13560.761509414886</v>
      </c>
      <c r="V123" s="443">
        <f t="shared" si="15"/>
        <v>16881.126589606723</v>
      </c>
    </row>
    <row r="124" spans="7:22">
      <c r="G124" s="428">
        <v>121</v>
      </c>
      <c r="H124" s="440">
        <f t="shared" ref="H124:H187" si="16">H123-J124</f>
        <v>2539609.1188198058</v>
      </c>
      <c r="I124" s="440">
        <f t="shared" ref="I124:I187" si="17">$E$9/$E$13*H123</f>
        <v>8488.5073898000028</v>
      </c>
      <c r="J124" s="440">
        <f t="shared" ref="J124:J187" si="18">K124-I124</f>
        <v>6943.0981201946452</v>
      </c>
      <c r="K124" s="440">
        <f t="shared" ref="K124:K187" si="19">IF(G124&gt;$E$14,0,$E$16)</f>
        <v>15431.605509994648</v>
      </c>
      <c r="L124" s="440">
        <f t="shared" ref="L124:L187" si="20">$E$10/$E$13*H123</f>
        <v>1445.5928084829404</v>
      </c>
      <c r="M124" s="440"/>
      <c r="N124" s="440"/>
      <c r="O124" s="440"/>
      <c r="P124" s="440"/>
      <c r="Q124" s="440"/>
      <c r="R124" s="440"/>
      <c r="S124" s="441">
        <f t="shared" ref="S124:S187" si="21">K124+L124</f>
        <v>16877.198318477589</v>
      </c>
      <c r="T124" s="442">
        <f t="shared" ref="T124:T187" si="22">S124-1/3*(I124+L124)</f>
        <v>13565.831585716609</v>
      </c>
    </row>
    <row r="125" spans="7:22">
      <c r="G125" s="428">
        <v>122</v>
      </c>
      <c r="H125" s="440">
        <f t="shared" si="16"/>
        <v>2532642.8770392104</v>
      </c>
      <c r="I125" s="440">
        <f t="shared" si="17"/>
        <v>8465.3637293993525</v>
      </c>
      <c r="J125" s="440">
        <f t="shared" si="18"/>
        <v>6966.2417805952955</v>
      </c>
      <c r="K125" s="440">
        <f t="shared" si="19"/>
        <v>15431.605509994648</v>
      </c>
      <c r="L125" s="440">
        <f t="shared" si="20"/>
        <v>1441.65144311671</v>
      </c>
      <c r="M125" s="440"/>
      <c r="N125" s="440"/>
      <c r="O125" s="440"/>
      <c r="P125" s="440"/>
      <c r="Q125" s="440"/>
      <c r="R125" s="440"/>
      <c r="S125" s="441">
        <f t="shared" si="21"/>
        <v>16873.256953111359</v>
      </c>
      <c r="T125" s="442">
        <f t="shared" si="22"/>
        <v>13570.918562272671</v>
      </c>
    </row>
    <row r="126" spans="7:22">
      <c r="G126" s="428">
        <v>123</v>
      </c>
      <c r="H126" s="440">
        <f t="shared" si="16"/>
        <v>2525653.4144526799</v>
      </c>
      <c r="I126" s="440">
        <f t="shared" si="17"/>
        <v>8442.1429234640345</v>
      </c>
      <c r="J126" s="440">
        <f t="shared" si="18"/>
        <v>6989.4625865306134</v>
      </c>
      <c r="K126" s="440">
        <f t="shared" si="19"/>
        <v>15431.605509994648</v>
      </c>
      <c r="L126" s="440">
        <f t="shared" si="20"/>
        <v>1437.6969398659253</v>
      </c>
      <c r="M126" s="440"/>
      <c r="N126" s="440"/>
      <c r="O126" s="440"/>
      <c r="P126" s="440"/>
      <c r="Q126" s="440"/>
      <c r="R126" s="440"/>
      <c r="S126" s="441">
        <f t="shared" si="21"/>
        <v>16869.302449860574</v>
      </c>
      <c r="T126" s="442">
        <f t="shared" si="22"/>
        <v>13576.022495417254</v>
      </c>
    </row>
    <row r="127" spans="7:22">
      <c r="G127" s="428">
        <v>124</v>
      </c>
      <c r="H127" s="440">
        <f t="shared" si="16"/>
        <v>2518640.6536575276</v>
      </c>
      <c r="I127" s="440">
        <f t="shared" si="17"/>
        <v>8418.8447148422674</v>
      </c>
      <c r="J127" s="440">
        <f t="shared" si="18"/>
        <v>7012.7607951523805</v>
      </c>
      <c r="K127" s="440">
        <f t="shared" si="19"/>
        <v>15431.605509994648</v>
      </c>
      <c r="L127" s="440">
        <f t="shared" si="20"/>
        <v>1433.7292549376382</v>
      </c>
      <c r="M127" s="440"/>
      <c r="N127" s="440"/>
      <c r="O127" s="440"/>
      <c r="P127" s="440"/>
      <c r="Q127" s="440"/>
      <c r="R127" s="440"/>
      <c r="S127" s="441">
        <f t="shared" si="21"/>
        <v>16865.334764932286</v>
      </c>
      <c r="T127" s="442">
        <f t="shared" si="22"/>
        <v>13581.143441672317</v>
      </c>
    </row>
    <row r="128" spans="7:22">
      <c r="G128" s="428">
        <v>125</v>
      </c>
      <c r="H128" s="440">
        <f t="shared" si="16"/>
        <v>2511604.5169930579</v>
      </c>
      <c r="I128" s="440">
        <f t="shared" si="17"/>
        <v>8395.4688455250925</v>
      </c>
      <c r="J128" s="440">
        <f t="shared" si="18"/>
        <v>7036.1366644695554</v>
      </c>
      <c r="K128" s="440">
        <f t="shared" si="19"/>
        <v>15431.605509994648</v>
      </c>
      <c r="L128" s="440">
        <f t="shared" si="20"/>
        <v>1429.7483443929234</v>
      </c>
      <c r="M128" s="440"/>
      <c r="N128" s="440"/>
      <c r="O128" s="440"/>
      <c r="P128" s="440"/>
      <c r="Q128" s="440"/>
      <c r="R128" s="440"/>
      <c r="S128" s="441">
        <f t="shared" si="21"/>
        <v>16861.353854387573</v>
      </c>
      <c r="T128" s="442">
        <f t="shared" si="22"/>
        <v>13586.281457748235</v>
      </c>
    </row>
    <row r="129" spans="7:20">
      <c r="G129" s="428">
        <v>126</v>
      </c>
      <c r="H129" s="440">
        <f t="shared" si="16"/>
        <v>2504544.926539707</v>
      </c>
      <c r="I129" s="440">
        <f t="shared" si="17"/>
        <v>8372.0150566435277</v>
      </c>
      <c r="J129" s="440">
        <f t="shared" si="18"/>
        <v>7059.5904533511202</v>
      </c>
      <c r="K129" s="440">
        <f t="shared" si="19"/>
        <v>15431.605509994648</v>
      </c>
      <c r="L129" s="440">
        <f t="shared" si="20"/>
        <v>1425.7541641463927</v>
      </c>
      <c r="M129" s="440"/>
      <c r="N129" s="440"/>
      <c r="O129" s="440"/>
      <c r="P129" s="440"/>
      <c r="Q129" s="440"/>
      <c r="R129" s="440"/>
      <c r="S129" s="441">
        <f t="shared" si="21"/>
        <v>16857.35967414104</v>
      </c>
      <c r="T129" s="442">
        <f t="shared" si="22"/>
        <v>13591.436600544401</v>
      </c>
    </row>
    <row r="130" spans="7:20">
      <c r="G130" s="428">
        <v>127</v>
      </c>
      <c r="H130" s="440">
        <f t="shared" si="16"/>
        <v>2497461.8041181779</v>
      </c>
      <c r="I130" s="440">
        <f t="shared" si="17"/>
        <v>8348.4830884656913</v>
      </c>
      <c r="J130" s="440">
        <f t="shared" si="18"/>
        <v>7083.1224215289567</v>
      </c>
      <c r="K130" s="440">
        <f t="shared" si="19"/>
        <v>15431.605509994648</v>
      </c>
      <c r="L130" s="440">
        <f t="shared" si="20"/>
        <v>1421.7466699657073</v>
      </c>
      <c r="M130" s="440"/>
      <c r="N130" s="440"/>
      <c r="O130" s="440"/>
      <c r="P130" s="440"/>
      <c r="Q130" s="440"/>
      <c r="R130" s="440"/>
      <c r="S130" s="441">
        <f t="shared" si="21"/>
        <v>16853.352179960355</v>
      </c>
      <c r="T130" s="442">
        <f t="shared" si="22"/>
        <v>13596.608927149889</v>
      </c>
    </row>
    <row r="131" spans="7:20">
      <c r="G131" s="428">
        <v>128</v>
      </c>
      <c r="H131" s="440">
        <f t="shared" si="16"/>
        <v>2490355.0712885773</v>
      </c>
      <c r="I131" s="440">
        <f t="shared" si="17"/>
        <v>8324.8726803939262</v>
      </c>
      <c r="J131" s="440">
        <f t="shared" si="18"/>
        <v>7106.7328296007217</v>
      </c>
      <c r="K131" s="440">
        <f t="shared" si="19"/>
        <v>15431.605509994648</v>
      </c>
      <c r="L131" s="440">
        <f t="shared" si="20"/>
        <v>1417.7258174710857</v>
      </c>
      <c r="M131" s="440"/>
      <c r="N131" s="440"/>
      <c r="O131" s="440"/>
      <c r="P131" s="440"/>
      <c r="Q131" s="440"/>
      <c r="R131" s="440"/>
      <c r="S131" s="441">
        <f t="shared" si="21"/>
        <v>16849.331327465734</v>
      </c>
      <c r="T131" s="442">
        <f t="shared" si="22"/>
        <v>13601.798494844064</v>
      </c>
    </row>
    <row r="132" spans="7:20">
      <c r="G132" s="428">
        <v>129</v>
      </c>
      <c r="H132" s="440">
        <f t="shared" si="16"/>
        <v>2483224.6493495447</v>
      </c>
      <c r="I132" s="440">
        <f t="shared" si="17"/>
        <v>8301.1835709619245</v>
      </c>
      <c r="J132" s="440">
        <f t="shared" si="18"/>
        <v>7130.4219390327235</v>
      </c>
      <c r="K132" s="440">
        <f t="shared" si="19"/>
        <v>15431.605509994648</v>
      </c>
      <c r="L132" s="440">
        <f t="shared" si="20"/>
        <v>1413.691562134816</v>
      </c>
      <c r="M132" s="440"/>
      <c r="N132" s="440"/>
      <c r="O132" s="440"/>
      <c r="P132" s="440"/>
      <c r="Q132" s="440"/>
      <c r="R132" s="440"/>
      <c r="S132" s="441">
        <f t="shared" si="21"/>
        <v>16845.297072129462</v>
      </c>
      <c r="T132" s="442">
        <f t="shared" si="22"/>
        <v>13607.005361097215</v>
      </c>
    </row>
    <row r="133" spans="7:20">
      <c r="G133" s="428">
        <v>130</v>
      </c>
      <c r="H133" s="440">
        <f t="shared" si="16"/>
        <v>2476070.4593373816</v>
      </c>
      <c r="I133" s="440">
        <f t="shared" si="17"/>
        <v>8277.4154978318165</v>
      </c>
      <c r="J133" s="440">
        <f t="shared" si="18"/>
        <v>7154.1900121628314</v>
      </c>
      <c r="K133" s="440">
        <f t="shared" si="19"/>
        <v>15431.605509994648</v>
      </c>
      <c r="L133" s="440">
        <f t="shared" si="20"/>
        <v>1409.6438592807583</v>
      </c>
      <c r="M133" s="440"/>
      <c r="N133" s="440"/>
      <c r="O133" s="440"/>
      <c r="P133" s="440"/>
      <c r="Q133" s="440"/>
      <c r="R133" s="440"/>
      <c r="S133" s="441">
        <f t="shared" si="21"/>
        <v>16841.249369275407</v>
      </c>
      <c r="T133" s="442">
        <f t="shared" si="22"/>
        <v>13612.229583571216</v>
      </c>
    </row>
    <row r="134" spans="7:20">
      <c r="G134" s="428">
        <v>131</v>
      </c>
      <c r="H134" s="440">
        <f t="shared" si="16"/>
        <v>2468892.4220251781</v>
      </c>
      <c r="I134" s="440">
        <f t="shared" si="17"/>
        <v>8253.5681977912718</v>
      </c>
      <c r="J134" s="440">
        <f t="shared" si="18"/>
        <v>7178.0373122033761</v>
      </c>
      <c r="K134" s="440">
        <f t="shared" si="19"/>
        <v>15431.605509994648</v>
      </c>
      <c r="L134" s="440">
        <f t="shared" si="20"/>
        <v>1405.5826640838538</v>
      </c>
      <c r="M134" s="440"/>
      <c r="N134" s="440"/>
      <c r="O134" s="440"/>
      <c r="P134" s="440"/>
      <c r="Q134" s="440"/>
      <c r="R134" s="440"/>
      <c r="S134" s="441">
        <f t="shared" si="21"/>
        <v>16837.188174078503</v>
      </c>
      <c r="T134" s="442">
        <f t="shared" si="22"/>
        <v>13617.471220120129</v>
      </c>
    </row>
    <row r="135" spans="7:20">
      <c r="G135" s="428">
        <v>132</v>
      </c>
      <c r="H135" s="440">
        <f t="shared" si="16"/>
        <v>2461690.4579219338</v>
      </c>
      <c r="I135" s="440">
        <f t="shared" si="17"/>
        <v>8229.6414067505939</v>
      </c>
      <c r="J135" s="440">
        <f t="shared" si="18"/>
        <v>7201.9641032440541</v>
      </c>
      <c r="K135" s="440">
        <f t="shared" si="19"/>
        <v>15431.605509994648</v>
      </c>
      <c r="L135" s="440">
        <f t="shared" si="20"/>
        <v>1401.5079315696262</v>
      </c>
      <c r="M135" s="440"/>
      <c r="N135" s="440"/>
      <c r="O135" s="440"/>
      <c r="P135" s="440"/>
      <c r="Q135" s="440"/>
      <c r="R135" s="440"/>
      <c r="S135" s="441">
        <f t="shared" si="21"/>
        <v>16833.113441564274</v>
      </c>
      <c r="T135" s="442">
        <f t="shared" si="22"/>
        <v>13622.730328790867</v>
      </c>
    </row>
    <row r="136" spans="7:20">
      <c r="G136" s="428">
        <v>133</v>
      </c>
      <c r="H136" s="440">
        <f t="shared" si="16"/>
        <v>2454464.4872716791</v>
      </c>
      <c r="I136" s="440">
        <f t="shared" si="17"/>
        <v>8205.6348597397791</v>
      </c>
      <c r="J136" s="440">
        <f t="shared" si="18"/>
        <v>7225.9706502548688</v>
      </c>
      <c r="K136" s="440">
        <f t="shared" si="19"/>
        <v>15431.605509994648</v>
      </c>
      <c r="L136" s="440">
        <f t="shared" si="20"/>
        <v>1397.4196166136846</v>
      </c>
      <c r="M136" s="440"/>
      <c r="N136" s="440"/>
      <c r="O136" s="440"/>
      <c r="P136" s="440"/>
      <c r="Q136" s="440"/>
      <c r="R136" s="440"/>
      <c r="S136" s="441">
        <f t="shared" si="21"/>
        <v>16829.025126608332</v>
      </c>
      <c r="T136" s="442">
        <f t="shared" si="22"/>
        <v>13628.006967823845</v>
      </c>
    </row>
    <row r="137" spans="7:20">
      <c r="G137" s="428">
        <v>134</v>
      </c>
      <c r="H137" s="440">
        <f t="shared" si="16"/>
        <v>2447214.4300525901</v>
      </c>
      <c r="I137" s="440">
        <f t="shared" si="17"/>
        <v>8181.5482909055972</v>
      </c>
      <c r="J137" s="440">
        <f t="shared" si="18"/>
        <v>7250.0572190890507</v>
      </c>
      <c r="K137" s="440">
        <f t="shared" si="19"/>
        <v>15431.605509994648</v>
      </c>
      <c r="L137" s="440">
        <f t="shared" si="20"/>
        <v>1393.3176739412233</v>
      </c>
      <c r="M137" s="440"/>
      <c r="N137" s="440"/>
      <c r="O137" s="440"/>
      <c r="P137" s="440"/>
      <c r="Q137" s="440"/>
      <c r="R137" s="440"/>
      <c r="S137" s="441">
        <f t="shared" si="21"/>
        <v>16824.923183935873</v>
      </c>
      <c r="T137" s="442">
        <f t="shared" si="22"/>
        <v>13633.301195653599</v>
      </c>
    </row>
    <row r="138" spans="7:20">
      <c r="G138" s="428">
        <v>135</v>
      </c>
      <c r="H138" s="440">
        <f t="shared" si="16"/>
        <v>2439940.2059761039</v>
      </c>
      <c r="I138" s="440">
        <f t="shared" si="17"/>
        <v>8157.3814335086345</v>
      </c>
      <c r="J138" s="440">
        <f t="shared" si="18"/>
        <v>7274.2240764860135</v>
      </c>
      <c r="K138" s="440">
        <f t="shared" si="19"/>
        <v>15431.605509994648</v>
      </c>
      <c r="L138" s="440">
        <f t="shared" si="20"/>
        <v>1389.2020581265206</v>
      </c>
      <c r="M138" s="440"/>
      <c r="N138" s="440"/>
      <c r="O138" s="440"/>
      <c r="P138" s="440"/>
      <c r="Q138" s="440"/>
      <c r="R138" s="440"/>
      <c r="S138" s="441">
        <f t="shared" si="21"/>
        <v>16820.80756812117</v>
      </c>
      <c r="T138" s="442">
        <f t="shared" si="22"/>
        <v>13638.613070909452</v>
      </c>
    </row>
    <row r="139" spans="7:20">
      <c r="G139" s="428">
        <v>136</v>
      </c>
      <c r="H139" s="440">
        <f t="shared" si="16"/>
        <v>2432641.7344860295</v>
      </c>
      <c r="I139" s="440">
        <f t="shared" si="17"/>
        <v>8133.1340199203469</v>
      </c>
      <c r="J139" s="440">
        <f t="shared" si="18"/>
        <v>7298.4714900743011</v>
      </c>
      <c r="K139" s="440">
        <f t="shared" si="19"/>
        <v>15431.605509994648</v>
      </c>
      <c r="L139" s="440">
        <f t="shared" si="20"/>
        <v>1385.0727235924351</v>
      </c>
      <c r="M139" s="440"/>
      <c r="N139" s="440"/>
      <c r="O139" s="440"/>
      <c r="P139" s="440"/>
      <c r="Q139" s="440"/>
      <c r="R139" s="440"/>
      <c r="S139" s="441">
        <f t="shared" si="21"/>
        <v>16816.678233587081</v>
      </c>
      <c r="T139" s="442">
        <f t="shared" si="22"/>
        <v>13643.942652416154</v>
      </c>
    </row>
    <row r="140" spans="7:20">
      <c r="G140" s="428">
        <v>137</v>
      </c>
      <c r="H140" s="440">
        <f t="shared" si="16"/>
        <v>2425318.934757655</v>
      </c>
      <c r="I140" s="440">
        <f t="shared" si="17"/>
        <v>8108.805781620099</v>
      </c>
      <c r="J140" s="440">
        <f t="shared" si="18"/>
        <v>7322.799728374549</v>
      </c>
      <c r="K140" s="440">
        <f t="shared" si="19"/>
        <v>15431.605509994648</v>
      </c>
      <c r="L140" s="440">
        <f t="shared" si="20"/>
        <v>1380.9296246099029</v>
      </c>
      <c r="M140" s="440"/>
      <c r="N140" s="440"/>
      <c r="O140" s="440"/>
      <c r="P140" s="440"/>
      <c r="Q140" s="440"/>
      <c r="R140" s="440"/>
      <c r="S140" s="441">
        <f t="shared" si="21"/>
        <v>16812.53513460455</v>
      </c>
      <c r="T140" s="442">
        <f t="shared" si="22"/>
        <v>13649.289999194549</v>
      </c>
    </row>
    <row r="141" spans="7:20">
      <c r="G141" s="428">
        <v>138</v>
      </c>
      <c r="H141" s="440">
        <f t="shared" si="16"/>
        <v>2417971.7256968524</v>
      </c>
      <c r="I141" s="440">
        <f t="shared" si="17"/>
        <v>8084.3964491921843</v>
      </c>
      <c r="J141" s="440">
        <f t="shared" si="18"/>
        <v>7347.2090608024637</v>
      </c>
      <c r="K141" s="440">
        <f t="shared" si="19"/>
        <v>15431.605509994648</v>
      </c>
      <c r="L141" s="440">
        <f t="shared" si="20"/>
        <v>1376.7727152974289</v>
      </c>
      <c r="M141" s="440"/>
      <c r="N141" s="440"/>
      <c r="O141" s="440"/>
      <c r="P141" s="440"/>
      <c r="Q141" s="440"/>
      <c r="R141" s="440"/>
      <c r="S141" s="441">
        <f t="shared" si="21"/>
        <v>16808.378225292076</v>
      </c>
      <c r="T141" s="442">
        <f t="shared" si="22"/>
        <v>13654.655170462205</v>
      </c>
    </row>
    <row r="142" spans="7:20">
      <c r="G142" s="428">
        <v>139</v>
      </c>
      <c r="H142" s="440">
        <f t="shared" si="16"/>
        <v>2410600.0259391805</v>
      </c>
      <c r="I142" s="440">
        <f t="shared" si="17"/>
        <v>8059.9057523228421</v>
      </c>
      <c r="J142" s="440">
        <f t="shared" si="18"/>
        <v>7371.6997576718059</v>
      </c>
      <c r="K142" s="440">
        <f t="shared" si="19"/>
        <v>15431.605509994648</v>
      </c>
      <c r="L142" s="440">
        <f t="shared" si="20"/>
        <v>1372.6019496205799</v>
      </c>
      <c r="M142" s="440"/>
      <c r="N142" s="440"/>
      <c r="O142" s="440"/>
      <c r="P142" s="440"/>
      <c r="Q142" s="440"/>
      <c r="R142" s="440"/>
      <c r="S142" s="441">
        <f t="shared" si="21"/>
        <v>16804.207459615227</v>
      </c>
      <c r="T142" s="442">
        <f t="shared" si="22"/>
        <v>13660.038225634087</v>
      </c>
    </row>
    <row r="143" spans="7:20">
      <c r="G143" s="428">
        <v>140</v>
      </c>
      <c r="H143" s="440">
        <f t="shared" si="16"/>
        <v>2403203.753848983</v>
      </c>
      <c r="I143" s="440">
        <f t="shared" si="17"/>
        <v>8035.333419797269</v>
      </c>
      <c r="J143" s="440">
        <f t="shared" si="18"/>
        <v>7396.2720901973789</v>
      </c>
      <c r="K143" s="440">
        <f t="shared" si="19"/>
        <v>15431.605509994648</v>
      </c>
      <c r="L143" s="440">
        <f t="shared" si="20"/>
        <v>1368.4172813914749</v>
      </c>
      <c r="M143" s="440"/>
      <c r="N143" s="440"/>
      <c r="O143" s="440"/>
      <c r="P143" s="440"/>
      <c r="Q143" s="440"/>
      <c r="R143" s="440"/>
      <c r="S143" s="441">
        <f t="shared" si="21"/>
        <v>16800.022791386124</v>
      </c>
      <c r="T143" s="442">
        <f t="shared" si="22"/>
        <v>13665.439224323209</v>
      </c>
    </row>
    <row r="144" spans="7:20">
      <c r="G144" s="428">
        <v>141</v>
      </c>
      <c r="H144" s="440">
        <f t="shared" si="16"/>
        <v>2395782.827518485</v>
      </c>
      <c r="I144" s="440">
        <f t="shared" si="17"/>
        <v>8010.6791794966102</v>
      </c>
      <c r="J144" s="440">
        <f t="shared" si="18"/>
        <v>7420.9263304980377</v>
      </c>
      <c r="K144" s="440">
        <f t="shared" si="19"/>
        <v>15431.605509994648</v>
      </c>
      <c r="L144" s="440">
        <f t="shared" si="20"/>
        <v>1364.2186642682727</v>
      </c>
      <c r="M144" s="440"/>
      <c r="N144" s="440"/>
      <c r="O144" s="440"/>
      <c r="P144" s="440"/>
      <c r="Q144" s="440"/>
      <c r="R144" s="440"/>
      <c r="S144" s="441">
        <f t="shared" si="21"/>
        <v>16795.824174262922</v>
      </c>
      <c r="T144" s="442">
        <f t="shared" si="22"/>
        <v>13670.858226341294</v>
      </c>
    </row>
    <row r="145" spans="7:20">
      <c r="G145" s="428">
        <v>142</v>
      </c>
      <c r="H145" s="440">
        <f t="shared" si="16"/>
        <v>2388337.1647668853</v>
      </c>
      <c r="I145" s="440">
        <f t="shared" si="17"/>
        <v>7985.9427583949509</v>
      </c>
      <c r="J145" s="440">
        <f t="shared" si="18"/>
        <v>7445.662751599697</v>
      </c>
      <c r="K145" s="440">
        <f t="shared" si="19"/>
        <v>15431.605509994648</v>
      </c>
      <c r="L145" s="440">
        <f t="shared" si="20"/>
        <v>1360.0060517546601</v>
      </c>
      <c r="M145" s="440"/>
      <c r="N145" s="440"/>
      <c r="O145" s="440"/>
      <c r="P145" s="440"/>
      <c r="Q145" s="440"/>
      <c r="R145" s="440"/>
      <c r="S145" s="441">
        <f t="shared" si="21"/>
        <v>16791.611561749309</v>
      </c>
      <c r="T145" s="442">
        <f t="shared" si="22"/>
        <v>13676.295291699438</v>
      </c>
    </row>
    <row r="146" spans="7:20">
      <c r="G146" s="428">
        <v>143</v>
      </c>
      <c r="H146" s="440">
        <f t="shared" si="16"/>
        <v>2380866.6831394471</v>
      </c>
      <c r="I146" s="440">
        <f t="shared" si="17"/>
        <v>7961.123882556285</v>
      </c>
      <c r="J146" s="440">
        <f t="shared" si="18"/>
        <v>7470.4816274383629</v>
      </c>
      <c r="K146" s="440">
        <f t="shared" si="19"/>
        <v>15431.605509994648</v>
      </c>
      <c r="L146" s="440">
        <f t="shared" si="20"/>
        <v>1355.7793971993353</v>
      </c>
      <c r="M146" s="440"/>
      <c r="N146" s="440"/>
      <c r="O146" s="440"/>
      <c r="P146" s="440"/>
      <c r="Q146" s="440"/>
      <c r="R146" s="440"/>
      <c r="S146" s="441">
        <f t="shared" si="21"/>
        <v>16787.384907193984</v>
      </c>
      <c r="T146" s="442">
        <f t="shared" si="22"/>
        <v>13681.750480608778</v>
      </c>
    </row>
    <row r="147" spans="7:20">
      <c r="G147" s="428">
        <v>144</v>
      </c>
      <c r="H147" s="440">
        <f t="shared" si="16"/>
        <v>2373371.299906584</v>
      </c>
      <c r="I147" s="440">
        <f t="shared" si="17"/>
        <v>7936.222277131491</v>
      </c>
      <c r="J147" s="440">
        <f t="shared" si="18"/>
        <v>7495.383232863157</v>
      </c>
      <c r="K147" s="440">
        <f t="shared" si="19"/>
        <v>15431.605509994648</v>
      </c>
      <c r="L147" s="440">
        <f t="shared" si="20"/>
        <v>1351.538653795493</v>
      </c>
      <c r="M147" s="440"/>
      <c r="N147" s="440"/>
      <c r="O147" s="440"/>
      <c r="P147" s="440"/>
      <c r="Q147" s="440"/>
      <c r="R147" s="440"/>
      <c r="S147" s="441">
        <f t="shared" si="21"/>
        <v>16783.144163790141</v>
      </c>
      <c r="T147" s="442">
        <f t="shared" si="22"/>
        <v>13687.223853481146</v>
      </c>
    </row>
    <row r="148" spans="7:20">
      <c r="G148" s="428">
        <v>145</v>
      </c>
      <c r="H148" s="440">
        <f t="shared" si="16"/>
        <v>2365850.9320629444</v>
      </c>
      <c r="I148" s="440">
        <f t="shared" si="17"/>
        <v>7911.2376663552805</v>
      </c>
      <c r="J148" s="440">
        <f t="shared" si="18"/>
        <v>7520.3678436393675</v>
      </c>
      <c r="K148" s="440">
        <f t="shared" si="19"/>
        <v>15431.605509994648</v>
      </c>
      <c r="L148" s="440">
        <f t="shared" si="20"/>
        <v>1347.2837745803042</v>
      </c>
      <c r="M148" s="440"/>
      <c r="N148" s="440"/>
      <c r="O148" s="440"/>
      <c r="P148" s="440"/>
      <c r="Q148" s="440"/>
      <c r="R148" s="440"/>
      <c r="S148" s="441">
        <f t="shared" si="21"/>
        <v>16778.889284574951</v>
      </c>
      <c r="T148" s="442">
        <f t="shared" si="22"/>
        <v>13692.715470929756</v>
      </c>
    </row>
    <row r="149" spans="7:20">
      <c r="G149" s="428">
        <v>146</v>
      </c>
      <c r="H149" s="440">
        <f t="shared" si="16"/>
        <v>2358305.4963264931</v>
      </c>
      <c r="I149" s="440">
        <f t="shared" si="17"/>
        <v>7886.1697735431489</v>
      </c>
      <c r="J149" s="440">
        <f t="shared" si="18"/>
        <v>7545.435736451499</v>
      </c>
      <c r="K149" s="440">
        <f t="shared" si="19"/>
        <v>15431.605509994648</v>
      </c>
      <c r="L149" s="440">
        <f t="shared" si="20"/>
        <v>1343.0147124343982</v>
      </c>
      <c r="M149" s="440"/>
      <c r="N149" s="440"/>
      <c r="O149" s="440"/>
      <c r="P149" s="440"/>
      <c r="Q149" s="440"/>
      <c r="R149" s="440"/>
      <c r="S149" s="441">
        <f t="shared" si="21"/>
        <v>16774.620222429046</v>
      </c>
      <c r="T149" s="442">
        <f t="shared" si="22"/>
        <v>13698.225393769864</v>
      </c>
    </row>
    <row r="150" spans="7:20">
      <c r="G150" s="428">
        <v>147</v>
      </c>
      <c r="H150" s="440">
        <f t="shared" si="16"/>
        <v>2350734.9091375866</v>
      </c>
      <c r="I150" s="440">
        <f t="shared" si="17"/>
        <v>7861.0183210883106</v>
      </c>
      <c r="J150" s="440">
        <f t="shared" si="18"/>
        <v>7570.5871889063374</v>
      </c>
      <c r="K150" s="440">
        <f t="shared" si="19"/>
        <v>15431.605509994648</v>
      </c>
      <c r="L150" s="440">
        <f t="shared" si="20"/>
        <v>1338.7314200813394</v>
      </c>
      <c r="M150" s="440"/>
      <c r="N150" s="440"/>
      <c r="O150" s="440"/>
      <c r="P150" s="440"/>
      <c r="Q150" s="440"/>
      <c r="R150" s="440"/>
      <c r="S150" s="441">
        <f t="shared" si="21"/>
        <v>16770.336930075988</v>
      </c>
      <c r="T150" s="442">
        <f t="shared" si="22"/>
        <v>13703.753683019439</v>
      </c>
    </row>
    <row r="151" spans="7:20">
      <c r="G151" s="428">
        <v>148</v>
      </c>
      <c r="H151" s="440">
        <f t="shared" si="16"/>
        <v>2343139.0866580508</v>
      </c>
      <c r="I151" s="440">
        <f t="shared" si="17"/>
        <v>7835.7830304586223</v>
      </c>
      <c r="J151" s="440">
        <f t="shared" si="18"/>
        <v>7595.8224795360256</v>
      </c>
      <c r="K151" s="440">
        <f t="shared" si="19"/>
        <v>15431.605509994648</v>
      </c>
      <c r="L151" s="440">
        <f t="shared" si="20"/>
        <v>1334.4338500871036</v>
      </c>
      <c r="M151" s="440"/>
      <c r="N151" s="440"/>
      <c r="O151" s="440"/>
      <c r="P151" s="440"/>
      <c r="Q151" s="440"/>
      <c r="R151" s="440"/>
      <c r="S151" s="441">
        <f t="shared" si="21"/>
        <v>16766.039360081752</v>
      </c>
      <c r="T151" s="442">
        <f t="shared" si="22"/>
        <v>13709.300399899843</v>
      </c>
    </row>
    <row r="152" spans="7:20">
      <c r="G152" s="428">
        <v>149</v>
      </c>
      <c r="H152" s="440">
        <f t="shared" si="16"/>
        <v>2335517.9447702495</v>
      </c>
      <c r="I152" s="440">
        <f t="shared" si="17"/>
        <v>7810.4636221935034</v>
      </c>
      <c r="J152" s="440">
        <f t="shared" si="18"/>
        <v>7621.1418878011445</v>
      </c>
      <c r="K152" s="440">
        <f t="shared" si="19"/>
        <v>15431.605509994648</v>
      </c>
      <c r="L152" s="440">
        <f t="shared" si="20"/>
        <v>1330.1219548595536</v>
      </c>
      <c r="M152" s="440"/>
      <c r="N152" s="440"/>
      <c r="O152" s="440"/>
      <c r="P152" s="440"/>
      <c r="Q152" s="440"/>
      <c r="R152" s="440"/>
      <c r="S152" s="441">
        <f t="shared" si="21"/>
        <v>16761.727464854201</v>
      </c>
      <c r="T152" s="442">
        <f t="shared" si="22"/>
        <v>13714.865605836516</v>
      </c>
    </row>
    <row r="153" spans="7:20">
      <c r="G153" s="428">
        <v>150</v>
      </c>
      <c r="H153" s="440">
        <f t="shared" si="16"/>
        <v>2327871.3990761559</v>
      </c>
      <c r="I153" s="440">
        <f t="shared" si="17"/>
        <v>7785.0598159008323</v>
      </c>
      <c r="J153" s="440">
        <f t="shared" si="18"/>
        <v>7646.5456940938157</v>
      </c>
      <c r="K153" s="440">
        <f t="shared" si="19"/>
        <v>15431.605509994648</v>
      </c>
      <c r="L153" s="440">
        <f t="shared" si="20"/>
        <v>1325.7956866479119</v>
      </c>
      <c r="M153" s="440"/>
      <c r="N153" s="440"/>
      <c r="O153" s="440"/>
      <c r="P153" s="440"/>
      <c r="Q153" s="440"/>
      <c r="R153" s="440"/>
      <c r="S153" s="441">
        <f t="shared" si="21"/>
        <v>16757.401196642561</v>
      </c>
      <c r="T153" s="442">
        <f t="shared" si="22"/>
        <v>13720.449362459647</v>
      </c>
    </row>
    <row r="154" spans="7:20">
      <c r="G154" s="428">
        <v>151</v>
      </c>
      <c r="H154" s="440">
        <f t="shared" si="16"/>
        <v>2320199.3648964153</v>
      </c>
      <c r="I154" s="440">
        <f t="shared" si="17"/>
        <v>7759.5713302538534</v>
      </c>
      <c r="J154" s="440">
        <f t="shared" si="18"/>
        <v>7672.0341797407946</v>
      </c>
      <c r="K154" s="440">
        <f t="shared" si="19"/>
        <v>15431.605509994648</v>
      </c>
      <c r="L154" s="440">
        <f t="shared" si="20"/>
        <v>1321.4549975422312</v>
      </c>
      <c r="M154" s="440"/>
      <c r="N154" s="440"/>
      <c r="O154" s="440"/>
      <c r="P154" s="440"/>
      <c r="Q154" s="440"/>
      <c r="R154" s="440"/>
      <c r="S154" s="441">
        <f t="shared" si="21"/>
        <v>16753.06050753688</v>
      </c>
      <c r="T154" s="442">
        <f t="shared" si="22"/>
        <v>13726.051731604854</v>
      </c>
    </row>
    <row r="155" spans="7:20">
      <c r="G155" s="428">
        <v>152</v>
      </c>
      <c r="H155" s="440">
        <f t="shared" si="16"/>
        <v>2312501.7572694086</v>
      </c>
      <c r="I155" s="440">
        <f t="shared" si="17"/>
        <v>7733.9978829880511</v>
      </c>
      <c r="J155" s="440">
        <f t="shared" si="18"/>
        <v>7697.6076270065969</v>
      </c>
      <c r="K155" s="440">
        <f t="shared" si="19"/>
        <v>15431.605509994648</v>
      </c>
      <c r="L155" s="440">
        <f t="shared" si="20"/>
        <v>1317.0998394728651</v>
      </c>
      <c r="M155" s="440"/>
      <c r="N155" s="440"/>
      <c r="O155" s="440"/>
      <c r="P155" s="440"/>
      <c r="Q155" s="440"/>
      <c r="R155" s="440"/>
      <c r="S155" s="441">
        <f t="shared" si="21"/>
        <v>16748.705349467513</v>
      </c>
      <c r="T155" s="442">
        <f t="shared" si="22"/>
        <v>13731.672775313875</v>
      </c>
    </row>
    <row r="156" spans="7:20">
      <c r="G156" s="428">
        <v>153</v>
      </c>
      <c r="H156" s="440">
        <f t="shared" si="16"/>
        <v>2304778.490950312</v>
      </c>
      <c r="I156" s="440">
        <f t="shared" si="17"/>
        <v>7708.3391908980293</v>
      </c>
      <c r="J156" s="440">
        <f t="shared" si="18"/>
        <v>7723.2663190966186</v>
      </c>
      <c r="K156" s="440">
        <f t="shared" si="19"/>
        <v>15431.605509994648</v>
      </c>
      <c r="L156" s="440">
        <f t="shared" si="20"/>
        <v>1312.7301642099344</v>
      </c>
      <c r="M156" s="440"/>
      <c r="N156" s="440"/>
      <c r="O156" s="440"/>
      <c r="P156" s="440"/>
      <c r="Q156" s="440"/>
      <c r="R156" s="440"/>
      <c r="S156" s="441">
        <f t="shared" si="21"/>
        <v>16744.335674204583</v>
      </c>
      <c r="T156" s="442">
        <f t="shared" si="22"/>
        <v>13737.312555835262</v>
      </c>
    </row>
    <row r="157" spans="7:20">
      <c r="G157" s="428">
        <v>154</v>
      </c>
      <c r="H157" s="440">
        <f t="shared" si="16"/>
        <v>2297029.4804101516</v>
      </c>
      <c r="I157" s="440">
        <f t="shared" si="17"/>
        <v>7682.5949698343738</v>
      </c>
      <c r="J157" s="440">
        <f t="shared" si="18"/>
        <v>7749.0105401602741</v>
      </c>
      <c r="K157" s="440">
        <f t="shared" si="19"/>
        <v>15431.605509994648</v>
      </c>
      <c r="L157" s="440">
        <f t="shared" si="20"/>
        <v>1308.3459233627939</v>
      </c>
      <c r="M157" s="440"/>
      <c r="N157" s="440"/>
      <c r="O157" s="440"/>
      <c r="P157" s="440"/>
      <c r="Q157" s="440"/>
      <c r="R157" s="440"/>
      <c r="S157" s="441">
        <f t="shared" si="21"/>
        <v>16739.951433357441</v>
      </c>
      <c r="T157" s="442">
        <f t="shared" si="22"/>
        <v>13742.971135625052</v>
      </c>
    </row>
    <row r="158" spans="7:20">
      <c r="G158" s="428">
        <v>155</v>
      </c>
      <c r="H158" s="440">
        <f t="shared" si="16"/>
        <v>2289254.6398348575</v>
      </c>
      <c r="I158" s="440">
        <f t="shared" si="17"/>
        <v>7656.7649347005063</v>
      </c>
      <c r="J158" s="440">
        <f t="shared" si="18"/>
        <v>7774.8405752941417</v>
      </c>
      <c r="K158" s="440">
        <f t="shared" si="19"/>
        <v>15431.605509994648</v>
      </c>
      <c r="L158" s="440">
        <f t="shared" si="20"/>
        <v>1303.9470683794962</v>
      </c>
      <c r="M158" s="440"/>
      <c r="N158" s="440"/>
      <c r="O158" s="440"/>
      <c r="P158" s="440"/>
      <c r="Q158" s="440"/>
      <c r="R158" s="440"/>
      <c r="S158" s="441">
        <f t="shared" si="21"/>
        <v>16735.552578374143</v>
      </c>
      <c r="T158" s="442">
        <f t="shared" si="22"/>
        <v>13748.648577347476</v>
      </c>
    </row>
    <row r="159" spans="7:20">
      <c r="G159" s="428">
        <v>156</v>
      </c>
      <c r="H159" s="440">
        <f t="shared" si="16"/>
        <v>2281453.8831243124</v>
      </c>
      <c r="I159" s="440">
        <f t="shared" si="17"/>
        <v>7630.8487994495254</v>
      </c>
      <c r="J159" s="440">
        <f t="shared" si="18"/>
        <v>7800.7567105451226</v>
      </c>
      <c r="K159" s="440">
        <f t="shared" si="19"/>
        <v>15431.605509994648</v>
      </c>
      <c r="L159" s="440">
        <f t="shared" si="20"/>
        <v>1299.5335505462542</v>
      </c>
      <c r="M159" s="440"/>
      <c r="N159" s="440"/>
      <c r="O159" s="440"/>
      <c r="P159" s="440"/>
      <c r="Q159" s="440"/>
      <c r="R159" s="440"/>
      <c r="S159" s="441">
        <f t="shared" si="21"/>
        <v>16731.139060540903</v>
      </c>
      <c r="T159" s="442">
        <f t="shared" si="22"/>
        <v>13754.344943875643</v>
      </c>
    </row>
    <row r="160" spans="7:20">
      <c r="G160" s="428">
        <v>157</v>
      </c>
      <c r="H160" s="440">
        <f t="shared" si="16"/>
        <v>2273627.1238913988</v>
      </c>
      <c r="I160" s="440">
        <f t="shared" si="17"/>
        <v>7604.846277081042</v>
      </c>
      <c r="J160" s="440">
        <f t="shared" si="18"/>
        <v>7826.759232913606</v>
      </c>
      <c r="K160" s="440">
        <f t="shared" si="19"/>
        <v>15431.605509994648</v>
      </c>
      <c r="L160" s="440">
        <f t="shared" si="20"/>
        <v>1295.1053209869015</v>
      </c>
      <c r="M160" s="440"/>
      <c r="N160" s="440"/>
      <c r="O160" s="440"/>
      <c r="P160" s="440"/>
      <c r="Q160" s="440"/>
      <c r="R160" s="440"/>
      <c r="S160" s="441">
        <f t="shared" si="21"/>
        <v>16726.710830981548</v>
      </c>
      <c r="T160" s="442">
        <f t="shared" si="22"/>
        <v>13760.060298292236</v>
      </c>
    </row>
    <row r="161" spans="7:20">
      <c r="G161" s="428">
        <v>158</v>
      </c>
      <c r="H161" s="440">
        <f t="shared" si="16"/>
        <v>2265774.2754610423</v>
      </c>
      <c r="I161" s="440">
        <f t="shared" si="17"/>
        <v>7578.757079637996</v>
      </c>
      <c r="J161" s="440">
        <f t="shared" si="18"/>
        <v>7852.848430356652</v>
      </c>
      <c r="K161" s="440">
        <f t="shared" si="19"/>
        <v>15431.605509994648</v>
      </c>
      <c r="L161" s="440">
        <f t="shared" si="20"/>
        <v>1290.6623306623508</v>
      </c>
      <c r="M161" s="440"/>
      <c r="N161" s="440"/>
      <c r="O161" s="440"/>
      <c r="P161" s="440"/>
      <c r="Q161" s="440"/>
      <c r="R161" s="440"/>
      <c r="S161" s="441">
        <f t="shared" si="21"/>
        <v>16722.267840656998</v>
      </c>
      <c r="T161" s="442">
        <f t="shared" si="22"/>
        <v>13765.794703890217</v>
      </c>
    </row>
    <row r="162" spans="7:20">
      <c r="G162" s="428">
        <v>159</v>
      </c>
      <c r="H162" s="440">
        <f t="shared" si="16"/>
        <v>2257895.2508692513</v>
      </c>
      <c r="I162" s="440">
        <f t="shared" si="17"/>
        <v>7552.5809182034745</v>
      </c>
      <c r="J162" s="440">
        <f t="shared" si="18"/>
        <v>7879.0245917911734</v>
      </c>
      <c r="K162" s="440">
        <f t="shared" si="19"/>
        <v>15431.605509994648</v>
      </c>
      <c r="L162" s="440">
        <f t="shared" si="20"/>
        <v>1286.2045303700518</v>
      </c>
      <c r="M162" s="440"/>
      <c r="N162" s="440"/>
      <c r="O162" s="440"/>
      <c r="P162" s="440"/>
      <c r="Q162" s="440"/>
      <c r="R162" s="440"/>
      <c r="S162" s="441">
        <f t="shared" si="21"/>
        <v>16717.8100403647</v>
      </c>
      <c r="T162" s="442">
        <f t="shared" si="22"/>
        <v>13771.548224173526</v>
      </c>
    </row>
    <row r="163" spans="7:20">
      <c r="G163" s="428">
        <v>160</v>
      </c>
      <c r="H163" s="440">
        <f t="shared" si="16"/>
        <v>2249989.962862154</v>
      </c>
      <c r="I163" s="440">
        <f t="shared" si="17"/>
        <v>7526.3175028975047</v>
      </c>
      <c r="J163" s="440">
        <f t="shared" si="18"/>
        <v>7905.2880070971432</v>
      </c>
      <c r="K163" s="440">
        <f t="shared" si="19"/>
        <v>15431.605509994648</v>
      </c>
      <c r="L163" s="440">
        <f t="shared" si="20"/>
        <v>1281.7318707434451</v>
      </c>
      <c r="M163" s="440"/>
      <c r="N163" s="440"/>
      <c r="O163" s="440"/>
      <c r="P163" s="440"/>
      <c r="Q163" s="440"/>
      <c r="R163" s="440"/>
      <c r="S163" s="441">
        <f t="shared" si="21"/>
        <v>16713.337380738092</v>
      </c>
      <c r="T163" s="442">
        <f t="shared" si="22"/>
        <v>13777.320922857776</v>
      </c>
    </row>
    <row r="164" spans="7:20">
      <c r="G164" s="428">
        <v>161</v>
      </c>
      <c r="H164" s="440">
        <f t="shared" si="16"/>
        <v>2242058.323895033</v>
      </c>
      <c r="I164" s="440">
        <f t="shared" si="17"/>
        <v>7499.9665428738472</v>
      </c>
      <c r="J164" s="440">
        <f t="shared" si="18"/>
        <v>7931.6389671208008</v>
      </c>
      <c r="K164" s="440">
        <f t="shared" si="19"/>
        <v>15431.605509994648</v>
      </c>
      <c r="L164" s="440">
        <f t="shared" si="20"/>
        <v>1277.2443022514162</v>
      </c>
      <c r="M164" s="440"/>
      <c r="N164" s="440"/>
      <c r="O164" s="440"/>
      <c r="P164" s="440"/>
      <c r="Q164" s="440"/>
      <c r="R164" s="440"/>
      <c r="S164" s="441">
        <f t="shared" si="21"/>
        <v>16708.849812246066</v>
      </c>
      <c r="T164" s="442">
        <f t="shared" si="22"/>
        <v>13783.112863870978</v>
      </c>
    </row>
    <row r="165" spans="7:20">
      <c r="G165" s="428">
        <v>162</v>
      </c>
      <c r="H165" s="440">
        <f t="shared" si="16"/>
        <v>2234100.2461313549</v>
      </c>
      <c r="I165" s="440">
        <f t="shared" si="17"/>
        <v>7473.5277463167768</v>
      </c>
      <c r="J165" s="440">
        <f t="shared" si="18"/>
        <v>7958.0777636778712</v>
      </c>
      <c r="K165" s="440">
        <f t="shared" si="19"/>
        <v>15431.605509994648</v>
      </c>
      <c r="L165" s="440">
        <f t="shared" si="20"/>
        <v>1272.7417751977473</v>
      </c>
      <c r="M165" s="440"/>
      <c r="N165" s="440"/>
      <c r="O165" s="440"/>
      <c r="P165" s="440"/>
      <c r="Q165" s="440"/>
      <c r="R165" s="440"/>
      <c r="S165" s="441">
        <f t="shared" si="21"/>
        <v>16704.347285192394</v>
      </c>
      <c r="T165" s="442">
        <f t="shared" si="22"/>
        <v>13788.924111354219</v>
      </c>
    </row>
    <row r="166" spans="7:20">
      <c r="G166" s="428">
        <v>163</v>
      </c>
      <c r="H166" s="440">
        <f t="shared" si="16"/>
        <v>2226115.6414417983</v>
      </c>
      <c r="I166" s="440">
        <f t="shared" si="17"/>
        <v>7447.0008204378501</v>
      </c>
      <c r="J166" s="440">
        <f t="shared" si="18"/>
        <v>7984.6046895567979</v>
      </c>
      <c r="K166" s="440">
        <f t="shared" si="19"/>
        <v>15431.605509994648</v>
      </c>
      <c r="L166" s="440">
        <f t="shared" si="20"/>
        <v>1268.2242397205659</v>
      </c>
      <c r="M166" s="440"/>
      <c r="N166" s="440"/>
      <c r="O166" s="440"/>
      <c r="P166" s="440"/>
      <c r="Q166" s="440"/>
      <c r="R166" s="440"/>
      <c r="S166" s="441">
        <f t="shared" si="21"/>
        <v>16699.829749715213</v>
      </c>
      <c r="T166" s="442">
        <f t="shared" si="22"/>
        <v>13794.754729662407</v>
      </c>
    </row>
    <row r="167" spans="7:20">
      <c r="G167" s="428">
        <v>164</v>
      </c>
      <c r="H167" s="440">
        <f t="shared" si="16"/>
        <v>2218104.4214032763</v>
      </c>
      <c r="I167" s="440">
        <f t="shared" si="17"/>
        <v>7420.3854714726613</v>
      </c>
      <c r="J167" s="440">
        <f t="shared" si="18"/>
        <v>8011.2200385219867</v>
      </c>
      <c r="K167" s="440">
        <f t="shared" si="19"/>
        <v>15431.605509994648</v>
      </c>
      <c r="L167" s="440">
        <f t="shared" si="20"/>
        <v>1263.6916457917944</v>
      </c>
      <c r="M167" s="440"/>
      <c r="N167" s="440"/>
      <c r="O167" s="440"/>
      <c r="P167" s="440"/>
      <c r="Q167" s="440"/>
      <c r="R167" s="440"/>
      <c r="S167" s="441">
        <f t="shared" si="21"/>
        <v>16695.297155786444</v>
      </c>
      <c r="T167" s="442">
        <f t="shared" si="22"/>
        <v>13800.604783364959</v>
      </c>
    </row>
    <row r="168" spans="7:20">
      <c r="G168" s="428">
        <v>165</v>
      </c>
      <c r="H168" s="440">
        <f t="shared" si="16"/>
        <v>2210066.4972979594</v>
      </c>
      <c r="I168" s="440">
        <f t="shared" si="17"/>
        <v>7393.681404677588</v>
      </c>
      <c r="J168" s="440">
        <f t="shared" si="18"/>
        <v>8037.9241053170599</v>
      </c>
      <c r="K168" s="440">
        <f t="shared" si="19"/>
        <v>15431.605509994648</v>
      </c>
      <c r="L168" s="440">
        <f t="shared" si="20"/>
        <v>1259.1439432165932</v>
      </c>
      <c r="M168" s="440"/>
      <c r="N168" s="440"/>
      <c r="O168" s="440"/>
      <c r="P168" s="440"/>
      <c r="Q168" s="440"/>
      <c r="R168" s="440"/>
      <c r="S168" s="441">
        <f t="shared" si="21"/>
        <v>16690.74945321124</v>
      </c>
      <c r="T168" s="442">
        <f t="shared" si="22"/>
        <v>13806.474337246513</v>
      </c>
    </row>
    <row r="169" spans="7:20">
      <c r="G169" s="428">
        <v>166</v>
      </c>
      <c r="H169" s="440">
        <f t="shared" si="16"/>
        <v>2202001.7801122912</v>
      </c>
      <c r="I169" s="440">
        <f t="shared" si="17"/>
        <v>7366.8883243265318</v>
      </c>
      <c r="J169" s="440">
        <f t="shared" si="18"/>
        <v>8064.7171856681161</v>
      </c>
      <c r="K169" s="440">
        <f t="shared" si="19"/>
        <v>15431.605509994648</v>
      </c>
      <c r="L169" s="440">
        <f t="shared" si="20"/>
        <v>1254.5810816328085</v>
      </c>
      <c r="M169" s="440"/>
      <c r="N169" s="440"/>
      <c r="O169" s="440"/>
      <c r="P169" s="440"/>
      <c r="Q169" s="440"/>
      <c r="R169" s="440"/>
      <c r="S169" s="441">
        <f t="shared" si="21"/>
        <v>16686.186591627455</v>
      </c>
      <c r="T169" s="442">
        <f t="shared" si="22"/>
        <v>13812.363456307674</v>
      </c>
    </row>
    <row r="170" spans="7:20">
      <c r="G170" s="428">
        <v>167</v>
      </c>
      <c r="H170" s="440">
        <f t="shared" si="16"/>
        <v>2193910.1805360042</v>
      </c>
      <c r="I170" s="440">
        <f t="shared" si="17"/>
        <v>7340.0059337076382</v>
      </c>
      <c r="J170" s="440">
        <f t="shared" si="18"/>
        <v>8091.5995762870098</v>
      </c>
      <c r="K170" s="440">
        <f t="shared" si="19"/>
        <v>15431.605509994648</v>
      </c>
      <c r="L170" s="440">
        <f t="shared" si="20"/>
        <v>1250.0030105104108</v>
      </c>
      <c r="M170" s="440"/>
      <c r="N170" s="440"/>
      <c r="O170" s="440"/>
      <c r="P170" s="440"/>
      <c r="Q170" s="440"/>
      <c r="R170" s="440"/>
      <c r="S170" s="441">
        <f t="shared" si="21"/>
        <v>16681.608520505059</v>
      </c>
      <c r="T170" s="442">
        <f t="shared" si="22"/>
        <v>13818.272205765708</v>
      </c>
    </row>
    <row r="171" spans="7:20">
      <c r="G171" s="428">
        <v>168</v>
      </c>
      <c r="H171" s="440">
        <f t="shared" si="16"/>
        <v>2185791.6089611296</v>
      </c>
      <c r="I171" s="440">
        <f t="shared" si="17"/>
        <v>7313.0339351200146</v>
      </c>
      <c r="J171" s="440">
        <f t="shared" si="18"/>
        <v>8118.5715748746334</v>
      </c>
      <c r="K171" s="440">
        <f t="shared" si="19"/>
        <v>15431.605509994648</v>
      </c>
      <c r="L171" s="440">
        <f t="shared" si="20"/>
        <v>1245.4096791509385</v>
      </c>
      <c r="M171" s="440"/>
      <c r="N171" s="440"/>
      <c r="O171" s="440"/>
      <c r="P171" s="440"/>
      <c r="Q171" s="440"/>
      <c r="R171" s="440"/>
      <c r="S171" s="441">
        <f t="shared" si="21"/>
        <v>16677.015189145586</v>
      </c>
      <c r="T171" s="442">
        <f t="shared" si="22"/>
        <v>13824.200651055269</v>
      </c>
    </row>
    <row r="172" spans="7:20">
      <c r="G172" s="428">
        <v>169</v>
      </c>
      <c r="H172" s="440">
        <f t="shared" si="16"/>
        <v>2177645.9754810054</v>
      </c>
      <c r="I172" s="440">
        <f t="shared" si="17"/>
        <v>7285.9720298704324</v>
      </c>
      <c r="J172" s="440">
        <f t="shared" si="18"/>
        <v>8145.6334801242156</v>
      </c>
      <c r="K172" s="440">
        <f t="shared" si="19"/>
        <v>15431.605509994648</v>
      </c>
      <c r="L172" s="440">
        <f t="shared" si="20"/>
        <v>1240.8010366869346</v>
      </c>
      <c r="M172" s="440"/>
      <c r="N172" s="440"/>
      <c r="O172" s="440"/>
      <c r="P172" s="440"/>
      <c r="Q172" s="440"/>
      <c r="R172" s="440"/>
      <c r="S172" s="441">
        <f t="shared" si="21"/>
        <v>16672.406546681581</v>
      </c>
      <c r="T172" s="442">
        <f t="shared" si="22"/>
        <v>13830.148857829125</v>
      </c>
    </row>
    <row r="173" spans="7:20">
      <c r="G173" s="428">
        <v>170</v>
      </c>
      <c r="H173" s="440">
        <f t="shared" si="16"/>
        <v>2169473.1898892806</v>
      </c>
      <c r="I173" s="440">
        <f t="shared" si="17"/>
        <v>7258.8199182700182</v>
      </c>
      <c r="J173" s="440">
        <f t="shared" si="18"/>
        <v>8172.7855917246297</v>
      </c>
      <c r="K173" s="440">
        <f t="shared" si="19"/>
        <v>15431.605509994648</v>
      </c>
      <c r="L173" s="440">
        <f t="shared" si="20"/>
        <v>1236.1770320813841</v>
      </c>
      <c r="M173" s="440"/>
      <c r="N173" s="440"/>
      <c r="O173" s="440"/>
      <c r="P173" s="440"/>
      <c r="Q173" s="440"/>
      <c r="R173" s="440"/>
      <c r="S173" s="441">
        <f t="shared" si="21"/>
        <v>16667.782542076031</v>
      </c>
      <c r="T173" s="442">
        <f t="shared" si="22"/>
        <v>13836.116891958896</v>
      </c>
    </row>
    <row r="174" spans="7:20">
      <c r="G174" s="428">
        <v>171</v>
      </c>
      <c r="H174" s="440">
        <f t="shared" si="16"/>
        <v>2161273.1616789168</v>
      </c>
      <c r="I174" s="440">
        <f t="shared" si="17"/>
        <v>7231.5772996309361</v>
      </c>
      <c r="J174" s="440">
        <f t="shared" si="18"/>
        <v>8200.028210363711</v>
      </c>
      <c r="K174" s="440">
        <f t="shared" si="19"/>
        <v>15431.605509994648</v>
      </c>
      <c r="L174" s="440">
        <f t="shared" si="20"/>
        <v>1231.5376141271483</v>
      </c>
      <c r="M174" s="440"/>
      <c r="N174" s="440"/>
      <c r="O174" s="440"/>
      <c r="P174" s="440"/>
      <c r="Q174" s="440"/>
      <c r="R174" s="440"/>
      <c r="S174" s="441">
        <f t="shared" si="21"/>
        <v>16663.143124121798</v>
      </c>
      <c r="T174" s="442">
        <f t="shared" si="22"/>
        <v>13842.104819535769</v>
      </c>
    </row>
    <row r="175" spans="7:20">
      <c r="G175" s="428">
        <v>172</v>
      </c>
      <c r="H175" s="440">
        <f t="shared" si="16"/>
        <v>2153045.8000411852</v>
      </c>
      <c r="I175" s="440">
        <f t="shared" si="17"/>
        <v>7204.2438722630568</v>
      </c>
      <c r="J175" s="440">
        <f t="shared" si="18"/>
        <v>8227.3616377315921</v>
      </c>
      <c r="K175" s="440">
        <f t="shared" si="19"/>
        <v>15431.605509994648</v>
      </c>
      <c r="L175" s="440">
        <f t="shared" si="20"/>
        <v>1226.8827314463986</v>
      </c>
      <c r="M175" s="440"/>
      <c r="N175" s="440"/>
      <c r="O175" s="440"/>
      <c r="P175" s="440"/>
      <c r="Q175" s="440"/>
      <c r="R175" s="440"/>
      <c r="S175" s="441">
        <f t="shared" si="21"/>
        <v>16658.488241441046</v>
      </c>
      <c r="T175" s="442">
        <f t="shared" si="22"/>
        <v>13848.112706871227</v>
      </c>
    </row>
    <row r="176" spans="7:20">
      <c r="G176" s="428">
        <v>173</v>
      </c>
      <c r="H176" s="440">
        <f t="shared" si="16"/>
        <v>2144791.0138646611</v>
      </c>
      <c r="I176" s="440">
        <f t="shared" si="17"/>
        <v>7176.8193334706175</v>
      </c>
      <c r="J176" s="440">
        <f t="shared" si="18"/>
        <v>8254.7861765240305</v>
      </c>
      <c r="K176" s="440">
        <f t="shared" si="19"/>
        <v>15431.605509994648</v>
      </c>
      <c r="L176" s="440">
        <f t="shared" si="20"/>
        <v>1222.2123324900463</v>
      </c>
      <c r="M176" s="440"/>
      <c r="N176" s="440"/>
      <c r="O176" s="440"/>
      <c r="P176" s="440"/>
      <c r="Q176" s="440"/>
      <c r="R176" s="440"/>
      <c r="S176" s="441">
        <f t="shared" si="21"/>
        <v>16653.817842484696</v>
      </c>
      <c r="T176" s="442">
        <f t="shared" si="22"/>
        <v>13854.140620497808</v>
      </c>
    </row>
    <row r="177" spans="7:20">
      <c r="G177" s="428">
        <v>174</v>
      </c>
      <c r="H177" s="440">
        <f t="shared" si="16"/>
        <v>2136508.7117342153</v>
      </c>
      <c r="I177" s="440">
        <f t="shared" si="17"/>
        <v>7149.3033795488709</v>
      </c>
      <c r="J177" s="440">
        <f t="shared" si="18"/>
        <v>8282.3021304457761</v>
      </c>
      <c r="K177" s="440">
        <f t="shared" si="19"/>
        <v>15431.605509994648</v>
      </c>
      <c r="L177" s="440">
        <f t="shared" si="20"/>
        <v>1217.5263655371728</v>
      </c>
      <c r="M177" s="440"/>
      <c r="N177" s="440"/>
      <c r="O177" s="440"/>
      <c r="P177" s="440"/>
      <c r="Q177" s="440"/>
      <c r="R177" s="440"/>
      <c r="S177" s="441">
        <f t="shared" si="21"/>
        <v>16649.131875531821</v>
      </c>
      <c r="T177" s="442">
        <f t="shared" si="22"/>
        <v>13860.188627169806</v>
      </c>
    </row>
    <row r="178" spans="7:20">
      <c r="G178" s="428">
        <v>175</v>
      </c>
      <c r="H178" s="440">
        <f t="shared" si="16"/>
        <v>2128198.8019300015</v>
      </c>
      <c r="I178" s="440">
        <f t="shared" si="17"/>
        <v>7121.6957057807176</v>
      </c>
      <c r="J178" s="440">
        <f t="shared" si="18"/>
        <v>8309.9098042139303</v>
      </c>
      <c r="K178" s="440">
        <f t="shared" si="19"/>
        <v>15431.605509994648</v>
      </c>
      <c r="L178" s="440">
        <f t="shared" si="20"/>
        <v>1212.8247786944564</v>
      </c>
      <c r="M178" s="440"/>
      <c r="N178" s="440"/>
      <c r="O178" s="440"/>
      <c r="P178" s="440"/>
      <c r="Q178" s="440"/>
      <c r="R178" s="440"/>
      <c r="S178" s="441">
        <f t="shared" si="21"/>
        <v>16644.430288689106</v>
      </c>
      <c r="T178" s="442">
        <f t="shared" si="22"/>
        <v>13866.256793864048</v>
      </c>
    </row>
    <row r="179" spans="7:20">
      <c r="G179" s="428">
        <v>176</v>
      </c>
      <c r="H179" s="440">
        <f t="shared" si="16"/>
        <v>2119861.1924264403</v>
      </c>
      <c r="I179" s="440">
        <f t="shared" si="17"/>
        <v>7093.9960064333391</v>
      </c>
      <c r="J179" s="440">
        <f t="shared" si="18"/>
        <v>8337.6095035613089</v>
      </c>
      <c r="K179" s="440">
        <f t="shared" si="19"/>
        <v>15431.605509994648</v>
      </c>
      <c r="L179" s="440">
        <f t="shared" si="20"/>
        <v>1208.1075198955975</v>
      </c>
      <c r="M179" s="440"/>
      <c r="N179" s="440"/>
      <c r="O179" s="440"/>
      <c r="P179" s="440"/>
      <c r="Q179" s="440"/>
      <c r="R179" s="440"/>
      <c r="S179" s="441">
        <f t="shared" si="21"/>
        <v>16639.713029890245</v>
      </c>
      <c r="T179" s="442">
        <f t="shared" si="22"/>
        <v>13872.3451877806</v>
      </c>
    </row>
    <row r="180" spans="7:20">
      <c r="G180" s="428">
        <v>177</v>
      </c>
      <c r="H180" s="440">
        <f t="shared" si="16"/>
        <v>2111495.7908912003</v>
      </c>
      <c r="I180" s="440">
        <f t="shared" si="17"/>
        <v>7066.2039747548015</v>
      </c>
      <c r="J180" s="440">
        <f t="shared" si="18"/>
        <v>8365.4015352398455</v>
      </c>
      <c r="K180" s="440">
        <f t="shared" si="19"/>
        <v>15431.605509994648</v>
      </c>
      <c r="L180" s="440">
        <f t="shared" si="20"/>
        <v>1203.3745369007427</v>
      </c>
      <c r="M180" s="440"/>
      <c r="N180" s="440"/>
      <c r="O180" s="440"/>
      <c r="P180" s="440"/>
      <c r="Q180" s="440"/>
      <c r="R180" s="440"/>
      <c r="S180" s="441">
        <f t="shared" si="21"/>
        <v>16634.980046895391</v>
      </c>
      <c r="T180" s="442">
        <f t="shared" si="22"/>
        <v>13878.453876343543</v>
      </c>
    </row>
    <row r="181" spans="7:20">
      <c r="G181" s="428">
        <v>178</v>
      </c>
      <c r="H181" s="440">
        <f t="shared" si="16"/>
        <v>2103102.5046841763</v>
      </c>
      <c r="I181" s="440">
        <f t="shared" si="17"/>
        <v>7038.3193029706681</v>
      </c>
      <c r="J181" s="440">
        <f t="shared" si="18"/>
        <v>8393.2862070239789</v>
      </c>
      <c r="K181" s="440">
        <f t="shared" si="19"/>
        <v>15431.605509994648</v>
      </c>
      <c r="L181" s="440">
        <f t="shared" si="20"/>
        <v>1198.6257772959048</v>
      </c>
      <c r="M181" s="440"/>
      <c r="N181" s="440"/>
      <c r="O181" s="440"/>
      <c r="P181" s="440"/>
      <c r="Q181" s="440"/>
      <c r="R181" s="440"/>
      <c r="S181" s="441">
        <f t="shared" si="21"/>
        <v>16630.231287290553</v>
      </c>
      <c r="T181" s="442">
        <f t="shared" si="22"/>
        <v>13884.582927201696</v>
      </c>
    </row>
    <row r="182" spans="7:20">
      <c r="G182" s="428">
        <v>179</v>
      </c>
      <c r="H182" s="440">
        <f t="shared" si="16"/>
        <v>2094681.2408564622</v>
      </c>
      <c r="I182" s="440">
        <f t="shared" si="17"/>
        <v>7010.3416822805884</v>
      </c>
      <c r="J182" s="440">
        <f t="shared" si="18"/>
        <v>8421.2638277140595</v>
      </c>
      <c r="K182" s="440">
        <f t="shared" si="19"/>
        <v>15431.605509994648</v>
      </c>
      <c r="L182" s="440">
        <f t="shared" si="20"/>
        <v>1193.8611884923841</v>
      </c>
      <c r="M182" s="440"/>
      <c r="N182" s="440"/>
      <c r="O182" s="440"/>
      <c r="P182" s="440"/>
      <c r="Q182" s="440"/>
      <c r="R182" s="440"/>
      <c r="S182" s="441">
        <f t="shared" si="21"/>
        <v>16625.466698487031</v>
      </c>
      <c r="T182" s="442">
        <f t="shared" si="22"/>
        <v>13890.732408229374</v>
      </c>
    </row>
    <row r="183" spans="7:20">
      <c r="G183" s="428">
        <v>180</v>
      </c>
      <c r="H183" s="440">
        <f t="shared" si="16"/>
        <v>2086231.9061493224</v>
      </c>
      <c r="I183" s="440">
        <f t="shared" si="17"/>
        <v>6982.2708028548741</v>
      </c>
      <c r="J183" s="440">
        <f t="shared" si="18"/>
        <v>8449.3347071397729</v>
      </c>
      <c r="K183" s="440">
        <f t="shared" si="19"/>
        <v>15431.605509994648</v>
      </c>
      <c r="L183" s="440">
        <f t="shared" si="20"/>
        <v>1189.0807177261852</v>
      </c>
      <c r="M183" s="440"/>
      <c r="N183" s="440"/>
      <c r="O183" s="440"/>
      <c r="P183" s="440"/>
      <c r="Q183" s="440"/>
      <c r="R183" s="440"/>
      <c r="S183" s="441">
        <f t="shared" si="21"/>
        <v>16620.686227720835</v>
      </c>
      <c r="T183" s="442">
        <f t="shared" si="22"/>
        <v>13896.902387527149</v>
      </c>
    </row>
    <row r="184" spans="7:20">
      <c r="G184" s="428">
        <v>181</v>
      </c>
      <c r="H184" s="440">
        <f t="shared" si="16"/>
        <v>2077754.4069931589</v>
      </c>
      <c r="I184" s="440">
        <f t="shared" si="17"/>
        <v>6954.1063538310755</v>
      </c>
      <c r="J184" s="440">
        <f t="shared" si="18"/>
        <v>8477.4991561635725</v>
      </c>
      <c r="K184" s="440">
        <f t="shared" si="19"/>
        <v>15431.605509994648</v>
      </c>
      <c r="L184" s="440">
        <f t="shared" si="20"/>
        <v>1184.2843120574321</v>
      </c>
      <c r="M184" s="440"/>
      <c r="N184" s="440"/>
      <c r="O184" s="440"/>
      <c r="P184" s="440"/>
      <c r="Q184" s="440"/>
      <c r="R184" s="440"/>
      <c r="S184" s="441">
        <f t="shared" si="21"/>
        <v>16615.889822052079</v>
      </c>
      <c r="T184" s="442">
        <f t="shared" si="22"/>
        <v>13903.092933422577</v>
      </c>
    </row>
    <row r="185" spans="7:20">
      <c r="G185" s="428">
        <v>182</v>
      </c>
      <c r="H185" s="440">
        <f t="shared" si="16"/>
        <v>2069248.6495064748</v>
      </c>
      <c r="I185" s="440">
        <f t="shared" si="17"/>
        <v>6925.8480233105302</v>
      </c>
      <c r="J185" s="440">
        <f t="shared" si="18"/>
        <v>8505.7574866841169</v>
      </c>
      <c r="K185" s="440">
        <f t="shared" si="19"/>
        <v>15431.605509994648</v>
      </c>
      <c r="L185" s="440">
        <f t="shared" si="20"/>
        <v>1179.4719183697832</v>
      </c>
      <c r="M185" s="440"/>
      <c r="N185" s="440"/>
      <c r="O185" s="440"/>
      <c r="P185" s="440"/>
      <c r="Q185" s="440"/>
      <c r="R185" s="440"/>
      <c r="S185" s="441">
        <f t="shared" si="21"/>
        <v>16611.077428364431</v>
      </c>
      <c r="T185" s="442">
        <f t="shared" si="22"/>
        <v>13909.304114470993</v>
      </c>
    </row>
    <row r="186" spans="7:20">
      <c r="G186" s="428">
        <v>183</v>
      </c>
      <c r="H186" s="440">
        <f t="shared" si="16"/>
        <v>2060714.5394948351</v>
      </c>
      <c r="I186" s="440">
        <f t="shared" si="17"/>
        <v>6897.4954983549169</v>
      </c>
      <c r="J186" s="440">
        <f t="shared" si="18"/>
        <v>8534.110011639732</v>
      </c>
      <c r="K186" s="440">
        <f t="shared" si="19"/>
        <v>15431.605509994648</v>
      </c>
      <c r="L186" s="440">
        <f t="shared" si="20"/>
        <v>1174.6434833698424</v>
      </c>
      <c r="M186" s="440"/>
      <c r="N186" s="440"/>
      <c r="O186" s="440"/>
      <c r="P186" s="440"/>
      <c r="Q186" s="440"/>
      <c r="R186" s="440"/>
      <c r="S186" s="441">
        <f t="shared" si="21"/>
        <v>16606.24899336449</v>
      </c>
      <c r="T186" s="442">
        <f t="shared" si="22"/>
        <v>13915.535999456237</v>
      </c>
    </row>
    <row r="187" spans="7:20">
      <c r="G187" s="428">
        <v>184</v>
      </c>
      <c r="H187" s="440">
        <f t="shared" si="16"/>
        <v>2052151.9824498233</v>
      </c>
      <c r="I187" s="440">
        <f t="shared" si="17"/>
        <v>6869.048464982784</v>
      </c>
      <c r="J187" s="440">
        <f t="shared" si="18"/>
        <v>8562.5570450118648</v>
      </c>
      <c r="K187" s="440">
        <f t="shared" si="19"/>
        <v>15431.605509994648</v>
      </c>
      <c r="L187" s="440">
        <f t="shared" si="20"/>
        <v>1169.7989535865681</v>
      </c>
      <c r="M187" s="440"/>
      <c r="N187" s="440"/>
      <c r="O187" s="440"/>
      <c r="P187" s="440"/>
      <c r="Q187" s="440"/>
      <c r="R187" s="440"/>
      <c r="S187" s="441">
        <f t="shared" si="21"/>
        <v>16601.404463581217</v>
      </c>
      <c r="T187" s="442">
        <f t="shared" si="22"/>
        <v>13921.788657391433</v>
      </c>
    </row>
    <row r="188" spans="7:20">
      <c r="G188" s="428">
        <v>185</v>
      </c>
      <c r="H188" s="440">
        <f t="shared" ref="H188:H251" si="23">H187-J188</f>
        <v>2043560.8835479948</v>
      </c>
      <c r="I188" s="440">
        <f t="shared" ref="I188:I251" si="24">$E$9/$E$13*H187</f>
        <v>6840.506608166078</v>
      </c>
      <c r="J188" s="440">
        <f t="shared" ref="J188:J251" si="25">K188-I188</f>
        <v>8591.0989018285691</v>
      </c>
      <c r="K188" s="440">
        <f t="shared" ref="K188:K251" si="26">IF(G188&gt;$E$14,0,$E$16)</f>
        <v>15431.605509994648</v>
      </c>
      <c r="L188" s="440">
        <f t="shared" ref="L188:L251" si="27">$E$10/$E$13*H187</f>
        <v>1164.9382753706832</v>
      </c>
      <c r="M188" s="440"/>
      <c r="N188" s="440"/>
      <c r="O188" s="440"/>
      <c r="P188" s="440"/>
      <c r="Q188" s="440"/>
      <c r="R188" s="440"/>
      <c r="S188" s="441">
        <f t="shared" ref="S188:S251" si="28">K188+L188</f>
        <v>16596.543785365331</v>
      </c>
      <c r="T188" s="442">
        <f t="shared" ref="T188:T251" si="29">S188-1/3*(I188+L188)</f>
        <v>13928.062157519744</v>
      </c>
    </row>
    <row r="189" spans="7:20">
      <c r="G189" s="428">
        <v>186</v>
      </c>
      <c r="H189" s="440">
        <f t="shared" si="23"/>
        <v>2034941.1476498267</v>
      </c>
      <c r="I189" s="440">
        <f t="shared" si="24"/>
        <v>6811.8696118266498</v>
      </c>
      <c r="J189" s="440">
        <f t="shared" si="25"/>
        <v>8619.7358981679972</v>
      </c>
      <c r="K189" s="440">
        <f t="shared" si="26"/>
        <v>15431.605509994648</v>
      </c>
      <c r="L189" s="440">
        <f t="shared" si="27"/>
        <v>1160.0613948940786</v>
      </c>
      <c r="M189" s="440"/>
      <c r="N189" s="440"/>
      <c r="O189" s="440"/>
      <c r="P189" s="440"/>
      <c r="Q189" s="440"/>
      <c r="R189" s="440"/>
      <c r="S189" s="441">
        <f t="shared" si="28"/>
        <v>16591.666904888727</v>
      </c>
      <c r="T189" s="442">
        <f t="shared" si="29"/>
        <v>13934.35656931515</v>
      </c>
    </row>
    <row r="190" spans="7:20">
      <c r="G190" s="428">
        <v>187</v>
      </c>
      <c r="H190" s="440">
        <f t="shared" si="23"/>
        <v>2026292.6792986649</v>
      </c>
      <c r="I190" s="440">
        <f t="shared" si="24"/>
        <v>6783.1371588327565</v>
      </c>
      <c r="J190" s="440">
        <f t="shared" si="25"/>
        <v>8648.4683511618914</v>
      </c>
      <c r="K190" s="440">
        <f t="shared" si="26"/>
        <v>15431.605509994648</v>
      </c>
      <c r="L190" s="440">
        <f t="shared" si="27"/>
        <v>1155.1682581492184</v>
      </c>
      <c r="M190" s="440"/>
      <c r="N190" s="440"/>
      <c r="O190" s="440"/>
      <c r="P190" s="440"/>
      <c r="Q190" s="440"/>
      <c r="R190" s="440"/>
      <c r="S190" s="441">
        <f t="shared" si="28"/>
        <v>16586.773768143867</v>
      </c>
      <c r="T190" s="442">
        <f t="shared" si="29"/>
        <v>13940.671962483208</v>
      </c>
    </row>
    <row r="191" spans="7:20">
      <c r="G191" s="428">
        <v>188</v>
      </c>
      <c r="H191" s="440">
        <f t="shared" si="23"/>
        <v>2017615.3827196658</v>
      </c>
      <c r="I191" s="440">
        <f t="shared" si="24"/>
        <v>6754.3089309955503</v>
      </c>
      <c r="J191" s="440">
        <f t="shared" si="25"/>
        <v>8677.2965789990976</v>
      </c>
      <c r="K191" s="440">
        <f t="shared" si="26"/>
        <v>15431.605509994648</v>
      </c>
      <c r="L191" s="440">
        <f t="shared" si="27"/>
        <v>1150.2588109485423</v>
      </c>
      <c r="M191" s="440"/>
      <c r="N191" s="440"/>
      <c r="O191" s="440"/>
      <c r="P191" s="440"/>
      <c r="Q191" s="440"/>
      <c r="R191" s="440"/>
      <c r="S191" s="441">
        <f t="shared" si="28"/>
        <v>16581.86432094319</v>
      </c>
      <c r="T191" s="442">
        <f t="shared" si="29"/>
        <v>13947.008406961826</v>
      </c>
    </row>
    <row r="192" spans="7:20">
      <c r="G192" s="428">
        <v>189</v>
      </c>
      <c r="H192" s="440">
        <f t="shared" si="23"/>
        <v>2008909.1618187367</v>
      </c>
      <c r="I192" s="440">
        <f t="shared" si="24"/>
        <v>6725.3846090655534</v>
      </c>
      <c r="J192" s="440">
        <f t="shared" si="25"/>
        <v>8706.2209009290946</v>
      </c>
      <c r="K192" s="440">
        <f t="shared" si="26"/>
        <v>15431.605509994648</v>
      </c>
      <c r="L192" s="440">
        <f t="shared" si="27"/>
        <v>1145.3329989238637</v>
      </c>
      <c r="M192" s="440"/>
      <c r="N192" s="440"/>
      <c r="O192" s="440"/>
      <c r="P192" s="440"/>
      <c r="Q192" s="440"/>
      <c r="R192" s="440"/>
      <c r="S192" s="441">
        <f t="shared" si="28"/>
        <v>16576.938508918513</v>
      </c>
      <c r="T192" s="442">
        <f t="shared" si="29"/>
        <v>13953.36597292204</v>
      </c>
    </row>
    <row r="193" spans="7:20">
      <c r="G193" s="428">
        <v>190</v>
      </c>
      <c r="H193" s="440">
        <f t="shared" si="23"/>
        <v>2000173.9201814712</v>
      </c>
      <c r="I193" s="440">
        <f t="shared" si="24"/>
        <v>6696.3638727291227</v>
      </c>
      <c r="J193" s="440">
        <f t="shared" si="25"/>
        <v>8735.2416372655243</v>
      </c>
      <c r="K193" s="440">
        <f t="shared" si="26"/>
        <v>15431.605509994648</v>
      </c>
      <c r="L193" s="440">
        <f t="shared" si="27"/>
        <v>1140.3907675257697</v>
      </c>
      <c r="M193" s="440"/>
      <c r="N193" s="440"/>
      <c r="O193" s="440"/>
      <c r="P193" s="440"/>
      <c r="Q193" s="440"/>
      <c r="R193" s="440"/>
      <c r="S193" s="441">
        <f t="shared" si="28"/>
        <v>16571.996277520419</v>
      </c>
      <c r="T193" s="442">
        <f t="shared" si="29"/>
        <v>13959.744730768787</v>
      </c>
    </row>
    <row r="194" spans="7:20">
      <c r="G194" s="428">
        <v>191</v>
      </c>
      <c r="H194" s="440">
        <f t="shared" si="23"/>
        <v>1991409.5610720813</v>
      </c>
      <c r="I194" s="440">
        <f t="shared" si="24"/>
        <v>6667.246400604904</v>
      </c>
      <c r="J194" s="440">
        <f t="shared" si="25"/>
        <v>8764.3591093897448</v>
      </c>
      <c r="K194" s="440">
        <f t="shared" si="26"/>
        <v>15431.605509994648</v>
      </c>
      <c r="L194" s="440">
        <f t="shared" si="27"/>
        <v>1135.4320620230153</v>
      </c>
      <c r="M194" s="440"/>
      <c r="N194" s="440"/>
      <c r="O194" s="440"/>
      <c r="P194" s="440"/>
      <c r="Q194" s="440"/>
      <c r="R194" s="440"/>
      <c r="S194" s="441">
        <f t="shared" si="28"/>
        <v>16567.037572017663</v>
      </c>
      <c r="T194" s="442">
        <f t="shared" si="29"/>
        <v>13966.14475114169</v>
      </c>
    </row>
    <row r="195" spans="7:20">
      <c r="G195" s="428">
        <v>192</v>
      </c>
      <c r="H195" s="440">
        <f t="shared" si="23"/>
        <v>1982615.9874323269</v>
      </c>
      <c r="I195" s="440">
        <f t="shared" si="24"/>
        <v>6638.0318702402719</v>
      </c>
      <c r="J195" s="440">
        <f t="shared" si="25"/>
        <v>8793.5736397543769</v>
      </c>
      <c r="K195" s="440">
        <f t="shared" si="26"/>
        <v>15431.605509994648</v>
      </c>
      <c r="L195" s="440">
        <f t="shared" si="27"/>
        <v>1130.4568275019183</v>
      </c>
      <c r="M195" s="440"/>
      <c r="N195" s="440"/>
      <c r="O195" s="440"/>
      <c r="P195" s="440"/>
      <c r="Q195" s="440"/>
      <c r="R195" s="440"/>
      <c r="S195" s="441">
        <f t="shared" si="28"/>
        <v>16562.062337496565</v>
      </c>
      <c r="T195" s="442">
        <f t="shared" si="29"/>
        <v>13972.566104915835</v>
      </c>
    </row>
    <row r="196" spans="7:20">
      <c r="G196" s="428">
        <v>193</v>
      </c>
      <c r="H196" s="440">
        <f t="shared" si="23"/>
        <v>1973793.10188044</v>
      </c>
      <c r="I196" s="440">
        <f t="shared" si="24"/>
        <v>6608.7199581077566</v>
      </c>
      <c r="J196" s="440">
        <f t="shared" si="25"/>
        <v>8822.8855518868913</v>
      </c>
      <c r="K196" s="440">
        <f t="shared" si="26"/>
        <v>15431.605509994648</v>
      </c>
      <c r="L196" s="440">
        <f t="shared" si="27"/>
        <v>1125.4650088657511</v>
      </c>
      <c r="M196" s="440"/>
      <c r="N196" s="440"/>
      <c r="O196" s="440"/>
      <c r="P196" s="440"/>
      <c r="Q196" s="440"/>
      <c r="R196" s="440"/>
      <c r="S196" s="441">
        <f t="shared" si="28"/>
        <v>16557.070518860401</v>
      </c>
      <c r="T196" s="442">
        <f t="shared" si="29"/>
        <v>13979.008863202565</v>
      </c>
    </row>
    <row r="197" spans="7:20">
      <c r="G197" s="428">
        <v>194</v>
      </c>
      <c r="H197" s="440">
        <f t="shared" si="23"/>
        <v>1964940.8067100469</v>
      </c>
      <c r="I197" s="440">
        <f t="shared" si="24"/>
        <v>6579.3103396014676</v>
      </c>
      <c r="J197" s="440">
        <f t="shared" si="25"/>
        <v>8852.2951703931794</v>
      </c>
      <c r="K197" s="440">
        <f t="shared" si="26"/>
        <v>15431.605509994648</v>
      </c>
      <c r="L197" s="440">
        <f t="shared" si="27"/>
        <v>1120.45655083413</v>
      </c>
      <c r="M197" s="440"/>
      <c r="N197" s="440"/>
      <c r="O197" s="440"/>
      <c r="P197" s="440"/>
      <c r="Q197" s="440"/>
      <c r="R197" s="440"/>
      <c r="S197" s="441">
        <f t="shared" si="28"/>
        <v>16552.062060828779</v>
      </c>
      <c r="T197" s="442">
        <f t="shared" si="29"/>
        <v>13985.473097350246</v>
      </c>
    </row>
    <row r="198" spans="7:20">
      <c r="G198" s="428">
        <v>195</v>
      </c>
      <c r="H198" s="440">
        <f t="shared" si="23"/>
        <v>1956059.0038890857</v>
      </c>
      <c r="I198" s="440">
        <f t="shared" si="24"/>
        <v>6549.8026890334904</v>
      </c>
      <c r="J198" s="440">
        <f t="shared" si="25"/>
        <v>8881.8028209611584</v>
      </c>
      <c r="K198" s="440">
        <f t="shared" si="26"/>
        <v>15431.605509994648</v>
      </c>
      <c r="L198" s="440">
        <f t="shared" si="27"/>
        <v>1115.4313979424035</v>
      </c>
      <c r="M198" s="440"/>
      <c r="N198" s="440"/>
      <c r="O198" s="440"/>
      <c r="P198" s="440"/>
      <c r="Q198" s="440"/>
      <c r="R198" s="440"/>
      <c r="S198" s="441">
        <f t="shared" si="28"/>
        <v>16547.03690793705</v>
      </c>
      <c r="T198" s="442">
        <f t="shared" si="29"/>
        <v>13991.958878945086</v>
      </c>
    </row>
    <row r="199" spans="7:20">
      <c r="G199" s="428">
        <v>196</v>
      </c>
      <c r="H199" s="440">
        <f t="shared" si="23"/>
        <v>1947147.5950587213</v>
      </c>
      <c r="I199" s="440">
        <f t="shared" si="24"/>
        <v>6520.1966796302859</v>
      </c>
      <c r="J199" s="440">
        <f t="shared" si="25"/>
        <v>8911.4088303643621</v>
      </c>
      <c r="K199" s="440">
        <f t="shared" si="26"/>
        <v>15431.605509994648</v>
      </c>
      <c r="L199" s="440">
        <f t="shared" si="27"/>
        <v>1110.3894945410377</v>
      </c>
      <c r="M199" s="440"/>
      <c r="N199" s="440"/>
      <c r="O199" s="440"/>
      <c r="P199" s="440"/>
      <c r="Q199" s="440"/>
      <c r="R199" s="440"/>
      <c r="S199" s="441">
        <f t="shared" si="28"/>
        <v>16541.995004535685</v>
      </c>
      <c r="T199" s="442">
        <f t="shared" si="29"/>
        <v>13998.466279811912</v>
      </c>
    </row>
    <row r="200" spans="7:20">
      <c r="G200" s="428">
        <v>197</v>
      </c>
      <c r="H200" s="440">
        <f t="shared" si="23"/>
        <v>1938206.4815322557</v>
      </c>
      <c r="I200" s="440">
        <f t="shared" si="24"/>
        <v>6490.4919835290711</v>
      </c>
      <c r="J200" s="440">
        <f t="shared" si="25"/>
        <v>8941.1135264655768</v>
      </c>
      <c r="K200" s="440">
        <f t="shared" si="26"/>
        <v>15431.605509994648</v>
      </c>
      <c r="L200" s="440">
        <f t="shared" si="27"/>
        <v>1105.3307847950009</v>
      </c>
      <c r="M200" s="440"/>
      <c r="N200" s="440"/>
      <c r="O200" s="440"/>
      <c r="P200" s="440"/>
      <c r="Q200" s="440"/>
      <c r="R200" s="440"/>
      <c r="S200" s="441">
        <f t="shared" si="28"/>
        <v>16536.936294789648</v>
      </c>
      <c r="T200" s="442">
        <f t="shared" si="29"/>
        <v>14004.995372014957</v>
      </c>
    </row>
    <row r="201" spans="7:20">
      <c r="G201" s="428">
        <v>198</v>
      </c>
      <c r="H201" s="440">
        <f t="shared" si="23"/>
        <v>1929235.5642940351</v>
      </c>
      <c r="I201" s="440">
        <f t="shared" si="24"/>
        <v>6460.6882717741855</v>
      </c>
      <c r="J201" s="440">
        <f t="shared" si="25"/>
        <v>8970.9172382204633</v>
      </c>
      <c r="K201" s="440">
        <f t="shared" si="26"/>
        <v>15431.605509994648</v>
      </c>
      <c r="L201" s="440">
        <f t="shared" si="27"/>
        <v>1100.255212683144</v>
      </c>
      <c r="M201" s="440"/>
      <c r="N201" s="440"/>
      <c r="O201" s="440"/>
      <c r="P201" s="440"/>
      <c r="Q201" s="440"/>
      <c r="R201" s="440"/>
      <c r="S201" s="441">
        <f t="shared" si="28"/>
        <v>16531.860722677793</v>
      </c>
      <c r="T201" s="442">
        <f t="shared" si="29"/>
        <v>14011.546227858684</v>
      </c>
    </row>
    <row r="202" spans="7:20">
      <c r="G202" s="428">
        <v>199</v>
      </c>
      <c r="H202" s="440">
        <f t="shared" si="23"/>
        <v>1920234.7439983538</v>
      </c>
      <c r="I202" s="440">
        <f t="shared" si="24"/>
        <v>6430.7852143134505</v>
      </c>
      <c r="J202" s="440">
        <f t="shared" si="25"/>
        <v>9000.8202956811983</v>
      </c>
      <c r="K202" s="440">
        <f t="shared" si="26"/>
        <v>15431.605509994648</v>
      </c>
      <c r="L202" s="440">
        <f t="shared" si="27"/>
        <v>1095.1627219975808</v>
      </c>
      <c r="M202" s="440"/>
      <c r="N202" s="440"/>
      <c r="O202" s="440"/>
      <c r="P202" s="440"/>
      <c r="Q202" s="440"/>
      <c r="R202" s="440"/>
      <c r="S202" s="441">
        <f t="shared" si="28"/>
        <v>16526.768231992228</v>
      </c>
      <c r="T202" s="442">
        <f t="shared" si="29"/>
        <v>14018.118919888551</v>
      </c>
    </row>
    <row r="203" spans="7:20">
      <c r="G203" s="428">
        <v>200</v>
      </c>
      <c r="H203" s="440">
        <f t="shared" si="23"/>
        <v>1911203.9209683537</v>
      </c>
      <c r="I203" s="440">
        <f t="shared" si="24"/>
        <v>6400.7824799945129</v>
      </c>
      <c r="J203" s="440">
        <f t="shared" si="25"/>
        <v>9030.8230300001342</v>
      </c>
      <c r="K203" s="440">
        <f t="shared" si="26"/>
        <v>15431.605509994648</v>
      </c>
      <c r="L203" s="440">
        <f t="shared" si="27"/>
        <v>1090.0532563430656</v>
      </c>
      <c r="M203" s="440"/>
      <c r="N203" s="440"/>
      <c r="O203" s="440"/>
      <c r="P203" s="440"/>
      <c r="Q203" s="440"/>
      <c r="R203" s="440"/>
      <c r="S203" s="441">
        <f t="shared" si="28"/>
        <v>16521.658766337714</v>
      </c>
      <c r="T203" s="442">
        <f t="shared" si="29"/>
        <v>14024.713520891855</v>
      </c>
    </row>
    <row r="204" spans="7:20">
      <c r="G204" s="428">
        <v>201</v>
      </c>
      <c r="H204" s="440">
        <f t="shared" si="23"/>
        <v>1902142.9951949203</v>
      </c>
      <c r="I204" s="440">
        <f t="shared" si="24"/>
        <v>6370.6797365611792</v>
      </c>
      <c r="J204" s="440">
        <f t="shared" si="25"/>
        <v>9060.9257734334678</v>
      </c>
      <c r="K204" s="440">
        <f t="shared" si="26"/>
        <v>15431.605509994648</v>
      </c>
      <c r="L204" s="440">
        <f t="shared" si="27"/>
        <v>1084.9267591363689</v>
      </c>
      <c r="M204" s="440"/>
      <c r="N204" s="440"/>
      <c r="O204" s="440"/>
      <c r="P204" s="440"/>
      <c r="Q204" s="440"/>
      <c r="R204" s="440"/>
      <c r="S204" s="441">
        <f t="shared" si="28"/>
        <v>16516.532269131018</v>
      </c>
      <c r="T204" s="442">
        <f t="shared" si="29"/>
        <v>14031.330103898501</v>
      </c>
    </row>
    <row r="205" spans="7:20">
      <c r="G205" s="428">
        <v>202</v>
      </c>
      <c r="H205" s="440">
        <f t="shared" si="23"/>
        <v>1893051.8663355755</v>
      </c>
      <c r="I205" s="440">
        <f t="shared" si="24"/>
        <v>6340.4766506497344</v>
      </c>
      <c r="J205" s="440">
        <f t="shared" si="25"/>
        <v>9091.1288593449135</v>
      </c>
      <c r="K205" s="440">
        <f t="shared" si="26"/>
        <v>15431.605509994648</v>
      </c>
      <c r="L205" s="440">
        <f t="shared" si="27"/>
        <v>1079.7831736056498</v>
      </c>
      <c r="M205" s="440"/>
      <c r="N205" s="440"/>
      <c r="O205" s="440"/>
      <c r="P205" s="440"/>
      <c r="Q205" s="440"/>
      <c r="R205" s="440"/>
      <c r="S205" s="441">
        <f t="shared" si="28"/>
        <v>16511.388683600297</v>
      </c>
      <c r="T205" s="442">
        <f t="shared" si="29"/>
        <v>14037.968742181834</v>
      </c>
    </row>
    <row r="206" spans="7:20">
      <c r="G206" s="428">
        <v>203</v>
      </c>
      <c r="H206" s="440">
        <f t="shared" si="23"/>
        <v>1883930.433713366</v>
      </c>
      <c r="I206" s="440">
        <f t="shared" si="24"/>
        <v>6310.172887785252</v>
      </c>
      <c r="J206" s="440">
        <f t="shared" si="25"/>
        <v>9121.432622209395</v>
      </c>
      <c r="K206" s="440">
        <f t="shared" si="26"/>
        <v>15431.605509994648</v>
      </c>
      <c r="L206" s="440">
        <f t="shared" si="27"/>
        <v>1074.6224427898285</v>
      </c>
      <c r="M206" s="440"/>
      <c r="N206" s="440"/>
      <c r="O206" s="440"/>
      <c r="P206" s="440"/>
      <c r="Q206" s="440"/>
      <c r="R206" s="440"/>
      <c r="S206" s="441">
        <f t="shared" si="28"/>
        <v>16506.227952784477</v>
      </c>
      <c r="T206" s="442">
        <f t="shared" si="29"/>
        <v>14044.62950925945</v>
      </c>
    </row>
    <row r="207" spans="7:20">
      <c r="G207" s="428">
        <v>204</v>
      </c>
      <c r="H207" s="440">
        <f t="shared" si="23"/>
        <v>1874778.5963157492</v>
      </c>
      <c r="I207" s="440">
        <f t="shared" si="24"/>
        <v>6279.7681123778875</v>
      </c>
      <c r="J207" s="440">
        <f t="shared" si="25"/>
        <v>9151.8373976167604</v>
      </c>
      <c r="K207" s="440">
        <f t="shared" si="26"/>
        <v>15431.605509994648</v>
      </c>
      <c r="L207" s="440">
        <f t="shared" si="27"/>
        <v>1069.4445095379542</v>
      </c>
      <c r="M207" s="440"/>
      <c r="N207" s="440"/>
      <c r="O207" s="440"/>
      <c r="P207" s="440"/>
      <c r="Q207" s="440"/>
      <c r="R207" s="440"/>
      <c r="S207" s="441">
        <f t="shared" si="28"/>
        <v>16501.050019532602</v>
      </c>
      <c r="T207" s="442">
        <f t="shared" si="29"/>
        <v>14051.312478893989</v>
      </c>
    </row>
    <row r="208" spans="7:20">
      <c r="G208" s="428">
        <v>205</v>
      </c>
      <c r="H208" s="440">
        <f t="shared" si="23"/>
        <v>1865596.2527934737</v>
      </c>
      <c r="I208" s="440">
        <f t="shared" si="24"/>
        <v>6249.2619877191646</v>
      </c>
      <c r="J208" s="440">
        <f t="shared" si="25"/>
        <v>9182.3435222754833</v>
      </c>
      <c r="K208" s="440">
        <f t="shared" si="26"/>
        <v>15431.605509994648</v>
      </c>
      <c r="L208" s="440">
        <f t="shared" si="27"/>
        <v>1064.2493165085737</v>
      </c>
      <c r="M208" s="440"/>
      <c r="N208" s="440"/>
      <c r="O208" s="440"/>
      <c r="P208" s="440"/>
      <c r="Q208" s="440"/>
      <c r="R208" s="440"/>
      <c r="S208" s="441">
        <f t="shared" si="28"/>
        <v>16495.854826503222</v>
      </c>
      <c r="T208" s="442">
        <f t="shared" si="29"/>
        <v>14058.017725093976</v>
      </c>
    </row>
    <row r="209" spans="7:20">
      <c r="G209" s="428">
        <v>206</v>
      </c>
      <c r="H209" s="440">
        <f t="shared" si="23"/>
        <v>1856383.3014594573</v>
      </c>
      <c r="I209" s="440">
        <f t="shared" si="24"/>
        <v>6218.6541759782458</v>
      </c>
      <c r="J209" s="440">
        <f t="shared" si="25"/>
        <v>9212.9513340164012</v>
      </c>
      <c r="K209" s="440">
        <f t="shared" si="26"/>
        <v>15431.605509994648</v>
      </c>
      <c r="L209" s="440">
        <f t="shared" si="27"/>
        <v>1059.0368061690954</v>
      </c>
      <c r="M209" s="440"/>
      <c r="N209" s="440"/>
      <c r="O209" s="440"/>
      <c r="P209" s="440"/>
      <c r="Q209" s="440"/>
      <c r="R209" s="440"/>
      <c r="S209" s="441">
        <f t="shared" si="28"/>
        <v>16490.642316163743</v>
      </c>
      <c r="T209" s="442">
        <f t="shared" si="29"/>
        <v>14064.74532211463</v>
      </c>
    </row>
    <row r="210" spans="7:20">
      <c r="G210" s="428">
        <v>207</v>
      </c>
      <c r="H210" s="440">
        <f t="shared" si="23"/>
        <v>1847139.6402876608</v>
      </c>
      <c r="I210" s="440">
        <f t="shared" si="24"/>
        <v>6187.944338198191</v>
      </c>
      <c r="J210" s="440">
        <f t="shared" si="25"/>
        <v>9243.661171796457</v>
      </c>
      <c r="K210" s="440">
        <f t="shared" si="26"/>
        <v>15431.605509994648</v>
      </c>
      <c r="L210" s="440">
        <f t="shared" si="27"/>
        <v>1053.8069207951521</v>
      </c>
      <c r="M210" s="440"/>
      <c r="N210" s="440"/>
      <c r="O210" s="440"/>
      <c r="P210" s="440"/>
      <c r="Q210" s="440"/>
      <c r="R210" s="440"/>
      <c r="S210" s="441">
        <f t="shared" si="28"/>
        <v>16485.412430789802</v>
      </c>
      <c r="T210" s="442">
        <f t="shared" si="29"/>
        <v>14071.495344458688</v>
      </c>
    </row>
    <row r="211" spans="7:20">
      <c r="G211" s="428">
        <v>208</v>
      </c>
      <c r="H211" s="440">
        <f t="shared" si="23"/>
        <v>1837865.1669119583</v>
      </c>
      <c r="I211" s="440">
        <f t="shared" si="24"/>
        <v>6157.1321342922029</v>
      </c>
      <c r="J211" s="440">
        <f t="shared" si="25"/>
        <v>9274.4733757024442</v>
      </c>
      <c r="K211" s="440">
        <f t="shared" si="26"/>
        <v>15431.605509994648</v>
      </c>
      <c r="L211" s="440">
        <f t="shared" si="27"/>
        <v>1048.5596024699621</v>
      </c>
      <c r="M211" s="440"/>
      <c r="N211" s="440"/>
      <c r="O211" s="440"/>
      <c r="P211" s="440"/>
      <c r="Q211" s="440"/>
      <c r="R211" s="440"/>
      <c r="S211" s="441">
        <f t="shared" si="28"/>
        <v>16480.165112464609</v>
      </c>
      <c r="T211" s="442">
        <f t="shared" si="29"/>
        <v>14078.267866877221</v>
      </c>
    </row>
    <row r="212" spans="7:20">
      <c r="G212" s="428">
        <v>209</v>
      </c>
      <c r="H212" s="440">
        <f t="shared" si="23"/>
        <v>1828559.7786250035</v>
      </c>
      <c r="I212" s="440">
        <f t="shared" si="24"/>
        <v>6126.217223039861</v>
      </c>
      <c r="J212" s="440">
        <f t="shared" si="25"/>
        <v>9305.388286954787</v>
      </c>
      <c r="K212" s="440">
        <f t="shared" si="26"/>
        <v>15431.605509994648</v>
      </c>
      <c r="L212" s="440">
        <f t="shared" si="27"/>
        <v>1043.2947930836883</v>
      </c>
      <c r="M212" s="440"/>
      <c r="N212" s="440"/>
      <c r="O212" s="440"/>
      <c r="P212" s="440"/>
      <c r="Q212" s="440"/>
      <c r="R212" s="440"/>
      <c r="S212" s="441">
        <f t="shared" si="28"/>
        <v>16474.900303078335</v>
      </c>
      <c r="T212" s="442">
        <f t="shared" si="29"/>
        <v>14085.062964370485</v>
      </c>
    </row>
    <row r="213" spans="7:20">
      <c r="G213" s="428">
        <v>210</v>
      </c>
      <c r="H213" s="440">
        <f t="shared" si="23"/>
        <v>1819223.3723770923</v>
      </c>
      <c r="I213" s="440">
        <f t="shared" si="24"/>
        <v>6095.1992620833453</v>
      </c>
      <c r="J213" s="440">
        <f t="shared" si="25"/>
        <v>9336.4062479113018</v>
      </c>
      <c r="K213" s="440">
        <f t="shared" si="26"/>
        <v>15431.605509994648</v>
      </c>
      <c r="L213" s="440">
        <f t="shared" si="27"/>
        <v>1038.0124343327939</v>
      </c>
      <c r="M213" s="440"/>
      <c r="N213" s="440"/>
      <c r="O213" s="440"/>
      <c r="P213" s="440"/>
      <c r="Q213" s="440"/>
      <c r="R213" s="440"/>
      <c r="S213" s="441">
        <f t="shared" si="28"/>
        <v>16469.617944327441</v>
      </c>
      <c r="T213" s="442">
        <f t="shared" si="29"/>
        <v>14091.880712188729</v>
      </c>
    </row>
    <row r="214" spans="7:20">
      <c r="G214" s="428">
        <v>211</v>
      </c>
      <c r="H214" s="440">
        <f t="shared" si="23"/>
        <v>1809855.8447750213</v>
      </c>
      <c r="I214" s="440">
        <f t="shared" si="24"/>
        <v>6064.0779079236409</v>
      </c>
      <c r="J214" s="440">
        <f t="shared" si="25"/>
        <v>9367.527602071008</v>
      </c>
      <c r="K214" s="440">
        <f t="shared" si="26"/>
        <v>15431.605509994648</v>
      </c>
      <c r="L214" s="440">
        <f t="shared" si="27"/>
        <v>1032.712467719396</v>
      </c>
      <c r="M214" s="440"/>
      <c r="N214" s="440"/>
      <c r="O214" s="440"/>
      <c r="P214" s="440"/>
      <c r="Q214" s="440"/>
      <c r="R214" s="440"/>
      <c r="S214" s="441">
        <f t="shared" si="28"/>
        <v>16464.317977714043</v>
      </c>
      <c r="T214" s="442">
        <f t="shared" si="29"/>
        <v>14098.72118583303</v>
      </c>
    </row>
    <row r="215" spans="7:20">
      <c r="G215" s="428">
        <v>212</v>
      </c>
      <c r="H215" s="440">
        <f t="shared" si="23"/>
        <v>1800457.0920809433</v>
      </c>
      <c r="I215" s="440">
        <f t="shared" si="24"/>
        <v>6032.8528159167381</v>
      </c>
      <c r="J215" s="440">
        <f t="shared" si="25"/>
        <v>9398.7526940779098</v>
      </c>
      <c r="K215" s="440">
        <f t="shared" si="26"/>
        <v>15431.605509994648</v>
      </c>
      <c r="L215" s="440">
        <f t="shared" si="27"/>
        <v>1027.3948345506205</v>
      </c>
      <c r="M215" s="440"/>
      <c r="N215" s="440"/>
      <c r="O215" s="440"/>
      <c r="P215" s="440"/>
      <c r="Q215" s="440"/>
      <c r="R215" s="440"/>
      <c r="S215" s="441">
        <f t="shared" si="28"/>
        <v>16459.000344545268</v>
      </c>
      <c r="T215" s="442">
        <f t="shared" si="29"/>
        <v>14105.584461056147</v>
      </c>
    </row>
    <row r="216" spans="7:20">
      <c r="G216" s="428">
        <v>213</v>
      </c>
      <c r="H216" s="440">
        <f t="shared" si="23"/>
        <v>1791027.0102112184</v>
      </c>
      <c r="I216" s="440">
        <f t="shared" si="24"/>
        <v>6001.523640269811</v>
      </c>
      <c r="J216" s="440">
        <f t="shared" si="25"/>
        <v>9430.081869724836</v>
      </c>
      <c r="K216" s="440">
        <f t="shared" si="26"/>
        <v>15431.605509994648</v>
      </c>
      <c r="L216" s="440">
        <f t="shared" si="27"/>
        <v>1022.0594759379489</v>
      </c>
      <c r="M216" s="440"/>
      <c r="N216" s="440"/>
      <c r="O216" s="440"/>
      <c r="P216" s="440"/>
      <c r="Q216" s="440"/>
      <c r="R216" s="440"/>
      <c r="S216" s="441">
        <f t="shared" si="28"/>
        <v>16453.664985932595</v>
      </c>
      <c r="T216" s="442">
        <f t="shared" si="29"/>
        <v>14112.470613863341</v>
      </c>
    </row>
    <row r="217" spans="7:20">
      <c r="G217" s="428">
        <v>214</v>
      </c>
      <c r="H217" s="440">
        <f t="shared" si="23"/>
        <v>1781565.4947352612</v>
      </c>
      <c r="I217" s="440">
        <f t="shared" si="24"/>
        <v>5970.0900340373946</v>
      </c>
      <c r="J217" s="440">
        <f t="shared" si="25"/>
        <v>9461.5154759572542</v>
      </c>
      <c r="K217" s="440">
        <f t="shared" si="26"/>
        <v>15431.605509994648</v>
      </c>
      <c r="L217" s="440">
        <f t="shared" si="27"/>
        <v>1016.7063327965684</v>
      </c>
      <c r="M217" s="440"/>
      <c r="N217" s="440"/>
      <c r="O217" s="440"/>
      <c r="P217" s="440"/>
      <c r="Q217" s="440"/>
      <c r="R217" s="440"/>
      <c r="S217" s="441">
        <f t="shared" si="28"/>
        <v>16448.311842791216</v>
      </c>
      <c r="T217" s="442">
        <f t="shared" si="29"/>
        <v>14119.379720513229</v>
      </c>
    </row>
    <row r="218" spans="7:20">
      <c r="G218" s="428">
        <v>215</v>
      </c>
      <c r="H218" s="440">
        <f t="shared" si="23"/>
        <v>1772072.440874384</v>
      </c>
      <c r="I218" s="440">
        <f t="shared" si="24"/>
        <v>5938.5516491175376</v>
      </c>
      <c r="J218" s="440">
        <f t="shared" si="25"/>
        <v>9493.0538608771094</v>
      </c>
      <c r="K218" s="440">
        <f t="shared" si="26"/>
        <v>15431.605509994648</v>
      </c>
      <c r="L218" s="440">
        <f t="shared" si="27"/>
        <v>1011.3353458447167</v>
      </c>
      <c r="M218" s="440"/>
      <c r="N218" s="440"/>
      <c r="O218" s="440"/>
      <c r="P218" s="440"/>
      <c r="Q218" s="440"/>
      <c r="R218" s="440"/>
      <c r="S218" s="441">
        <f t="shared" si="28"/>
        <v>16442.940855839366</v>
      </c>
      <c r="T218" s="442">
        <f t="shared" si="29"/>
        <v>14126.311857518614</v>
      </c>
    </row>
    <row r="219" spans="7:20">
      <c r="G219" s="428">
        <v>216</v>
      </c>
      <c r="H219" s="440">
        <f t="shared" si="23"/>
        <v>1762547.7435006374</v>
      </c>
      <c r="I219" s="440">
        <f t="shared" si="24"/>
        <v>5906.9081362479474</v>
      </c>
      <c r="J219" s="440">
        <f t="shared" si="25"/>
        <v>9524.6973737467015</v>
      </c>
      <c r="K219" s="440">
        <f t="shared" si="26"/>
        <v>15431.605509994648</v>
      </c>
      <c r="L219" s="440">
        <f t="shared" si="27"/>
        <v>1005.9464556030255</v>
      </c>
      <c r="M219" s="440"/>
      <c r="N219" s="440"/>
      <c r="O219" s="440"/>
      <c r="P219" s="440"/>
      <c r="Q219" s="440"/>
      <c r="R219" s="440"/>
      <c r="S219" s="441">
        <f t="shared" si="28"/>
        <v>16437.551965597675</v>
      </c>
      <c r="T219" s="442">
        <f t="shared" si="29"/>
        <v>14133.267101647351</v>
      </c>
    </row>
    <row r="220" spans="7:20">
      <c r="G220" s="428">
        <v>217</v>
      </c>
      <c r="H220" s="440">
        <f t="shared" si="23"/>
        <v>1752991.2971356448</v>
      </c>
      <c r="I220" s="440">
        <f t="shared" si="24"/>
        <v>5875.1591450021251</v>
      </c>
      <c r="J220" s="440">
        <f t="shared" si="25"/>
        <v>9556.4463649925237</v>
      </c>
      <c r="K220" s="440">
        <f t="shared" si="26"/>
        <v>15431.605509994648</v>
      </c>
      <c r="L220" s="440">
        <f t="shared" si="27"/>
        <v>1000.539602393862</v>
      </c>
      <c r="M220" s="440"/>
      <c r="N220" s="440"/>
      <c r="O220" s="440"/>
      <c r="P220" s="440"/>
      <c r="Q220" s="440"/>
      <c r="R220" s="440"/>
      <c r="S220" s="441">
        <f t="shared" si="28"/>
        <v>16432.145112388509</v>
      </c>
      <c r="T220" s="442">
        <f t="shared" si="29"/>
        <v>14140.245529923181</v>
      </c>
    </row>
    <row r="221" spans="7:20">
      <c r="G221" s="428">
        <v>218</v>
      </c>
      <c r="H221" s="440">
        <f t="shared" si="23"/>
        <v>1743402.9959494357</v>
      </c>
      <c r="I221" s="440">
        <f t="shared" si="24"/>
        <v>5843.3043237854836</v>
      </c>
      <c r="J221" s="440">
        <f t="shared" si="25"/>
        <v>9588.3011862091644</v>
      </c>
      <c r="K221" s="440">
        <f t="shared" si="26"/>
        <v>15431.605509994648</v>
      </c>
      <c r="L221" s="440">
        <f t="shared" si="27"/>
        <v>995.11472634066786</v>
      </c>
      <c r="M221" s="440"/>
      <c r="N221" s="440"/>
      <c r="O221" s="440"/>
      <c r="P221" s="440"/>
      <c r="Q221" s="440"/>
      <c r="R221" s="440"/>
      <c r="S221" s="441">
        <f t="shared" si="28"/>
        <v>16426.720236335317</v>
      </c>
      <c r="T221" s="442">
        <f t="shared" si="29"/>
        <v>14147.247219626601</v>
      </c>
    </row>
    <row r="222" spans="7:20">
      <c r="G222" s="428">
        <v>219</v>
      </c>
      <c r="H222" s="440">
        <f t="shared" si="23"/>
        <v>1733782.7337592726</v>
      </c>
      <c r="I222" s="440">
        <f t="shared" si="24"/>
        <v>5811.3433198314533</v>
      </c>
      <c r="J222" s="440">
        <f t="shared" si="25"/>
        <v>9620.2621901631937</v>
      </c>
      <c r="K222" s="440">
        <f t="shared" si="26"/>
        <v>15431.605509994648</v>
      </c>
      <c r="L222" s="440">
        <f t="shared" si="27"/>
        <v>989.67176736729652</v>
      </c>
      <c r="M222" s="440"/>
      <c r="N222" s="440"/>
      <c r="O222" s="440"/>
      <c r="P222" s="440"/>
      <c r="Q222" s="440"/>
      <c r="R222" s="440"/>
      <c r="S222" s="441">
        <f t="shared" si="28"/>
        <v>16421.277277361944</v>
      </c>
      <c r="T222" s="442">
        <f t="shared" si="29"/>
        <v>14154.272248295694</v>
      </c>
    </row>
    <row r="223" spans="7:20">
      <c r="G223" s="428">
        <v>220</v>
      </c>
      <c r="H223" s="440">
        <f t="shared" si="23"/>
        <v>1724130.4040284755</v>
      </c>
      <c r="I223" s="440">
        <f t="shared" si="24"/>
        <v>5779.2757791975755</v>
      </c>
      <c r="J223" s="440">
        <f t="shared" si="25"/>
        <v>9652.3297307970715</v>
      </c>
      <c r="K223" s="440">
        <f t="shared" si="26"/>
        <v>15431.605509994648</v>
      </c>
      <c r="L223" s="440">
        <f t="shared" si="27"/>
        <v>984.21066519734723</v>
      </c>
      <c r="M223" s="440"/>
      <c r="N223" s="440"/>
      <c r="O223" s="440"/>
      <c r="P223" s="440"/>
      <c r="Q223" s="440"/>
      <c r="R223" s="440"/>
      <c r="S223" s="441">
        <f t="shared" si="28"/>
        <v>16415.816175191994</v>
      </c>
      <c r="T223" s="442">
        <f t="shared" si="29"/>
        <v>14161.320693727021</v>
      </c>
    </row>
    <row r="224" spans="7:20">
      <c r="G224" s="428">
        <v>221</v>
      </c>
      <c r="H224" s="440">
        <f t="shared" si="23"/>
        <v>1714445.8998652424</v>
      </c>
      <c r="I224" s="440">
        <f t="shared" si="24"/>
        <v>5747.1013467615858</v>
      </c>
      <c r="J224" s="440">
        <f t="shared" si="25"/>
        <v>9684.5041632330613</v>
      </c>
      <c r="K224" s="440">
        <f t="shared" si="26"/>
        <v>15431.605509994648</v>
      </c>
      <c r="L224" s="440">
        <f t="shared" si="27"/>
        <v>978.73135935349808</v>
      </c>
      <c r="M224" s="440"/>
      <c r="N224" s="440"/>
      <c r="O224" s="440"/>
      <c r="P224" s="440"/>
      <c r="Q224" s="440"/>
      <c r="R224" s="440"/>
      <c r="S224" s="441">
        <f t="shared" si="28"/>
        <v>16410.336869348146</v>
      </c>
      <c r="T224" s="442">
        <f t="shared" si="29"/>
        <v>14168.392633976451</v>
      </c>
    </row>
    <row r="225" spans="7:20">
      <c r="G225" s="428">
        <v>222</v>
      </c>
      <c r="H225" s="440">
        <f t="shared" si="23"/>
        <v>1704729.1140214652</v>
      </c>
      <c r="I225" s="440">
        <f t="shared" si="24"/>
        <v>5714.8196662174751</v>
      </c>
      <c r="J225" s="440">
        <f t="shared" si="25"/>
        <v>9716.785843777172</v>
      </c>
      <c r="K225" s="440">
        <f t="shared" si="26"/>
        <v>15431.605509994648</v>
      </c>
      <c r="L225" s="440">
        <f t="shared" si="27"/>
        <v>973.23378915683611</v>
      </c>
      <c r="M225" s="440"/>
      <c r="N225" s="440"/>
      <c r="O225" s="440"/>
      <c r="P225" s="440"/>
      <c r="Q225" s="440"/>
      <c r="R225" s="440"/>
      <c r="S225" s="441">
        <f t="shared" si="28"/>
        <v>16404.839299151485</v>
      </c>
      <c r="T225" s="442">
        <f t="shared" si="29"/>
        <v>14175.488147360047</v>
      </c>
    </row>
    <row r="226" spans="7:20">
      <c r="G226" s="428">
        <v>223</v>
      </c>
      <c r="H226" s="440">
        <f t="shared" si="23"/>
        <v>1694979.9388915421</v>
      </c>
      <c r="I226" s="440">
        <f t="shared" si="24"/>
        <v>5682.4303800715506</v>
      </c>
      <c r="J226" s="440">
        <f t="shared" si="25"/>
        <v>9749.1751299230964</v>
      </c>
      <c r="K226" s="440">
        <f t="shared" si="26"/>
        <v>15431.605509994648</v>
      </c>
      <c r="L226" s="440">
        <f t="shared" si="27"/>
        <v>967.71789372618514</v>
      </c>
      <c r="M226" s="440"/>
      <c r="N226" s="440"/>
      <c r="O226" s="440"/>
      <c r="P226" s="440"/>
      <c r="Q226" s="440"/>
      <c r="R226" s="440"/>
      <c r="S226" s="441">
        <f t="shared" si="28"/>
        <v>16399.323403720831</v>
      </c>
      <c r="T226" s="442">
        <f t="shared" si="29"/>
        <v>14182.607312454918</v>
      </c>
    </row>
    <row r="227" spans="7:20">
      <c r="G227" s="428">
        <v>224</v>
      </c>
      <c r="H227" s="440">
        <f t="shared" si="23"/>
        <v>1685198.266511186</v>
      </c>
      <c r="I227" s="440">
        <f t="shared" si="24"/>
        <v>5649.9331296384744</v>
      </c>
      <c r="J227" s="440">
        <f t="shared" si="25"/>
        <v>9781.6723803561727</v>
      </c>
      <c r="K227" s="440">
        <f t="shared" si="26"/>
        <v>15431.605509994648</v>
      </c>
      <c r="L227" s="440">
        <f t="shared" si="27"/>
        <v>962.18361197743218</v>
      </c>
      <c r="M227" s="440"/>
      <c r="N227" s="440"/>
      <c r="O227" s="440"/>
      <c r="P227" s="440"/>
      <c r="Q227" s="440"/>
      <c r="R227" s="440"/>
      <c r="S227" s="441">
        <f t="shared" si="28"/>
        <v>16393.78912197208</v>
      </c>
      <c r="T227" s="442">
        <f t="shared" si="29"/>
        <v>14189.750208100111</v>
      </c>
    </row>
    <row r="228" spans="7:20">
      <c r="G228" s="428">
        <v>225</v>
      </c>
      <c r="H228" s="440">
        <f t="shared" si="23"/>
        <v>1675383.9885562286</v>
      </c>
      <c r="I228" s="440">
        <f t="shared" si="24"/>
        <v>5617.3275550372873</v>
      </c>
      <c r="J228" s="440">
        <f t="shared" si="25"/>
        <v>9814.2779549573606</v>
      </c>
      <c r="K228" s="440">
        <f t="shared" si="26"/>
        <v>15431.605509994648</v>
      </c>
      <c r="L228" s="440">
        <f t="shared" si="27"/>
        <v>956.63088262285009</v>
      </c>
      <c r="M228" s="440"/>
      <c r="N228" s="440"/>
      <c r="O228" s="440"/>
      <c r="P228" s="440"/>
      <c r="Q228" s="440"/>
      <c r="R228" s="440"/>
      <c r="S228" s="441">
        <f t="shared" si="28"/>
        <v>16388.236392617498</v>
      </c>
      <c r="T228" s="442">
        <f t="shared" si="29"/>
        <v>14196.916913397454</v>
      </c>
    </row>
    <row r="229" spans="7:20">
      <c r="G229" s="428">
        <v>226</v>
      </c>
      <c r="H229" s="440">
        <f t="shared" si="23"/>
        <v>1665536.9963414213</v>
      </c>
      <c r="I229" s="440">
        <f t="shared" si="24"/>
        <v>5584.6132951874288</v>
      </c>
      <c r="J229" s="440">
        <f t="shared" si="25"/>
        <v>9846.9922148072183</v>
      </c>
      <c r="K229" s="440">
        <f t="shared" si="26"/>
        <v>15431.605509994648</v>
      </c>
      <c r="L229" s="440">
        <f t="shared" si="27"/>
        <v>951.05964417041923</v>
      </c>
      <c r="M229" s="440"/>
      <c r="N229" s="440"/>
      <c r="O229" s="440"/>
      <c r="P229" s="440"/>
      <c r="Q229" s="440"/>
      <c r="R229" s="440"/>
      <c r="S229" s="441">
        <f t="shared" si="28"/>
        <v>16382.665154165068</v>
      </c>
      <c r="T229" s="442">
        <f t="shared" si="29"/>
        <v>14204.107507712451</v>
      </c>
    </row>
    <row r="230" spans="7:20">
      <c r="G230" s="428">
        <v>227</v>
      </c>
      <c r="H230" s="440">
        <f t="shared" si="23"/>
        <v>1655657.1808192313</v>
      </c>
      <c r="I230" s="440">
        <f t="shared" si="24"/>
        <v>5551.7899878047383</v>
      </c>
      <c r="J230" s="440">
        <f t="shared" si="25"/>
        <v>9879.8155221899106</v>
      </c>
      <c r="K230" s="440">
        <f t="shared" si="26"/>
        <v>15431.605509994648</v>
      </c>
      <c r="L230" s="440">
        <f t="shared" si="27"/>
        <v>945.46983492314689</v>
      </c>
      <c r="M230" s="440"/>
      <c r="N230" s="440"/>
      <c r="O230" s="440"/>
      <c r="P230" s="440"/>
      <c r="Q230" s="440"/>
      <c r="R230" s="440"/>
      <c r="S230" s="441">
        <f t="shared" si="28"/>
        <v>16377.075344917796</v>
      </c>
      <c r="T230" s="442">
        <f t="shared" si="29"/>
        <v>14211.322070675167</v>
      </c>
    </row>
    <row r="231" spans="7:20">
      <c r="G231" s="428">
        <v>228</v>
      </c>
      <c r="H231" s="440">
        <f t="shared" si="23"/>
        <v>1645744.432578634</v>
      </c>
      <c r="I231" s="440">
        <f t="shared" si="24"/>
        <v>5518.8572693974384</v>
      </c>
      <c r="J231" s="440">
        <f t="shared" si="25"/>
        <v>9912.7482405972096</v>
      </c>
      <c r="K231" s="440">
        <f t="shared" si="26"/>
        <v>15431.605509994648</v>
      </c>
      <c r="L231" s="440">
        <f t="shared" si="27"/>
        <v>939.86139297838372</v>
      </c>
      <c r="M231" s="440"/>
      <c r="N231" s="440"/>
      <c r="O231" s="440"/>
      <c r="P231" s="440"/>
      <c r="Q231" s="440"/>
      <c r="R231" s="440"/>
      <c r="S231" s="441">
        <f t="shared" si="28"/>
        <v>16371.466902973032</v>
      </c>
      <c r="T231" s="442">
        <f t="shared" si="29"/>
        <v>14218.560682181091</v>
      </c>
    </row>
    <row r="232" spans="7:20">
      <c r="G232" s="428">
        <v>229</v>
      </c>
      <c r="H232" s="440">
        <f t="shared" si="23"/>
        <v>1635798.6418439015</v>
      </c>
      <c r="I232" s="440">
        <f t="shared" si="24"/>
        <v>5485.8147752621135</v>
      </c>
      <c r="J232" s="440">
        <f t="shared" si="25"/>
        <v>9945.7907347325345</v>
      </c>
      <c r="K232" s="440">
        <f t="shared" si="26"/>
        <v>15431.605509994648</v>
      </c>
      <c r="L232" s="440">
        <f t="shared" si="27"/>
        <v>934.23425622713796</v>
      </c>
      <c r="M232" s="440"/>
      <c r="N232" s="440"/>
      <c r="O232" s="440"/>
      <c r="P232" s="440"/>
      <c r="Q232" s="440"/>
      <c r="R232" s="440"/>
      <c r="S232" s="441">
        <f t="shared" si="28"/>
        <v>16365.839766221787</v>
      </c>
      <c r="T232" s="442">
        <f t="shared" si="29"/>
        <v>14225.823422392037</v>
      </c>
    </row>
    <row r="233" spans="7:20">
      <c r="G233" s="428">
        <v>230</v>
      </c>
      <c r="H233" s="440">
        <f t="shared" si="23"/>
        <v>1625819.6984733865</v>
      </c>
      <c r="I233" s="440">
        <f t="shared" si="24"/>
        <v>5452.6621394796721</v>
      </c>
      <c r="J233" s="440">
        <f t="shared" si="25"/>
        <v>9978.943370514975</v>
      </c>
      <c r="K233" s="440">
        <f t="shared" si="26"/>
        <v>15431.605509994648</v>
      </c>
      <c r="L233" s="440">
        <f t="shared" si="27"/>
        <v>928.58836235338822</v>
      </c>
      <c r="M233" s="440"/>
      <c r="N233" s="440"/>
      <c r="O233" s="440"/>
      <c r="P233" s="440"/>
      <c r="Q233" s="440"/>
      <c r="R233" s="440"/>
      <c r="S233" s="441">
        <f t="shared" si="28"/>
        <v>16360.193872348036</v>
      </c>
      <c r="T233" s="442">
        <f t="shared" si="29"/>
        <v>14233.110371737017</v>
      </c>
    </row>
    <row r="234" spans="7:20">
      <c r="G234" s="428">
        <v>231</v>
      </c>
      <c r="H234" s="440">
        <f t="shared" si="23"/>
        <v>1615807.4919583031</v>
      </c>
      <c r="I234" s="440">
        <f t="shared" si="24"/>
        <v>5419.3989949112884</v>
      </c>
      <c r="J234" s="440">
        <f t="shared" si="25"/>
        <v>10012.206515083359</v>
      </c>
      <c r="K234" s="440">
        <f t="shared" si="26"/>
        <v>15431.605509994648</v>
      </c>
      <c r="L234" s="440">
        <f t="shared" si="27"/>
        <v>922.92364883339246</v>
      </c>
      <c r="M234" s="440"/>
      <c r="N234" s="440"/>
      <c r="O234" s="440"/>
      <c r="P234" s="440"/>
      <c r="Q234" s="440"/>
      <c r="R234" s="440"/>
      <c r="S234" s="441">
        <f t="shared" si="28"/>
        <v>16354.52915882804</v>
      </c>
      <c r="T234" s="442">
        <f t="shared" si="29"/>
        <v>14240.421610913147</v>
      </c>
    </row>
    <row r="235" spans="7:20">
      <c r="G235" s="428">
        <v>232</v>
      </c>
      <c r="H235" s="440">
        <f t="shared" si="23"/>
        <v>1605761.9114215029</v>
      </c>
      <c r="I235" s="440">
        <f t="shared" si="24"/>
        <v>5386.0249731943441</v>
      </c>
      <c r="J235" s="440">
        <f t="shared" si="25"/>
        <v>10045.580536800304</v>
      </c>
      <c r="K235" s="440">
        <f t="shared" si="26"/>
        <v>15431.605509994648</v>
      </c>
      <c r="L235" s="440">
        <f t="shared" si="27"/>
        <v>917.24005293499681</v>
      </c>
      <c r="M235" s="440"/>
      <c r="N235" s="440"/>
      <c r="O235" s="440"/>
      <c r="P235" s="440"/>
      <c r="Q235" s="440"/>
      <c r="R235" s="440"/>
      <c r="S235" s="441">
        <f t="shared" si="28"/>
        <v>16348.845562929644</v>
      </c>
      <c r="T235" s="442">
        <f t="shared" si="29"/>
        <v>14247.757220886531</v>
      </c>
    </row>
    <row r="236" spans="7:20">
      <c r="G236" s="428">
        <v>233</v>
      </c>
      <c r="H236" s="440">
        <f t="shared" si="23"/>
        <v>1595682.8456162466</v>
      </c>
      <c r="I236" s="440">
        <f t="shared" si="24"/>
        <v>5352.5397047383431</v>
      </c>
      <c r="J236" s="440">
        <f t="shared" si="25"/>
        <v>10079.065805256305</v>
      </c>
      <c r="K236" s="440">
        <f t="shared" si="26"/>
        <v>15431.605509994648</v>
      </c>
      <c r="L236" s="440">
        <f t="shared" si="27"/>
        <v>911.53751171693989</v>
      </c>
      <c r="M236" s="440"/>
      <c r="N236" s="440"/>
      <c r="O236" s="440"/>
      <c r="P236" s="440"/>
      <c r="Q236" s="440"/>
      <c r="R236" s="440"/>
      <c r="S236" s="441">
        <f t="shared" si="28"/>
        <v>16343.143021711589</v>
      </c>
      <c r="T236" s="442">
        <f t="shared" si="29"/>
        <v>14255.117282893161</v>
      </c>
    </row>
    <row r="237" spans="7:20">
      <c r="G237" s="428">
        <v>234</v>
      </c>
      <c r="H237" s="440">
        <f t="shared" si="23"/>
        <v>1585570.1829249728</v>
      </c>
      <c r="I237" s="440">
        <f t="shared" si="24"/>
        <v>5318.9428187208223</v>
      </c>
      <c r="J237" s="440">
        <f t="shared" si="25"/>
        <v>10112.662691273825</v>
      </c>
      <c r="K237" s="440">
        <f t="shared" si="26"/>
        <v>15431.605509994648</v>
      </c>
      <c r="L237" s="440">
        <f t="shared" si="27"/>
        <v>905.81596202815604</v>
      </c>
      <c r="M237" s="440"/>
      <c r="N237" s="440"/>
      <c r="O237" s="440"/>
      <c r="P237" s="440"/>
      <c r="Q237" s="440"/>
      <c r="R237" s="440"/>
      <c r="S237" s="441">
        <f t="shared" si="28"/>
        <v>16337.421472022805</v>
      </c>
      <c r="T237" s="442">
        <f t="shared" si="29"/>
        <v>14262.501878439813</v>
      </c>
    </row>
    <row r="238" spans="7:20">
      <c r="G238" s="428">
        <v>235</v>
      </c>
      <c r="H238" s="440">
        <f t="shared" si="23"/>
        <v>1575423.8113580614</v>
      </c>
      <c r="I238" s="440">
        <f t="shared" si="24"/>
        <v>5285.2339430832435</v>
      </c>
      <c r="J238" s="440">
        <f t="shared" si="25"/>
        <v>10146.371566911404</v>
      </c>
      <c r="K238" s="440">
        <f t="shared" si="26"/>
        <v>15431.605509994648</v>
      </c>
      <c r="L238" s="440">
        <f t="shared" si="27"/>
        <v>900.07534050707636</v>
      </c>
      <c r="M238" s="440"/>
      <c r="N238" s="440"/>
      <c r="O238" s="440"/>
      <c r="P238" s="440"/>
      <c r="Q238" s="440"/>
      <c r="R238" s="440"/>
      <c r="S238" s="441">
        <f t="shared" si="28"/>
        <v>16331.680850501725</v>
      </c>
      <c r="T238" s="442">
        <f t="shared" si="29"/>
        <v>14269.911089304951</v>
      </c>
    </row>
    <row r="239" spans="7:20">
      <c r="G239" s="428">
        <v>236</v>
      </c>
      <c r="H239" s="440">
        <f t="shared" si="23"/>
        <v>1565243.6185525935</v>
      </c>
      <c r="I239" s="440">
        <f t="shared" si="24"/>
        <v>5251.4127045268715</v>
      </c>
      <c r="J239" s="440">
        <f t="shared" si="25"/>
        <v>10180.192805467777</v>
      </c>
      <c r="K239" s="440">
        <f t="shared" si="26"/>
        <v>15431.605509994648</v>
      </c>
      <c r="L239" s="440">
        <f t="shared" si="27"/>
        <v>894.31558358092627</v>
      </c>
      <c r="M239" s="440"/>
      <c r="N239" s="440"/>
      <c r="O239" s="440"/>
      <c r="P239" s="440"/>
      <c r="Q239" s="440"/>
      <c r="R239" s="440"/>
      <c r="S239" s="441">
        <f t="shared" si="28"/>
        <v>16325.921093575575</v>
      </c>
      <c r="T239" s="442">
        <f t="shared" si="29"/>
        <v>14277.344997539642</v>
      </c>
    </row>
    <row r="240" spans="7:20">
      <c r="G240" s="428">
        <v>237</v>
      </c>
      <c r="H240" s="440">
        <f t="shared" si="23"/>
        <v>1555029.4917711075</v>
      </c>
      <c r="I240" s="440">
        <f t="shared" si="24"/>
        <v>5217.478728508645</v>
      </c>
      <c r="J240" s="440">
        <f t="shared" si="25"/>
        <v>10214.126781486004</v>
      </c>
      <c r="K240" s="440">
        <f t="shared" si="26"/>
        <v>15431.605509994648</v>
      </c>
      <c r="L240" s="440">
        <f t="shared" si="27"/>
        <v>888.53662746502232</v>
      </c>
      <c r="M240" s="440"/>
      <c r="N240" s="440"/>
      <c r="O240" s="440"/>
      <c r="P240" s="440"/>
      <c r="Q240" s="440"/>
      <c r="R240" s="440"/>
      <c r="S240" s="441">
        <f t="shared" si="28"/>
        <v>16320.14213745967</v>
      </c>
      <c r="T240" s="442">
        <f t="shared" si="29"/>
        <v>14284.803685468447</v>
      </c>
    </row>
    <row r="241" spans="7:20">
      <c r="G241" s="428">
        <v>238</v>
      </c>
      <c r="H241" s="440">
        <f t="shared" si="23"/>
        <v>1544781.3179003499</v>
      </c>
      <c r="I241" s="440">
        <f t="shared" si="24"/>
        <v>5183.4316392370256</v>
      </c>
      <c r="J241" s="440">
        <f t="shared" si="25"/>
        <v>10248.173870757622</v>
      </c>
      <c r="K241" s="440">
        <f t="shared" si="26"/>
        <v>15431.605509994648</v>
      </c>
      <c r="L241" s="440">
        <f t="shared" si="27"/>
        <v>882.73840816206553</v>
      </c>
      <c r="M241" s="440"/>
      <c r="N241" s="440"/>
      <c r="O241" s="440"/>
      <c r="P241" s="440"/>
      <c r="Q241" s="440"/>
      <c r="R241" s="440"/>
      <c r="S241" s="441">
        <f t="shared" si="28"/>
        <v>16314.343918156714</v>
      </c>
      <c r="T241" s="442">
        <f t="shared" si="29"/>
        <v>14292.28723569035</v>
      </c>
    </row>
    <row r="242" spans="7:20">
      <c r="G242" s="428">
        <v>239</v>
      </c>
      <c r="H242" s="440">
        <f t="shared" si="23"/>
        <v>1534498.983450023</v>
      </c>
      <c r="I242" s="440">
        <f t="shared" si="24"/>
        <v>5149.2710596678335</v>
      </c>
      <c r="J242" s="440">
        <f t="shared" si="25"/>
        <v>10282.334450326814</v>
      </c>
      <c r="K242" s="440">
        <f t="shared" si="26"/>
        <v>15431.605509994648</v>
      </c>
      <c r="L242" s="440">
        <f t="shared" si="27"/>
        <v>876.92086146143208</v>
      </c>
      <c r="M242" s="440"/>
      <c r="N242" s="440"/>
      <c r="O242" s="440"/>
      <c r="P242" s="440"/>
      <c r="Q242" s="440"/>
      <c r="R242" s="440"/>
      <c r="S242" s="441">
        <f t="shared" si="28"/>
        <v>16308.526371456081</v>
      </c>
      <c r="T242" s="442">
        <f t="shared" si="29"/>
        <v>14299.795731079659</v>
      </c>
    </row>
    <row r="243" spans="7:20">
      <c r="G243" s="428">
        <v>240</v>
      </c>
      <c r="H243" s="440">
        <f t="shared" si="23"/>
        <v>1524182.3745515284</v>
      </c>
      <c r="I243" s="440">
        <f t="shared" si="24"/>
        <v>5114.9966115000771</v>
      </c>
      <c r="J243" s="440">
        <f t="shared" si="25"/>
        <v>10316.608898494571</v>
      </c>
      <c r="K243" s="440">
        <f t="shared" si="26"/>
        <v>15431.605509994648</v>
      </c>
      <c r="L243" s="440">
        <f t="shared" si="27"/>
        <v>871.08392293846316</v>
      </c>
      <c r="M243" s="440"/>
      <c r="N243" s="440"/>
      <c r="O243" s="440"/>
      <c r="P243" s="440"/>
      <c r="Q243" s="440"/>
      <c r="R243" s="440"/>
      <c r="S243" s="441">
        <f t="shared" si="28"/>
        <v>16302.689432933112</v>
      </c>
      <c r="T243" s="442">
        <f t="shared" si="29"/>
        <v>14307.329254786931</v>
      </c>
    </row>
    <row r="244" spans="7:20">
      <c r="G244" s="428">
        <v>241</v>
      </c>
      <c r="H244" s="440">
        <f t="shared" si="23"/>
        <v>1513831.3769567055</v>
      </c>
      <c r="I244" s="440">
        <f t="shared" si="24"/>
        <v>5080.6079151717613</v>
      </c>
      <c r="J244" s="440">
        <f t="shared" si="25"/>
        <v>10350.997594822886</v>
      </c>
      <c r="K244" s="440">
        <f t="shared" si="26"/>
        <v>15431.605509994648</v>
      </c>
      <c r="L244" s="440">
        <f t="shared" si="27"/>
        <v>865.22752795375106</v>
      </c>
      <c r="M244" s="440"/>
      <c r="N244" s="440"/>
      <c r="O244" s="440"/>
      <c r="P244" s="440"/>
      <c r="Q244" s="440"/>
      <c r="R244" s="440"/>
      <c r="S244" s="441">
        <f t="shared" si="28"/>
        <v>16296.8330379484</v>
      </c>
      <c r="T244" s="442">
        <f t="shared" si="29"/>
        <v>14314.887890239896</v>
      </c>
    </row>
    <row r="245" spans="7:20">
      <c r="G245" s="428">
        <v>242</v>
      </c>
      <c r="H245" s="440">
        <f t="shared" si="23"/>
        <v>1503445.8760365664</v>
      </c>
      <c r="I245" s="440">
        <f t="shared" si="24"/>
        <v>5046.1045898556849</v>
      </c>
      <c r="J245" s="440">
        <f t="shared" si="25"/>
        <v>10385.500920138962</v>
      </c>
      <c r="K245" s="440">
        <f t="shared" si="26"/>
        <v>15431.605509994648</v>
      </c>
      <c r="L245" s="440">
        <f t="shared" si="27"/>
        <v>859.35161165242323</v>
      </c>
      <c r="M245" s="440"/>
      <c r="N245" s="440"/>
      <c r="O245" s="440"/>
      <c r="P245" s="440"/>
      <c r="Q245" s="440"/>
      <c r="R245" s="440"/>
      <c r="S245" s="441">
        <f t="shared" si="28"/>
        <v>16290.95712164707</v>
      </c>
      <c r="T245" s="442">
        <f t="shared" si="29"/>
        <v>14322.471721144368</v>
      </c>
    </row>
    <row r="246" spans="7:20">
      <c r="G246" s="428">
        <v>243</v>
      </c>
      <c r="H246" s="440">
        <f t="shared" si="23"/>
        <v>1493025.7567800269</v>
      </c>
      <c r="I246" s="440">
        <f t="shared" si="24"/>
        <v>5011.4862534552221</v>
      </c>
      <c r="J246" s="440">
        <f t="shared" si="25"/>
        <v>10420.119256539427</v>
      </c>
      <c r="K246" s="440">
        <f t="shared" si="26"/>
        <v>15431.605509994648</v>
      </c>
      <c r="L246" s="440">
        <f t="shared" si="27"/>
        <v>853.4561089634243</v>
      </c>
      <c r="M246" s="440"/>
      <c r="N246" s="440"/>
      <c r="O246" s="440"/>
      <c r="P246" s="440"/>
      <c r="Q246" s="440"/>
      <c r="R246" s="440"/>
      <c r="S246" s="441">
        <f t="shared" si="28"/>
        <v>16285.061618958072</v>
      </c>
      <c r="T246" s="442">
        <f t="shared" si="29"/>
        <v>14330.080831485189</v>
      </c>
    </row>
    <row r="247" spans="7:20">
      <c r="G247" s="428">
        <v>244</v>
      </c>
      <c r="H247" s="440">
        <f t="shared" si="23"/>
        <v>1482570.9037926323</v>
      </c>
      <c r="I247" s="440">
        <f t="shared" si="24"/>
        <v>4976.7525226000898</v>
      </c>
      <c r="J247" s="440">
        <f t="shared" si="25"/>
        <v>10454.852987394559</v>
      </c>
      <c r="K247" s="440">
        <f t="shared" si="26"/>
        <v>15431.605509994648</v>
      </c>
      <c r="L247" s="440">
        <f t="shared" si="27"/>
        <v>847.54095459879534</v>
      </c>
      <c r="M247" s="440"/>
      <c r="N247" s="440"/>
      <c r="O247" s="440"/>
      <c r="P247" s="440"/>
      <c r="Q247" s="440"/>
      <c r="R247" s="440"/>
      <c r="S247" s="441">
        <f t="shared" si="28"/>
        <v>16279.146464593443</v>
      </c>
      <c r="T247" s="442">
        <f t="shared" si="29"/>
        <v>14337.715305527148</v>
      </c>
    </row>
    <row r="248" spans="7:20">
      <c r="G248" s="428">
        <v>245</v>
      </c>
      <c r="H248" s="440">
        <f t="shared" si="23"/>
        <v>1472081.2012952797</v>
      </c>
      <c r="I248" s="440">
        <f t="shared" si="24"/>
        <v>4941.9030126421076</v>
      </c>
      <c r="J248" s="440">
        <f t="shared" si="25"/>
        <v>10489.70249735254</v>
      </c>
      <c r="K248" s="440">
        <f t="shared" si="26"/>
        <v>15431.605509994648</v>
      </c>
      <c r="L248" s="440">
        <f t="shared" si="27"/>
        <v>841.60608305295102</v>
      </c>
      <c r="M248" s="440"/>
      <c r="N248" s="440"/>
      <c r="O248" s="440"/>
      <c r="P248" s="440"/>
      <c r="Q248" s="440"/>
      <c r="R248" s="440"/>
      <c r="S248" s="441">
        <f t="shared" si="28"/>
        <v>16273.211593047599</v>
      </c>
      <c r="T248" s="442">
        <f t="shared" si="29"/>
        <v>14345.375227815914</v>
      </c>
    </row>
    <row r="249" spans="7:20">
      <c r="G249" s="428">
        <v>246</v>
      </c>
      <c r="H249" s="440">
        <f t="shared" si="23"/>
        <v>1461556.533122936</v>
      </c>
      <c r="I249" s="440">
        <f t="shared" si="24"/>
        <v>4906.9373376509329</v>
      </c>
      <c r="J249" s="440">
        <f t="shared" si="25"/>
        <v>10524.668172343714</v>
      </c>
      <c r="K249" s="440">
        <f t="shared" si="26"/>
        <v>15431.605509994648</v>
      </c>
      <c r="L249" s="440">
        <f t="shared" si="27"/>
        <v>835.65142860195385</v>
      </c>
      <c r="M249" s="440"/>
      <c r="N249" s="440"/>
      <c r="O249" s="440"/>
      <c r="P249" s="440"/>
      <c r="Q249" s="440"/>
      <c r="R249" s="440"/>
      <c r="S249" s="441">
        <f t="shared" si="28"/>
        <v>16267.256938596602</v>
      </c>
      <c r="T249" s="442">
        <f t="shared" si="29"/>
        <v>14353.060683178974</v>
      </c>
    </row>
    <row r="250" spans="7:20">
      <c r="G250" s="428">
        <v>247</v>
      </c>
      <c r="H250" s="440">
        <f t="shared" si="23"/>
        <v>1450996.7827233511</v>
      </c>
      <c r="I250" s="440">
        <f t="shared" si="24"/>
        <v>4871.8551104097869</v>
      </c>
      <c r="J250" s="440">
        <f t="shared" si="25"/>
        <v>10559.75039958486</v>
      </c>
      <c r="K250" s="440">
        <f t="shared" si="26"/>
        <v>15431.605509994648</v>
      </c>
      <c r="L250" s="440">
        <f t="shared" si="27"/>
        <v>829.6769253027868</v>
      </c>
      <c r="M250" s="440"/>
      <c r="N250" s="440"/>
      <c r="O250" s="440"/>
      <c r="P250" s="440"/>
      <c r="Q250" s="440"/>
      <c r="R250" s="440"/>
      <c r="S250" s="441">
        <f t="shared" si="28"/>
        <v>16261.282435297435</v>
      </c>
      <c r="T250" s="442">
        <f t="shared" si="29"/>
        <v>14360.771756726577</v>
      </c>
    </row>
    <row r="251" spans="7:20">
      <c r="G251" s="428">
        <v>248</v>
      </c>
      <c r="H251" s="440">
        <f t="shared" si="23"/>
        <v>1440401.8331557678</v>
      </c>
      <c r="I251" s="440">
        <f t="shared" si="24"/>
        <v>4836.6559424111711</v>
      </c>
      <c r="J251" s="440">
        <f t="shared" si="25"/>
        <v>10594.949567583477</v>
      </c>
      <c r="K251" s="440">
        <f t="shared" si="26"/>
        <v>15431.605509994648</v>
      </c>
      <c r="L251" s="440">
        <f t="shared" si="27"/>
        <v>823.68250699262239</v>
      </c>
      <c r="M251" s="440"/>
      <c r="N251" s="440"/>
      <c r="O251" s="440"/>
      <c r="P251" s="440"/>
      <c r="Q251" s="440"/>
      <c r="R251" s="440"/>
      <c r="S251" s="441">
        <f t="shared" si="28"/>
        <v>16255.28801698727</v>
      </c>
      <c r="T251" s="442">
        <f t="shared" si="29"/>
        <v>14368.508533852671</v>
      </c>
    </row>
    <row r="252" spans="7:20">
      <c r="G252" s="428">
        <v>249</v>
      </c>
      <c r="H252" s="440">
        <f t="shared" ref="H252:H315" si="30">H251-J252</f>
        <v>1429771.5670896256</v>
      </c>
      <c r="I252" s="440">
        <f t="shared" ref="I252:I315" si="31">$E$9/$E$13*H251</f>
        <v>4801.3394438525593</v>
      </c>
      <c r="J252" s="440">
        <f t="shared" ref="J252:J315" si="32">K252-I252</f>
        <v>10630.266066142089</v>
      </c>
      <c r="K252" s="440">
        <f t="shared" ref="K252:K315" si="33">IF(G252&gt;$E$14,0,$E$16)</f>
        <v>15431.605509994648</v>
      </c>
      <c r="L252" s="440">
        <f t="shared" ref="L252:L315" si="34">$E$10/$E$13*H251</f>
        <v>817.66810728809094</v>
      </c>
      <c r="M252" s="440"/>
      <c r="N252" s="440"/>
      <c r="O252" s="440"/>
      <c r="P252" s="440"/>
      <c r="Q252" s="440"/>
      <c r="R252" s="440"/>
      <c r="S252" s="441">
        <f t="shared" ref="S252:S315" si="35">K252+L252</f>
        <v>16249.273617282739</v>
      </c>
      <c r="T252" s="442">
        <f t="shared" ref="T252:T315" si="36">S252-1/3*(I252+L252)</f>
        <v>14376.271100235856</v>
      </c>
    </row>
    <row r="253" spans="7:20">
      <c r="G253" s="428">
        <v>250</v>
      </c>
      <c r="H253" s="440">
        <f t="shared" si="30"/>
        <v>1419105.8668032631</v>
      </c>
      <c r="I253" s="440">
        <f t="shared" si="31"/>
        <v>4765.9052236320858</v>
      </c>
      <c r="J253" s="440">
        <f t="shared" si="32"/>
        <v>10665.700286362562</v>
      </c>
      <c r="K253" s="440">
        <f t="shared" si="33"/>
        <v>15431.605509994648</v>
      </c>
      <c r="L253" s="440">
        <f t="shared" si="34"/>
        <v>811.63365958454426</v>
      </c>
      <c r="M253" s="440"/>
      <c r="N253" s="440"/>
      <c r="O253" s="440"/>
      <c r="P253" s="440"/>
      <c r="Q253" s="440"/>
      <c r="R253" s="440"/>
      <c r="S253" s="441">
        <f t="shared" si="35"/>
        <v>16243.239169579192</v>
      </c>
      <c r="T253" s="442">
        <f t="shared" si="36"/>
        <v>14384.059541840315</v>
      </c>
    </row>
    <row r="254" spans="7:20">
      <c r="G254" s="428">
        <v>251</v>
      </c>
      <c r="H254" s="440">
        <f t="shared" si="30"/>
        <v>1408404.6141826126</v>
      </c>
      <c r="I254" s="440">
        <f t="shared" si="31"/>
        <v>4730.3528893442108</v>
      </c>
      <c r="J254" s="440">
        <f t="shared" si="32"/>
        <v>10701.252620650437</v>
      </c>
      <c r="K254" s="440">
        <f t="shared" si="33"/>
        <v>15431.605509994648</v>
      </c>
      <c r="L254" s="440">
        <f t="shared" si="34"/>
        <v>805.57909705531915</v>
      </c>
      <c r="M254" s="440"/>
      <c r="N254" s="440"/>
      <c r="O254" s="440"/>
      <c r="P254" s="440"/>
      <c r="Q254" s="440"/>
      <c r="R254" s="440"/>
      <c r="S254" s="441">
        <f t="shared" si="35"/>
        <v>16237.184607049967</v>
      </c>
      <c r="T254" s="442">
        <f t="shared" si="36"/>
        <v>14391.87394491679</v>
      </c>
    </row>
    <row r="255" spans="7:20">
      <c r="G255" s="428">
        <v>252</v>
      </c>
      <c r="H255" s="440">
        <f t="shared" si="30"/>
        <v>1397667.6907198934</v>
      </c>
      <c r="I255" s="440">
        <f t="shared" si="31"/>
        <v>4694.6820472753761</v>
      </c>
      <c r="J255" s="440">
        <f t="shared" si="32"/>
        <v>10736.923462719271</v>
      </c>
      <c r="K255" s="440">
        <f t="shared" si="33"/>
        <v>15431.605509994648</v>
      </c>
      <c r="L255" s="440">
        <f t="shared" si="34"/>
        <v>799.50435265099657</v>
      </c>
      <c r="M255" s="440"/>
      <c r="N255" s="440"/>
      <c r="O255" s="440"/>
      <c r="P255" s="440"/>
      <c r="Q255" s="440"/>
      <c r="R255" s="440"/>
      <c r="S255" s="441">
        <f t="shared" si="35"/>
        <v>16231.109862645644</v>
      </c>
      <c r="T255" s="442">
        <f t="shared" si="36"/>
        <v>14399.714396003521</v>
      </c>
    </row>
    <row r="256" spans="7:20">
      <c r="G256" s="428">
        <v>253</v>
      </c>
      <c r="H256" s="440">
        <f t="shared" si="30"/>
        <v>1386894.9775122984</v>
      </c>
      <c r="I256" s="440">
        <f t="shared" si="31"/>
        <v>4658.8923023996449</v>
      </c>
      <c r="J256" s="440">
        <f t="shared" si="32"/>
        <v>10772.713207595003</v>
      </c>
      <c r="K256" s="440">
        <f t="shared" si="33"/>
        <v>15431.605509994648</v>
      </c>
      <c r="L256" s="440">
        <f t="shared" si="34"/>
        <v>793.40935909865959</v>
      </c>
      <c r="M256" s="440"/>
      <c r="N256" s="440"/>
      <c r="O256" s="440"/>
      <c r="P256" s="440"/>
      <c r="Q256" s="440"/>
      <c r="R256" s="440"/>
      <c r="S256" s="441">
        <f t="shared" si="35"/>
        <v>16225.014869093307</v>
      </c>
      <c r="T256" s="442">
        <f t="shared" si="36"/>
        <v>14407.580981927205</v>
      </c>
    </row>
    <row r="257" spans="7:20">
      <c r="G257" s="428">
        <v>254</v>
      </c>
      <c r="H257" s="440">
        <f t="shared" si="30"/>
        <v>1376086.3552606781</v>
      </c>
      <c r="I257" s="440">
        <f t="shared" si="31"/>
        <v>4622.9832583743282</v>
      </c>
      <c r="J257" s="440">
        <f t="shared" si="32"/>
        <v>10808.62225162032</v>
      </c>
      <c r="K257" s="440">
        <f t="shared" si="33"/>
        <v>15431.605509994648</v>
      </c>
      <c r="L257" s="440">
        <f t="shared" si="34"/>
        <v>787.29404890114813</v>
      </c>
      <c r="M257" s="440"/>
      <c r="N257" s="440"/>
      <c r="O257" s="440"/>
      <c r="P257" s="440"/>
      <c r="Q257" s="440"/>
      <c r="R257" s="440"/>
      <c r="S257" s="441">
        <f t="shared" si="35"/>
        <v>16218.899558895797</v>
      </c>
      <c r="T257" s="442">
        <f t="shared" si="36"/>
        <v>14415.473789803971</v>
      </c>
    </row>
    <row r="258" spans="7:20">
      <c r="G258" s="428">
        <v>255</v>
      </c>
      <c r="H258" s="440">
        <f t="shared" si="30"/>
        <v>1365241.7042682189</v>
      </c>
      <c r="I258" s="440">
        <f t="shared" si="31"/>
        <v>4586.9545175355943</v>
      </c>
      <c r="J258" s="440">
        <f t="shared" si="32"/>
        <v>10844.650992459054</v>
      </c>
      <c r="K258" s="440">
        <f t="shared" si="33"/>
        <v>15431.605509994648</v>
      </c>
      <c r="L258" s="440">
        <f t="shared" si="34"/>
        <v>781.15835433631173</v>
      </c>
      <c r="M258" s="440"/>
      <c r="N258" s="440"/>
      <c r="O258" s="440"/>
      <c r="P258" s="440"/>
      <c r="Q258" s="440"/>
      <c r="R258" s="440"/>
      <c r="S258" s="441">
        <f t="shared" si="35"/>
        <v>16212.76386433096</v>
      </c>
      <c r="T258" s="442">
        <f t="shared" si="36"/>
        <v>14423.392907040325</v>
      </c>
    </row>
    <row r="259" spans="7:20">
      <c r="G259" s="428">
        <v>256</v>
      </c>
      <c r="H259" s="440">
        <f t="shared" si="30"/>
        <v>1354360.9044391185</v>
      </c>
      <c r="I259" s="440">
        <f t="shared" si="31"/>
        <v>4550.8056808940637</v>
      </c>
      <c r="J259" s="440">
        <f t="shared" si="32"/>
        <v>10880.799829100584</v>
      </c>
      <c r="K259" s="440">
        <f t="shared" si="33"/>
        <v>15431.605509994648</v>
      </c>
      <c r="L259" s="440">
        <f t="shared" si="34"/>
        <v>775.00220745625904</v>
      </c>
      <c r="M259" s="440"/>
      <c r="N259" s="440"/>
      <c r="O259" s="440"/>
      <c r="P259" s="440"/>
      <c r="Q259" s="440"/>
      <c r="R259" s="440"/>
      <c r="S259" s="441">
        <f t="shared" si="35"/>
        <v>16206.607717450906</v>
      </c>
      <c r="T259" s="442">
        <f t="shared" si="36"/>
        <v>14431.338421334132</v>
      </c>
    </row>
    <row r="260" spans="7:20">
      <c r="G260" s="428">
        <v>257</v>
      </c>
      <c r="H260" s="440">
        <f t="shared" si="30"/>
        <v>1343443.8352772542</v>
      </c>
      <c r="I260" s="440">
        <f t="shared" si="31"/>
        <v>4514.5363481303948</v>
      </c>
      <c r="J260" s="440">
        <f t="shared" si="32"/>
        <v>10917.069161864252</v>
      </c>
      <c r="K260" s="440">
        <f t="shared" si="33"/>
        <v>15431.605509994648</v>
      </c>
      <c r="L260" s="440">
        <f t="shared" si="34"/>
        <v>768.82554008660634</v>
      </c>
      <c r="M260" s="440"/>
      <c r="N260" s="440"/>
      <c r="O260" s="440"/>
      <c r="P260" s="440"/>
      <c r="Q260" s="440"/>
      <c r="R260" s="440"/>
      <c r="S260" s="441">
        <f t="shared" si="35"/>
        <v>16200.431050081253</v>
      </c>
      <c r="T260" s="442">
        <f t="shared" si="36"/>
        <v>14439.310420675587</v>
      </c>
    </row>
    <row r="261" spans="7:20">
      <c r="G261" s="428">
        <v>258</v>
      </c>
      <c r="H261" s="440">
        <f t="shared" si="30"/>
        <v>1332490.3758848505</v>
      </c>
      <c r="I261" s="440">
        <f t="shared" si="31"/>
        <v>4478.146117590848</v>
      </c>
      <c r="J261" s="440">
        <f t="shared" si="32"/>
        <v>10953.4593924038</v>
      </c>
      <c r="K261" s="440">
        <f t="shared" si="33"/>
        <v>15431.605509994648</v>
      </c>
      <c r="L261" s="440">
        <f t="shared" si="34"/>
        <v>762.62828382572138</v>
      </c>
      <c r="M261" s="440"/>
      <c r="N261" s="440"/>
      <c r="O261" s="440"/>
      <c r="P261" s="440"/>
      <c r="Q261" s="440"/>
      <c r="R261" s="440"/>
      <c r="S261" s="441">
        <f t="shared" si="35"/>
        <v>16194.233793820369</v>
      </c>
      <c r="T261" s="442">
        <f t="shared" si="36"/>
        <v>14447.308993348179</v>
      </c>
    </row>
    <row r="262" spans="7:20">
      <c r="G262" s="428">
        <v>259</v>
      </c>
      <c r="H262" s="440">
        <f t="shared" si="30"/>
        <v>1321500.4049611387</v>
      </c>
      <c r="I262" s="440">
        <f t="shared" si="31"/>
        <v>4441.6345862828357</v>
      </c>
      <c r="J262" s="440">
        <f t="shared" si="32"/>
        <v>10989.970923711811</v>
      </c>
      <c r="K262" s="440">
        <f t="shared" si="33"/>
        <v>15431.605509994648</v>
      </c>
      <c r="L262" s="440">
        <f t="shared" si="34"/>
        <v>756.41037004396685</v>
      </c>
      <c r="M262" s="440"/>
      <c r="N262" s="440"/>
      <c r="O262" s="440"/>
      <c r="P262" s="440"/>
      <c r="Q262" s="440"/>
      <c r="R262" s="440"/>
      <c r="S262" s="441">
        <f t="shared" si="35"/>
        <v>16188.015880038614</v>
      </c>
      <c r="T262" s="442">
        <f t="shared" si="36"/>
        <v>14455.334227929679</v>
      </c>
    </row>
    <row r="263" spans="7:20">
      <c r="G263" s="428">
        <v>260</v>
      </c>
      <c r="H263" s="440">
        <f t="shared" si="30"/>
        <v>1310473.8008010145</v>
      </c>
      <c r="I263" s="440">
        <f t="shared" si="31"/>
        <v>4405.0013498704629</v>
      </c>
      <c r="J263" s="440">
        <f t="shared" si="32"/>
        <v>11026.604160124185</v>
      </c>
      <c r="K263" s="440">
        <f t="shared" si="33"/>
        <v>15431.605509994648</v>
      </c>
      <c r="L263" s="440">
        <f t="shared" si="34"/>
        <v>750.17172988293987</v>
      </c>
      <c r="M263" s="440"/>
      <c r="N263" s="440"/>
      <c r="O263" s="440"/>
      <c r="P263" s="440"/>
      <c r="Q263" s="440"/>
      <c r="R263" s="440"/>
      <c r="S263" s="441">
        <f t="shared" si="35"/>
        <v>16181.777239877589</v>
      </c>
      <c r="T263" s="442">
        <f t="shared" si="36"/>
        <v>14463.386213293121</v>
      </c>
    </row>
    <row r="264" spans="7:20">
      <c r="G264" s="428">
        <v>261</v>
      </c>
      <c r="H264" s="440">
        <f t="shared" si="30"/>
        <v>1299410.4412936899</v>
      </c>
      <c r="I264" s="440">
        <f t="shared" si="31"/>
        <v>4368.2460026700483</v>
      </c>
      <c r="J264" s="440">
        <f t="shared" si="32"/>
        <v>11063.3595073246</v>
      </c>
      <c r="K264" s="440">
        <f t="shared" si="33"/>
        <v>15431.605509994648</v>
      </c>
      <c r="L264" s="440">
        <f t="shared" si="34"/>
        <v>743.91229425470931</v>
      </c>
      <c r="M264" s="440"/>
      <c r="N264" s="440"/>
      <c r="O264" s="440"/>
      <c r="P264" s="440"/>
      <c r="Q264" s="440"/>
      <c r="R264" s="440"/>
      <c r="S264" s="441">
        <f t="shared" si="35"/>
        <v>16175.517804249357</v>
      </c>
      <c r="T264" s="442">
        <f t="shared" si="36"/>
        <v>14471.465038607772</v>
      </c>
    </row>
    <row r="265" spans="7:20">
      <c r="G265" s="428">
        <v>262</v>
      </c>
      <c r="H265" s="440">
        <f t="shared" si="30"/>
        <v>1288310.2039213409</v>
      </c>
      <c r="I265" s="440">
        <f t="shared" si="31"/>
        <v>4331.3681376456334</v>
      </c>
      <c r="J265" s="440">
        <f t="shared" si="32"/>
        <v>11100.237372349015</v>
      </c>
      <c r="K265" s="440">
        <f t="shared" si="33"/>
        <v>15431.605509994648</v>
      </c>
      <c r="L265" s="440">
        <f t="shared" si="34"/>
        <v>737.63199384105133</v>
      </c>
      <c r="M265" s="440"/>
      <c r="N265" s="440"/>
      <c r="O265" s="440"/>
      <c r="P265" s="440"/>
      <c r="Q265" s="440"/>
      <c r="R265" s="440"/>
      <c r="S265" s="441">
        <f t="shared" si="35"/>
        <v>16169.237503835699</v>
      </c>
      <c r="T265" s="442">
        <f t="shared" si="36"/>
        <v>14479.570793340137</v>
      </c>
    </row>
    <row r="266" spans="7:20">
      <c r="G266" s="428">
        <v>263</v>
      </c>
      <c r="H266" s="440">
        <f t="shared" si="30"/>
        <v>1277172.9657577507</v>
      </c>
      <c r="I266" s="440">
        <f t="shared" si="31"/>
        <v>4294.3673464044696</v>
      </c>
      <c r="J266" s="440">
        <f t="shared" si="32"/>
        <v>11137.238163590178</v>
      </c>
      <c r="K266" s="440">
        <f t="shared" si="33"/>
        <v>15431.605509994648</v>
      </c>
      <c r="L266" s="440">
        <f t="shared" si="34"/>
        <v>731.33075909268121</v>
      </c>
      <c r="M266" s="440"/>
      <c r="N266" s="440"/>
      <c r="O266" s="440"/>
      <c r="P266" s="440"/>
      <c r="Q266" s="440"/>
      <c r="R266" s="440"/>
      <c r="S266" s="441">
        <f t="shared" si="35"/>
        <v>16162.936269087329</v>
      </c>
      <c r="T266" s="442">
        <f t="shared" si="36"/>
        <v>14487.703567254946</v>
      </c>
    </row>
    <row r="267" spans="7:20">
      <c r="G267" s="428">
        <v>264</v>
      </c>
      <c r="H267" s="440">
        <f t="shared" si="30"/>
        <v>1265998.6034669485</v>
      </c>
      <c r="I267" s="440">
        <f t="shared" si="31"/>
        <v>4257.2432191925027</v>
      </c>
      <c r="J267" s="440">
        <f t="shared" si="32"/>
        <v>11174.362290802146</v>
      </c>
      <c r="K267" s="440">
        <f t="shared" si="33"/>
        <v>15431.605509994648</v>
      </c>
      <c r="L267" s="440">
        <f t="shared" si="34"/>
        <v>725.00852022848323</v>
      </c>
      <c r="M267" s="440"/>
      <c r="N267" s="440"/>
      <c r="O267" s="440"/>
      <c r="P267" s="440"/>
      <c r="Q267" s="440"/>
      <c r="R267" s="440"/>
      <c r="S267" s="441">
        <f t="shared" si="35"/>
        <v>16156.614030223131</v>
      </c>
      <c r="T267" s="442">
        <f t="shared" si="36"/>
        <v>14495.863450416135</v>
      </c>
    </row>
    <row r="268" spans="7:20">
      <c r="G268" s="428">
        <v>265</v>
      </c>
      <c r="H268" s="440">
        <f t="shared" si="30"/>
        <v>1254786.9933018438</v>
      </c>
      <c r="I268" s="440">
        <f t="shared" si="31"/>
        <v>4219.9953448898286</v>
      </c>
      <c r="J268" s="440">
        <f t="shared" si="32"/>
        <v>11211.610165104819</v>
      </c>
      <c r="K268" s="440">
        <f t="shared" si="33"/>
        <v>15431.605509994648</v>
      </c>
      <c r="L268" s="440">
        <f t="shared" si="34"/>
        <v>718.66520723473786</v>
      </c>
      <c r="M268" s="440"/>
      <c r="N268" s="440"/>
      <c r="O268" s="440"/>
      <c r="P268" s="440"/>
      <c r="Q268" s="440"/>
      <c r="R268" s="440"/>
      <c r="S268" s="441">
        <f t="shared" si="35"/>
        <v>16150.270717229385</v>
      </c>
      <c r="T268" s="442">
        <f t="shared" si="36"/>
        <v>14504.050533187863</v>
      </c>
    </row>
    <row r="269" spans="7:20">
      <c r="G269" s="428">
        <v>266</v>
      </c>
      <c r="H269" s="440">
        <f t="shared" si="30"/>
        <v>1243538.0111028552</v>
      </c>
      <c r="I269" s="440">
        <f t="shared" si="31"/>
        <v>4182.6233110061457</v>
      </c>
      <c r="J269" s="440">
        <f t="shared" si="32"/>
        <v>11248.982198988502</v>
      </c>
      <c r="K269" s="440">
        <f t="shared" si="33"/>
        <v>15431.605509994648</v>
      </c>
      <c r="L269" s="440">
        <f t="shared" si="34"/>
        <v>712.3007498643467</v>
      </c>
      <c r="M269" s="440"/>
      <c r="N269" s="440"/>
      <c r="O269" s="440"/>
      <c r="P269" s="440"/>
      <c r="Q269" s="440"/>
      <c r="R269" s="440"/>
      <c r="S269" s="441">
        <f t="shared" si="35"/>
        <v>16143.906259858995</v>
      </c>
      <c r="T269" s="442">
        <f t="shared" si="36"/>
        <v>14512.264906235498</v>
      </c>
    </row>
    <row r="270" spans="7:20">
      <c r="G270" s="428">
        <v>267</v>
      </c>
      <c r="H270" s="440">
        <f t="shared" si="30"/>
        <v>1232251.5322965367</v>
      </c>
      <c r="I270" s="440">
        <f t="shared" si="31"/>
        <v>4145.1267036761847</v>
      </c>
      <c r="J270" s="440">
        <f t="shared" si="32"/>
        <v>11286.478806318464</v>
      </c>
      <c r="K270" s="440">
        <f t="shared" si="33"/>
        <v>15431.605509994648</v>
      </c>
      <c r="L270" s="440">
        <f t="shared" si="34"/>
        <v>705.91507763605421</v>
      </c>
      <c r="M270" s="440"/>
      <c r="N270" s="440"/>
      <c r="O270" s="440"/>
      <c r="P270" s="440"/>
      <c r="Q270" s="440"/>
      <c r="R270" s="440"/>
      <c r="S270" s="441">
        <f t="shared" si="35"/>
        <v>16137.520587630703</v>
      </c>
      <c r="T270" s="442">
        <f t="shared" si="36"/>
        <v>14520.506660526624</v>
      </c>
    </row>
    <row r="271" spans="7:20">
      <c r="G271" s="428">
        <v>268</v>
      </c>
      <c r="H271" s="440">
        <f t="shared" si="30"/>
        <v>1220927.4318941971</v>
      </c>
      <c r="I271" s="440">
        <f t="shared" si="31"/>
        <v>4107.5051076551226</v>
      </c>
      <c r="J271" s="440">
        <f t="shared" si="32"/>
        <v>11324.100402339525</v>
      </c>
      <c r="K271" s="440">
        <f t="shared" si="33"/>
        <v>15431.605509994648</v>
      </c>
      <c r="L271" s="440">
        <f t="shared" si="34"/>
        <v>699.50811983366748</v>
      </c>
      <c r="M271" s="440"/>
      <c r="N271" s="440"/>
      <c r="O271" s="440"/>
      <c r="P271" s="440"/>
      <c r="Q271" s="440"/>
      <c r="R271" s="440"/>
      <c r="S271" s="441">
        <f t="shared" si="35"/>
        <v>16131.113629828316</v>
      </c>
      <c r="T271" s="442">
        <f t="shared" si="36"/>
        <v>14528.775887332053</v>
      </c>
    </row>
    <row r="272" spans="7:20">
      <c r="G272" s="428">
        <v>269</v>
      </c>
      <c r="H272" s="440">
        <f t="shared" si="30"/>
        <v>1209565.5844905165</v>
      </c>
      <c r="I272" s="440">
        <f t="shared" si="31"/>
        <v>4069.7581063139905</v>
      </c>
      <c r="J272" s="440">
        <f t="shared" si="32"/>
        <v>11361.847403680658</v>
      </c>
      <c r="K272" s="440">
        <f t="shared" si="33"/>
        <v>15431.605509994648</v>
      </c>
      <c r="L272" s="440">
        <f t="shared" si="34"/>
        <v>693.0798055052727</v>
      </c>
      <c r="M272" s="440"/>
      <c r="N272" s="440"/>
      <c r="O272" s="440"/>
      <c r="P272" s="440"/>
      <c r="Q272" s="440"/>
      <c r="R272" s="440"/>
      <c r="S272" s="441">
        <f t="shared" si="35"/>
        <v>16124.685315499921</v>
      </c>
      <c r="T272" s="442">
        <f t="shared" si="36"/>
        <v>14537.072678226832</v>
      </c>
    </row>
    <row r="273" spans="7:20">
      <c r="G273" s="428">
        <v>270</v>
      </c>
      <c r="H273" s="440">
        <f t="shared" si="30"/>
        <v>1198165.8642621569</v>
      </c>
      <c r="I273" s="440">
        <f t="shared" si="31"/>
        <v>4031.885281635055</v>
      </c>
      <c r="J273" s="440">
        <f t="shared" si="32"/>
        <v>11399.720228359593</v>
      </c>
      <c r="K273" s="440">
        <f t="shared" si="33"/>
        <v>15431.605509994648</v>
      </c>
      <c r="L273" s="440">
        <f t="shared" si="34"/>
        <v>686.63006346244993</v>
      </c>
      <c r="M273" s="440"/>
      <c r="N273" s="440"/>
      <c r="O273" s="440"/>
      <c r="P273" s="440"/>
      <c r="Q273" s="440"/>
      <c r="R273" s="440"/>
      <c r="S273" s="441">
        <f t="shared" si="35"/>
        <v>16118.235573457097</v>
      </c>
      <c r="T273" s="442">
        <f t="shared" si="36"/>
        <v>14545.397125091262</v>
      </c>
    </row>
    <row r="274" spans="7:20">
      <c r="G274" s="428">
        <v>271</v>
      </c>
      <c r="H274" s="440">
        <f t="shared" si="30"/>
        <v>1186728.1449663695</v>
      </c>
      <c r="I274" s="440">
        <f t="shared" si="31"/>
        <v>3993.8862142071898</v>
      </c>
      <c r="J274" s="440">
        <f t="shared" si="32"/>
        <v>11437.719295787458</v>
      </c>
      <c r="K274" s="440">
        <f t="shared" si="33"/>
        <v>15431.605509994648</v>
      </c>
      <c r="L274" s="440">
        <f t="shared" si="34"/>
        <v>680.15882227948453</v>
      </c>
      <c r="M274" s="440"/>
      <c r="N274" s="440"/>
      <c r="O274" s="440"/>
      <c r="P274" s="440"/>
      <c r="Q274" s="440"/>
      <c r="R274" s="440"/>
      <c r="S274" s="441">
        <f t="shared" si="35"/>
        <v>16111.764332274133</v>
      </c>
      <c r="T274" s="442">
        <f t="shared" si="36"/>
        <v>14553.749320111909</v>
      </c>
    </row>
    <row r="275" spans="7:20">
      <c r="G275" s="428">
        <v>272</v>
      </c>
      <c r="H275" s="440">
        <f t="shared" si="30"/>
        <v>1175252.2999395961</v>
      </c>
      <c r="I275" s="440">
        <f t="shared" si="31"/>
        <v>3955.7604832212319</v>
      </c>
      <c r="J275" s="440">
        <f t="shared" si="32"/>
        <v>11475.845026773415</v>
      </c>
      <c r="K275" s="440">
        <f t="shared" si="33"/>
        <v>15431.605509994648</v>
      </c>
      <c r="L275" s="440">
        <f t="shared" si="34"/>
        <v>673.66601029257583</v>
      </c>
      <c r="M275" s="440"/>
      <c r="N275" s="440"/>
      <c r="O275" s="440"/>
      <c r="P275" s="440"/>
      <c r="Q275" s="440"/>
      <c r="R275" s="440"/>
      <c r="S275" s="441">
        <f t="shared" si="35"/>
        <v>16105.271520287224</v>
      </c>
      <c r="T275" s="442">
        <f t="shared" si="36"/>
        <v>14562.129355782621</v>
      </c>
    </row>
    <row r="276" spans="7:20">
      <c r="G276" s="428">
        <v>273</v>
      </c>
      <c r="H276" s="440">
        <f t="shared" si="30"/>
        <v>1163738.2020960667</v>
      </c>
      <c r="I276" s="440">
        <f t="shared" si="31"/>
        <v>3917.5076664653207</v>
      </c>
      <c r="J276" s="440">
        <f t="shared" si="32"/>
        <v>11514.097843529327</v>
      </c>
      <c r="K276" s="440">
        <f t="shared" si="33"/>
        <v>15431.605509994648</v>
      </c>
      <c r="L276" s="440">
        <f t="shared" si="34"/>
        <v>667.15155559904417</v>
      </c>
      <c r="M276" s="440"/>
      <c r="N276" s="440"/>
      <c r="O276" s="440"/>
      <c r="P276" s="440"/>
      <c r="Q276" s="440"/>
      <c r="R276" s="440"/>
      <c r="S276" s="441">
        <f t="shared" si="35"/>
        <v>16098.757065593692</v>
      </c>
      <c r="T276" s="442">
        <f t="shared" si="36"/>
        <v>14570.53732490557</v>
      </c>
    </row>
    <row r="277" spans="7:20">
      <c r="G277" s="428">
        <v>274</v>
      </c>
      <c r="H277" s="440">
        <f t="shared" si="30"/>
        <v>1152185.7239263922</v>
      </c>
      <c r="I277" s="440">
        <f t="shared" si="31"/>
        <v>3879.1273403202226</v>
      </c>
      <c r="J277" s="440">
        <f t="shared" si="32"/>
        <v>11552.478169674425</v>
      </c>
      <c r="K277" s="440">
        <f t="shared" si="33"/>
        <v>15431.605509994648</v>
      </c>
      <c r="L277" s="440">
        <f t="shared" si="34"/>
        <v>660.61538605653391</v>
      </c>
      <c r="M277" s="440"/>
      <c r="N277" s="440"/>
      <c r="O277" s="440"/>
      <c r="P277" s="440"/>
      <c r="Q277" s="440"/>
      <c r="R277" s="440"/>
      <c r="S277" s="441">
        <f t="shared" si="35"/>
        <v>16092.220896051182</v>
      </c>
      <c r="T277" s="442">
        <f t="shared" si="36"/>
        <v>14578.973320592262</v>
      </c>
    </row>
    <row r="278" spans="7:20">
      <c r="G278" s="428">
        <v>275</v>
      </c>
      <c r="H278" s="440">
        <f t="shared" si="30"/>
        <v>1140594.7374961521</v>
      </c>
      <c r="I278" s="440">
        <f t="shared" si="31"/>
        <v>3840.6190797546406</v>
      </c>
      <c r="J278" s="440">
        <f t="shared" si="32"/>
        <v>11590.986430240007</v>
      </c>
      <c r="K278" s="440">
        <f t="shared" si="33"/>
        <v>15431.605509994648</v>
      </c>
      <c r="L278" s="440">
        <f t="shared" si="34"/>
        <v>654.05742928221537</v>
      </c>
      <c r="M278" s="440"/>
      <c r="N278" s="440"/>
      <c r="O278" s="440"/>
      <c r="P278" s="440"/>
      <c r="Q278" s="440"/>
      <c r="R278" s="440"/>
      <c r="S278" s="441">
        <f t="shared" si="35"/>
        <v>16085.662939276863</v>
      </c>
      <c r="T278" s="442">
        <f t="shared" si="36"/>
        <v>14587.437436264578</v>
      </c>
    </row>
    <row r="279" spans="7:20">
      <c r="G279" s="428">
        <v>276</v>
      </c>
      <c r="H279" s="440">
        <f t="shared" si="30"/>
        <v>1128965.1144444779</v>
      </c>
      <c r="I279" s="440">
        <f t="shared" si="31"/>
        <v>3801.9824583205072</v>
      </c>
      <c r="J279" s="440">
        <f t="shared" si="32"/>
        <v>11629.623051674142</v>
      </c>
      <c r="K279" s="440">
        <f t="shared" si="33"/>
        <v>15431.605509994648</v>
      </c>
      <c r="L279" s="440">
        <f t="shared" si="34"/>
        <v>647.47761265198244</v>
      </c>
      <c r="M279" s="440"/>
      <c r="N279" s="440"/>
      <c r="O279" s="440"/>
      <c r="P279" s="440"/>
      <c r="Q279" s="440"/>
      <c r="R279" s="440"/>
      <c r="S279" s="441">
        <f t="shared" si="35"/>
        <v>16079.083122646631</v>
      </c>
      <c r="T279" s="442">
        <f t="shared" si="36"/>
        <v>14595.929765655801</v>
      </c>
    </row>
    <row r="280" spans="7:20">
      <c r="G280" s="428">
        <v>277</v>
      </c>
      <c r="H280" s="440">
        <f t="shared" si="30"/>
        <v>1117296.7259826316</v>
      </c>
      <c r="I280" s="440">
        <f t="shared" si="31"/>
        <v>3763.2170481482599</v>
      </c>
      <c r="J280" s="440">
        <f t="shared" si="32"/>
        <v>11668.388461846389</v>
      </c>
      <c r="K280" s="440">
        <f t="shared" si="33"/>
        <v>15431.605509994648</v>
      </c>
      <c r="L280" s="440">
        <f t="shared" si="34"/>
        <v>640.8758632996487</v>
      </c>
      <c r="M280" s="440"/>
      <c r="N280" s="440"/>
      <c r="O280" s="440"/>
      <c r="P280" s="440"/>
      <c r="Q280" s="440"/>
      <c r="R280" s="440"/>
      <c r="S280" s="441">
        <f t="shared" si="35"/>
        <v>16072.481373294297</v>
      </c>
      <c r="T280" s="442">
        <f t="shared" si="36"/>
        <v>14604.450402811661</v>
      </c>
    </row>
    <row r="281" spans="7:20">
      <c r="G281" s="428">
        <v>278</v>
      </c>
      <c r="H281" s="440">
        <f t="shared" si="30"/>
        <v>1105589.4428925791</v>
      </c>
      <c r="I281" s="440">
        <f t="shared" si="31"/>
        <v>3724.3224199421056</v>
      </c>
      <c r="J281" s="440">
        <f t="shared" si="32"/>
        <v>11707.283090052542</v>
      </c>
      <c r="K281" s="440">
        <f t="shared" si="33"/>
        <v>15431.605509994648</v>
      </c>
      <c r="L281" s="440">
        <f t="shared" si="34"/>
        <v>634.25210811614056</v>
      </c>
      <c r="M281" s="440"/>
      <c r="N281" s="440"/>
      <c r="O281" s="440"/>
      <c r="P281" s="440"/>
      <c r="Q281" s="440"/>
      <c r="R281" s="440"/>
      <c r="S281" s="441">
        <f t="shared" si="35"/>
        <v>16065.857618110789</v>
      </c>
      <c r="T281" s="442">
        <f t="shared" si="36"/>
        <v>14612.999442091374</v>
      </c>
    </row>
    <row r="282" spans="7:20">
      <c r="G282" s="428">
        <v>279</v>
      </c>
      <c r="H282" s="440">
        <f t="shared" si="30"/>
        <v>1093843.1355255598</v>
      </c>
      <c r="I282" s="440">
        <f t="shared" si="31"/>
        <v>3685.298142975264</v>
      </c>
      <c r="J282" s="440">
        <f t="shared" si="32"/>
        <v>11746.307367019384</v>
      </c>
      <c r="K282" s="440">
        <f t="shared" si="33"/>
        <v>15431.605509994648</v>
      </c>
      <c r="L282" s="440">
        <f t="shared" si="34"/>
        <v>627.6062737486875</v>
      </c>
      <c r="M282" s="440"/>
      <c r="N282" s="440"/>
      <c r="O282" s="440"/>
      <c r="P282" s="440"/>
      <c r="Q282" s="440"/>
      <c r="R282" s="440"/>
      <c r="S282" s="441">
        <f t="shared" si="35"/>
        <v>16059.211783743336</v>
      </c>
      <c r="T282" s="442">
        <f t="shared" si="36"/>
        <v>14621.576978168685</v>
      </c>
    </row>
    <row r="283" spans="7:20">
      <c r="G283" s="428">
        <v>280</v>
      </c>
      <c r="H283" s="440">
        <f t="shared" si="30"/>
        <v>1082057.6738006503</v>
      </c>
      <c r="I283" s="440">
        <f t="shared" si="31"/>
        <v>3646.1437850851994</v>
      </c>
      <c r="J283" s="440">
        <f t="shared" si="32"/>
        <v>11785.461724909448</v>
      </c>
      <c r="K283" s="440">
        <f t="shared" si="33"/>
        <v>15431.605509994648</v>
      </c>
      <c r="L283" s="440">
        <f t="shared" si="34"/>
        <v>620.93828660000952</v>
      </c>
      <c r="M283" s="440"/>
      <c r="N283" s="440"/>
      <c r="O283" s="440"/>
      <c r="P283" s="440"/>
      <c r="Q283" s="440"/>
      <c r="R283" s="440"/>
      <c r="S283" s="441">
        <f t="shared" si="35"/>
        <v>16052.543796594657</v>
      </c>
      <c r="T283" s="442">
        <f t="shared" si="36"/>
        <v>14630.18310603292</v>
      </c>
    </row>
    <row r="284" spans="7:20">
      <c r="G284" s="428">
        <v>281</v>
      </c>
      <c r="H284" s="440">
        <f t="shared" si="30"/>
        <v>1070232.9272033244</v>
      </c>
      <c r="I284" s="440">
        <f t="shared" si="31"/>
        <v>3606.8589126688344</v>
      </c>
      <c r="J284" s="440">
        <f t="shared" si="32"/>
        <v>11824.746597325813</v>
      </c>
      <c r="K284" s="440">
        <f t="shared" si="33"/>
        <v>15431.605509994648</v>
      </c>
      <c r="L284" s="440">
        <f t="shared" si="34"/>
        <v>614.2480728275026</v>
      </c>
      <c r="M284" s="440"/>
      <c r="N284" s="440"/>
      <c r="O284" s="440"/>
      <c r="P284" s="440"/>
      <c r="Q284" s="440"/>
      <c r="R284" s="440"/>
      <c r="S284" s="441">
        <f t="shared" si="35"/>
        <v>16045.85358282215</v>
      </c>
      <c r="T284" s="442">
        <f t="shared" si="36"/>
        <v>14638.817920990037</v>
      </c>
    </row>
    <row r="285" spans="7:20">
      <c r="G285" s="428">
        <v>282</v>
      </c>
      <c r="H285" s="440">
        <f t="shared" si="30"/>
        <v>1058368.7647840076</v>
      </c>
      <c r="I285" s="440">
        <f t="shared" si="31"/>
        <v>3567.4430906777484</v>
      </c>
      <c r="J285" s="440">
        <f t="shared" si="32"/>
        <v>11864.162419316899</v>
      </c>
      <c r="K285" s="440">
        <f t="shared" si="33"/>
        <v>15431.605509994648</v>
      </c>
      <c r="L285" s="440">
        <f t="shared" si="34"/>
        <v>607.53555834242059</v>
      </c>
      <c r="M285" s="440"/>
      <c r="N285" s="440"/>
      <c r="O285" s="440"/>
      <c r="P285" s="440"/>
      <c r="Q285" s="440"/>
      <c r="R285" s="440"/>
      <c r="S285" s="441">
        <f t="shared" si="35"/>
        <v>16039.141068337069</v>
      </c>
      <c r="T285" s="442">
        <f t="shared" si="36"/>
        <v>14647.481518663679</v>
      </c>
    </row>
    <row r="286" spans="7:20">
      <c r="G286" s="428">
        <v>283</v>
      </c>
      <c r="H286" s="440">
        <f t="shared" si="30"/>
        <v>1046465.0551566263</v>
      </c>
      <c r="I286" s="440">
        <f t="shared" si="31"/>
        <v>3527.8958826133589</v>
      </c>
      <c r="J286" s="440">
        <f t="shared" si="32"/>
        <v>11903.709627381289</v>
      </c>
      <c r="K286" s="440">
        <f t="shared" si="33"/>
        <v>15431.605509994648</v>
      </c>
      <c r="L286" s="440">
        <f t="shared" si="34"/>
        <v>600.80066880905508</v>
      </c>
      <c r="M286" s="440"/>
      <c r="N286" s="440"/>
      <c r="O286" s="440"/>
      <c r="P286" s="440"/>
      <c r="Q286" s="440"/>
      <c r="R286" s="440"/>
      <c r="S286" s="441">
        <f t="shared" si="35"/>
        <v>16032.406178803703</v>
      </c>
      <c r="T286" s="442">
        <f t="shared" si="36"/>
        <v>14656.173994996232</v>
      </c>
    </row>
    <row r="287" spans="7:20">
      <c r="G287" s="428">
        <v>284</v>
      </c>
      <c r="H287" s="440">
        <f t="shared" si="30"/>
        <v>1034521.6664971537</v>
      </c>
      <c r="I287" s="440">
        <f t="shared" si="31"/>
        <v>3488.216850522088</v>
      </c>
      <c r="J287" s="440">
        <f t="shared" si="32"/>
        <v>11943.388659472559</v>
      </c>
      <c r="K287" s="440">
        <f t="shared" si="33"/>
        <v>15431.605509994648</v>
      </c>
      <c r="L287" s="440">
        <f t="shared" si="34"/>
        <v>594.04332964391153</v>
      </c>
      <c r="M287" s="440"/>
      <c r="N287" s="440"/>
      <c r="O287" s="440"/>
      <c r="P287" s="440"/>
      <c r="Q287" s="440"/>
      <c r="R287" s="440"/>
      <c r="S287" s="441">
        <f t="shared" si="35"/>
        <v>16025.648839638559</v>
      </c>
      <c r="T287" s="442">
        <f t="shared" si="36"/>
        <v>14664.895446249893</v>
      </c>
    </row>
    <row r="288" spans="7:20">
      <c r="G288" s="428">
        <v>285</v>
      </c>
      <c r="H288" s="440">
        <f t="shared" si="30"/>
        <v>1022538.4665421495</v>
      </c>
      <c r="I288" s="440">
        <f t="shared" si="31"/>
        <v>3448.4055549905124</v>
      </c>
      <c r="J288" s="440">
        <f t="shared" si="32"/>
        <v>11983.199955004136</v>
      </c>
      <c r="K288" s="440">
        <f t="shared" si="33"/>
        <v>15431.605509994648</v>
      </c>
      <c r="L288" s="440">
        <f t="shared" si="34"/>
        <v>587.26346601488433</v>
      </c>
      <c r="M288" s="440"/>
      <c r="N288" s="440"/>
      <c r="O288" s="440"/>
      <c r="P288" s="440"/>
      <c r="Q288" s="440"/>
      <c r="R288" s="440"/>
      <c r="S288" s="441">
        <f t="shared" si="35"/>
        <v>16018.868976009533</v>
      </c>
      <c r="T288" s="442">
        <f t="shared" si="36"/>
        <v>14673.645969007734</v>
      </c>
    </row>
    <row r="289" spans="7:20">
      <c r="G289" s="428">
        <v>286</v>
      </c>
      <c r="H289" s="440">
        <f t="shared" si="30"/>
        <v>1010515.3225872954</v>
      </c>
      <c r="I289" s="440">
        <f t="shared" si="31"/>
        <v>3408.4615551404986</v>
      </c>
      <c r="J289" s="440">
        <f t="shared" si="32"/>
        <v>12023.143954854149</v>
      </c>
      <c r="K289" s="440">
        <f t="shared" si="33"/>
        <v>15431.605509994648</v>
      </c>
      <c r="L289" s="440">
        <f t="shared" si="34"/>
        <v>580.461002840427</v>
      </c>
      <c r="M289" s="440"/>
      <c r="N289" s="440"/>
      <c r="O289" s="440"/>
      <c r="P289" s="440"/>
      <c r="Q289" s="440"/>
      <c r="R289" s="440"/>
      <c r="S289" s="441">
        <f t="shared" si="35"/>
        <v>16012.066512835076</v>
      </c>
      <c r="T289" s="442">
        <f t="shared" si="36"/>
        <v>14682.425660174767</v>
      </c>
    </row>
    <row r="290" spans="7:20">
      <c r="G290" s="428">
        <v>287</v>
      </c>
      <c r="H290" s="440">
        <f t="shared" si="30"/>
        <v>998452.10148592514</v>
      </c>
      <c r="I290" s="440">
        <f t="shared" si="31"/>
        <v>3368.3844086243184</v>
      </c>
      <c r="J290" s="440">
        <f t="shared" si="32"/>
        <v>12063.221101370329</v>
      </c>
      <c r="K290" s="440">
        <f t="shared" si="33"/>
        <v>15431.605509994648</v>
      </c>
      <c r="L290" s="440">
        <f t="shared" si="34"/>
        <v>573.63586478872139</v>
      </c>
      <c r="M290" s="440"/>
      <c r="N290" s="440"/>
      <c r="O290" s="440"/>
      <c r="P290" s="440"/>
      <c r="Q290" s="440"/>
      <c r="R290" s="440"/>
      <c r="S290" s="441">
        <f t="shared" si="35"/>
        <v>16005.241374783369</v>
      </c>
      <c r="T290" s="442">
        <f t="shared" si="36"/>
        <v>14691.234616979022</v>
      </c>
    </row>
    <row r="291" spans="7:20">
      <c r="G291" s="428">
        <v>288</v>
      </c>
      <c r="H291" s="440">
        <f t="shared" si="30"/>
        <v>986348.66964755021</v>
      </c>
      <c r="I291" s="440">
        <f t="shared" si="31"/>
        <v>3328.1736716197506</v>
      </c>
      <c r="J291" s="440">
        <f t="shared" si="32"/>
        <v>12103.431838374898</v>
      </c>
      <c r="K291" s="440">
        <f t="shared" si="33"/>
        <v>15431.605509994648</v>
      </c>
      <c r="L291" s="440">
        <f t="shared" si="34"/>
        <v>566.78797627684355</v>
      </c>
      <c r="M291" s="440"/>
      <c r="N291" s="440"/>
      <c r="O291" s="440"/>
      <c r="P291" s="440"/>
      <c r="Q291" s="440"/>
      <c r="R291" s="440"/>
      <c r="S291" s="441">
        <f t="shared" si="35"/>
        <v>15998.393486271492</v>
      </c>
      <c r="T291" s="442">
        <f t="shared" si="36"/>
        <v>14700.072936972629</v>
      </c>
    </row>
    <row r="292" spans="7:20">
      <c r="G292" s="428">
        <v>289</v>
      </c>
      <c r="H292" s="440">
        <f t="shared" si="30"/>
        <v>974204.89303638076</v>
      </c>
      <c r="I292" s="440">
        <f t="shared" si="31"/>
        <v>3287.8288988251675</v>
      </c>
      <c r="J292" s="440">
        <f t="shared" si="32"/>
        <v>12143.77661116948</v>
      </c>
      <c r="K292" s="440">
        <f t="shared" si="33"/>
        <v>15431.605509994648</v>
      </c>
      <c r="L292" s="440">
        <f t="shared" si="34"/>
        <v>559.91726146992607</v>
      </c>
      <c r="M292" s="440"/>
      <c r="N292" s="440"/>
      <c r="O292" s="440"/>
      <c r="P292" s="440"/>
      <c r="Q292" s="440"/>
      <c r="R292" s="440"/>
      <c r="S292" s="441">
        <f t="shared" si="35"/>
        <v>15991.522771464573</v>
      </c>
      <c r="T292" s="442">
        <f t="shared" si="36"/>
        <v>14708.940718032876</v>
      </c>
    </row>
    <row r="293" spans="7:20">
      <c r="G293" s="428">
        <v>290</v>
      </c>
      <c r="H293" s="440">
        <f t="shared" si="30"/>
        <v>962020.63716984075</v>
      </c>
      <c r="I293" s="440">
        <f t="shared" si="31"/>
        <v>3247.3496434546028</v>
      </c>
      <c r="J293" s="440">
        <f t="shared" si="32"/>
        <v>12184.255866540045</v>
      </c>
      <c r="K293" s="440">
        <f t="shared" si="33"/>
        <v>15431.605509994648</v>
      </c>
      <c r="L293" s="440">
        <f t="shared" si="34"/>
        <v>553.02364428031888</v>
      </c>
      <c r="M293" s="440"/>
      <c r="N293" s="440"/>
      <c r="O293" s="440"/>
      <c r="P293" s="440"/>
      <c r="Q293" s="440"/>
      <c r="R293" s="440"/>
      <c r="S293" s="441">
        <f t="shared" si="35"/>
        <v>15984.629154274968</v>
      </c>
      <c r="T293" s="442">
        <f t="shared" si="36"/>
        <v>14717.838058363328</v>
      </c>
    </row>
    <row r="294" spans="7:20">
      <c r="G294" s="428">
        <v>291</v>
      </c>
      <c r="H294" s="440">
        <f t="shared" si="30"/>
        <v>949795.76711707888</v>
      </c>
      <c r="I294" s="440">
        <f t="shared" si="31"/>
        <v>3206.7354572328027</v>
      </c>
      <c r="J294" s="440">
        <f t="shared" si="32"/>
        <v>12224.870052761846</v>
      </c>
      <c r="K294" s="440">
        <f t="shared" si="33"/>
        <v>15431.605509994648</v>
      </c>
      <c r="L294" s="440">
        <f t="shared" si="34"/>
        <v>546.10704836674631</v>
      </c>
      <c r="M294" s="440"/>
      <c r="N294" s="440"/>
      <c r="O294" s="440"/>
      <c r="P294" s="440"/>
      <c r="Q294" s="440"/>
      <c r="R294" s="440"/>
      <c r="S294" s="441">
        <f t="shared" si="35"/>
        <v>15977.712558361394</v>
      </c>
      <c r="T294" s="442">
        <f t="shared" si="36"/>
        <v>14726.765056494878</v>
      </c>
    </row>
    <row r="295" spans="7:20">
      <c r="G295" s="428">
        <v>292</v>
      </c>
      <c r="H295" s="440">
        <f t="shared" si="30"/>
        <v>937530.14749747445</v>
      </c>
      <c r="I295" s="440">
        <f t="shared" si="31"/>
        <v>3165.9858903902632</v>
      </c>
      <c r="J295" s="440">
        <f t="shared" si="32"/>
        <v>12265.619619604386</v>
      </c>
      <c r="K295" s="440">
        <f t="shared" si="33"/>
        <v>15431.605509994648</v>
      </c>
      <c r="L295" s="440">
        <f t="shared" si="34"/>
        <v>539.1673971334618</v>
      </c>
      <c r="M295" s="440"/>
      <c r="N295" s="440"/>
      <c r="O295" s="440"/>
      <c r="P295" s="440"/>
      <c r="Q295" s="440"/>
      <c r="R295" s="440"/>
      <c r="S295" s="441">
        <f t="shared" si="35"/>
        <v>15970.77290712811</v>
      </c>
      <c r="T295" s="442">
        <f t="shared" si="36"/>
        <v>14735.721811286869</v>
      </c>
    </row>
    <row r="296" spans="7:20">
      <c r="G296" s="428">
        <v>293</v>
      </c>
      <c r="H296" s="440">
        <f t="shared" si="30"/>
        <v>925223.6424791381</v>
      </c>
      <c r="I296" s="440">
        <f t="shared" si="31"/>
        <v>3125.1004916582483</v>
      </c>
      <c r="J296" s="440">
        <f t="shared" si="32"/>
        <v>12306.5050183364</v>
      </c>
      <c r="K296" s="440">
        <f t="shared" si="33"/>
        <v>15431.605509994648</v>
      </c>
      <c r="L296" s="440">
        <f t="shared" si="34"/>
        <v>532.20461372939974</v>
      </c>
      <c r="M296" s="440"/>
      <c r="N296" s="440"/>
      <c r="O296" s="440"/>
      <c r="P296" s="440"/>
      <c r="Q296" s="440"/>
      <c r="R296" s="440"/>
      <c r="S296" s="441">
        <f t="shared" si="35"/>
        <v>15963.810123724048</v>
      </c>
      <c r="T296" s="442">
        <f t="shared" si="36"/>
        <v>14744.708421928166</v>
      </c>
    </row>
    <row r="297" spans="7:20">
      <c r="G297" s="428">
        <v>294</v>
      </c>
      <c r="H297" s="440">
        <f t="shared" si="30"/>
        <v>912876.11577740719</v>
      </c>
      <c r="I297" s="440">
        <f t="shared" si="31"/>
        <v>3084.0788082637937</v>
      </c>
      <c r="J297" s="440">
        <f t="shared" si="32"/>
        <v>12347.526701730854</v>
      </c>
      <c r="K297" s="440">
        <f t="shared" si="33"/>
        <v>15431.605509994648</v>
      </c>
      <c r="L297" s="440">
        <f t="shared" si="34"/>
        <v>525.21862104732418</v>
      </c>
      <c r="M297" s="440"/>
      <c r="N297" s="440"/>
      <c r="O297" s="440"/>
      <c r="P297" s="440"/>
      <c r="Q297" s="440"/>
      <c r="R297" s="440"/>
      <c r="S297" s="441">
        <f t="shared" si="35"/>
        <v>15956.824131041973</v>
      </c>
      <c r="T297" s="442">
        <f t="shared" si="36"/>
        <v>14753.724987938267</v>
      </c>
    </row>
    <row r="298" spans="7:20">
      <c r="G298" s="428">
        <v>295</v>
      </c>
      <c r="H298" s="440">
        <f t="shared" si="30"/>
        <v>900487.43065333727</v>
      </c>
      <c r="I298" s="440">
        <f t="shared" si="31"/>
        <v>3042.9203859246909</v>
      </c>
      <c r="J298" s="440">
        <f t="shared" si="32"/>
        <v>12388.685124069958</v>
      </c>
      <c r="K298" s="440">
        <f t="shared" si="33"/>
        <v>15431.605509994648</v>
      </c>
      <c r="L298" s="440">
        <f t="shared" si="34"/>
        <v>518.20934172297484</v>
      </c>
      <c r="M298" s="440"/>
      <c r="N298" s="440"/>
      <c r="O298" s="440"/>
      <c r="P298" s="440"/>
      <c r="Q298" s="440"/>
      <c r="R298" s="440"/>
      <c r="S298" s="441">
        <f t="shared" si="35"/>
        <v>15949.814851717623</v>
      </c>
      <c r="T298" s="442">
        <f t="shared" si="36"/>
        <v>14762.771609168401</v>
      </c>
    </row>
    <row r="299" spans="7:20">
      <c r="G299" s="428">
        <v>296</v>
      </c>
      <c r="H299" s="440">
        <f t="shared" si="30"/>
        <v>888057.44991218706</v>
      </c>
      <c r="I299" s="440">
        <f t="shared" si="31"/>
        <v>3001.6247688444578</v>
      </c>
      <c r="J299" s="440">
        <f t="shared" si="32"/>
        <v>12429.98074115019</v>
      </c>
      <c r="K299" s="440">
        <f t="shared" si="33"/>
        <v>15431.605509994648</v>
      </c>
      <c r="L299" s="440">
        <f t="shared" si="34"/>
        <v>511.17669813421116</v>
      </c>
      <c r="M299" s="440"/>
      <c r="N299" s="440"/>
      <c r="O299" s="440"/>
      <c r="P299" s="440"/>
      <c r="Q299" s="440"/>
      <c r="R299" s="440"/>
      <c r="S299" s="441">
        <f t="shared" si="35"/>
        <v>15942.78220812886</v>
      </c>
      <c r="T299" s="442">
        <f t="shared" si="36"/>
        <v>14771.848385802637</v>
      </c>
    </row>
    <row r="300" spans="7:20">
      <c r="G300" s="428">
        <v>297</v>
      </c>
      <c r="H300" s="440">
        <f t="shared" si="30"/>
        <v>875586.03590189968</v>
      </c>
      <c r="I300" s="440">
        <f t="shared" si="31"/>
        <v>2960.1914997072904</v>
      </c>
      <c r="J300" s="440">
        <f t="shared" si="32"/>
        <v>12471.414010287357</v>
      </c>
      <c r="K300" s="440">
        <f t="shared" si="33"/>
        <v>15431.605509994648</v>
      </c>
      <c r="L300" s="440">
        <f t="shared" si="34"/>
        <v>504.12061240015157</v>
      </c>
      <c r="M300" s="440"/>
      <c r="N300" s="440"/>
      <c r="O300" s="440"/>
      <c r="P300" s="440"/>
      <c r="Q300" s="440"/>
      <c r="R300" s="440"/>
      <c r="S300" s="441">
        <f t="shared" si="35"/>
        <v>15935.726122394799</v>
      </c>
      <c r="T300" s="442">
        <f t="shared" si="36"/>
        <v>14780.955418358984</v>
      </c>
    </row>
    <row r="301" spans="7:20">
      <c r="G301" s="428">
        <v>298</v>
      </c>
      <c r="H301" s="440">
        <f t="shared" si="30"/>
        <v>863073.05051157798</v>
      </c>
      <c r="I301" s="440">
        <f t="shared" si="31"/>
        <v>2918.620119672999</v>
      </c>
      <c r="J301" s="440">
        <f t="shared" si="32"/>
        <v>12512.98539032165</v>
      </c>
      <c r="K301" s="440">
        <f t="shared" si="33"/>
        <v>15431.605509994648</v>
      </c>
      <c r="L301" s="440">
        <f t="shared" si="34"/>
        <v>497.04100638031179</v>
      </c>
      <c r="M301" s="440"/>
      <c r="N301" s="440"/>
      <c r="O301" s="440"/>
      <c r="P301" s="440"/>
      <c r="Q301" s="440"/>
      <c r="R301" s="440"/>
      <c r="S301" s="441">
        <f t="shared" si="35"/>
        <v>15928.64651637496</v>
      </c>
      <c r="T301" s="442">
        <f t="shared" si="36"/>
        <v>14790.092807690522</v>
      </c>
    </row>
    <row r="302" spans="7:20">
      <c r="G302" s="428">
        <v>299</v>
      </c>
      <c r="H302" s="440">
        <f t="shared" si="30"/>
        <v>850518.35516995529</v>
      </c>
      <c r="I302" s="440">
        <f t="shared" si="31"/>
        <v>2876.9101683719268</v>
      </c>
      <c r="J302" s="440">
        <f t="shared" si="32"/>
        <v>12554.695341622721</v>
      </c>
      <c r="K302" s="440">
        <f t="shared" si="33"/>
        <v>15431.605509994648</v>
      </c>
      <c r="L302" s="440">
        <f t="shared" si="34"/>
        <v>489.93780167373916</v>
      </c>
      <c r="M302" s="440"/>
      <c r="N302" s="440"/>
      <c r="O302" s="440"/>
      <c r="P302" s="440"/>
      <c r="Q302" s="440"/>
      <c r="R302" s="440"/>
      <c r="S302" s="441">
        <f t="shared" si="35"/>
        <v>15921.543311668387</v>
      </c>
      <c r="T302" s="442">
        <f t="shared" si="36"/>
        <v>14799.260654986498</v>
      </c>
    </row>
    <row r="303" spans="7:20">
      <c r="G303" s="428">
        <v>300</v>
      </c>
      <c r="H303" s="440">
        <f t="shared" si="30"/>
        <v>837921.8108438605</v>
      </c>
      <c r="I303" s="440">
        <f t="shared" si="31"/>
        <v>2835.0611838998511</v>
      </c>
      <c r="J303" s="440">
        <f t="shared" si="32"/>
        <v>12596.544326094798</v>
      </c>
      <c r="K303" s="440">
        <f t="shared" si="33"/>
        <v>15431.605509994648</v>
      </c>
      <c r="L303" s="440">
        <f t="shared" si="34"/>
        <v>482.81091961814468</v>
      </c>
      <c r="M303" s="440"/>
      <c r="N303" s="440"/>
      <c r="O303" s="440"/>
      <c r="P303" s="440"/>
      <c r="Q303" s="440"/>
      <c r="R303" s="440"/>
      <c r="S303" s="441">
        <f t="shared" si="35"/>
        <v>15914.416429612793</v>
      </c>
      <c r="T303" s="442">
        <f t="shared" si="36"/>
        <v>14808.459061773461</v>
      </c>
    </row>
    <row r="304" spans="7:20">
      <c r="G304" s="428">
        <v>301</v>
      </c>
      <c r="H304" s="440">
        <f t="shared" si="30"/>
        <v>825283.27803667868</v>
      </c>
      <c r="I304" s="440">
        <f t="shared" si="31"/>
        <v>2793.0727028128686</v>
      </c>
      <c r="J304" s="440">
        <f t="shared" si="32"/>
        <v>12638.532807181778</v>
      </c>
      <c r="K304" s="440">
        <f t="shared" si="33"/>
        <v>15431.605509994648</v>
      </c>
      <c r="L304" s="440">
        <f t="shared" si="34"/>
        <v>475.6602812890315</v>
      </c>
      <c r="M304" s="440"/>
      <c r="N304" s="440"/>
      <c r="O304" s="440"/>
      <c r="P304" s="440"/>
      <c r="Q304" s="440"/>
      <c r="R304" s="440"/>
      <c r="S304" s="441">
        <f t="shared" si="35"/>
        <v>15907.26579128368</v>
      </c>
      <c r="T304" s="442">
        <f t="shared" si="36"/>
        <v>14817.68812991638</v>
      </c>
    </row>
    <row r="305" spans="7:20">
      <c r="G305" s="428">
        <v>302</v>
      </c>
      <c r="H305" s="440">
        <f t="shared" si="30"/>
        <v>812602.61678680626</v>
      </c>
      <c r="I305" s="440">
        <f t="shared" si="31"/>
        <v>2750.9442601222622</v>
      </c>
      <c r="J305" s="440">
        <f t="shared" si="32"/>
        <v>12680.661249872386</v>
      </c>
      <c r="K305" s="440">
        <f t="shared" si="33"/>
        <v>15431.605509994648</v>
      </c>
      <c r="L305" s="440">
        <f t="shared" si="34"/>
        <v>468.48580749882132</v>
      </c>
      <c r="M305" s="440"/>
      <c r="N305" s="440"/>
      <c r="O305" s="440"/>
      <c r="P305" s="440"/>
      <c r="Q305" s="440"/>
      <c r="R305" s="440"/>
      <c r="S305" s="441">
        <f t="shared" si="35"/>
        <v>15900.091317493469</v>
      </c>
      <c r="T305" s="442">
        <f t="shared" si="36"/>
        <v>14826.947961619775</v>
      </c>
    </row>
    <row r="306" spans="7:20">
      <c r="G306" s="428">
        <v>303</v>
      </c>
      <c r="H306" s="440">
        <f t="shared" si="30"/>
        <v>799879.68666610098</v>
      </c>
      <c r="I306" s="440">
        <f t="shared" si="31"/>
        <v>2708.6753892893544</v>
      </c>
      <c r="J306" s="440">
        <f t="shared" si="32"/>
        <v>12722.930120705294</v>
      </c>
      <c r="K306" s="440">
        <f t="shared" si="33"/>
        <v>15431.605509994648</v>
      </c>
      <c r="L306" s="440">
        <f t="shared" si="34"/>
        <v>461.28741879597709</v>
      </c>
      <c r="M306" s="440"/>
      <c r="N306" s="440"/>
      <c r="O306" s="440"/>
      <c r="P306" s="440"/>
      <c r="Q306" s="440"/>
      <c r="R306" s="440"/>
      <c r="S306" s="441">
        <f t="shared" si="35"/>
        <v>15892.892928790625</v>
      </c>
      <c r="T306" s="442">
        <f t="shared" si="36"/>
        <v>14836.238659428847</v>
      </c>
    </row>
    <row r="307" spans="7:20">
      <c r="G307" s="428">
        <v>304</v>
      </c>
      <c r="H307" s="440">
        <f t="shared" si="30"/>
        <v>787114.34677832667</v>
      </c>
      <c r="I307" s="440">
        <f t="shared" si="31"/>
        <v>2666.2656222203368</v>
      </c>
      <c r="J307" s="440">
        <f t="shared" si="32"/>
        <v>12765.339887774311</v>
      </c>
      <c r="K307" s="440">
        <f t="shared" si="33"/>
        <v>15431.605509994648</v>
      </c>
      <c r="L307" s="440">
        <f t="shared" si="34"/>
        <v>454.06503546412335</v>
      </c>
      <c r="M307" s="440"/>
      <c r="N307" s="440"/>
      <c r="O307" s="440"/>
      <c r="P307" s="440"/>
      <c r="Q307" s="440"/>
      <c r="R307" s="440"/>
      <c r="S307" s="441">
        <f t="shared" si="35"/>
        <v>15885.670545458772</v>
      </c>
      <c r="T307" s="442">
        <f t="shared" si="36"/>
        <v>14845.560326230618</v>
      </c>
    </row>
    <row r="308" spans="7:20">
      <c r="G308" s="428">
        <v>305</v>
      </c>
      <c r="H308" s="440">
        <f t="shared" si="30"/>
        <v>774306.45575759315</v>
      </c>
      <c r="I308" s="440">
        <f t="shared" si="31"/>
        <v>2623.7144892610891</v>
      </c>
      <c r="J308" s="440">
        <f t="shared" si="32"/>
        <v>12807.891020733559</v>
      </c>
      <c r="K308" s="440">
        <f t="shared" si="33"/>
        <v>15431.605509994648</v>
      </c>
      <c r="L308" s="440">
        <f t="shared" si="34"/>
        <v>446.81857752116349</v>
      </c>
      <c r="M308" s="440"/>
      <c r="N308" s="440"/>
      <c r="O308" s="440"/>
      <c r="P308" s="440"/>
      <c r="Q308" s="440"/>
      <c r="R308" s="440"/>
      <c r="S308" s="441">
        <f t="shared" si="35"/>
        <v>15878.424087515812</v>
      </c>
      <c r="T308" s="442">
        <f t="shared" si="36"/>
        <v>14854.913065255061</v>
      </c>
    </row>
    <row r="309" spans="7:20">
      <c r="G309" s="428">
        <v>306</v>
      </c>
      <c r="H309" s="440">
        <f t="shared" si="30"/>
        <v>761455.87176679051</v>
      </c>
      <c r="I309" s="440">
        <f t="shared" si="31"/>
        <v>2581.0215191919774</v>
      </c>
      <c r="J309" s="440">
        <f t="shared" si="32"/>
        <v>12850.58399080267</v>
      </c>
      <c r="K309" s="440">
        <f t="shared" si="33"/>
        <v>15431.605509994648</v>
      </c>
      <c r="L309" s="440">
        <f t="shared" si="34"/>
        <v>439.54796471839376</v>
      </c>
      <c r="M309" s="440"/>
      <c r="N309" s="440"/>
      <c r="O309" s="440"/>
      <c r="P309" s="440"/>
      <c r="Q309" s="440"/>
      <c r="R309" s="440"/>
      <c r="S309" s="441">
        <f t="shared" si="35"/>
        <v>15871.153474713041</v>
      </c>
      <c r="T309" s="442">
        <f t="shared" si="36"/>
        <v>14864.296980076251</v>
      </c>
    </row>
    <row r="310" spans="7:20">
      <c r="G310" s="428">
        <v>307</v>
      </c>
      <c r="H310" s="440">
        <f t="shared" si="30"/>
        <v>748562.45249601849</v>
      </c>
      <c r="I310" s="440">
        <f t="shared" si="31"/>
        <v>2538.1862392226353</v>
      </c>
      <c r="J310" s="440">
        <f t="shared" si="32"/>
        <v>12893.419270772012</v>
      </c>
      <c r="K310" s="440">
        <f t="shared" si="33"/>
        <v>15431.605509994648</v>
      </c>
      <c r="L310" s="440">
        <f t="shared" si="34"/>
        <v>432.25311653961478</v>
      </c>
      <c r="M310" s="440"/>
      <c r="N310" s="440"/>
      <c r="O310" s="440"/>
      <c r="P310" s="440"/>
      <c r="Q310" s="440"/>
      <c r="R310" s="440"/>
      <c r="S310" s="441">
        <f t="shared" si="35"/>
        <v>15863.858626534262</v>
      </c>
      <c r="T310" s="442">
        <f t="shared" si="36"/>
        <v>14873.712174613513</v>
      </c>
    </row>
    <row r="311" spans="7:20">
      <c r="G311" s="428">
        <v>308</v>
      </c>
      <c r="H311" s="440">
        <f t="shared" si="30"/>
        <v>735626.05516101059</v>
      </c>
      <c r="I311" s="440">
        <f t="shared" si="31"/>
        <v>2495.2081749867284</v>
      </c>
      <c r="J311" s="440">
        <f t="shared" si="32"/>
        <v>12936.39733500792</v>
      </c>
      <c r="K311" s="440">
        <f t="shared" si="33"/>
        <v>15431.605509994648</v>
      </c>
      <c r="L311" s="440">
        <f t="shared" si="34"/>
        <v>424.9339522002399</v>
      </c>
      <c r="M311" s="440"/>
      <c r="N311" s="440"/>
      <c r="O311" s="440"/>
      <c r="P311" s="440"/>
      <c r="Q311" s="440"/>
      <c r="R311" s="440"/>
      <c r="S311" s="441">
        <f t="shared" si="35"/>
        <v>15856.539462194887</v>
      </c>
      <c r="T311" s="442">
        <f t="shared" si="36"/>
        <v>14883.158753132564</v>
      </c>
    </row>
    <row r="312" spans="7:20">
      <c r="G312" s="428">
        <v>309</v>
      </c>
      <c r="H312" s="440">
        <f t="shared" si="30"/>
        <v>722646.53650155268</v>
      </c>
      <c r="I312" s="440">
        <f t="shared" si="31"/>
        <v>2452.0868505367021</v>
      </c>
      <c r="J312" s="440">
        <f t="shared" si="32"/>
        <v>12979.518659457946</v>
      </c>
      <c r="K312" s="440">
        <f t="shared" si="33"/>
        <v>15431.605509994648</v>
      </c>
      <c r="L312" s="440">
        <f t="shared" si="34"/>
        <v>417.59039064640041</v>
      </c>
      <c r="M312" s="440"/>
      <c r="N312" s="440"/>
      <c r="O312" s="440"/>
      <c r="P312" s="440"/>
      <c r="Q312" s="440"/>
      <c r="R312" s="440"/>
      <c r="S312" s="441">
        <f t="shared" si="35"/>
        <v>15849.195900641049</v>
      </c>
      <c r="T312" s="442">
        <f t="shared" si="36"/>
        <v>14892.636820246682</v>
      </c>
    </row>
    <row r="313" spans="7:20">
      <c r="G313" s="428">
        <v>310</v>
      </c>
      <c r="H313" s="440">
        <f t="shared" si="30"/>
        <v>709623.75277989649</v>
      </c>
      <c r="I313" s="440">
        <f t="shared" si="31"/>
        <v>2408.8217883385091</v>
      </c>
      <c r="J313" s="440">
        <f t="shared" si="32"/>
        <v>13022.783721656138</v>
      </c>
      <c r="K313" s="440">
        <f t="shared" si="33"/>
        <v>15431.605509994648</v>
      </c>
      <c r="L313" s="440">
        <f t="shared" si="34"/>
        <v>410.22235055404809</v>
      </c>
      <c r="M313" s="440"/>
      <c r="N313" s="440"/>
      <c r="O313" s="440"/>
      <c r="P313" s="440"/>
      <c r="Q313" s="440"/>
      <c r="R313" s="440"/>
      <c r="S313" s="441">
        <f t="shared" si="35"/>
        <v>15841.827860548696</v>
      </c>
      <c r="T313" s="442">
        <f t="shared" si="36"/>
        <v>14902.146480917843</v>
      </c>
    </row>
    <row r="314" spans="7:20">
      <c r="G314" s="428">
        <v>311</v>
      </c>
      <c r="H314" s="440">
        <f t="shared" si="30"/>
        <v>696557.55977916811</v>
      </c>
      <c r="I314" s="440">
        <f t="shared" si="31"/>
        <v>2365.4125092663216</v>
      </c>
      <c r="J314" s="440">
        <f t="shared" si="32"/>
        <v>13066.193000728326</v>
      </c>
      <c r="K314" s="440">
        <f t="shared" si="33"/>
        <v>15431.605509994648</v>
      </c>
      <c r="L314" s="440">
        <f t="shared" si="34"/>
        <v>402.82975032805462</v>
      </c>
      <c r="M314" s="440"/>
      <c r="N314" s="440"/>
      <c r="O314" s="440"/>
      <c r="P314" s="440"/>
      <c r="Q314" s="440"/>
      <c r="R314" s="440"/>
      <c r="S314" s="441">
        <f t="shared" si="35"/>
        <v>15834.435260322702</v>
      </c>
      <c r="T314" s="442">
        <f t="shared" si="36"/>
        <v>14911.687840457909</v>
      </c>
    </row>
    <row r="315" spans="7:20">
      <c r="G315" s="428">
        <v>312</v>
      </c>
      <c r="H315" s="440">
        <f t="shared" si="30"/>
        <v>683447.81280177063</v>
      </c>
      <c r="I315" s="440">
        <f t="shared" si="31"/>
        <v>2321.8585325972272</v>
      </c>
      <c r="J315" s="440">
        <f t="shared" si="32"/>
        <v>13109.746977397421</v>
      </c>
      <c r="K315" s="440">
        <f t="shared" si="33"/>
        <v>15431.605509994648</v>
      </c>
      <c r="L315" s="440">
        <f t="shared" si="34"/>
        <v>395.41250810130782</v>
      </c>
      <c r="M315" s="440"/>
      <c r="N315" s="440"/>
      <c r="O315" s="440"/>
      <c r="P315" s="440"/>
      <c r="Q315" s="440"/>
      <c r="R315" s="440"/>
      <c r="S315" s="441">
        <f t="shared" si="35"/>
        <v>15827.018018095956</v>
      </c>
      <c r="T315" s="442">
        <f t="shared" si="36"/>
        <v>14921.261004529777</v>
      </c>
    </row>
    <row r="316" spans="7:20">
      <c r="G316" s="428">
        <v>313</v>
      </c>
      <c r="H316" s="440">
        <f t="shared" ref="H316:H363" si="37">H315-J316</f>
        <v>670294.36666778184</v>
      </c>
      <c r="I316" s="440">
        <f t="shared" ref="I316:I363" si="38">$E$9/$E$13*H315</f>
        <v>2278.1593760059022</v>
      </c>
      <c r="J316" s="440">
        <f t="shared" ref="J316:J363" si="39">K316-I316</f>
        <v>13153.446133988746</v>
      </c>
      <c r="K316" s="440">
        <f t="shared" ref="K316:K363" si="40">IF(G316&gt;$E$14,0,$E$16)</f>
        <v>15431.605509994648</v>
      </c>
      <c r="L316" s="440">
        <f t="shared" ref="L316:L363" si="41">$E$10/$E$13*H315</f>
        <v>387.97054173380519</v>
      </c>
      <c r="M316" s="440"/>
      <c r="N316" s="440"/>
      <c r="O316" s="440"/>
      <c r="P316" s="440"/>
      <c r="Q316" s="440"/>
      <c r="R316" s="440"/>
      <c r="S316" s="441">
        <f t="shared" ref="S316:S363" si="42">K316+L316</f>
        <v>15819.576051728453</v>
      </c>
      <c r="T316" s="442">
        <f t="shared" ref="T316:T363" si="43">S316-1/3*(I316+L316)</f>
        <v>14930.866079148551</v>
      </c>
    </row>
    <row r="317" spans="7:20">
      <c r="G317" s="428">
        <v>314</v>
      </c>
      <c r="H317" s="440">
        <f t="shared" si="37"/>
        <v>657097.07571334648</v>
      </c>
      <c r="I317" s="440">
        <f t="shared" si="38"/>
        <v>2234.3145555592728</v>
      </c>
      <c r="J317" s="440">
        <f t="shared" si="39"/>
        <v>13197.290954435375</v>
      </c>
      <c r="K317" s="440">
        <f t="shared" si="40"/>
        <v>15431.605509994648</v>
      </c>
      <c r="L317" s="440">
        <f t="shared" si="41"/>
        <v>380.50376881174418</v>
      </c>
      <c r="M317" s="440"/>
      <c r="N317" s="440"/>
      <c r="O317" s="440"/>
      <c r="P317" s="440"/>
      <c r="Q317" s="440"/>
      <c r="R317" s="440"/>
      <c r="S317" s="441">
        <f t="shared" si="42"/>
        <v>15812.109278806392</v>
      </c>
      <c r="T317" s="442">
        <f t="shared" si="43"/>
        <v>14940.503170682719</v>
      </c>
    </row>
    <row r="318" spans="7:20">
      <c r="G318" s="428">
        <v>315</v>
      </c>
      <c r="H318" s="440">
        <f t="shared" si="37"/>
        <v>643855.793789063</v>
      </c>
      <c r="I318" s="440">
        <f t="shared" si="38"/>
        <v>2190.3235857111549</v>
      </c>
      <c r="J318" s="440">
        <f t="shared" si="39"/>
        <v>13241.281924283492</v>
      </c>
      <c r="K318" s="440">
        <f t="shared" si="40"/>
        <v>15431.605509994648</v>
      </c>
      <c r="L318" s="440">
        <f t="shared" si="41"/>
        <v>373.01210664660971</v>
      </c>
      <c r="M318" s="440"/>
      <c r="N318" s="440"/>
      <c r="O318" s="440"/>
      <c r="P318" s="440"/>
      <c r="Q318" s="440"/>
      <c r="R318" s="440"/>
      <c r="S318" s="441">
        <f t="shared" si="42"/>
        <v>15804.617616641257</v>
      </c>
      <c r="T318" s="442">
        <f t="shared" si="43"/>
        <v>14950.172385855336</v>
      </c>
    </row>
    <row r="319" spans="7:20">
      <c r="G319" s="428">
        <v>316</v>
      </c>
      <c r="H319" s="440">
        <f t="shared" si="37"/>
        <v>630570.37425836525</v>
      </c>
      <c r="I319" s="440">
        <f t="shared" si="38"/>
        <v>2146.1859792968767</v>
      </c>
      <c r="J319" s="440">
        <f t="shared" si="39"/>
        <v>13285.419530697771</v>
      </c>
      <c r="K319" s="440">
        <f t="shared" si="40"/>
        <v>15431.605509994648</v>
      </c>
      <c r="L319" s="440">
        <f t="shared" si="41"/>
        <v>365.49547227425813</v>
      </c>
      <c r="M319" s="440"/>
      <c r="N319" s="440"/>
      <c r="O319" s="440"/>
      <c r="P319" s="440"/>
      <c r="Q319" s="440"/>
      <c r="R319" s="440"/>
      <c r="S319" s="441">
        <f t="shared" si="42"/>
        <v>15797.100982268907</v>
      </c>
      <c r="T319" s="442">
        <f t="shared" si="43"/>
        <v>14959.873831745195</v>
      </c>
    </row>
    <row r="320" spans="7:20">
      <c r="G320" s="428">
        <v>317</v>
      </c>
      <c r="H320" s="440">
        <f t="shared" si="37"/>
        <v>617240.6699958985</v>
      </c>
      <c r="I320" s="440">
        <f t="shared" si="38"/>
        <v>2101.9012475278842</v>
      </c>
      <c r="J320" s="440">
        <f t="shared" si="39"/>
        <v>13329.704262466763</v>
      </c>
      <c r="K320" s="440">
        <f t="shared" si="40"/>
        <v>15431.605509994648</v>
      </c>
      <c r="L320" s="440">
        <f t="shared" si="41"/>
        <v>357.95378245399871</v>
      </c>
      <c r="M320" s="440"/>
      <c r="N320" s="440"/>
      <c r="O320" s="440"/>
      <c r="P320" s="440"/>
      <c r="Q320" s="440"/>
      <c r="R320" s="440"/>
      <c r="S320" s="441">
        <f t="shared" si="42"/>
        <v>15789.559292448646</v>
      </c>
      <c r="T320" s="442">
        <f t="shared" si="43"/>
        <v>14969.607615788018</v>
      </c>
    </row>
    <row r="321" spans="7:20">
      <c r="G321" s="428">
        <v>318</v>
      </c>
      <c r="H321" s="440">
        <f t="shared" si="37"/>
        <v>603866.53338589019</v>
      </c>
      <c r="I321" s="440">
        <f t="shared" si="38"/>
        <v>2057.4688999863283</v>
      </c>
      <c r="J321" s="440">
        <f t="shared" si="39"/>
        <v>13374.13661000832</v>
      </c>
      <c r="K321" s="440">
        <f t="shared" si="40"/>
        <v>15431.605509994648</v>
      </c>
      <c r="L321" s="440">
        <f t="shared" si="41"/>
        <v>350.38695366767178</v>
      </c>
      <c r="M321" s="440"/>
      <c r="N321" s="440"/>
      <c r="O321" s="440"/>
      <c r="P321" s="440"/>
      <c r="Q321" s="440"/>
      <c r="R321" s="440"/>
      <c r="S321" s="441">
        <f t="shared" si="42"/>
        <v>15781.99246366232</v>
      </c>
      <c r="T321" s="442">
        <f t="shared" si="43"/>
        <v>14979.373845777653</v>
      </c>
    </row>
    <row r="322" spans="7:20">
      <c r="G322" s="428">
        <v>319</v>
      </c>
      <c r="H322" s="440">
        <f t="shared" si="37"/>
        <v>590447.81632051512</v>
      </c>
      <c r="I322" s="440">
        <f t="shared" si="38"/>
        <v>2012.8884446196341</v>
      </c>
      <c r="J322" s="440">
        <f t="shared" si="39"/>
        <v>13418.717065375014</v>
      </c>
      <c r="K322" s="440">
        <f t="shared" si="40"/>
        <v>15431.605509994648</v>
      </c>
      <c r="L322" s="440">
        <f t="shared" si="41"/>
        <v>342.79490211872371</v>
      </c>
      <c r="M322" s="440"/>
      <c r="N322" s="440"/>
      <c r="O322" s="440"/>
      <c r="P322" s="440"/>
      <c r="Q322" s="440"/>
      <c r="R322" s="440"/>
      <c r="S322" s="441">
        <f t="shared" si="42"/>
        <v>15774.400412113371</v>
      </c>
      <c r="T322" s="442">
        <f t="shared" si="43"/>
        <v>14989.172629867251</v>
      </c>
    </row>
    <row r="323" spans="7:20">
      <c r="G323" s="428">
        <v>320</v>
      </c>
      <c r="H323" s="440">
        <f t="shared" si="37"/>
        <v>576984.37019825552</v>
      </c>
      <c r="I323" s="440">
        <f t="shared" si="38"/>
        <v>1968.1593877350506</v>
      </c>
      <c r="J323" s="440">
        <f t="shared" si="39"/>
        <v>13463.446122259596</v>
      </c>
      <c r="K323" s="440">
        <f t="shared" si="40"/>
        <v>15431.605509994648</v>
      </c>
      <c r="L323" s="440">
        <f t="shared" si="41"/>
        <v>335.17754373127912</v>
      </c>
      <c r="M323" s="440"/>
      <c r="N323" s="440"/>
      <c r="O323" s="440"/>
      <c r="P323" s="440"/>
      <c r="Q323" s="440"/>
      <c r="R323" s="440"/>
      <c r="S323" s="441">
        <f t="shared" si="42"/>
        <v>15766.783053725927</v>
      </c>
      <c r="T323" s="442">
        <f t="shared" si="43"/>
        <v>14999.004076570483</v>
      </c>
    </row>
    <row r="324" spans="7:20">
      <c r="G324" s="428">
        <v>321</v>
      </c>
      <c r="H324" s="440">
        <f t="shared" si="37"/>
        <v>563476.04592225503</v>
      </c>
      <c r="I324" s="440">
        <f t="shared" si="38"/>
        <v>1923.2812339941852</v>
      </c>
      <c r="J324" s="440">
        <f t="shared" si="39"/>
        <v>13508.324276000463</v>
      </c>
      <c r="K324" s="440">
        <f t="shared" si="40"/>
        <v>15431.605509994648</v>
      </c>
      <c r="L324" s="440">
        <f t="shared" si="41"/>
        <v>327.53479414920974</v>
      </c>
      <c r="M324" s="440"/>
      <c r="N324" s="440"/>
      <c r="O324" s="440"/>
      <c r="P324" s="440"/>
      <c r="Q324" s="440"/>
      <c r="R324" s="440"/>
      <c r="S324" s="441">
        <f t="shared" si="42"/>
        <v>15759.140304143857</v>
      </c>
      <c r="T324" s="442">
        <f t="shared" si="43"/>
        <v>15008.868294762726</v>
      </c>
    </row>
    <row r="325" spans="7:20">
      <c r="G325" s="428">
        <v>322</v>
      </c>
      <c r="H325" s="440">
        <f t="shared" si="37"/>
        <v>549922.69389866793</v>
      </c>
      <c r="I325" s="440">
        <f t="shared" si="38"/>
        <v>1878.2534864075169</v>
      </c>
      <c r="J325" s="440">
        <f t="shared" si="39"/>
        <v>13553.352023587131</v>
      </c>
      <c r="K325" s="440">
        <f t="shared" si="40"/>
        <v>15431.605509994648</v>
      </c>
      <c r="L325" s="440">
        <f t="shared" si="41"/>
        <v>319.86656873520013</v>
      </c>
      <c r="M325" s="440"/>
      <c r="N325" s="440"/>
      <c r="O325" s="440"/>
      <c r="P325" s="440"/>
      <c r="Q325" s="440"/>
      <c r="R325" s="440"/>
      <c r="S325" s="441">
        <f t="shared" si="42"/>
        <v>15751.472078729848</v>
      </c>
      <c r="T325" s="442">
        <f t="shared" si="43"/>
        <v>15018.765393682275</v>
      </c>
    </row>
    <row r="326" spans="7:20">
      <c r="G326" s="428">
        <v>323</v>
      </c>
      <c r="H326" s="440">
        <f t="shared" si="37"/>
        <v>536324.16403500212</v>
      </c>
      <c r="I326" s="440">
        <f t="shared" si="38"/>
        <v>1833.0756463288933</v>
      </c>
      <c r="J326" s="440">
        <f t="shared" si="39"/>
        <v>13598.529863665755</v>
      </c>
      <c r="K326" s="440">
        <f t="shared" si="40"/>
        <v>15431.605509994648</v>
      </c>
      <c r="L326" s="440">
        <f t="shared" si="41"/>
        <v>312.17278256981052</v>
      </c>
      <c r="M326" s="440"/>
      <c r="N326" s="440"/>
      <c r="O326" s="440"/>
      <c r="P326" s="440"/>
      <c r="Q326" s="440"/>
      <c r="R326" s="440"/>
      <c r="S326" s="441">
        <f t="shared" si="42"/>
        <v>15743.778292564459</v>
      </c>
      <c r="T326" s="442">
        <f t="shared" si="43"/>
        <v>15028.695482931558</v>
      </c>
    </row>
    <row r="327" spans="7:20">
      <c r="G327" s="428">
        <v>324</v>
      </c>
      <c r="H327" s="440">
        <f t="shared" si="37"/>
        <v>522680.30573845748</v>
      </c>
      <c r="I327" s="440">
        <f t="shared" si="38"/>
        <v>1787.7472134500072</v>
      </c>
      <c r="J327" s="440">
        <f t="shared" si="39"/>
        <v>13643.85829654464</v>
      </c>
      <c r="K327" s="440">
        <f t="shared" si="40"/>
        <v>15431.605509994648</v>
      </c>
      <c r="L327" s="440">
        <f t="shared" si="41"/>
        <v>304.45335045053622</v>
      </c>
      <c r="M327" s="440"/>
      <c r="N327" s="440"/>
      <c r="O327" s="440"/>
      <c r="P327" s="440"/>
      <c r="Q327" s="440"/>
      <c r="R327" s="440"/>
      <c r="S327" s="441">
        <f t="shared" si="42"/>
        <v>15736.058860445184</v>
      </c>
      <c r="T327" s="442">
        <f t="shared" si="43"/>
        <v>15038.658672478336</v>
      </c>
    </row>
    <row r="328" spans="7:20">
      <c r="G328" s="428">
        <v>325</v>
      </c>
      <c r="H328" s="440">
        <f t="shared" si="37"/>
        <v>508990.96791425766</v>
      </c>
      <c r="I328" s="440">
        <f t="shared" si="38"/>
        <v>1742.2676857948584</v>
      </c>
      <c r="J328" s="440">
        <f t="shared" si="39"/>
        <v>13689.337824199789</v>
      </c>
      <c r="K328" s="440">
        <f t="shared" si="40"/>
        <v>15431.605509994648</v>
      </c>
      <c r="L328" s="440">
        <f t="shared" si="41"/>
        <v>296.7081868908644</v>
      </c>
      <c r="M328" s="440"/>
      <c r="N328" s="440"/>
      <c r="O328" s="440"/>
      <c r="P328" s="440"/>
      <c r="Q328" s="440"/>
      <c r="R328" s="440"/>
      <c r="S328" s="441">
        <f t="shared" si="42"/>
        <v>15728.313696885512</v>
      </c>
      <c r="T328" s="442">
        <f t="shared" si="43"/>
        <v>15048.655072656939</v>
      </c>
    </row>
    <row r="329" spans="7:20">
      <c r="G329" s="428">
        <v>326</v>
      </c>
      <c r="H329" s="440">
        <f t="shared" si="37"/>
        <v>495255.99896397721</v>
      </c>
      <c r="I329" s="440">
        <f t="shared" si="38"/>
        <v>1696.6365597141923</v>
      </c>
      <c r="J329" s="440">
        <f t="shared" si="39"/>
        <v>13734.968950280456</v>
      </c>
      <c r="K329" s="440">
        <f t="shared" si="40"/>
        <v>15431.605509994648</v>
      </c>
      <c r="L329" s="440">
        <f t="shared" si="41"/>
        <v>288.93720611932696</v>
      </c>
      <c r="M329" s="440"/>
      <c r="N329" s="440"/>
      <c r="O329" s="440"/>
      <c r="P329" s="440"/>
      <c r="Q329" s="440"/>
      <c r="R329" s="440"/>
      <c r="S329" s="441">
        <f t="shared" si="42"/>
        <v>15720.542716113974</v>
      </c>
      <c r="T329" s="442">
        <f t="shared" si="43"/>
        <v>15058.684794169469</v>
      </c>
    </row>
    <row r="330" spans="7:20">
      <c r="G330" s="428">
        <v>327</v>
      </c>
      <c r="H330" s="440">
        <f t="shared" si="37"/>
        <v>481475.24678386247</v>
      </c>
      <c r="I330" s="440">
        <f t="shared" si="38"/>
        <v>1650.8533298799241</v>
      </c>
      <c r="J330" s="440">
        <f t="shared" si="39"/>
        <v>13780.752180114723</v>
      </c>
      <c r="K330" s="440">
        <f t="shared" si="40"/>
        <v>15431.605509994648</v>
      </c>
      <c r="L330" s="440">
        <f t="shared" si="41"/>
        <v>281.14032207855109</v>
      </c>
      <c r="M330" s="440"/>
      <c r="N330" s="440"/>
      <c r="O330" s="440"/>
      <c r="P330" s="440"/>
      <c r="Q330" s="440"/>
      <c r="R330" s="440"/>
      <c r="S330" s="441">
        <f t="shared" si="42"/>
        <v>15712.745832073198</v>
      </c>
      <c r="T330" s="442">
        <f t="shared" si="43"/>
        <v>15068.747948087041</v>
      </c>
    </row>
    <row r="331" spans="7:20">
      <c r="G331" s="428">
        <v>328</v>
      </c>
      <c r="H331" s="440">
        <f t="shared" si="37"/>
        <v>467648.55876314739</v>
      </c>
      <c r="I331" s="440">
        <f t="shared" si="38"/>
        <v>1604.9174892795418</v>
      </c>
      <c r="J331" s="440">
        <f t="shared" si="39"/>
        <v>13826.688020715106</v>
      </c>
      <c r="K331" s="440">
        <f t="shared" si="40"/>
        <v>15431.605509994648</v>
      </c>
      <c r="L331" s="440">
        <f t="shared" si="41"/>
        <v>273.31744842430595</v>
      </c>
      <c r="M331" s="440"/>
      <c r="N331" s="440"/>
      <c r="O331" s="440"/>
      <c r="P331" s="440"/>
      <c r="Q331" s="440"/>
      <c r="R331" s="440"/>
      <c r="S331" s="441">
        <f t="shared" si="42"/>
        <v>15704.922958418954</v>
      </c>
      <c r="T331" s="442">
        <f t="shared" si="43"/>
        <v>15078.844645851004</v>
      </c>
    </row>
    <row r="332" spans="7:20">
      <c r="G332" s="428">
        <v>329</v>
      </c>
      <c r="H332" s="440">
        <f t="shared" si="37"/>
        <v>453775.78178236325</v>
      </c>
      <c r="I332" s="440">
        <f t="shared" si="38"/>
        <v>1558.8285292104913</v>
      </c>
      <c r="J332" s="440">
        <f t="shared" si="39"/>
        <v>13872.776980784156</v>
      </c>
      <c r="K332" s="440">
        <f t="shared" si="40"/>
        <v>15431.605509994648</v>
      </c>
      <c r="L332" s="440">
        <f t="shared" si="41"/>
        <v>265.4684985245467</v>
      </c>
      <c r="M332" s="440"/>
      <c r="N332" s="440"/>
      <c r="O332" s="440"/>
      <c r="P332" s="440"/>
      <c r="Q332" s="440"/>
      <c r="R332" s="440"/>
      <c r="S332" s="441">
        <f t="shared" si="42"/>
        <v>15697.074008519194</v>
      </c>
      <c r="T332" s="442">
        <f t="shared" si="43"/>
        <v>15088.974999274182</v>
      </c>
    </row>
    <row r="333" spans="7:20">
      <c r="G333" s="428">
        <v>330</v>
      </c>
      <c r="H333" s="440">
        <f t="shared" si="37"/>
        <v>439856.76221164316</v>
      </c>
      <c r="I333" s="440">
        <f t="shared" si="38"/>
        <v>1512.5859392745442</v>
      </c>
      <c r="J333" s="440">
        <f t="shared" si="39"/>
        <v>13919.019570720104</v>
      </c>
      <c r="K333" s="440">
        <f t="shared" si="40"/>
        <v>15431.605509994648</v>
      </c>
      <c r="L333" s="440">
        <f t="shared" si="41"/>
        <v>257.59338545845492</v>
      </c>
      <c r="M333" s="440"/>
      <c r="N333" s="440"/>
      <c r="O333" s="440"/>
      <c r="P333" s="440"/>
      <c r="Q333" s="440"/>
      <c r="R333" s="440"/>
      <c r="S333" s="441">
        <f t="shared" si="42"/>
        <v>15689.198895453103</v>
      </c>
      <c r="T333" s="442">
        <f t="shared" si="43"/>
        <v>15099.139120542102</v>
      </c>
    </row>
    <row r="334" spans="7:20">
      <c r="G334" s="428">
        <v>331</v>
      </c>
      <c r="H334" s="440">
        <f t="shared" si="37"/>
        <v>425891.34590902063</v>
      </c>
      <c r="I334" s="440">
        <f t="shared" si="38"/>
        <v>1466.189207372144</v>
      </c>
      <c r="J334" s="440">
        <f t="shared" si="39"/>
        <v>13965.416302622503</v>
      </c>
      <c r="K334" s="440">
        <f t="shared" si="40"/>
        <v>15431.605509994648</v>
      </c>
      <c r="L334" s="440">
        <f t="shared" si="41"/>
        <v>249.69202201547614</v>
      </c>
      <c r="M334" s="440"/>
      <c r="N334" s="440"/>
      <c r="O334" s="440"/>
      <c r="P334" s="440"/>
      <c r="Q334" s="440"/>
      <c r="R334" s="440"/>
      <c r="S334" s="441">
        <f t="shared" si="42"/>
        <v>15681.297532010125</v>
      </c>
      <c r="T334" s="442">
        <f t="shared" si="43"/>
        <v>15109.337122214252</v>
      </c>
    </row>
    <row r="335" spans="7:20">
      <c r="G335" s="428">
        <v>332</v>
      </c>
      <c r="H335" s="440">
        <f t="shared" si="37"/>
        <v>411879.3782187227</v>
      </c>
      <c r="I335" s="440">
        <f t="shared" si="38"/>
        <v>1419.6378196967355</v>
      </c>
      <c r="J335" s="440">
        <f t="shared" si="39"/>
        <v>14011.967690297912</v>
      </c>
      <c r="K335" s="440">
        <f t="shared" si="40"/>
        <v>15431.605509994648</v>
      </c>
      <c r="L335" s="440">
        <f t="shared" si="41"/>
        <v>241.76432069435407</v>
      </c>
      <c r="M335" s="440"/>
      <c r="N335" s="440"/>
      <c r="O335" s="440"/>
      <c r="P335" s="440"/>
      <c r="Q335" s="440"/>
      <c r="R335" s="440"/>
      <c r="S335" s="441">
        <f t="shared" si="42"/>
        <v>15673.369830689002</v>
      </c>
      <c r="T335" s="442">
        <f t="shared" si="43"/>
        <v>15119.569117225305</v>
      </c>
    </row>
    <row r="336" spans="7:20">
      <c r="G336" s="428">
        <v>333</v>
      </c>
      <c r="H336" s="440">
        <f t="shared" si="37"/>
        <v>397820.70396945713</v>
      </c>
      <c r="I336" s="440">
        <f t="shared" si="38"/>
        <v>1372.9312607290758</v>
      </c>
      <c r="J336" s="440">
        <f t="shared" si="39"/>
        <v>14058.674249265572</v>
      </c>
      <c r="K336" s="440">
        <f t="shared" si="40"/>
        <v>15431.605509994648</v>
      </c>
      <c r="L336" s="440">
        <f t="shared" si="41"/>
        <v>233.81019370216163</v>
      </c>
      <c r="M336" s="440"/>
      <c r="N336" s="440"/>
      <c r="O336" s="440"/>
      <c r="P336" s="440"/>
      <c r="Q336" s="440"/>
      <c r="R336" s="440"/>
      <c r="S336" s="441">
        <f t="shared" si="42"/>
        <v>15665.41570369681</v>
      </c>
      <c r="T336" s="442">
        <f t="shared" si="43"/>
        <v>15129.835218886397</v>
      </c>
    </row>
    <row r="337" spans="7:20">
      <c r="G337" s="428">
        <v>334</v>
      </c>
      <c r="H337" s="440">
        <f t="shared" si="37"/>
        <v>383715.16747269401</v>
      </c>
      <c r="I337" s="440">
        <f t="shared" si="38"/>
        <v>1326.0690132315237</v>
      </c>
      <c r="J337" s="440">
        <f t="shared" si="39"/>
        <v>14105.536496763125</v>
      </c>
      <c r="K337" s="440">
        <f t="shared" si="40"/>
        <v>15431.605509994648</v>
      </c>
      <c r="L337" s="440">
        <f t="shared" si="41"/>
        <v>225.82955295332852</v>
      </c>
      <c r="M337" s="440"/>
      <c r="N337" s="440"/>
      <c r="O337" s="440"/>
      <c r="P337" s="440"/>
      <c r="Q337" s="440"/>
      <c r="R337" s="440"/>
      <c r="S337" s="441">
        <f t="shared" si="42"/>
        <v>15657.435062947976</v>
      </c>
      <c r="T337" s="442">
        <f t="shared" si="43"/>
        <v>15140.135540886358</v>
      </c>
    </row>
    <row r="338" spans="7:20">
      <c r="G338" s="428">
        <v>335</v>
      </c>
      <c r="H338" s="440">
        <f t="shared" si="37"/>
        <v>369562.61252094165</v>
      </c>
      <c r="I338" s="440">
        <f t="shared" si="38"/>
        <v>1279.0505582423134</v>
      </c>
      <c r="J338" s="440">
        <f t="shared" si="39"/>
        <v>14152.554951752334</v>
      </c>
      <c r="K338" s="440">
        <f t="shared" si="40"/>
        <v>15431.605509994648</v>
      </c>
      <c r="L338" s="440">
        <f t="shared" si="41"/>
        <v>217.82231006866598</v>
      </c>
      <c r="M338" s="440"/>
      <c r="N338" s="440"/>
      <c r="O338" s="440"/>
      <c r="P338" s="440"/>
      <c r="Q338" s="440"/>
      <c r="R338" s="440"/>
      <c r="S338" s="441">
        <f t="shared" si="42"/>
        <v>15649.427820063314</v>
      </c>
      <c r="T338" s="442">
        <f t="shared" si="43"/>
        <v>15150.470197292987</v>
      </c>
    </row>
    <row r="339" spans="7:20">
      <c r="G339" s="428">
        <v>336</v>
      </c>
      <c r="H339" s="440">
        <f t="shared" si="37"/>
        <v>355362.88238601683</v>
      </c>
      <c r="I339" s="440">
        <f t="shared" si="38"/>
        <v>1231.8753750698056</v>
      </c>
      <c r="J339" s="440">
        <f t="shared" si="39"/>
        <v>14199.730134924843</v>
      </c>
      <c r="K339" s="440">
        <f t="shared" si="40"/>
        <v>15431.605509994648</v>
      </c>
      <c r="L339" s="440">
        <f t="shared" si="41"/>
        <v>209.78837637438789</v>
      </c>
      <c r="M339" s="440"/>
      <c r="N339" s="440"/>
      <c r="O339" s="440"/>
      <c r="P339" s="440"/>
      <c r="Q339" s="440"/>
      <c r="R339" s="440"/>
      <c r="S339" s="441">
        <f t="shared" si="42"/>
        <v>15641.393886369036</v>
      </c>
      <c r="T339" s="442">
        <f t="shared" si="43"/>
        <v>15160.839302554305</v>
      </c>
    </row>
    <row r="340" spans="7:20">
      <c r="G340" s="428">
        <v>337</v>
      </c>
      <c r="H340" s="440">
        <f t="shared" si="37"/>
        <v>341115.81981730892</v>
      </c>
      <c r="I340" s="440">
        <f t="shared" si="38"/>
        <v>1184.5429412867229</v>
      </c>
      <c r="J340" s="440">
        <f t="shared" si="39"/>
        <v>14247.062568707925</v>
      </c>
      <c r="K340" s="440">
        <f t="shared" si="40"/>
        <v>15431.605509994648</v>
      </c>
      <c r="L340" s="440">
        <f t="shared" si="41"/>
        <v>201.72766290112892</v>
      </c>
      <c r="M340" s="440"/>
      <c r="N340" s="440"/>
      <c r="O340" s="440"/>
      <c r="P340" s="440"/>
      <c r="Q340" s="440"/>
      <c r="R340" s="440"/>
      <c r="S340" s="441">
        <f t="shared" si="42"/>
        <v>15633.333172895776</v>
      </c>
      <c r="T340" s="442">
        <f t="shared" si="43"/>
        <v>15171.242971499825</v>
      </c>
    </row>
    <row r="341" spans="7:20">
      <c r="G341" s="428">
        <v>338</v>
      </c>
      <c r="H341" s="440">
        <f t="shared" si="37"/>
        <v>326821.26704003866</v>
      </c>
      <c r="I341" s="440">
        <f t="shared" si="38"/>
        <v>1137.0527327243631</v>
      </c>
      <c r="J341" s="440">
        <f t="shared" si="39"/>
        <v>14294.552777270284</v>
      </c>
      <c r="K341" s="440">
        <f t="shared" si="40"/>
        <v>15431.605509994648</v>
      </c>
      <c r="L341" s="440">
        <f t="shared" si="41"/>
        <v>193.64008038295904</v>
      </c>
      <c r="M341" s="440"/>
      <c r="N341" s="440"/>
      <c r="O341" s="440"/>
      <c r="P341" s="440"/>
      <c r="Q341" s="440"/>
      <c r="R341" s="440"/>
      <c r="S341" s="441">
        <f t="shared" si="42"/>
        <v>15625.245590377606</v>
      </c>
      <c r="T341" s="442">
        <f t="shared" si="43"/>
        <v>15181.681319341833</v>
      </c>
    </row>
    <row r="342" spans="7:20">
      <c r="G342" s="428">
        <v>339</v>
      </c>
      <c r="H342" s="440">
        <f t="shared" si="37"/>
        <v>312479.0657535108</v>
      </c>
      <c r="I342" s="440">
        <f t="shared" si="38"/>
        <v>1089.4042234667957</v>
      </c>
      <c r="J342" s="440">
        <f t="shared" si="39"/>
        <v>14342.201286527852</v>
      </c>
      <c r="K342" s="440">
        <f t="shared" si="40"/>
        <v>15431.605509994648</v>
      </c>
      <c r="L342" s="440">
        <f t="shared" si="41"/>
        <v>185.52553925639529</v>
      </c>
      <c r="M342" s="440"/>
      <c r="N342" s="440"/>
      <c r="O342" s="440"/>
      <c r="P342" s="440"/>
      <c r="Q342" s="440"/>
      <c r="R342" s="440"/>
      <c r="S342" s="441">
        <f t="shared" si="42"/>
        <v>15617.131049251044</v>
      </c>
      <c r="T342" s="442">
        <f t="shared" si="43"/>
        <v>15192.154461676648</v>
      </c>
    </row>
    <row r="343" spans="7:20">
      <c r="G343" s="428">
        <v>340</v>
      </c>
      <c r="H343" s="440">
        <f t="shared" si="37"/>
        <v>298089.0571293612</v>
      </c>
      <c r="I343" s="440">
        <f t="shared" si="38"/>
        <v>1041.596885845036</v>
      </c>
      <c r="J343" s="440">
        <f t="shared" si="39"/>
        <v>14390.008624149612</v>
      </c>
      <c r="K343" s="440">
        <f t="shared" si="40"/>
        <v>15431.605509994648</v>
      </c>
      <c r="L343" s="440">
        <f t="shared" si="41"/>
        <v>177.38394965940967</v>
      </c>
      <c r="M343" s="440"/>
      <c r="N343" s="440"/>
      <c r="O343" s="440"/>
      <c r="P343" s="440"/>
      <c r="Q343" s="440"/>
      <c r="R343" s="440"/>
      <c r="S343" s="441">
        <f t="shared" si="42"/>
        <v>15608.989459654058</v>
      </c>
      <c r="T343" s="442">
        <f t="shared" si="43"/>
        <v>15202.66251448591</v>
      </c>
    </row>
    <row r="344" spans="7:20">
      <c r="G344" s="428">
        <v>341</v>
      </c>
      <c r="H344" s="440">
        <f t="shared" si="37"/>
        <v>283651.08180979773</v>
      </c>
      <c r="I344" s="440">
        <f t="shared" si="38"/>
        <v>993.63019043120403</v>
      </c>
      <c r="J344" s="440">
        <f t="shared" si="39"/>
        <v>14437.975319563444</v>
      </c>
      <c r="K344" s="440">
        <f t="shared" si="40"/>
        <v>15431.605509994648</v>
      </c>
      <c r="L344" s="440">
        <f t="shared" si="41"/>
        <v>169.21522143043407</v>
      </c>
      <c r="M344" s="440"/>
      <c r="N344" s="440"/>
      <c r="O344" s="440"/>
      <c r="P344" s="440"/>
      <c r="Q344" s="440"/>
      <c r="R344" s="440"/>
      <c r="S344" s="441">
        <f t="shared" si="42"/>
        <v>15600.820731425081</v>
      </c>
      <c r="T344" s="442">
        <f t="shared" si="43"/>
        <v>15213.205594137869</v>
      </c>
    </row>
    <row r="345" spans="7:20">
      <c r="G345" s="428">
        <v>342</v>
      </c>
      <c r="H345" s="440">
        <f t="shared" si="37"/>
        <v>269164.97990583576</v>
      </c>
      <c r="I345" s="440">
        <f t="shared" si="38"/>
        <v>945.50360603265915</v>
      </c>
      <c r="J345" s="440">
        <f t="shared" si="39"/>
        <v>14486.10190396199</v>
      </c>
      <c r="K345" s="440">
        <f t="shared" si="40"/>
        <v>15431.605509994648</v>
      </c>
      <c r="L345" s="440">
        <f t="shared" si="41"/>
        <v>161.01926410736186</v>
      </c>
      <c r="M345" s="440"/>
      <c r="N345" s="440"/>
      <c r="O345" s="440"/>
      <c r="P345" s="440"/>
      <c r="Q345" s="440"/>
      <c r="R345" s="440"/>
      <c r="S345" s="441">
        <f t="shared" si="42"/>
        <v>15592.624774102011</v>
      </c>
      <c r="T345" s="442">
        <f t="shared" si="43"/>
        <v>15223.78381738867</v>
      </c>
    </row>
    <row r="346" spans="7:20">
      <c r="G346" s="428">
        <v>343</v>
      </c>
      <c r="H346" s="440">
        <f t="shared" si="37"/>
        <v>254630.59099552722</v>
      </c>
      <c r="I346" s="440">
        <f t="shared" si="38"/>
        <v>897.21659968611925</v>
      </c>
      <c r="J346" s="440">
        <f t="shared" si="39"/>
        <v>14534.388910308529</v>
      </c>
      <c r="K346" s="440">
        <f t="shared" si="40"/>
        <v>15431.605509994648</v>
      </c>
      <c r="L346" s="440">
        <f t="shared" si="41"/>
        <v>152.79598692654611</v>
      </c>
      <c r="M346" s="440"/>
      <c r="N346" s="440"/>
      <c r="O346" s="440"/>
      <c r="P346" s="440"/>
      <c r="Q346" s="440"/>
      <c r="R346" s="440"/>
      <c r="S346" s="441">
        <f t="shared" si="42"/>
        <v>15584.401496921195</v>
      </c>
      <c r="T346" s="442">
        <f t="shared" si="43"/>
        <v>15234.39730138364</v>
      </c>
    </row>
    <row r="347" spans="7:20">
      <c r="G347" s="428">
        <v>344</v>
      </c>
      <c r="H347" s="440">
        <f t="shared" si="37"/>
        <v>240047.75412218433</v>
      </c>
      <c r="I347" s="440">
        <f t="shared" si="38"/>
        <v>848.76863665175745</v>
      </c>
      <c r="J347" s="440">
        <f t="shared" si="39"/>
        <v>14582.836873342891</v>
      </c>
      <c r="K347" s="440">
        <f t="shared" si="40"/>
        <v>15431.605509994648</v>
      </c>
      <c r="L347" s="440">
        <f t="shared" si="41"/>
        <v>144.54529882179429</v>
      </c>
      <c r="M347" s="440"/>
      <c r="N347" s="440"/>
      <c r="O347" s="440"/>
      <c r="P347" s="440"/>
      <c r="Q347" s="440"/>
      <c r="R347" s="440"/>
      <c r="S347" s="441">
        <f t="shared" si="42"/>
        <v>15576.150808816443</v>
      </c>
      <c r="T347" s="442">
        <f t="shared" si="43"/>
        <v>15245.046163658591</v>
      </c>
    </row>
    <row r="348" spans="7:20">
      <c r="G348" s="428">
        <v>345</v>
      </c>
      <c r="H348" s="440">
        <f t="shared" si="37"/>
        <v>225416.30779259696</v>
      </c>
      <c r="I348" s="440">
        <f t="shared" si="38"/>
        <v>800.15918040728116</v>
      </c>
      <c r="J348" s="440">
        <f t="shared" si="39"/>
        <v>14631.446329587367</v>
      </c>
      <c r="K348" s="440">
        <f t="shared" si="40"/>
        <v>15431.605509994648</v>
      </c>
      <c r="L348" s="440">
        <f t="shared" si="41"/>
        <v>136.26710842335999</v>
      </c>
      <c r="M348" s="440"/>
      <c r="N348" s="440"/>
      <c r="O348" s="440"/>
      <c r="P348" s="440"/>
      <c r="Q348" s="440"/>
      <c r="R348" s="440"/>
      <c r="S348" s="441">
        <f t="shared" si="42"/>
        <v>15567.872618418009</v>
      </c>
      <c r="T348" s="442">
        <f t="shared" si="43"/>
        <v>15255.730522141128</v>
      </c>
    </row>
    <row r="349" spans="7:20">
      <c r="G349" s="428">
        <v>346</v>
      </c>
      <c r="H349" s="440">
        <f t="shared" si="37"/>
        <v>210736.08997524431</v>
      </c>
      <c r="I349" s="440">
        <f t="shared" si="38"/>
        <v>751.38769264198993</v>
      </c>
      <c r="J349" s="440">
        <f t="shared" si="39"/>
        <v>14680.217817352657</v>
      </c>
      <c r="K349" s="440">
        <f t="shared" si="40"/>
        <v>15431.605509994648</v>
      </c>
      <c r="L349" s="440">
        <f t="shared" si="41"/>
        <v>127.96132405693089</v>
      </c>
      <c r="M349" s="440"/>
      <c r="N349" s="440"/>
      <c r="O349" s="440"/>
      <c r="P349" s="440"/>
      <c r="Q349" s="440"/>
      <c r="R349" s="440"/>
      <c r="S349" s="441">
        <f t="shared" si="42"/>
        <v>15559.566834051579</v>
      </c>
      <c r="T349" s="442">
        <f t="shared" si="43"/>
        <v>15266.450495151938</v>
      </c>
    </row>
    <row r="350" spans="7:20">
      <c r="G350" s="428">
        <v>347</v>
      </c>
      <c r="H350" s="440">
        <f t="shared" si="37"/>
        <v>196006.93809850048</v>
      </c>
      <c r="I350" s="440">
        <f t="shared" si="38"/>
        <v>702.45363325081439</v>
      </c>
      <c r="J350" s="440">
        <f t="shared" si="39"/>
        <v>14729.151876743834</v>
      </c>
      <c r="K350" s="440">
        <f t="shared" si="40"/>
        <v>15431.605509994648</v>
      </c>
      <c r="L350" s="440">
        <f t="shared" si="41"/>
        <v>119.62785374261369</v>
      </c>
      <c r="M350" s="440"/>
      <c r="N350" s="440"/>
      <c r="O350" s="440"/>
      <c r="P350" s="440"/>
      <c r="Q350" s="440"/>
      <c r="R350" s="440"/>
      <c r="S350" s="441">
        <f t="shared" si="42"/>
        <v>15551.233363737261</v>
      </c>
      <c r="T350" s="442">
        <f t="shared" si="43"/>
        <v>15277.206201406119</v>
      </c>
    </row>
    <row r="351" spans="7:20">
      <c r="G351" s="428">
        <v>348</v>
      </c>
      <c r="H351" s="440">
        <f t="shared" si="37"/>
        <v>181228.68904883417</v>
      </c>
      <c r="I351" s="440">
        <f t="shared" si="38"/>
        <v>653.35646032833495</v>
      </c>
      <c r="J351" s="440">
        <f t="shared" si="39"/>
        <v>14778.249049666312</v>
      </c>
      <c r="K351" s="440">
        <f t="shared" si="40"/>
        <v>15431.605509994648</v>
      </c>
      <c r="L351" s="440">
        <f t="shared" si="41"/>
        <v>111.26660519391545</v>
      </c>
      <c r="M351" s="440"/>
      <c r="N351" s="440"/>
      <c r="O351" s="440"/>
      <c r="P351" s="440"/>
      <c r="Q351" s="440"/>
      <c r="R351" s="440"/>
      <c r="S351" s="441">
        <f t="shared" si="42"/>
        <v>15542.872115188564</v>
      </c>
      <c r="T351" s="442">
        <f t="shared" si="43"/>
        <v>15287.997760014481</v>
      </c>
    </row>
    <row r="352" spans="7:20">
      <c r="G352" s="428">
        <v>349</v>
      </c>
      <c r="H352" s="440">
        <f t="shared" si="37"/>
        <v>166401.17916900231</v>
      </c>
      <c r="I352" s="440">
        <f t="shared" si="38"/>
        <v>604.09563016278059</v>
      </c>
      <c r="J352" s="440">
        <f t="shared" si="39"/>
        <v>14827.509879831867</v>
      </c>
      <c r="K352" s="440">
        <f t="shared" si="40"/>
        <v>15431.605509994648</v>
      </c>
      <c r="L352" s="440">
        <f t="shared" si="41"/>
        <v>102.87748581672155</v>
      </c>
      <c r="M352" s="440"/>
      <c r="N352" s="440"/>
      <c r="O352" s="440"/>
      <c r="P352" s="440"/>
      <c r="Q352" s="440"/>
      <c r="R352" s="440"/>
      <c r="S352" s="441">
        <f t="shared" si="42"/>
        <v>15534.48299581137</v>
      </c>
      <c r="T352" s="442">
        <f t="shared" si="43"/>
        <v>15298.825290484869</v>
      </c>
    </row>
    <row r="353" spans="7:20">
      <c r="G353" s="428">
        <v>350</v>
      </c>
      <c r="H353" s="440">
        <f t="shared" si="37"/>
        <v>151524.24425623767</v>
      </c>
      <c r="I353" s="440">
        <f t="shared" si="38"/>
        <v>554.67059723000773</v>
      </c>
      <c r="J353" s="440">
        <f t="shared" si="39"/>
        <v>14876.93491276464</v>
      </c>
      <c r="K353" s="440">
        <f t="shared" si="40"/>
        <v>15431.605509994648</v>
      </c>
      <c r="L353" s="440">
        <f t="shared" si="41"/>
        <v>94.460402708270323</v>
      </c>
      <c r="M353" s="440"/>
      <c r="N353" s="440"/>
      <c r="O353" s="440"/>
      <c r="P353" s="440"/>
      <c r="Q353" s="440"/>
      <c r="R353" s="440"/>
      <c r="S353" s="441">
        <f t="shared" si="42"/>
        <v>15526.065912702918</v>
      </c>
      <c r="T353" s="442">
        <f t="shared" si="43"/>
        <v>15309.688912723492</v>
      </c>
    </row>
    <row r="354" spans="7:20">
      <c r="G354" s="428">
        <v>351</v>
      </c>
      <c r="H354" s="440">
        <f t="shared" si="37"/>
        <v>136597.71956043047</v>
      </c>
      <c r="I354" s="440">
        <f t="shared" si="38"/>
        <v>505.08081418745894</v>
      </c>
      <c r="J354" s="440">
        <f t="shared" si="39"/>
        <v>14926.524695807189</v>
      </c>
      <c r="K354" s="440">
        <f t="shared" si="40"/>
        <v>15431.605509994648</v>
      </c>
      <c r="L354" s="440">
        <f t="shared" si="41"/>
        <v>86.015262656124264</v>
      </c>
      <c r="M354" s="440"/>
      <c r="N354" s="440"/>
      <c r="O354" s="440"/>
      <c r="P354" s="440"/>
      <c r="Q354" s="440"/>
      <c r="R354" s="440"/>
      <c r="S354" s="441">
        <f t="shared" si="42"/>
        <v>15517.620772650773</v>
      </c>
      <c r="T354" s="442">
        <f t="shared" si="43"/>
        <v>15320.588747036245</v>
      </c>
    </row>
    <row r="355" spans="7:20">
      <c r="G355" s="428">
        <v>352</v>
      </c>
      <c r="H355" s="440">
        <f t="shared" si="37"/>
        <v>121621.43978230393</v>
      </c>
      <c r="I355" s="440">
        <f t="shared" si="38"/>
        <v>455.32573186810163</v>
      </c>
      <c r="J355" s="440">
        <f t="shared" si="39"/>
        <v>14976.279778126547</v>
      </c>
      <c r="K355" s="440">
        <f t="shared" si="40"/>
        <v>15431.605509994648</v>
      </c>
      <c r="L355" s="440">
        <f t="shared" si="41"/>
        <v>77.541972137137705</v>
      </c>
      <c r="M355" s="440"/>
      <c r="N355" s="440"/>
      <c r="O355" s="440"/>
      <c r="P355" s="440"/>
      <c r="Q355" s="440"/>
      <c r="R355" s="440"/>
      <c r="S355" s="441">
        <f t="shared" si="42"/>
        <v>15509.147482131786</v>
      </c>
      <c r="T355" s="442">
        <f t="shared" si="43"/>
        <v>15331.524914130039</v>
      </c>
    </row>
    <row r="356" spans="7:20">
      <c r="G356" s="428">
        <v>353</v>
      </c>
      <c r="H356" s="440">
        <f t="shared" si="37"/>
        <v>106595.23907158364</v>
      </c>
      <c r="I356" s="440">
        <f t="shared" si="38"/>
        <v>405.40479927434649</v>
      </c>
      <c r="J356" s="440">
        <f t="shared" si="39"/>
        <v>15026.200710720301</v>
      </c>
      <c r="K356" s="440">
        <f t="shared" si="40"/>
        <v>15431.605509994648</v>
      </c>
      <c r="L356" s="440">
        <f t="shared" si="41"/>
        <v>69.040437316421205</v>
      </c>
      <c r="M356" s="440"/>
      <c r="N356" s="440"/>
      <c r="O356" s="440"/>
      <c r="P356" s="440"/>
      <c r="Q356" s="440"/>
      <c r="R356" s="440"/>
      <c r="S356" s="441">
        <f t="shared" si="42"/>
        <v>15500.64594731107</v>
      </c>
      <c r="T356" s="442">
        <f t="shared" si="43"/>
        <v>15342.497535114147</v>
      </c>
    </row>
    <row r="357" spans="7:20">
      <c r="G357" s="428">
        <v>354</v>
      </c>
      <c r="H357" s="440">
        <f t="shared" si="37"/>
        <v>91518.951025160932</v>
      </c>
      <c r="I357" s="440">
        <f t="shared" si="38"/>
        <v>355.3174635719455</v>
      </c>
      <c r="J357" s="440">
        <f t="shared" si="39"/>
        <v>15076.288046422702</v>
      </c>
      <c r="K357" s="440">
        <f t="shared" si="40"/>
        <v>15431.605509994648</v>
      </c>
      <c r="L357" s="440">
        <f t="shared" si="41"/>
        <v>60.510564046302321</v>
      </c>
      <c r="M357" s="440"/>
      <c r="N357" s="440"/>
      <c r="O357" s="440"/>
      <c r="P357" s="440"/>
      <c r="Q357" s="440"/>
      <c r="R357" s="440"/>
      <c r="S357" s="441">
        <f t="shared" si="42"/>
        <v>15492.11607404095</v>
      </c>
      <c r="T357" s="442">
        <f t="shared" si="43"/>
        <v>15353.506731501535</v>
      </c>
    </row>
    <row r="358" spans="7:20">
      <c r="G358" s="428">
        <v>355</v>
      </c>
      <c r="H358" s="440">
        <f t="shared" si="37"/>
        <v>76392.40868525015</v>
      </c>
      <c r="I358" s="440">
        <f t="shared" si="38"/>
        <v>305.06317008386981</v>
      </c>
      <c r="J358" s="440">
        <f t="shared" si="39"/>
        <v>15126.542339910779</v>
      </c>
      <c r="K358" s="440">
        <f t="shared" si="40"/>
        <v>15431.605509994648</v>
      </c>
      <c r="L358" s="440">
        <f t="shared" si="41"/>
        <v>51.95225786528303</v>
      </c>
      <c r="M358" s="440"/>
      <c r="N358" s="440"/>
      <c r="O358" s="440"/>
      <c r="P358" s="440"/>
      <c r="Q358" s="440"/>
      <c r="R358" s="440"/>
      <c r="S358" s="441">
        <f t="shared" si="42"/>
        <v>15483.557767859931</v>
      </c>
      <c r="T358" s="442">
        <f t="shared" si="43"/>
        <v>15364.552625210214</v>
      </c>
    </row>
    <row r="359" spans="7:20">
      <c r="G359" s="428">
        <v>356</v>
      </c>
      <c r="H359" s="440">
        <f t="shared" si="37"/>
        <v>61215.444537539668</v>
      </c>
      <c r="I359" s="440">
        <f t="shared" si="38"/>
        <v>254.64136228416717</v>
      </c>
      <c r="J359" s="440">
        <f t="shared" si="39"/>
        <v>15176.964147710481</v>
      </c>
      <c r="K359" s="440">
        <f t="shared" si="40"/>
        <v>15431.605509994648</v>
      </c>
      <c r="L359" s="440">
        <f t="shared" si="41"/>
        <v>43.36542399699367</v>
      </c>
      <c r="M359" s="440"/>
      <c r="N359" s="440"/>
      <c r="O359" s="440"/>
      <c r="P359" s="440"/>
      <c r="Q359" s="440"/>
      <c r="R359" s="440"/>
      <c r="S359" s="441">
        <f t="shared" si="42"/>
        <v>15474.970933991641</v>
      </c>
      <c r="T359" s="442">
        <f t="shared" si="43"/>
        <v>15375.635338564587</v>
      </c>
    </row>
    <row r="360" spans="7:20">
      <c r="G360" s="428">
        <v>357</v>
      </c>
      <c r="H360" s="440">
        <f t="shared" si="37"/>
        <v>45987.890509336823</v>
      </c>
      <c r="I360" s="440">
        <f t="shared" si="38"/>
        <v>204.05148179179892</v>
      </c>
      <c r="J360" s="440">
        <f t="shared" si="39"/>
        <v>15227.554028202849</v>
      </c>
      <c r="K360" s="440">
        <f t="shared" si="40"/>
        <v>15431.605509994648</v>
      </c>
      <c r="L360" s="440">
        <f t="shared" si="41"/>
        <v>34.749967349143354</v>
      </c>
      <c r="M360" s="440"/>
      <c r="N360" s="440"/>
      <c r="O360" s="440"/>
      <c r="P360" s="440"/>
      <c r="Q360" s="440"/>
      <c r="R360" s="440"/>
      <c r="S360" s="441">
        <f t="shared" si="42"/>
        <v>15466.355477343792</v>
      </c>
      <c r="T360" s="442">
        <f t="shared" si="43"/>
        <v>15386.754994296811</v>
      </c>
    </row>
    <row r="361" spans="7:20">
      <c r="G361" s="428">
        <v>358</v>
      </c>
      <c r="H361" s="440">
        <f t="shared" si="37"/>
        <v>30709.577967706631</v>
      </c>
      <c r="I361" s="440">
        <f t="shared" si="38"/>
        <v>153.29296836445607</v>
      </c>
      <c r="J361" s="440">
        <f t="shared" si="39"/>
        <v>15278.312541630192</v>
      </c>
      <c r="K361" s="440">
        <f t="shared" si="40"/>
        <v>15431.605509994648</v>
      </c>
      <c r="L361" s="440">
        <f t="shared" si="41"/>
        <v>26.105792512466873</v>
      </c>
      <c r="M361" s="440"/>
      <c r="N361" s="440"/>
      <c r="O361" s="440"/>
      <c r="P361" s="440"/>
      <c r="Q361" s="440"/>
      <c r="R361" s="440"/>
      <c r="S361" s="441">
        <f t="shared" si="42"/>
        <v>15457.711302507114</v>
      </c>
      <c r="T361" s="442">
        <f t="shared" si="43"/>
        <v>15397.91171554814</v>
      </c>
    </row>
    <row r="362" spans="7:20">
      <c r="G362" s="428">
        <v>359</v>
      </c>
      <c r="H362" s="440">
        <f t="shared" si="37"/>
        <v>15380.33771760434</v>
      </c>
      <c r="I362" s="440">
        <f t="shared" si="38"/>
        <v>102.36525989235544</v>
      </c>
      <c r="J362" s="440">
        <f t="shared" si="39"/>
        <v>15329.240250102292</v>
      </c>
      <c r="K362" s="440">
        <f t="shared" si="40"/>
        <v>15431.605509994648</v>
      </c>
      <c r="L362" s="440">
        <f t="shared" si="41"/>
        <v>17.432803759668133</v>
      </c>
      <c r="M362" s="440"/>
      <c r="N362" s="440"/>
      <c r="O362" s="440"/>
      <c r="P362" s="440"/>
      <c r="Q362" s="440"/>
      <c r="R362" s="440"/>
      <c r="S362" s="441">
        <f t="shared" si="42"/>
        <v>15449.038313754316</v>
      </c>
      <c r="T362" s="442">
        <f t="shared" si="43"/>
        <v>15409.105625870308</v>
      </c>
    </row>
    <row r="363" spans="7:20">
      <c r="G363" s="428">
        <v>360</v>
      </c>
      <c r="H363" s="440">
        <f t="shared" si="37"/>
        <v>1.7062120605260134E-9</v>
      </c>
      <c r="I363" s="440">
        <f t="shared" si="38"/>
        <v>51.267792392014471</v>
      </c>
      <c r="J363" s="440">
        <f t="shared" si="39"/>
        <v>15380.337717602633</v>
      </c>
      <c r="K363" s="440">
        <f t="shared" si="40"/>
        <v>15431.605509994648</v>
      </c>
      <c r="L363" s="440">
        <f t="shared" si="41"/>
        <v>8.730905044360064</v>
      </c>
      <c r="M363" s="440"/>
      <c r="N363" s="440"/>
      <c r="O363" s="440"/>
      <c r="P363" s="440"/>
      <c r="Q363" s="440"/>
      <c r="R363" s="440"/>
      <c r="S363" s="441">
        <f t="shared" si="42"/>
        <v>15440.336415039008</v>
      </c>
      <c r="T363" s="442">
        <f t="shared" si="43"/>
        <v>15420.336849226884</v>
      </c>
    </row>
    <row r="364" spans="7:20">
      <c r="H364" s="440"/>
      <c r="I364" s="440"/>
      <c r="J364" s="440"/>
      <c r="K364" s="440"/>
      <c r="L364" s="440"/>
      <c r="M364" s="440"/>
      <c r="N364" s="440"/>
      <c r="O364" s="440"/>
      <c r="P364" s="440"/>
      <c r="Q364" s="440"/>
      <c r="R364" s="440"/>
      <c r="S364" s="441"/>
      <c r="T364" s="442"/>
    </row>
    <row r="365" spans="7:20">
      <c r="H365" s="440"/>
      <c r="I365" s="440"/>
      <c r="J365" s="440"/>
      <c r="K365" s="440"/>
      <c r="L365" s="440"/>
      <c r="M365" s="440"/>
      <c r="N365" s="440"/>
      <c r="O365" s="440"/>
      <c r="P365" s="440"/>
      <c r="Q365" s="440"/>
      <c r="R365" s="440"/>
      <c r="S365" s="441"/>
      <c r="T365" s="442"/>
    </row>
    <row r="366" spans="7:20">
      <c r="H366" s="440"/>
      <c r="I366" s="440"/>
      <c r="J366" s="440"/>
      <c r="K366" s="440"/>
      <c r="L366" s="440"/>
      <c r="M366" s="440"/>
      <c r="N366" s="440"/>
      <c r="O366" s="440"/>
      <c r="P366" s="440"/>
      <c r="Q366" s="440"/>
      <c r="R366" s="440"/>
      <c r="S366" s="441"/>
      <c r="T366" s="442"/>
    </row>
    <row r="367" spans="7:20">
      <c r="H367" s="440"/>
      <c r="I367" s="440"/>
      <c r="J367" s="440"/>
      <c r="K367" s="440"/>
      <c r="L367" s="440"/>
      <c r="M367" s="440"/>
      <c r="N367" s="440"/>
      <c r="O367" s="440"/>
      <c r="P367" s="440"/>
      <c r="Q367" s="440"/>
      <c r="R367" s="440"/>
      <c r="S367" s="441"/>
      <c r="T367" s="442"/>
    </row>
    <row r="368" spans="7:20">
      <c r="H368" s="440"/>
      <c r="I368" s="440"/>
      <c r="J368" s="440"/>
      <c r="K368" s="440"/>
      <c r="L368" s="440"/>
      <c r="M368" s="440"/>
      <c r="N368" s="440"/>
      <c r="O368" s="440"/>
      <c r="P368" s="440"/>
      <c r="Q368" s="440"/>
      <c r="R368" s="440"/>
      <c r="S368" s="441"/>
      <c r="T368" s="442"/>
    </row>
    <row r="369" spans="8:20">
      <c r="H369" s="440"/>
      <c r="I369" s="440"/>
      <c r="J369" s="440"/>
      <c r="K369" s="440"/>
      <c r="L369" s="440"/>
      <c r="M369" s="440"/>
      <c r="N369" s="440"/>
      <c r="O369" s="440"/>
      <c r="P369" s="440"/>
      <c r="Q369" s="440"/>
      <c r="R369" s="440"/>
      <c r="S369" s="441"/>
      <c r="T369" s="442"/>
    </row>
    <row r="370" spans="8:20">
      <c r="H370" s="440"/>
      <c r="I370" s="440"/>
      <c r="J370" s="440"/>
      <c r="K370" s="440"/>
      <c r="L370" s="440"/>
      <c r="M370" s="440"/>
      <c r="N370" s="440"/>
      <c r="O370" s="440"/>
      <c r="P370" s="440"/>
      <c r="Q370" s="440"/>
      <c r="R370" s="440"/>
      <c r="S370" s="441"/>
      <c r="T370" s="442"/>
    </row>
  </sheetData>
  <mergeCells count="16">
    <mergeCell ref="A23:B27"/>
    <mergeCell ref="A28:B28"/>
    <mergeCell ref="A29:B30"/>
    <mergeCell ref="A31:B37"/>
    <mergeCell ref="K1:K2"/>
    <mergeCell ref="L1:L2"/>
    <mergeCell ref="S1:S2"/>
    <mergeCell ref="T1:T2"/>
    <mergeCell ref="A12:B19"/>
    <mergeCell ref="A21:B22"/>
    <mergeCell ref="D1:D2"/>
    <mergeCell ref="E1:E2"/>
    <mergeCell ref="G1:G2"/>
    <mergeCell ref="H1:H2"/>
    <mergeCell ref="I1:I2"/>
    <mergeCell ref="J1:J2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70057-A5E3-A440-8189-FBD54260F699}">
  <sheetPr>
    <tabColor rgb="FFFFC000"/>
  </sheetPr>
  <dimension ref="B1:K30"/>
  <sheetViews>
    <sheetView zoomScale="161" workbookViewId="0">
      <selection activeCell="M58" sqref="M58"/>
    </sheetView>
  </sheetViews>
  <sheetFormatPr baseColWidth="10" defaultColWidth="8.6640625" defaultRowHeight="16"/>
  <cols>
    <col min="1" max="1" width="8.6640625" style="637"/>
    <col min="2" max="2" width="35.6640625" style="637" customWidth="1"/>
    <col min="3" max="3" width="8.6640625" style="637"/>
    <col min="4" max="4" width="25.6640625" style="637" customWidth="1"/>
    <col min="5" max="9" width="8.6640625" style="637"/>
    <col min="10" max="10" width="24.1640625" style="637" customWidth="1"/>
    <col min="11" max="257" width="8.6640625" style="637"/>
    <col min="258" max="258" width="35.6640625" style="637" customWidth="1"/>
    <col min="259" max="259" width="8.6640625" style="637"/>
    <col min="260" max="260" width="25.6640625" style="637" customWidth="1"/>
    <col min="261" max="265" width="8.6640625" style="637"/>
    <col min="266" max="266" width="24.1640625" style="637" customWidth="1"/>
    <col min="267" max="513" width="8.6640625" style="637"/>
    <col min="514" max="514" width="35.6640625" style="637" customWidth="1"/>
    <col min="515" max="515" width="8.6640625" style="637"/>
    <col min="516" max="516" width="25.6640625" style="637" customWidth="1"/>
    <col min="517" max="521" width="8.6640625" style="637"/>
    <col min="522" max="522" width="24.1640625" style="637" customWidth="1"/>
    <col min="523" max="769" width="8.6640625" style="637"/>
    <col min="770" max="770" width="35.6640625" style="637" customWidth="1"/>
    <col min="771" max="771" width="8.6640625" style="637"/>
    <col min="772" max="772" width="25.6640625" style="637" customWidth="1"/>
    <col min="773" max="777" width="8.6640625" style="637"/>
    <col min="778" max="778" width="24.1640625" style="637" customWidth="1"/>
    <col min="779" max="1025" width="8.6640625" style="637"/>
    <col min="1026" max="1026" width="35.6640625" style="637" customWidth="1"/>
    <col min="1027" max="1027" width="8.6640625" style="637"/>
    <col min="1028" max="1028" width="25.6640625" style="637" customWidth="1"/>
    <col min="1029" max="1033" width="8.6640625" style="637"/>
    <col min="1034" max="1034" width="24.1640625" style="637" customWidth="1"/>
    <col min="1035" max="1281" width="8.6640625" style="637"/>
    <col min="1282" max="1282" width="35.6640625" style="637" customWidth="1"/>
    <col min="1283" max="1283" width="8.6640625" style="637"/>
    <col min="1284" max="1284" width="25.6640625" style="637" customWidth="1"/>
    <col min="1285" max="1289" width="8.6640625" style="637"/>
    <col min="1290" max="1290" width="24.1640625" style="637" customWidth="1"/>
    <col min="1291" max="1537" width="8.6640625" style="637"/>
    <col min="1538" max="1538" width="35.6640625" style="637" customWidth="1"/>
    <col min="1539" max="1539" width="8.6640625" style="637"/>
    <col min="1540" max="1540" width="25.6640625" style="637" customWidth="1"/>
    <col min="1541" max="1545" width="8.6640625" style="637"/>
    <col min="1546" max="1546" width="24.1640625" style="637" customWidth="1"/>
    <col min="1547" max="1793" width="8.6640625" style="637"/>
    <col min="1794" max="1794" width="35.6640625" style="637" customWidth="1"/>
    <col min="1795" max="1795" width="8.6640625" style="637"/>
    <col min="1796" max="1796" width="25.6640625" style="637" customWidth="1"/>
    <col min="1797" max="1801" width="8.6640625" style="637"/>
    <col min="1802" max="1802" width="24.1640625" style="637" customWidth="1"/>
    <col min="1803" max="2049" width="8.6640625" style="637"/>
    <col min="2050" max="2050" width="35.6640625" style="637" customWidth="1"/>
    <col min="2051" max="2051" width="8.6640625" style="637"/>
    <col min="2052" max="2052" width="25.6640625" style="637" customWidth="1"/>
    <col min="2053" max="2057" width="8.6640625" style="637"/>
    <col min="2058" max="2058" width="24.1640625" style="637" customWidth="1"/>
    <col min="2059" max="2305" width="8.6640625" style="637"/>
    <col min="2306" max="2306" width="35.6640625" style="637" customWidth="1"/>
    <col min="2307" max="2307" width="8.6640625" style="637"/>
    <col min="2308" max="2308" width="25.6640625" style="637" customWidth="1"/>
    <col min="2309" max="2313" width="8.6640625" style="637"/>
    <col min="2314" max="2314" width="24.1640625" style="637" customWidth="1"/>
    <col min="2315" max="2561" width="8.6640625" style="637"/>
    <col min="2562" max="2562" width="35.6640625" style="637" customWidth="1"/>
    <col min="2563" max="2563" width="8.6640625" style="637"/>
    <col min="2564" max="2564" width="25.6640625" style="637" customWidth="1"/>
    <col min="2565" max="2569" width="8.6640625" style="637"/>
    <col min="2570" max="2570" width="24.1640625" style="637" customWidth="1"/>
    <col min="2571" max="2817" width="8.6640625" style="637"/>
    <col min="2818" max="2818" width="35.6640625" style="637" customWidth="1"/>
    <col min="2819" max="2819" width="8.6640625" style="637"/>
    <col min="2820" max="2820" width="25.6640625" style="637" customWidth="1"/>
    <col min="2821" max="2825" width="8.6640625" style="637"/>
    <col min="2826" max="2826" width="24.1640625" style="637" customWidth="1"/>
    <col min="2827" max="3073" width="8.6640625" style="637"/>
    <col min="3074" max="3074" width="35.6640625" style="637" customWidth="1"/>
    <col min="3075" max="3075" width="8.6640625" style="637"/>
    <col min="3076" max="3076" width="25.6640625" style="637" customWidth="1"/>
    <col min="3077" max="3081" width="8.6640625" style="637"/>
    <col min="3082" max="3082" width="24.1640625" style="637" customWidth="1"/>
    <col min="3083" max="3329" width="8.6640625" style="637"/>
    <col min="3330" max="3330" width="35.6640625" style="637" customWidth="1"/>
    <col min="3331" max="3331" width="8.6640625" style="637"/>
    <col min="3332" max="3332" width="25.6640625" style="637" customWidth="1"/>
    <col min="3333" max="3337" width="8.6640625" style="637"/>
    <col min="3338" max="3338" width="24.1640625" style="637" customWidth="1"/>
    <col min="3339" max="3585" width="8.6640625" style="637"/>
    <col min="3586" max="3586" width="35.6640625" style="637" customWidth="1"/>
    <col min="3587" max="3587" width="8.6640625" style="637"/>
    <col min="3588" max="3588" width="25.6640625" style="637" customWidth="1"/>
    <col min="3589" max="3593" width="8.6640625" style="637"/>
    <col min="3594" max="3594" width="24.1640625" style="637" customWidth="1"/>
    <col min="3595" max="3841" width="8.6640625" style="637"/>
    <col min="3842" max="3842" width="35.6640625" style="637" customWidth="1"/>
    <col min="3843" max="3843" width="8.6640625" style="637"/>
    <col min="3844" max="3844" width="25.6640625" style="637" customWidth="1"/>
    <col min="3845" max="3849" width="8.6640625" style="637"/>
    <col min="3850" max="3850" width="24.1640625" style="637" customWidth="1"/>
    <col min="3851" max="4097" width="8.6640625" style="637"/>
    <col min="4098" max="4098" width="35.6640625" style="637" customWidth="1"/>
    <col min="4099" max="4099" width="8.6640625" style="637"/>
    <col min="4100" max="4100" width="25.6640625" style="637" customWidth="1"/>
    <col min="4101" max="4105" width="8.6640625" style="637"/>
    <col min="4106" max="4106" width="24.1640625" style="637" customWidth="1"/>
    <col min="4107" max="4353" width="8.6640625" style="637"/>
    <col min="4354" max="4354" width="35.6640625" style="637" customWidth="1"/>
    <col min="4355" max="4355" width="8.6640625" style="637"/>
    <col min="4356" max="4356" width="25.6640625" style="637" customWidth="1"/>
    <col min="4357" max="4361" width="8.6640625" style="637"/>
    <col min="4362" max="4362" width="24.1640625" style="637" customWidth="1"/>
    <col min="4363" max="4609" width="8.6640625" style="637"/>
    <col min="4610" max="4610" width="35.6640625" style="637" customWidth="1"/>
    <col min="4611" max="4611" width="8.6640625" style="637"/>
    <col min="4612" max="4612" width="25.6640625" style="637" customWidth="1"/>
    <col min="4613" max="4617" width="8.6640625" style="637"/>
    <col min="4618" max="4618" width="24.1640625" style="637" customWidth="1"/>
    <col min="4619" max="4865" width="8.6640625" style="637"/>
    <col min="4866" max="4866" width="35.6640625" style="637" customWidth="1"/>
    <col min="4867" max="4867" width="8.6640625" style="637"/>
    <col min="4868" max="4868" width="25.6640625" style="637" customWidth="1"/>
    <col min="4869" max="4873" width="8.6640625" style="637"/>
    <col min="4874" max="4874" width="24.1640625" style="637" customWidth="1"/>
    <col min="4875" max="5121" width="8.6640625" style="637"/>
    <col min="5122" max="5122" width="35.6640625" style="637" customWidth="1"/>
    <col min="5123" max="5123" width="8.6640625" style="637"/>
    <col min="5124" max="5124" width="25.6640625" style="637" customWidth="1"/>
    <col min="5125" max="5129" width="8.6640625" style="637"/>
    <col min="5130" max="5130" width="24.1640625" style="637" customWidth="1"/>
    <col min="5131" max="5377" width="8.6640625" style="637"/>
    <col min="5378" max="5378" width="35.6640625" style="637" customWidth="1"/>
    <col min="5379" max="5379" width="8.6640625" style="637"/>
    <col min="5380" max="5380" width="25.6640625" style="637" customWidth="1"/>
    <col min="5381" max="5385" width="8.6640625" style="637"/>
    <col min="5386" max="5386" width="24.1640625" style="637" customWidth="1"/>
    <col min="5387" max="5633" width="8.6640625" style="637"/>
    <col min="5634" max="5634" width="35.6640625" style="637" customWidth="1"/>
    <col min="5635" max="5635" width="8.6640625" style="637"/>
    <col min="5636" max="5636" width="25.6640625" style="637" customWidth="1"/>
    <col min="5637" max="5641" width="8.6640625" style="637"/>
    <col min="5642" max="5642" width="24.1640625" style="637" customWidth="1"/>
    <col min="5643" max="5889" width="8.6640625" style="637"/>
    <col min="5890" max="5890" width="35.6640625" style="637" customWidth="1"/>
    <col min="5891" max="5891" width="8.6640625" style="637"/>
    <col min="5892" max="5892" width="25.6640625" style="637" customWidth="1"/>
    <col min="5893" max="5897" width="8.6640625" style="637"/>
    <col min="5898" max="5898" width="24.1640625" style="637" customWidth="1"/>
    <col min="5899" max="6145" width="8.6640625" style="637"/>
    <col min="6146" max="6146" width="35.6640625" style="637" customWidth="1"/>
    <col min="6147" max="6147" width="8.6640625" style="637"/>
    <col min="6148" max="6148" width="25.6640625" style="637" customWidth="1"/>
    <col min="6149" max="6153" width="8.6640625" style="637"/>
    <col min="6154" max="6154" width="24.1640625" style="637" customWidth="1"/>
    <col min="6155" max="6401" width="8.6640625" style="637"/>
    <col min="6402" max="6402" width="35.6640625" style="637" customWidth="1"/>
    <col min="6403" max="6403" width="8.6640625" style="637"/>
    <col min="6404" max="6404" width="25.6640625" style="637" customWidth="1"/>
    <col min="6405" max="6409" width="8.6640625" style="637"/>
    <col min="6410" max="6410" width="24.1640625" style="637" customWidth="1"/>
    <col min="6411" max="6657" width="8.6640625" style="637"/>
    <col min="6658" max="6658" width="35.6640625" style="637" customWidth="1"/>
    <col min="6659" max="6659" width="8.6640625" style="637"/>
    <col min="6660" max="6660" width="25.6640625" style="637" customWidth="1"/>
    <col min="6661" max="6665" width="8.6640625" style="637"/>
    <col min="6666" max="6666" width="24.1640625" style="637" customWidth="1"/>
    <col min="6667" max="6913" width="8.6640625" style="637"/>
    <col min="6914" max="6914" width="35.6640625" style="637" customWidth="1"/>
    <col min="6915" max="6915" width="8.6640625" style="637"/>
    <col min="6916" max="6916" width="25.6640625" style="637" customWidth="1"/>
    <col min="6917" max="6921" width="8.6640625" style="637"/>
    <col min="6922" max="6922" width="24.1640625" style="637" customWidth="1"/>
    <col min="6923" max="7169" width="8.6640625" style="637"/>
    <col min="7170" max="7170" width="35.6640625" style="637" customWidth="1"/>
    <col min="7171" max="7171" width="8.6640625" style="637"/>
    <col min="7172" max="7172" width="25.6640625" style="637" customWidth="1"/>
    <col min="7173" max="7177" width="8.6640625" style="637"/>
    <col min="7178" max="7178" width="24.1640625" style="637" customWidth="1"/>
    <col min="7179" max="7425" width="8.6640625" style="637"/>
    <col min="7426" max="7426" width="35.6640625" style="637" customWidth="1"/>
    <col min="7427" max="7427" width="8.6640625" style="637"/>
    <col min="7428" max="7428" width="25.6640625" style="637" customWidth="1"/>
    <col min="7429" max="7433" width="8.6640625" style="637"/>
    <col min="7434" max="7434" width="24.1640625" style="637" customWidth="1"/>
    <col min="7435" max="7681" width="8.6640625" style="637"/>
    <col min="7682" max="7682" width="35.6640625" style="637" customWidth="1"/>
    <col min="7683" max="7683" width="8.6640625" style="637"/>
    <col min="7684" max="7684" width="25.6640625" style="637" customWidth="1"/>
    <col min="7685" max="7689" width="8.6640625" style="637"/>
    <col min="7690" max="7690" width="24.1640625" style="637" customWidth="1"/>
    <col min="7691" max="7937" width="8.6640625" style="637"/>
    <col min="7938" max="7938" width="35.6640625" style="637" customWidth="1"/>
    <col min="7939" max="7939" width="8.6640625" style="637"/>
    <col min="7940" max="7940" width="25.6640625" style="637" customWidth="1"/>
    <col min="7941" max="7945" width="8.6640625" style="637"/>
    <col min="7946" max="7946" width="24.1640625" style="637" customWidth="1"/>
    <col min="7947" max="8193" width="8.6640625" style="637"/>
    <col min="8194" max="8194" width="35.6640625" style="637" customWidth="1"/>
    <col min="8195" max="8195" width="8.6640625" style="637"/>
    <col min="8196" max="8196" width="25.6640625" style="637" customWidth="1"/>
    <col min="8197" max="8201" width="8.6640625" style="637"/>
    <col min="8202" max="8202" width="24.1640625" style="637" customWidth="1"/>
    <col min="8203" max="8449" width="8.6640625" style="637"/>
    <col min="8450" max="8450" width="35.6640625" style="637" customWidth="1"/>
    <col min="8451" max="8451" width="8.6640625" style="637"/>
    <col min="8452" max="8452" width="25.6640625" style="637" customWidth="1"/>
    <col min="8453" max="8457" width="8.6640625" style="637"/>
    <col min="8458" max="8458" width="24.1640625" style="637" customWidth="1"/>
    <col min="8459" max="8705" width="8.6640625" style="637"/>
    <col min="8706" max="8706" width="35.6640625" style="637" customWidth="1"/>
    <col min="8707" max="8707" width="8.6640625" style="637"/>
    <col min="8708" max="8708" width="25.6640625" style="637" customWidth="1"/>
    <col min="8709" max="8713" width="8.6640625" style="637"/>
    <col min="8714" max="8714" width="24.1640625" style="637" customWidth="1"/>
    <col min="8715" max="8961" width="8.6640625" style="637"/>
    <col min="8962" max="8962" width="35.6640625" style="637" customWidth="1"/>
    <col min="8963" max="8963" width="8.6640625" style="637"/>
    <col min="8964" max="8964" width="25.6640625" style="637" customWidth="1"/>
    <col min="8965" max="8969" width="8.6640625" style="637"/>
    <col min="8970" max="8970" width="24.1640625" style="637" customWidth="1"/>
    <col min="8971" max="9217" width="8.6640625" style="637"/>
    <col min="9218" max="9218" width="35.6640625" style="637" customWidth="1"/>
    <col min="9219" max="9219" width="8.6640625" style="637"/>
    <col min="9220" max="9220" width="25.6640625" style="637" customWidth="1"/>
    <col min="9221" max="9225" width="8.6640625" style="637"/>
    <col min="9226" max="9226" width="24.1640625" style="637" customWidth="1"/>
    <col min="9227" max="9473" width="8.6640625" style="637"/>
    <col min="9474" max="9474" width="35.6640625" style="637" customWidth="1"/>
    <col min="9475" max="9475" width="8.6640625" style="637"/>
    <col min="9476" max="9476" width="25.6640625" style="637" customWidth="1"/>
    <col min="9477" max="9481" width="8.6640625" style="637"/>
    <col min="9482" max="9482" width="24.1640625" style="637" customWidth="1"/>
    <col min="9483" max="9729" width="8.6640625" style="637"/>
    <col min="9730" max="9730" width="35.6640625" style="637" customWidth="1"/>
    <col min="9731" max="9731" width="8.6640625" style="637"/>
    <col min="9732" max="9732" width="25.6640625" style="637" customWidth="1"/>
    <col min="9733" max="9737" width="8.6640625" style="637"/>
    <col min="9738" max="9738" width="24.1640625" style="637" customWidth="1"/>
    <col min="9739" max="9985" width="8.6640625" style="637"/>
    <col min="9986" max="9986" width="35.6640625" style="637" customWidth="1"/>
    <col min="9987" max="9987" width="8.6640625" style="637"/>
    <col min="9988" max="9988" width="25.6640625" style="637" customWidth="1"/>
    <col min="9989" max="9993" width="8.6640625" style="637"/>
    <col min="9994" max="9994" width="24.1640625" style="637" customWidth="1"/>
    <col min="9995" max="10241" width="8.6640625" style="637"/>
    <col min="10242" max="10242" width="35.6640625" style="637" customWidth="1"/>
    <col min="10243" max="10243" width="8.6640625" style="637"/>
    <col min="10244" max="10244" width="25.6640625" style="637" customWidth="1"/>
    <col min="10245" max="10249" width="8.6640625" style="637"/>
    <col min="10250" max="10250" width="24.1640625" style="637" customWidth="1"/>
    <col min="10251" max="10497" width="8.6640625" style="637"/>
    <col min="10498" max="10498" width="35.6640625" style="637" customWidth="1"/>
    <col min="10499" max="10499" width="8.6640625" style="637"/>
    <col min="10500" max="10500" width="25.6640625" style="637" customWidth="1"/>
    <col min="10501" max="10505" width="8.6640625" style="637"/>
    <col min="10506" max="10506" width="24.1640625" style="637" customWidth="1"/>
    <col min="10507" max="10753" width="8.6640625" style="637"/>
    <col min="10754" max="10754" width="35.6640625" style="637" customWidth="1"/>
    <col min="10755" max="10755" width="8.6640625" style="637"/>
    <col min="10756" max="10756" width="25.6640625" style="637" customWidth="1"/>
    <col min="10757" max="10761" width="8.6640625" style="637"/>
    <col min="10762" max="10762" width="24.1640625" style="637" customWidth="1"/>
    <col min="10763" max="11009" width="8.6640625" style="637"/>
    <col min="11010" max="11010" width="35.6640625" style="637" customWidth="1"/>
    <col min="11011" max="11011" width="8.6640625" style="637"/>
    <col min="11012" max="11012" width="25.6640625" style="637" customWidth="1"/>
    <col min="11013" max="11017" width="8.6640625" style="637"/>
    <col min="11018" max="11018" width="24.1640625" style="637" customWidth="1"/>
    <col min="11019" max="11265" width="8.6640625" style="637"/>
    <col min="11266" max="11266" width="35.6640625" style="637" customWidth="1"/>
    <col min="11267" max="11267" width="8.6640625" style="637"/>
    <col min="11268" max="11268" width="25.6640625" style="637" customWidth="1"/>
    <col min="11269" max="11273" width="8.6640625" style="637"/>
    <col min="11274" max="11274" width="24.1640625" style="637" customWidth="1"/>
    <col min="11275" max="11521" width="8.6640625" style="637"/>
    <col min="11522" max="11522" width="35.6640625" style="637" customWidth="1"/>
    <col min="11523" max="11523" width="8.6640625" style="637"/>
    <col min="11524" max="11524" width="25.6640625" style="637" customWidth="1"/>
    <col min="11525" max="11529" width="8.6640625" style="637"/>
    <col min="11530" max="11530" width="24.1640625" style="637" customWidth="1"/>
    <col min="11531" max="11777" width="8.6640625" style="637"/>
    <col min="11778" max="11778" width="35.6640625" style="637" customWidth="1"/>
    <col min="11779" max="11779" width="8.6640625" style="637"/>
    <col min="11780" max="11780" width="25.6640625" style="637" customWidth="1"/>
    <col min="11781" max="11785" width="8.6640625" style="637"/>
    <col min="11786" max="11786" width="24.1640625" style="637" customWidth="1"/>
    <col min="11787" max="12033" width="8.6640625" style="637"/>
    <col min="12034" max="12034" width="35.6640625" style="637" customWidth="1"/>
    <col min="12035" max="12035" width="8.6640625" style="637"/>
    <col min="12036" max="12036" width="25.6640625" style="637" customWidth="1"/>
    <col min="12037" max="12041" width="8.6640625" style="637"/>
    <col min="12042" max="12042" width="24.1640625" style="637" customWidth="1"/>
    <col min="12043" max="12289" width="8.6640625" style="637"/>
    <col min="12290" max="12290" width="35.6640625" style="637" customWidth="1"/>
    <col min="12291" max="12291" width="8.6640625" style="637"/>
    <col min="12292" max="12292" width="25.6640625" style="637" customWidth="1"/>
    <col min="12293" max="12297" width="8.6640625" style="637"/>
    <col min="12298" max="12298" width="24.1640625" style="637" customWidth="1"/>
    <col min="12299" max="12545" width="8.6640625" style="637"/>
    <col min="12546" max="12546" width="35.6640625" style="637" customWidth="1"/>
    <col min="12547" max="12547" width="8.6640625" style="637"/>
    <col min="12548" max="12548" width="25.6640625" style="637" customWidth="1"/>
    <col min="12549" max="12553" width="8.6640625" style="637"/>
    <col min="12554" max="12554" width="24.1640625" style="637" customWidth="1"/>
    <col min="12555" max="12801" width="8.6640625" style="637"/>
    <col min="12802" max="12802" width="35.6640625" style="637" customWidth="1"/>
    <col min="12803" max="12803" width="8.6640625" style="637"/>
    <col min="12804" max="12804" width="25.6640625" style="637" customWidth="1"/>
    <col min="12805" max="12809" width="8.6640625" style="637"/>
    <col min="12810" max="12810" width="24.1640625" style="637" customWidth="1"/>
    <col min="12811" max="13057" width="8.6640625" style="637"/>
    <col min="13058" max="13058" width="35.6640625" style="637" customWidth="1"/>
    <col min="13059" max="13059" width="8.6640625" style="637"/>
    <col min="13060" max="13060" width="25.6640625" style="637" customWidth="1"/>
    <col min="13061" max="13065" width="8.6640625" style="637"/>
    <col min="13066" max="13066" width="24.1640625" style="637" customWidth="1"/>
    <col min="13067" max="13313" width="8.6640625" style="637"/>
    <col min="13314" max="13314" width="35.6640625" style="637" customWidth="1"/>
    <col min="13315" max="13315" width="8.6640625" style="637"/>
    <col min="13316" max="13316" width="25.6640625" style="637" customWidth="1"/>
    <col min="13317" max="13321" width="8.6640625" style="637"/>
    <col min="13322" max="13322" width="24.1640625" style="637" customWidth="1"/>
    <col min="13323" max="13569" width="8.6640625" style="637"/>
    <col min="13570" max="13570" width="35.6640625" style="637" customWidth="1"/>
    <col min="13571" max="13571" width="8.6640625" style="637"/>
    <col min="13572" max="13572" width="25.6640625" style="637" customWidth="1"/>
    <col min="13573" max="13577" width="8.6640625" style="637"/>
    <col min="13578" max="13578" width="24.1640625" style="637" customWidth="1"/>
    <col min="13579" max="13825" width="8.6640625" style="637"/>
    <col min="13826" max="13826" width="35.6640625" style="637" customWidth="1"/>
    <col min="13827" max="13827" width="8.6640625" style="637"/>
    <col min="13828" max="13828" width="25.6640625" style="637" customWidth="1"/>
    <col min="13829" max="13833" width="8.6640625" style="637"/>
    <col min="13834" max="13834" width="24.1640625" style="637" customWidth="1"/>
    <col min="13835" max="14081" width="8.6640625" style="637"/>
    <col min="14082" max="14082" width="35.6640625" style="637" customWidth="1"/>
    <col min="14083" max="14083" width="8.6640625" style="637"/>
    <col min="14084" max="14084" width="25.6640625" style="637" customWidth="1"/>
    <col min="14085" max="14089" width="8.6640625" style="637"/>
    <col min="14090" max="14090" width="24.1640625" style="637" customWidth="1"/>
    <col min="14091" max="14337" width="8.6640625" style="637"/>
    <col min="14338" max="14338" width="35.6640625" style="637" customWidth="1"/>
    <col min="14339" max="14339" width="8.6640625" style="637"/>
    <col min="14340" max="14340" width="25.6640625" style="637" customWidth="1"/>
    <col min="14341" max="14345" width="8.6640625" style="637"/>
    <col min="14346" max="14346" width="24.1640625" style="637" customWidth="1"/>
    <col min="14347" max="14593" width="8.6640625" style="637"/>
    <col min="14594" max="14594" width="35.6640625" style="637" customWidth="1"/>
    <col min="14595" max="14595" width="8.6640625" style="637"/>
    <col min="14596" max="14596" width="25.6640625" style="637" customWidth="1"/>
    <col min="14597" max="14601" width="8.6640625" style="637"/>
    <col min="14602" max="14602" width="24.1640625" style="637" customWidth="1"/>
    <col min="14603" max="14849" width="8.6640625" style="637"/>
    <col min="14850" max="14850" width="35.6640625" style="637" customWidth="1"/>
    <col min="14851" max="14851" width="8.6640625" style="637"/>
    <col min="14852" max="14852" width="25.6640625" style="637" customWidth="1"/>
    <col min="14853" max="14857" width="8.6640625" style="637"/>
    <col min="14858" max="14858" width="24.1640625" style="637" customWidth="1"/>
    <col min="14859" max="15105" width="8.6640625" style="637"/>
    <col min="15106" max="15106" width="35.6640625" style="637" customWidth="1"/>
    <col min="15107" max="15107" width="8.6640625" style="637"/>
    <col min="15108" max="15108" width="25.6640625" style="637" customWidth="1"/>
    <col min="15109" max="15113" width="8.6640625" style="637"/>
    <col min="15114" max="15114" width="24.1640625" style="637" customWidth="1"/>
    <col min="15115" max="15361" width="8.6640625" style="637"/>
    <col min="15362" max="15362" width="35.6640625" style="637" customWidth="1"/>
    <col min="15363" max="15363" width="8.6640625" style="637"/>
    <col min="15364" max="15364" width="25.6640625" style="637" customWidth="1"/>
    <col min="15365" max="15369" width="8.6640625" style="637"/>
    <col min="15370" max="15370" width="24.1640625" style="637" customWidth="1"/>
    <col min="15371" max="15617" width="8.6640625" style="637"/>
    <col min="15618" max="15618" width="35.6640625" style="637" customWidth="1"/>
    <col min="15619" max="15619" width="8.6640625" style="637"/>
    <col min="15620" max="15620" width="25.6640625" style="637" customWidth="1"/>
    <col min="15621" max="15625" width="8.6640625" style="637"/>
    <col min="15626" max="15626" width="24.1640625" style="637" customWidth="1"/>
    <col min="15627" max="15873" width="8.6640625" style="637"/>
    <col min="15874" max="15874" width="35.6640625" style="637" customWidth="1"/>
    <col min="15875" max="15875" width="8.6640625" style="637"/>
    <col min="15876" max="15876" width="25.6640625" style="637" customWidth="1"/>
    <col min="15877" max="15881" width="8.6640625" style="637"/>
    <col min="15882" max="15882" width="24.1640625" style="637" customWidth="1"/>
    <col min="15883" max="16129" width="8.6640625" style="637"/>
    <col min="16130" max="16130" width="35.6640625" style="637" customWidth="1"/>
    <col min="16131" max="16131" width="8.6640625" style="637"/>
    <col min="16132" max="16132" width="25.6640625" style="637" customWidth="1"/>
    <col min="16133" max="16137" width="8.6640625" style="637"/>
    <col min="16138" max="16138" width="24.1640625" style="637" customWidth="1"/>
    <col min="16139" max="16384" width="8.6640625" style="637"/>
  </cols>
  <sheetData>
    <row r="1" spans="2:11" ht="19">
      <c r="B1" s="634" t="s">
        <v>368</v>
      </c>
      <c r="C1" s="635"/>
      <c r="D1" s="635"/>
      <c r="E1" s="635"/>
      <c r="F1" s="635"/>
      <c r="G1" s="635"/>
      <c r="H1" s="635"/>
      <c r="I1" s="635"/>
      <c r="J1" s="636"/>
    </row>
    <row r="2" spans="2:11">
      <c r="B2" s="638"/>
      <c r="J2" s="639"/>
    </row>
    <row r="3" spans="2:11" ht="18">
      <c r="B3" s="640" t="s">
        <v>369</v>
      </c>
      <c r="C3" s="641" t="s">
        <v>75</v>
      </c>
      <c r="D3" s="642"/>
      <c r="E3" s="643" t="s">
        <v>370</v>
      </c>
      <c r="G3" s="637" t="s">
        <v>371</v>
      </c>
      <c r="J3" s="639"/>
    </row>
    <row r="4" spans="2:11" ht="18">
      <c r="B4" s="644" t="s">
        <v>263</v>
      </c>
      <c r="C4" s="643"/>
      <c r="D4" s="643">
        <v>30</v>
      </c>
      <c r="E4" s="643"/>
      <c r="F4" s="643"/>
      <c r="J4" s="639"/>
    </row>
    <row r="5" spans="2:11" ht="18">
      <c r="B5" s="644" t="s">
        <v>333</v>
      </c>
      <c r="C5" s="643"/>
      <c r="D5" s="643">
        <v>12</v>
      </c>
      <c r="E5" s="643"/>
      <c r="F5" s="643"/>
      <c r="J5" s="639"/>
    </row>
    <row r="6" spans="2:11" ht="18">
      <c r="B6" s="644" t="s">
        <v>372</v>
      </c>
      <c r="C6" s="645" t="s">
        <v>75</v>
      </c>
      <c r="D6" s="646">
        <v>0.05</v>
      </c>
      <c r="E6" s="5" t="s">
        <v>373</v>
      </c>
      <c r="F6" s="643"/>
      <c r="J6" s="639"/>
    </row>
    <row r="7" spans="2:11" ht="18">
      <c r="B7" s="644" t="s">
        <v>374</v>
      </c>
      <c r="C7" s="643"/>
      <c r="D7" s="647">
        <f>EFFECT(D6,D5)</f>
        <v>5.116189788173342E-2</v>
      </c>
      <c r="E7" s="643"/>
      <c r="F7" s="643"/>
      <c r="J7" s="639"/>
    </row>
    <row r="8" spans="2:11" ht="19" thickBot="1">
      <c r="B8" s="644"/>
      <c r="C8" s="643"/>
      <c r="D8" s="647"/>
      <c r="E8" s="643"/>
      <c r="F8" s="643"/>
      <c r="J8" s="639"/>
    </row>
    <row r="9" spans="2:11" ht="18">
      <c r="B9" s="644" t="s">
        <v>232</v>
      </c>
      <c r="C9" s="643"/>
      <c r="D9" s="647"/>
      <c r="E9" s="643"/>
      <c r="F9" s="643"/>
      <c r="H9" s="648" t="s">
        <v>375</v>
      </c>
      <c r="I9" s="649"/>
      <c r="J9" s="650"/>
    </row>
    <row r="10" spans="2:11" ht="18">
      <c r="B10" s="644" t="s">
        <v>376</v>
      </c>
      <c r="C10" s="643"/>
      <c r="D10" s="651">
        <f>1825+1.45%*D3</f>
        <v>1825</v>
      </c>
      <c r="E10" s="643"/>
      <c r="F10" s="643"/>
      <c r="H10" s="652" t="s">
        <v>377</v>
      </c>
      <c r="I10" s="653"/>
      <c r="J10" s="654"/>
    </row>
    <row r="11" spans="2:11" ht="20" thickBot="1">
      <c r="B11" s="644" t="s">
        <v>378</v>
      </c>
      <c r="C11" s="643"/>
      <c r="D11" s="655">
        <v>5000</v>
      </c>
      <c r="E11" s="656" t="s">
        <v>379</v>
      </c>
      <c r="F11" s="643"/>
      <c r="H11" s="657" t="s">
        <v>380</v>
      </c>
      <c r="I11" s="658"/>
      <c r="J11" s="659">
        <f>J9-J10</f>
        <v>0</v>
      </c>
      <c r="K11" s="660" t="s">
        <v>75</v>
      </c>
    </row>
    <row r="12" spans="2:11" ht="18">
      <c r="B12" s="644"/>
      <c r="C12" s="643"/>
      <c r="D12" s="647"/>
      <c r="E12" s="643"/>
      <c r="F12" s="643"/>
      <c r="J12" s="639"/>
    </row>
    <row r="13" spans="2:11" ht="18">
      <c r="B13" s="644" t="s">
        <v>236</v>
      </c>
      <c r="C13" s="643"/>
      <c r="D13" s="661">
        <f>SUM(D10:D12)</f>
        <v>6825</v>
      </c>
      <c r="E13" s="643"/>
      <c r="F13" s="643"/>
      <c r="J13" s="639"/>
    </row>
    <row r="14" spans="2:11" ht="18">
      <c r="B14" s="644"/>
      <c r="C14" s="643"/>
      <c r="D14" s="647"/>
      <c r="E14" s="643"/>
      <c r="F14" s="643"/>
      <c r="J14" s="639"/>
    </row>
    <row r="15" spans="2:11" ht="18">
      <c r="B15" s="644" t="s">
        <v>237</v>
      </c>
      <c r="C15" s="643"/>
      <c r="D15" s="661">
        <f>D3-D13</f>
        <v>-6825</v>
      </c>
      <c r="E15" s="643" t="s">
        <v>381</v>
      </c>
      <c r="F15" s="643"/>
      <c r="J15" s="639"/>
    </row>
    <row r="16" spans="2:11" ht="18">
      <c r="B16" s="644"/>
      <c r="C16" s="643"/>
      <c r="D16" s="647"/>
      <c r="E16" s="643"/>
      <c r="F16" s="643"/>
      <c r="J16" s="639"/>
    </row>
    <row r="17" spans="2:10" ht="18">
      <c r="B17" s="644" t="s">
        <v>382</v>
      </c>
      <c r="C17" s="643"/>
      <c r="D17" s="647" t="e">
        <f>RATE(D4*D5,-D21,D15)</f>
        <v>#NUM!</v>
      </c>
      <c r="E17" s="643"/>
      <c r="F17" s="643"/>
      <c r="J17" s="639"/>
    </row>
    <row r="18" spans="2:10" ht="19">
      <c r="B18" s="662" t="s">
        <v>244</v>
      </c>
      <c r="C18" s="663"/>
      <c r="D18" s="664" t="e">
        <f>(1+D17)^D5-1</f>
        <v>#NUM!</v>
      </c>
      <c r="E18" s="643"/>
      <c r="F18" s="643"/>
      <c r="J18" s="639"/>
    </row>
    <row r="19" spans="2:10" ht="18">
      <c r="B19" s="644"/>
      <c r="C19" s="643"/>
      <c r="D19" s="647"/>
      <c r="E19" s="643"/>
      <c r="F19" s="643"/>
      <c r="J19" s="639"/>
    </row>
    <row r="20" spans="2:10" ht="18">
      <c r="B20" s="644"/>
      <c r="C20" s="643"/>
      <c r="D20" s="643"/>
      <c r="E20" s="643"/>
      <c r="F20" s="643"/>
      <c r="J20" s="639"/>
    </row>
    <row r="21" spans="2:10" ht="18">
      <c r="B21" s="644" t="s">
        <v>383</v>
      </c>
      <c r="C21" s="643"/>
      <c r="D21" s="645">
        <f>-PMT(D6/D5,D4*D5,D3)</f>
        <v>0</v>
      </c>
      <c r="E21" s="643"/>
      <c r="F21" s="643"/>
      <c r="J21" s="639"/>
    </row>
    <row r="22" spans="2:10" ht="18">
      <c r="B22" s="644"/>
      <c r="C22" s="643"/>
      <c r="D22" s="643"/>
      <c r="E22" s="643"/>
      <c r="F22" s="643"/>
      <c r="J22" s="639"/>
    </row>
    <row r="23" spans="2:10" ht="18">
      <c r="B23" s="644" t="s">
        <v>239</v>
      </c>
      <c r="C23" s="643"/>
      <c r="D23" s="655" t="e">
        <f>-CUMIPMT(D6/D5,D4*D5,D3,1,D5,0)</f>
        <v>#NUM!</v>
      </c>
      <c r="E23" s="643"/>
      <c r="F23" s="643"/>
      <c r="J23" s="639"/>
    </row>
    <row r="24" spans="2:10" ht="18">
      <c r="B24" s="644" t="s">
        <v>384</v>
      </c>
      <c r="C24" s="643"/>
      <c r="D24" s="651" t="e">
        <f>1/3*D23</f>
        <v>#NUM!</v>
      </c>
      <c r="E24" s="643"/>
      <c r="F24" s="643"/>
      <c r="J24" s="639"/>
    </row>
    <row r="25" spans="2:10" ht="18">
      <c r="B25" s="644" t="s">
        <v>385</v>
      </c>
      <c r="C25" s="643"/>
      <c r="D25" s="651" t="e">
        <f>D24/D5</f>
        <v>#NUM!</v>
      </c>
      <c r="E25" s="643"/>
      <c r="F25" s="643"/>
      <c r="J25" s="639"/>
    </row>
    <row r="26" spans="2:10" ht="18">
      <c r="B26" s="644"/>
      <c r="C26" s="643"/>
      <c r="D26" s="643"/>
      <c r="E26" s="643"/>
      <c r="F26" s="643"/>
      <c r="J26" s="639"/>
    </row>
    <row r="27" spans="2:10" ht="20" thickBot="1">
      <c r="B27" s="665" t="s">
        <v>241</v>
      </c>
      <c r="C27" s="666"/>
      <c r="D27" s="667" t="e">
        <f>D21-D25</f>
        <v>#NUM!</v>
      </c>
      <c r="E27" s="668"/>
      <c r="F27" s="668"/>
      <c r="G27" s="669"/>
      <c r="H27" s="669"/>
      <c r="I27" s="669"/>
      <c r="J27" s="670"/>
    </row>
    <row r="28" spans="2:10" ht="18">
      <c r="B28" s="643"/>
      <c r="C28" s="643"/>
      <c r="D28" s="643"/>
      <c r="E28" s="643"/>
      <c r="F28" s="643"/>
    </row>
    <row r="30" spans="2:10">
      <c r="D30" s="67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B9FFC-35F0-1049-969C-63A5B5269794}">
  <sheetPr>
    <tabColor rgb="FFFFC000"/>
  </sheetPr>
  <dimension ref="B1:AC43"/>
  <sheetViews>
    <sheetView topLeftCell="C32" zoomScale="117" workbookViewId="0">
      <selection activeCell="E58" sqref="E58"/>
    </sheetView>
  </sheetViews>
  <sheetFormatPr baseColWidth="10" defaultColWidth="7.6640625" defaultRowHeight="16"/>
  <cols>
    <col min="1" max="1" width="4.6640625" style="637" customWidth="1"/>
    <col min="2" max="2" width="11.1640625" style="637" customWidth="1"/>
    <col min="3" max="3" width="8.6640625" style="637" customWidth="1"/>
    <col min="4" max="4" width="7.6640625" style="637"/>
    <col min="5" max="5" width="11.1640625" style="637" customWidth="1"/>
    <col min="6" max="6" width="8.6640625" style="637" customWidth="1"/>
    <col min="7" max="7" width="8.1640625" style="637" customWidth="1"/>
    <col min="8" max="8" width="12.6640625" style="637" customWidth="1"/>
    <col min="9" max="9" width="9.1640625" style="637" bestFit="1" customWidth="1"/>
    <col min="10" max="11" width="7.6640625" style="637"/>
    <col min="12" max="12" width="16.1640625" style="637" customWidth="1"/>
    <col min="13" max="13" width="12.1640625" style="637" bestFit="1" customWidth="1"/>
    <col min="14" max="14" width="2.1640625" style="637" customWidth="1"/>
    <col min="15" max="15" width="12.1640625" style="637" bestFit="1" customWidth="1"/>
    <col min="16" max="16384" width="7.6640625" style="637"/>
  </cols>
  <sheetData>
    <row r="1" spans="2:28" ht="17" thickBot="1"/>
    <row r="2" spans="2:28" ht="17" thickBot="1">
      <c r="B2" s="952" t="s">
        <v>386</v>
      </c>
      <c r="C2" s="953"/>
      <c r="D2" s="953"/>
      <c r="E2" s="953"/>
      <c r="F2" s="953"/>
      <c r="G2" s="953"/>
      <c r="H2" s="953"/>
      <c r="I2" s="953"/>
      <c r="J2" s="953"/>
      <c r="K2" s="953"/>
      <c r="L2" s="953"/>
      <c r="M2" s="953"/>
      <c r="N2" s="953"/>
      <c r="O2" s="953"/>
      <c r="P2" s="953"/>
      <c r="Q2" s="953"/>
      <c r="R2" s="954"/>
    </row>
    <row r="3" spans="2:28" ht="15.75" customHeight="1" thickBot="1"/>
    <row r="4" spans="2:28" ht="15.75" customHeight="1" thickBot="1">
      <c r="B4" s="672" t="s">
        <v>387</v>
      </c>
      <c r="C4" s="635"/>
      <c r="D4" s="635"/>
      <c r="E4" s="635"/>
      <c r="F4" s="635"/>
      <c r="G4" s="635"/>
      <c r="H4" s="635"/>
      <c r="I4" s="635"/>
      <c r="J4" s="635"/>
      <c r="K4" s="635"/>
      <c r="L4" s="635"/>
      <c r="M4" s="635"/>
      <c r="N4" s="635"/>
      <c r="O4" s="635"/>
      <c r="P4" s="635"/>
      <c r="Q4" s="635"/>
      <c r="R4" s="636"/>
    </row>
    <row r="5" spans="2:28" ht="16.25" customHeight="1" thickBot="1">
      <c r="B5" s="955" t="str">
        <f>B9</f>
        <v>Andelsboligens andel af andelsforeningen (fordelingstal)</v>
      </c>
      <c r="C5" s="956"/>
      <c r="D5" s="956"/>
      <c r="E5" s="956"/>
      <c r="F5" s="957" t="s">
        <v>388</v>
      </c>
      <c r="G5" s="958" t="s">
        <v>389</v>
      </c>
      <c r="H5" s="958"/>
      <c r="I5" s="959" t="s">
        <v>390</v>
      </c>
      <c r="J5" s="958" t="s">
        <v>391</v>
      </c>
      <c r="K5" s="958"/>
      <c r="L5" s="675"/>
      <c r="M5" s="676"/>
      <c r="N5" s="676"/>
      <c r="O5" s="676"/>
      <c r="P5" s="675"/>
      <c r="Q5" s="676"/>
      <c r="R5" s="677"/>
      <c r="T5" s="678" t="s">
        <v>392</v>
      </c>
      <c r="U5" s="679"/>
      <c r="V5" s="679"/>
      <c r="W5" s="680"/>
    </row>
    <row r="6" spans="2:28" ht="16.25" customHeight="1">
      <c r="B6" s="955"/>
      <c r="C6" s="956"/>
      <c r="D6" s="956"/>
      <c r="E6" s="956"/>
      <c r="F6" s="957"/>
      <c r="G6" s="960" t="s">
        <v>393</v>
      </c>
      <c r="H6" s="960"/>
      <c r="I6" s="959"/>
      <c r="J6" s="960" t="s">
        <v>394</v>
      </c>
      <c r="K6" s="960"/>
      <c r="L6" s="675"/>
      <c r="M6" s="676" t="s">
        <v>395</v>
      </c>
      <c r="N6" s="676"/>
      <c r="O6" s="676"/>
      <c r="P6" s="675"/>
      <c r="Q6" s="676"/>
      <c r="R6" s="677"/>
    </row>
    <row r="7" spans="2:28" ht="15.75" customHeight="1">
      <c r="B7" s="681"/>
      <c r="C7" s="674"/>
      <c r="D7" s="674"/>
      <c r="E7" s="674"/>
      <c r="F7" s="673"/>
      <c r="G7" s="682"/>
      <c r="H7" s="682"/>
      <c r="I7" s="674"/>
      <c r="J7" s="683"/>
      <c r="K7" s="683"/>
      <c r="L7" s="674"/>
      <c r="M7" s="683"/>
      <c r="N7" s="683"/>
      <c r="O7" s="683"/>
      <c r="P7" s="674"/>
      <c r="Q7" s="683"/>
      <c r="R7" s="684"/>
    </row>
    <row r="8" spans="2:28" ht="15.75" customHeight="1" thickBot="1">
      <c r="B8" s="638"/>
      <c r="R8" s="639"/>
    </row>
    <row r="9" spans="2:28" ht="17" thickBot="1">
      <c r="B9" s="955" t="s">
        <v>396</v>
      </c>
      <c r="C9" s="956"/>
      <c r="D9" s="956"/>
      <c r="E9" s="956"/>
      <c r="F9" s="957" t="s">
        <v>388</v>
      </c>
      <c r="G9" s="961">
        <v>0</v>
      </c>
      <c r="H9" s="961"/>
      <c r="I9" s="962" t="s">
        <v>388</v>
      </c>
      <c r="J9" s="963" t="e">
        <f>G9/G10</f>
        <v>#DIV/0!</v>
      </c>
      <c r="K9" s="964"/>
      <c r="R9" s="639"/>
    </row>
    <row r="10" spans="2:28" ht="17" thickBot="1">
      <c r="B10" s="955"/>
      <c r="C10" s="956"/>
      <c r="D10" s="956"/>
      <c r="E10" s="956"/>
      <c r="F10" s="957"/>
      <c r="G10" s="967">
        <v>0</v>
      </c>
      <c r="H10" s="967"/>
      <c r="I10" s="959"/>
      <c r="J10" s="965"/>
      <c r="K10" s="966"/>
      <c r="R10" s="639"/>
      <c r="T10" s="672" t="s">
        <v>397</v>
      </c>
      <c r="U10" s="685"/>
      <c r="V10" s="685"/>
      <c r="W10" s="685"/>
      <c r="X10" s="685"/>
      <c r="Y10" s="685"/>
      <c r="Z10" s="685"/>
      <c r="AA10" s="685"/>
      <c r="AB10" s="686"/>
    </row>
    <row r="11" spans="2:28" ht="15.75" customHeight="1" thickBot="1">
      <c r="B11" s="687"/>
      <c r="C11" s="669"/>
      <c r="D11" s="669"/>
      <c r="E11" s="669"/>
      <c r="F11" s="669"/>
      <c r="G11" s="669"/>
      <c r="H11" s="669"/>
      <c r="I11" s="669"/>
      <c r="J11" s="669"/>
      <c r="K11" s="669"/>
      <c r="L11" s="669"/>
      <c r="M11" s="669"/>
      <c r="N11" s="669"/>
      <c r="O11" s="669"/>
      <c r="P11" s="669"/>
      <c r="Q11" s="669"/>
      <c r="R11" s="670"/>
      <c r="T11" s="688" t="s">
        <v>398</v>
      </c>
      <c r="U11" s="689"/>
      <c r="V11" s="689"/>
      <c r="W11" s="689"/>
      <c r="X11" s="689"/>
      <c r="Y11" s="689"/>
      <c r="Z11" s="689"/>
      <c r="AA11" s="689"/>
      <c r="AB11" s="690"/>
    </row>
    <row r="12" spans="2:28" ht="15.75" customHeight="1">
      <c r="T12" s="691"/>
      <c r="U12" s="691"/>
      <c r="V12" s="691"/>
      <c r="W12" s="691"/>
      <c r="X12" s="691"/>
      <c r="Y12" s="691"/>
      <c r="Z12" s="691"/>
      <c r="AA12" s="691"/>
      <c r="AB12" s="691"/>
    </row>
    <row r="13" spans="2:28" ht="15.75" customHeight="1" thickBot="1">
      <c r="T13" s="691"/>
      <c r="U13" s="691"/>
      <c r="V13" s="691"/>
      <c r="W13" s="691"/>
      <c r="X13" s="691"/>
      <c r="Y13" s="691"/>
      <c r="Z13" s="691"/>
      <c r="AA13" s="691"/>
      <c r="AB13" s="691"/>
    </row>
    <row r="14" spans="2:28" ht="15.75" customHeight="1">
      <c r="B14" s="672" t="s">
        <v>399</v>
      </c>
      <c r="C14" s="635"/>
      <c r="D14" s="635"/>
      <c r="E14" s="635"/>
      <c r="F14" s="635"/>
      <c r="G14" s="635"/>
      <c r="H14" s="635"/>
      <c r="I14" s="635"/>
      <c r="J14" s="635"/>
      <c r="K14" s="635"/>
      <c r="L14" s="635"/>
      <c r="M14" s="635"/>
      <c r="N14" s="635"/>
      <c r="O14" s="635"/>
      <c r="P14" s="635"/>
      <c r="Q14" s="635"/>
      <c r="R14" s="636"/>
      <c r="T14" s="691"/>
      <c r="U14" s="691"/>
      <c r="V14" s="691"/>
      <c r="W14" s="691"/>
      <c r="X14" s="691"/>
      <c r="Y14" s="691"/>
      <c r="Z14" s="691"/>
      <c r="AA14" s="691"/>
      <c r="AB14" s="691"/>
    </row>
    <row r="15" spans="2:28" ht="15.75" customHeight="1">
      <c r="B15" s="638"/>
      <c r="R15" s="639"/>
      <c r="T15" s="691"/>
      <c r="U15" s="691"/>
      <c r="V15" s="691"/>
      <c r="W15" s="691"/>
      <c r="X15" s="691"/>
      <c r="Y15" s="691"/>
      <c r="Z15" s="691"/>
      <c r="AA15" s="691"/>
      <c r="AB15" s="691"/>
    </row>
    <row r="16" spans="2:28" ht="15.75" customHeight="1">
      <c r="B16" s="692" t="s">
        <v>400</v>
      </c>
      <c r="H16" s="693">
        <v>10000000</v>
      </c>
      <c r="I16" s="694"/>
      <c r="J16" s="694"/>
      <c r="K16" s="695" t="s">
        <v>401</v>
      </c>
      <c r="L16" s="694"/>
      <c r="M16" s="693">
        <v>0</v>
      </c>
      <c r="R16" s="639"/>
      <c r="T16" s="691"/>
      <c r="U16" s="691"/>
      <c r="V16" s="691"/>
      <c r="W16" s="691"/>
      <c r="X16" s="691"/>
      <c r="Y16" s="691"/>
      <c r="Z16" s="691"/>
      <c r="AA16" s="691"/>
      <c r="AB16" s="691"/>
    </row>
    <row r="17" spans="2:29" ht="15.75" customHeight="1">
      <c r="B17" s="638" t="s">
        <v>402</v>
      </c>
      <c r="H17" s="693"/>
      <c r="I17" s="694"/>
      <c r="J17" s="694"/>
      <c r="K17" s="696"/>
      <c r="L17" s="694"/>
      <c r="M17" s="694"/>
      <c r="R17" s="639"/>
      <c r="T17" s="691"/>
      <c r="U17" s="691"/>
      <c r="V17" s="691"/>
      <c r="W17" s="691"/>
      <c r="X17" s="691"/>
      <c r="Y17" s="691"/>
      <c r="Z17" s="691"/>
      <c r="AA17" s="691"/>
      <c r="AB17" s="691"/>
    </row>
    <row r="18" spans="2:29" ht="15.75" customHeight="1">
      <c r="B18" s="692"/>
      <c r="H18" s="694"/>
      <c r="I18" s="694"/>
      <c r="J18" s="694"/>
      <c r="K18" s="695"/>
      <c r="L18" s="694"/>
      <c r="M18" s="694"/>
      <c r="R18" s="639"/>
      <c r="T18" s="691"/>
      <c r="U18" s="691"/>
      <c r="V18" s="691"/>
      <c r="W18" s="691"/>
      <c r="X18" s="691"/>
      <c r="Y18" s="691"/>
      <c r="Z18" s="691"/>
      <c r="AA18" s="691"/>
      <c r="AB18" s="691"/>
    </row>
    <row r="19" spans="2:29" ht="15.75" customHeight="1">
      <c r="B19" s="692" t="s">
        <v>403</v>
      </c>
      <c r="H19" s="693">
        <v>0</v>
      </c>
      <c r="I19" s="694"/>
      <c r="J19" s="694"/>
      <c r="K19" s="695"/>
      <c r="L19" s="694"/>
      <c r="M19" s="694"/>
      <c r="R19" s="639"/>
      <c r="T19" s="691"/>
      <c r="U19" s="691"/>
      <c r="V19" s="691"/>
      <c r="W19" s="691"/>
      <c r="X19" s="691"/>
      <c r="Y19" s="691"/>
      <c r="Z19" s="691"/>
      <c r="AA19" s="691"/>
      <c r="AB19" s="691"/>
    </row>
    <row r="20" spans="2:29" ht="15.75" customHeight="1" thickBot="1">
      <c r="B20" s="692"/>
      <c r="H20" s="694"/>
      <c r="I20" s="694"/>
      <c r="J20" s="694"/>
      <c r="K20" s="695"/>
      <c r="L20" s="694"/>
      <c r="M20" s="694"/>
      <c r="R20" s="639"/>
      <c r="T20" s="691"/>
      <c r="U20" s="691"/>
      <c r="V20" s="691"/>
      <c r="W20" s="691"/>
      <c r="X20" s="691"/>
      <c r="Y20" s="691"/>
      <c r="Z20" s="691"/>
      <c r="AA20" s="691"/>
      <c r="AB20" s="691"/>
    </row>
    <row r="21" spans="2:29" ht="15.75" customHeight="1" thickBot="1">
      <c r="B21" s="692" t="s">
        <v>404</v>
      </c>
      <c r="H21" s="697" t="e">
        <f>(H16-H19)*J9</f>
        <v>#DIV/0!</v>
      </c>
      <c r="I21" s="694"/>
      <c r="J21" s="694"/>
      <c r="K21" s="695" t="s">
        <v>405</v>
      </c>
      <c r="L21" s="694"/>
      <c r="M21" s="697" t="e">
        <f>H21+M16</f>
        <v>#DIV/0!</v>
      </c>
      <c r="R21" s="639"/>
      <c r="T21" s="678" t="s">
        <v>406</v>
      </c>
      <c r="U21" s="679"/>
      <c r="V21" s="679"/>
      <c r="W21" s="679"/>
      <c r="X21" s="679"/>
      <c r="Y21" s="680"/>
      <c r="Z21" s="691"/>
      <c r="AA21" s="691"/>
      <c r="AB21" s="691"/>
    </row>
    <row r="22" spans="2:29" ht="15.75" customHeight="1">
      <c r="B22" s="968" t="s">
        <v>407</v>
      </c>
      <c r="C22" s="969"/>
      <c r="D22" s="969"/>
      <c r="E22" s="969"/>
      <c r="K22" s="699" t="s">
        <v>408</v>
      </c>
      <c r="R22" s="639"/>
      <c r="T22" s="691"/>
      <c r="U22" s="691"/>
      <c r="V22" s="691"/>
      <c r="W22" s="691"/>
      <c r="X22" s="691"/>
      <c r="Y22" s="691"/>
      <c r="Z22" s="691"/>
      <c r="AA22" s="691"/>
      <c r="AB22" s="691"/>
    </row>
    <row r="23" spans="2:29" ht="15.75" customHeight="1" thickBot="1">
      <c r="B23" s="970"/>
      <c r="C23" s="971"/>
      <c r="D23" s="971"/>
      <c r="E23" s="971"/>
      <c r="F23" s="669"/>
      <c r="G23" s="669"/>
      <c r="H23" s="669"/>
      <c r="I23" s="669"/>
      <c r="J23" s="669"/>
      <c r="K23" s="669"/>
      <c r="L23" s="669"/>
      <c r="M23" s="669"/>
      <c r="N23" s="669"/>
      <c r="O23" s="669"/>
      <c r="P23" s="669"/>
      <c r="Q23" s="669"/>
      <c r="R23" s="670"/>
      <c r="T23" s="691"/>
      <c r="U23" s="691"/>
      <c r="V23" s="691"/>
      <c r="W23" s="691"/>
      <c r="X23" s="691"/>
      <c r="Y23" s="691"/>
      <c r="Z23" s="691"/>
      <c r="AA23" s="691"/>
      <c r="AB23" s="691"/>
    </row>
    <row r="24" spans="2:29" ht="15.75" customHeight="1">
      <c r="B24" s="698"/>
      <c r="C24" s="698"/>
      <c r="D24" s="698"/>
      <c r="E24" s="698"/>
      <c r="T24" s="691"/>
      <c r="U24" s="691"/>
      <c r="V24" s="691"/>
      <c r="W24" s="691"/>
      <c r="X24" s="691"/>
      <c r="Y24" s="691"/>
      <c r="Z24" s="691"/>
      <c r="AA24" s="691"/>
      <c r="AB24" s="691"/>
    </row>
    <row r="25" spans="2:29" ht="15.75" customHeight="1" thickBot="1"/>
    <row r="26" spans="2:29" ht="15.75" customHeight="1">
      <c r="B26" s="700" t="s">
        <v>409</v>
      </c>
      <c r="C26" s="701"/>
      <c r="D26" s="701"/>
      <c r="E26" s="701"/>
      <c r="F26" s="701"/>
      <c r="G26" s="701"/>
      <c r="H26" s="701"/>
      <c r="I26" s="701"/>
      <c r="J26" s="701"/>
      <c r="K26" s="701"/>
      <c r="L26" s="701"/>
      <c r="M26" s="701"/>
      <c r="N26" s="701"/>
      <c r="O26" s="701"/>
      <c r="P26" s="701"/>
      <c r="Q26" s="701"/>
      <c r="R26" s="702"/>
    </row>
    <row r="27" spans="2:29">
      <c r="B27" s="972" t="s">
        <v>410</v>
      </c>
      <c r="C27" s="973"/>
      <c r="D27" s="962" t="s">
        <v>388</v>
      </c>
      <c r="E27" s="956" t="s">
        <v>411</v>
      </c>
      <c r="F27" s="973"/>
      <c r="G27" s="962" t="s">
        <v>412</v>
      </c>
      <c r="H27" s="956" t="s">
        <v>413</v>
      </c>
      <c r="I27" s="956"/>
      <c r="J27" s="962" t="s">
        <v>414</v>
      </c>
      <c r="K27" s="956" t="s">
        <v>415</v>
      </c>
      <c r="L27" s="956"/>
      <c r="M27" s="962" t="s">
        <v>416</v>
      </c>
      <c r="N27" s="973" t="str">
        <f>B27</f>
        <v>Teknisk pris</v>
      </c>
      <c r="O27" s="973"/>
      <c r="R27" s="704"/>
    </row>
    <row r="28" spans="2:29" ht="28.5" customHeight="1">
      <c r="B28" s="972"/>
      <c r="C28" s="973"/>
      <c r="D28" s="959"/>
      <c r="E28" s="973"/>
      <c r="F28" s="973"/>
      <c r="G28" s="959"/>
      <c r="H28" s="956"/>
      <c r="I28" s="956"/>
      <c r="J28" s="959"/>
      <c r="K28" s="956"/>
      <c r="L28" s="956"/>
      <c r="M28" s="959"/>
      <c r="N28" s="973"/>
      <c r="O28" s="973"/>
      <c r="R28" s="704"/>
    </row>
    <row r="29" spans="2:29" ht="15.75" customHeight="1">
      <c r="B29" s="705"/>
      <c r="E29" s="637" t="s">
        <v>417</v>
      </c>
      <c r="F29" s="693">
        <v>0</v>
      </c>
      <c r="R29" s="704"/>
    </row>
    <row r="30" spans="2:29" ht="15.75" customHeight="1" thickBot="1">
      <c r="B30" s="705"/>
      <c r="R30" s="704"/>
    </row>
    <row r="31" spans="2:29" ht="15.75" customHeight="1">
      <c r="B31" s="972" t="s">
        <v>410</v>
      </c>
      <c r="C31" s="973"/>
      <c r="D31" s="962" t="s">
        <v>388</v>
      </c>
      <c r="E31" s="974" t="e">
        <f>M21-F29</f>
        <v>#DIV/0!</v>
      </c>
      <c r="F31" s="974"/>
      <c r="G31" s="962" t="s">
        <v>412</v>
      </c>
      <c r="H31" s="975" t="e">
        <f>H19*J9</f>
        <v>#DIV/0!</v>
      </c>
      <c r="I31" s="975"/>
      <c r="J31" s="962" t="s">
        <v>414</v>
      </c>
      <c r="K31" s="975" t="e">
        <f>H17*J9</f>
        <v>#DIV/0!</v>
      </c>
      <c r="L31" s="975"/>
      <c r="M31" s="962" t="s">
        <v>388</v>
      </c>
      <c r="O31" s="976" t="e">
        <f>E31+H31-K31</f>
        <v>#DIV/0!</v>
      </c>
      <c r="P31" s="977"/>
      <c r="R31" s="704"/>
      <c r="T31" s="672" t="s">
        <v>418</v>
      </c>
      <c r="U31" s="685"/>
      <c r="V31" s="685"/>
      <c r="W31" s="685"/>
      <c r="X31" s="685"/>
      <c r="Y31" s="685"/>
      <c r="Z31" s="685"/>
      <c r="AA31" s="685"/>
      <c r="AB31" s="685"/>
      <c r="AC31" s="686"/>
    </row>
    <row r="32" spans="2:29" ht="15.75" customHeight="1" thickBot="1">
      <c r="B32" s="972"/>
      <c r="C32" s="973"/>
      <c r="D32" s="959"/>
      <c r="E32" s="974"/>
      <c r="F32" s="974"/>
      <c r="G32" s="959"/>
      <c r="H32" s="975"/>
      <c r="I32" s="975"/>
      <c r="J32" s="959"/>
      <c r="K32" s="975"/>
      <c r="L32" s="975"/>
      <c r="M32" s="959"/>
      <c r="O32" s="978"/>
      <c r="P32" s="979"/>
      <c r="R32" s="704"/>
      <c r="T32" s="688" t="s">
        <v>419</v>
      </c>
      <c r="U32" s="689"/>
      <c r="V32" s="689"/>
      <c r="W32" s="689"/>
      <c r="X32" s="689"/>
      <c r="Y32" s="689"/>
      <c r="Z32" s="689"/>
      <c r="AA32" s="689"/>
      <c r="AB32" s="689"/>
      <c r="AC32" s="690"/>
    </row>
    <row r="33" spans="2:29" ht="15.75" customHeight="1" thickBot="1">
      <c r="B33" s="706"/>
      <c r="C33" s="707"/>
      <c r="D33" s="707"/>
      <c r="E33" s="707"/>
      <c r="F33" s="707"/>
      <c r="G33" s="707"/>
      <c r="H33" s="707"/>
      <c r="I33" s="707"/>
      <c r="J33" s="707"/>
      <c r="K33" s="707"/>
      <c r="L33" s="707"/>
      <c r="M33" s="707"/>
      <c r="N33" s="707"/>
      <c r="O33" s="707"/>
      <c r="P33" s="707"/>
      <c r="Q33" s="707"/>
      <c r="R33" s="708"/>
    </row>
    <row r="34" spans="2:29" ht="15.75" customHeight="1"/>
    <row r="35" spans="2:29" ht="17" thickBot="1">
      <c r="E35" s="709"/>
    </row>
    <row r="36" spans="2:29" ht="15.75" customHeight="1" thickBot="1">
      <c r="B36" s="700" t="s">
        <v>420</v>
      </c>
      <c r="C36" s="710"/>
      <c r="D36" s="701"/>
      <c r="E36" s="701"/>
      <c r="F36" s="701"/>
      <c r="G36" s="701"/>
      <c r="H36" s="701"/>
      <c r="I36" s="701"/>
      <c r="J36" s="701"/>
      <c r="K36" s="701"/>
      <c r="L36" s="701"/>
      <c r="M36" s="701"/>
      <c r="N36" s="701"/>
      <c r="O36" s="701"/>
      <c r="P36" s="701"/>
      <c r="Q36" s="701"/>
      <c r="R36" s="702"/>
    </row>
    <row r="37" spans="2:29" ht="15.75" customHeight="1">
      <c r="B37" s="972" t="s">
        <v>421</v>
      </c>
      <c r="C37" s="962" t="s">
        <v>388</v>
      </c>
      <c r="D37" s="958" t="s">
        <v>422</v>
      </c>
      <c r="E37" s="958"/>
      <c r="F37" s="958"/>
      <c r="G37" s="958"/>
      <c r="H37" s="958"/>
      <c r="I37" s="958"/>
      <c r="J37" s="958"/>
      <c r="K37" s="958"/>
      <c r="L37" s="962" t="s">
        <v>416</v>
      </c>
      <c r="M37" s="980">
        <f>H16-H19</f>
        <v>10000000</v>
      </c>
      <c r="N37" s="980"/>
      <c r="O37" s="980"/>
      <c r="P37" s="962" t="s">
        <v>388</v>
      </c>
      <c r="Q37" s="987" t="e">
        <f>M37/M38</f>
        <v>#DIV/0!</v>
      </c>
      <c r="R37" s="988"/>
      <c r="T37" s="672" t="s">
        <v>423</v>
      </c>
      <c r="U37" s="635"/>
      <c r="V37" s="635"/>
      <c r="W37" s="635"/>
      <c r="X37" s="635"/>
      <c r="Y37" s="635"/>
      <c r="Z37" s="635"/>
      <c r="AA37" s="635"/>
      <c r="AB37" s="635"/>
      <c r="AC37" s="636"/>
    </row>
    <row r="38" spans="2:29" ht="15.75" customHeight="1" thickBot="1">
      <c r="B38" s="972"/>
      <c r="C38" s="959"/>
      <c r="D38" s="991" t="s">
        <v>424</v>
      </c>
      <c r="E38" s="992"/>
      <c r="F38" s="992"/>
      <c r="G38" s="992"/>
      <c r="H38" s="992"/>
      <c r="I38" s="992"/>
      <c r="J38" s="992"/>
      <c r="K38" s="992"/>
      <c r="L38" s="959"/>
      <c r="M38" s="993">
        <f>G10</f>
        <v>0</v>
      </c>
      <c r="N38" s="994"/>
      <c r="O38" s="994"/>
      <c r="P38" s="959"/>
      <c r="Q38" s="989"/>
      <c r="R38" s="990"/>
      <c r="T38" s="688"/>
      <c r="U38" s="669"/>
      <c r="V38" s="669"/>
      <c r="W38" s="669"/>
      <c r="X38" s="669"/>
      <c r="Y38" s="669"/>
      <c r="Z38" s="669"/>
      <c r="AA38" s="669"/>
      <c r="AB38" s="669"/>
      <c r="AC38" s="670"/>
    </row>
    <row r="39" spans="2:29" ht="15.75" customHeight="1">
      <c r="B39" s="703"/>
      <c r="C39" s="674"/>
      <c r="D39" s="683"/>
      <c r="E39" s="683"/>
      <c r="F39" s="683"/>
      <c r="G39" s="683"/>
      <c r="H39" s="683"/>
      <c r="I39" s="683"/>
      <c r="J39" s="683"/>
      <c r="K39" s="683"/>
      <c r="L39" s="674"/>
      <c r="M39" s="674"/>
      <c r="N39" s="674"/>
      <c r="O39" s="674"/>
      <c r="P39" s="674"/>
      <c r="Q39" s="674"/>
      <c r="R39" s="711"/>
      <c r="S39" s="712"/>
      <c r="T39" s="713"/>
      <c r="U39" s="675"/>
    </row>
    <row r="40" spans="2:29" ht="15.75" customHeight="1" thickBot="1">
      <c r="B40" s="705"/>
      <c r="R40" s="704"/>
      <c r="S40" s="712"/>
      <c r="T40" s="713"/>
      <c r="U40" s="675"/>
    </row>
    <row r="41" spans="2:29" ht="15.75" customHeight="1">
      <c r="B41" s="972" t="s">
        <v>404</v>
      </c>
      <c r="C41" s="973"/>
      <c r="D41" s="962" t="s">
        <v>388</v>
      </c>
      <c r="E41" s="981" t="s">
        <v>425</v>
      </c>
      <c r="F41" s="981"/>
      <c r="G41" s="981"/>
      <c r="H41" s="981"/>
      <c r="I41" s="982" t="s">
        <v>426</v>
      </c>
      <c r="J41" s="973" t="str">
        <f>B37</f>
        <v>Andelskrone</v>
      </c>
      <c r="K41" s="973"/>
      <c r="L41" s="962" t="s">
        <v>416</v>
      </c>
      <c r="M41" s="995">
        <f>G9</f>
        <v>0</v>
      </c>
      <c r="N41" s="996" t="s">
        <v>426</v>
      </c>
      <c r="O41" s="995" t="e">
        <f>Q37</f>
        <v>#DIV/0!</v>
      </c>
      <c r="P41" s="962" t="s">
        <v>388</v>
      </c>
      <c r="Q41" s="983" t="e">
        <f>M41*O41</f>
        <v>#DIV/0!</v>
      </c>
      <c r="R41" s="984"/>
      <c r="S41" s="712"/>
      <c r="T41" s="713"/>
      <c r="U41" s="675"/>
    </row>
    <row r="42" spans="2:29" ht="15.75" customHeight="1" thickBot="1">
      <c r="B42" s="972"/>
      <c r="C42" s="973"/>
      <c r="D42" s="959"/>
      <c r="E42" s="981"/>
      <c r="F42" s="981"/>
      <c r="G42" s="981"/>
      <c r="H42" s="981"/>
      <c r="I42" s="959"/>
      <c r="J42" s="973"/>
      <c r="K42" s="973"/>
      <c r="L42" s="962"/>
      <c r="M42" s="995"/>
      <c r="N42" s="997"/>
      <c r="O42" s="995"/>
      <c r="P42" s="959"/>
      <c r="Q42" s="985"/>
      <c r="R42" s="986"/>
      <c r="S42" s="712"/>
      <c r="T42" s="713"/>
      <c r="U42" s="675"/>
    </row>
    <row r="43" spans="2:29" ht="15.75" customHeight="1" thickBot="1">
      <c r="B43" s="706"/>
      <c r="C43" s="707"/>
      <c r="D43" s="707"/>
      <c r="E43" s="707"/>
      <c r="F43" s="707"/>
      <c r="G43" s="707"/>
      <c r="H43" s="707"/>
      <c r="I43" s="707"/>
      <c r="J43" s="707"/>
      <c r="K43" s="707"/>
      <c r="L43" s="707"/>
      <c r="M43" s="707"/>
      <c r="N43" s="707"/>
      <c r="O43" s="714"/>
      <c r="P43" s="707"/>
      <c r="Q43" s="707"/>
      <c r="R43" s="708"/>
    </row>
  </sheetData>
  <mergeCells count="53">
    <mergeCell ref="Q41:R42"/>
    <mergeCell ref="Q37:R38"/>
    <mergeCell ref="P37:P38"/>
    <mergeCell ref="D38:K38"/>
    <mergeCell ref="M38:O38"/>
    <mergeCell ref="L41:L42"/>
    <mergeCell ref="M41:M42"/>
    <mergeCell ref="N41:N42"/>
    <mergeCell ref="O41:O42"/>
    <mergeCell ref="P41:P42"/>
    <mergeCell ref="B41:C42"/>
    <mergeCell ref="D41:D42"/>
    <mergeCell ref="E41:H42"/>
    <mergeCell ref="I41:I42"/>
    <mergeCell ref="J41:K42"/>
    <mergeCell ref="B37:B38"/>
    <mergeCell ref="C37:C38"/>
    <mergeCell ref="D37:K37"/>
    <mergeCell ref="L37:L38"/>
    <mergeCell ref="M37:O37"/>
    <mergeCell ref="J27:J28"/>
    <mergeCell ref="K27:L28"/>
    <mergeCell ref="M27:M28"/>
    <mergeCell ref="N27:O28"/>
    <mergeCell ref="B31:C32"/>
    <mergeCell ref="D31:D32"/>
    <mergeCell ref="E31:F32"/>
    <mergeCell ref="G31:G32"/>
    <mergeCell ref="H31:I32"/>
    <mergeCell ref="J31:J32"/>
    <mergeCell ref="H27:I28"/>
    <mergeCell ref="K31:L32"/>
    <mergeCell ref="M31:M32"/>
    <mergeCell ref="O31:P32"/>
    <mergeCell ref="B22:E23"/>
    <mergeCell ref="B27:C28"/>
    <mergeCell ref="D27:D28"/>
    <mergeCell ref="E27:F28"/>
    <mergeCell ref="G27:G28"/>
    <mergeCell ref="B9:E10"/>
    <mergeCell ref="F9:F10"/>
    <mergeCell ref="G9:H9"/>
    <mergeCell ref="I9:I10"/>
    <mergeCell ref="J9:K10"/>
    <mergeCell ref="G10:H10"/>
    <mergeCell ref="B2:R2"/>
    <mergeCell ref="B5:E6"/>
    <mergeCell ref="F5:F6"/>
    <mergeCell ref="G5:H5"/>
    <mergeCell ref="I5:I6"/>
    <mergeCell ref="J5:K5"/>
    <mergeCell ref="G6:H6"/>
    <mergeCell ref="J6:K6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1739A-E974-5341-815C-32405E683FFA}">
  <sheetPr>
    <tabColor rgb="FF0070C0"/>
    <pageSetUpPr fitToPage="1"/>
  </sheetPr>
  <dimension ref="B2:S79"/>
  <sheetViews>
    <sheetView topLeftCell="C1" zoomScale="125" zoomScaleNormal="100" workbookViewId="0">
      <selection activeCell="M12" sqref="M12"/>
    </sheetView>
  </sheetViews>
  <sheetFormatPr baseColWidth="10" defaultColWidth="8.83203125" defaultRowHeight="15"/>
  <cols>
    <col min="1" max="6" width="8.83203125" style="219"/>
    <col min="7" max="7" width="12.83203125" style="219" customWidth="1"/>
    <col min="8" max="8" width="18" style="219" customWidth="1"/>
    <col min="9" max="9" width="19" style="219" customWidth="1"/>
    <col min="10" max="10" width="22.83203125" style="219" customWidth="1"/>
    <col min="11" max="11" width="19.5" style="219" customWidth="1"/>
    <col min="12" max="12" width="21.1640625" style="219" customWidth="1"/>
    <col min="13" max="13" width="19.83203125" style="219" customWidth="1"/>
    <col min="14" max="14" width="20.33203125" style="219" customWidth="1"/>
    <col min="15" max="15" width="11" style="219" bestFit="1" customWidth="1"/>
    <col min="16" max="17" width="8.83203125" style="219"/>
    <col min="18" max="18" width="9.5" style="219" bestFit="1" customWidth="1"/>
    <col min="19" max="19" width="12.5" style="219" bestFit="1" customWidth="1"/>
    <col min="20" max="16384" width="8.83203125" style="219"/>
  </cols>
  <sheetData>
    <row r="2" spans="3:19" ht="16" thickBot="1"/>
    <row r="3" spans="3:19" ht="21">
      <c r="C3" s="823" t="s">
        <v>427</v>
      </c>
      <c r="D3" s="824"/>
      <c r="E3" s="824"/>
      <c r="F3" s="825"/>
      <c r="G3" s="825"/>
      <c r="H3" s="825"/>
      <c r="I3" s="826"/>
      <c r="J3" s="827" t="s">
        <v>428</v>
      </c>
      <c r="K3" s="827"/>
      <c r="L3" s="827"/>
      <c r="M3" s="827"/>
      <c r="N3" s="827"/>
      <c r="O3" s="827"/>
    </row>
    <row r="4" spans="3:19">
      <c r="C4" s="828"/>
      <c r="I4" s="829"/>
      <c r="J4" s="827" t="s">
        <v>429</v>
      </c>
      <c r="K4" s="827"/>
      <c r="L4" s="827"/>
      <c r="M4" s="827"/>
      <c r="N4" s="827"/>
      <c r="O4" s="827"/>
    </row>
    <row r="5" spans="3:19">
      <c r="C5" s="830" t="s">
        <v>430</v>
      </c>
      <c r="I5" s="829"/>
      <c r="J5" s="827" t="s">
        <v>431</v>
      </c>
      <c r="K5" s="827"/>
      <c r="L5" s="827"/>
      <c r="M5" s="827"/>
      <c r="N5" s="715" t="s">
        <v>432</v>
      </c>
      <c r="O5" s="827"/>
    </row>
    <row r="6" spans="3:19">
      <c r="C6" s="830" t="s">
        <v>433</v>
      </c>
      <c r="I6" s="829"/>
    </row>
    <row r="7" spans="3:19">
      <c r="C7" s="830" t="s">
        <v>434</v>
      </c>
      <c r="I7" s="829"/>
    </row>
    <row r="8" spans="3:19">
      <c r="C8" s="830" t="s">
        <v>435</v>
      </c>
      <c r="I8" s="829"/>
      <c r="J8" s="396" t="s">
        <v>436</v>
      </c>
      <c r="K8" s="396"/>
    </row>
    <row r="9" spans="3:19" ht="16" thickBot="1">
      <c r="C9" s="831"/>
      <c r="D9" s="832"/>
      <c r="E9" s="832"/>
      <c r="F9" s="832"/>
      <c r="G9" s="832"/>
      <c r="H9" s="832"/>
      <c r="I9" s="833"/>
    </row>
    <row r="10" spans="3:19" ht="16" thickBot="1"/>
    <row r="11" spans="3:19" ht="19">
      <c r="C11" s="834" t="s">
        <v>437</v>
      </c>
      <c r="D11" s="824"/>
      <c r="E11" s="824"/>
      <c r="F11" s="824"/>
      <c r="G11" s="825"/>
      <c r="H11" s="825"/>
      <c r="I11" s="826"/>
      <c r="J11" s="887" t="s">
        <v>438</v>
      </c>
      <c r="K11" s="825"/>
      <c r="L11" s="825"/>
      <c r="M11" s="825" t="s">
        <v>439</v>
      </c>
      <c r="N11" s="826" t="s">
        <v>440</v>
      </c>
      <c r="P11" s="226"/>
    </row>
    <row r="12" spans="3:19" ht="16">
      <c r="C12" s="828"/>
      <c r="H12" s="889" t="s">
        <v>441</v>
      </c>
      <c r="I12" s="835" t="s">
        <v>442</v>
      </c>
      <c r="J12" s="219" t="s">
        <v>443</v>
      </c>
      <c r="L12" s="716">
        <v>0</v>
      </c>
      <c r="M12" s="895">
        <v>7086</v>
      </c>
      <c r="N12" s="836">
        <v>1101</v>
      </c>
    </row>
    <row r="13" spans="3:19" ht="16">
      <c r="C13" s="828" t="s">
        <v>444</v>
      </c>
      <c r="H13" s="890">
        <v>0</v>
      </c>
      <c r="I13" s="883">
        <v>0</v>
      </c>
      <c r="N13" s="829"/>
      <c r="Q13" s="837"/>
      <c r="R13" s="837"/>
      <c r="S13" s="438"/>
    </row>
    <row r="14" spans="3:19" ht="16">
      <c r="C14" s="828"/>
      <c r="H14" s="891"/>
      <c r="I14" s="884"/>
      <c r="J14" s="219" t="s">
        <v>445</v>
      </c>
      <c r="L14" s="838">
        <v>0</v>
      </c>
      <c r="M14" s="219" t="s">
        <v>446</v>
      </c>
      <c r="N14" s="717" t="s">
        <v>447</v>
      </c>
      <c r="S14" s="438"/>
    </row>
    <row r="15" spans="3:19">
      <c r="C15" s="828" t="s">
        <v>448</v>
      </c>
      <c r="H15" s="890">
        <v>0</v>
      </c>
      <c r="I15" s="883">
        <v>0</v>
      </c>
      <c r="N15" s="829"/>
    </row>
    <row r="16" spans="3:19" ht="16">
      <c r="C16" s="828" t="s">
        <v>449</v>
      </c>
      <c r="H16" s="718" t="e">
        <f>0.6%*H13+1850+1.45%*H18+1825+10000+0.2%*H19+13000</f>
        <v>#DIV/0!</v>
      </c>
      <c r="I16" s="719" t="e">
        <f>0.6%*I13+1850+1.45%*I18+1825+10000+0.2%*I19+13000</f>
        <v>#DIV/0!</v>
      </c>
      <c r="J16" s="219" t="s">
        <v>450</v>
      </c>
      <c r="L16" s="716">
        <v>0</v>
      </c>
      <c r="M16" s="219" t="s">
        <v>451</v>
      </c>
      <c r="N16" s="829"/>
      <c r="S16" s="839"/>
    </row>
    <row r="17" spans="3:19" ht="16">
      <c r="C17" s="828"/>
      <c r="I17" s="829"/>
      <c r="L17" s="720"/>
      <c r="N17" s="829"/>
    </row>
    <row r="18" spans="3:19" ht="16">
      <c r="C18" s="828" t="s">
        <v>452</v>
      </c>
      <c r="H18" s="721" t="e">
        <f>H19/H20*100</f>
        <v>#DIV/0!</v>
      </c>
      <c r="I18" s="719" t="e">
        <f>I19/I20*100</f>
        <v>#DIV/0!</v>
      </c>
      <c r="N18" s="829"/>
    </row>
    <row r="19" spans="3:19" ht="16">
      <c r="C19" s="828" t="s">
        <v>453</v>
      </c>
      <c r="H19" s="720">
        <f>H13*0.8</f>
        <v>0</v>
      </c>
      <c r="I19" s="719">
        <f>I13*0.8</f>
        <v>0</v>
      </c>
      <c r="J19" s="219" t="s">
        <v>454</v>
      </c>
      <c r="L19" s="840">
        <f>0.238+0.1211</f>
        <v>0.35909999999999997</v>
      </c>
      <c r="M19" s="219" t="s">
        <v>455</v>
      </c>
      <c r="N19" s="829"/>
      <c r="S19" s="839"/>
    </row>
    <row r="20" spans="3:19">
      <c r="C20" s="828" t="s">
        <v>456</v>
      </c>
      <c r="G20" s="219" t="s">
        <v>457</v>
      </c>
      <c r="H20" s="892">
        <v>0</v>
      </c>
      <c r="I20" s="885">
        <v>0</v>
      </c>
      <c r="L20" s="841"/>
      <c r="N20" s="829"/>
      <c r="S20" s="839"/>
    </row>
    <row r="21" spans="3:19" ht="16">
      <c r="C21" s="828" t="s">
        <v>458</v>
      </c>
      <c r="H21" s="893">
        <v>0</v>
      </c>
      <c r="I21" s="886">
        <v>0</v>
      </c>
      <c r="N21" s="829"/>
      <c r="S21" s="438"/>
    </row>
    <row r="22" spans="3:19">
      <c r="C22" s="828" t="s">
        <v>261</v>
      </c>
      <c r="H22" s="893">
        <v>9.5639999999999996E-3</v>
      </c>
      <c r="I22" s="886">
        <v>6.8120000000000003E-3</v>
      </c>
      <c r="N22" s="829"/>
    </row>
    <row r="23" spans="3:19" ht="19">
      <c r="C23" s="828" t="s">
        <v>459</v>
      </c>
      <c r="H23" s="892">
        <v>4</v>
      </c>
      <c r="I23" s="885">
        <v>4</v>
      </c>
      <c r="J23" s="888" t="s">
        <v>460</v>
      </c>
      <c r="N23" s="829"/>
    </row>
    <row r="24" spans="3:19">
      <c r="C24" s="828" t="s">
        <v>461</v>
      </c>
      <c r="H24" s="839">
        <f>H23*30</f>
        <v>120</v>
      </c>
      <c r="I24" s="829">
        <f>I23*30</f>
        <v>120</v>
      </c>
      <c r="J24" s="219" t="s">
        <v>454</v>
      </c>
      <c r="L24" s="840">
        <v>0.56000000000000005</v>
      </c>
      <c r="M24" s="219" t="s">
        <v>462</v>
      </c>
      <c r="N24" s="829"/>
    </row>
    <row r="25" spans="3:19">
      <c r="C25" s="828"/>
      <c r="H25" s="839"/>
      <c r="I25" s="829"/>
      <c r="L25" s="841"/>
      <c r="N25" s="829"/>
    </row>
    <row r="26" spans="3:19" ht="17" thickBot="1">
      <c r="C26" s="828" t="s">
        <v>463</v>
      </c>
      <c r="H26" s="718" t="e">
        <f>H27+H28</f>
        <v>#DIV/0!</v>
      </c>
      <c r="I26" s="719" t="e">
        <f>-PMT(I21/4,120,I18,0)*4</f>
        <v>#DIV/0!</v>
      </c>
      <c r="J26" s="832" t="s">
        <v>464</v>
      </c>
      <c r="K26" s="832"/>
      <c r="L26" s="843">
        <v>0.33</v>
      </c>
      <c r="M26" s="832"/>
      <c r="N26" s="833"/>
    </row>
    <row r="27" spans="3:19">
      <c r="C27" s="828" t="s">
        <v>465</v>
      </c>
      <c r="H27" s="839" t="e">
        <f>H21*H18</f>
        <v>#DIV/0!</v>
      </c>
      <c r="I27" s="894" t="e">
        <f>-CUMIPMT(I21/4,I24,I18,1,4,0)</f>
        <v>#DIV/0!</v>
      </c>
      <c r="L27" s="841"/>
    </row>
    <row r="28" spans="3:19">
      <c r="C28" s="828" t="s">
        <v>466</v>
      </c>
      <c r="H28" s="839" t="e">
        <f>H22*H18</f>
        <v>#DIV/0!</v>
      </c>
      <c r="I28" s="894" t="e">
        <f>I18*I22/I23+(I18+CUMPRINC(I21/I23,I24,I18,1,1,0))*I22/I23+(I18+CUMPRINC(I21/I23,I24,I18,1,2,0))*I22/I23+(I18+CUMPRINC(I21/I23,I24,I18,1,3,0))*I22/I23</f>
        <v>#DIV/0!</v>
      </c>
      <c r="L28" s="841"/>
    </row>
    <row r="29" spans="3:19" ht="16">
      <c r="C29" s="828" t="s">
        <v>467</v>
      </c>
      <c r="H29" s="718">
        <v>0</v>
      </c>
      <c r="I29" s="719" t="e">
        <f>-CUMPRINC(I21/4,120,I18,1,4,0)</f>
        <v>#DIV/0!</v>
      </c>
      <c r="J29" s="839"/>
      <c r="L29" s="844"/>
    </row>
    <row r="30" spans="3:19" ht="16">
      <c r="C30" s="828"/>
      <c r="H30" s="718"/>
      <c r="I30" s="829"/>
      <c r="L30" s="844"/>
    </row>
    <row r="31" spans="3:19">
      <c r="C31" s="828" t="s">
        <v>468</v>
      </c>
      <c r="H31" s="890">
        <v>0</v>
      </c>
      <c r="I31" s="883">
        <v>0</v>
      </c>
    </row>
    <row r="32" spans="3:19">
      <c r="C32" s="828"/>
      <c r="H32" s="891"/>
      <c r="I32" s="884"/>
    </row>
    <row r="33" spans="3:13">
      <c r="C33" s="828" t="s">
        <v>469</v>
      </c>
      <c r="H33" s="890">
        <v>0</v>
      </c>
      <c r="I33" s="883">
        <v>0</v>
      </c>
    </row>
    <row r="34" spans="3:13">
      <c r="C34" s="830" t="s">
        <v>470</v>
      </c>
      <c r="H34" s="890">
        <v>0</v>
      </c>
      <c r="I34" s="883">
        <v>0</v>
      </c>
      <c r="J34" s="219" t="s">
        <v>471</v>
      </c>
    </row>
    <row r="35" spans="3:13" ht="17" thickBot="1">
      <c r="C35" s="831" t="s">
        <v>472</v>
      </c>
      <c r="D35" s="832"/>
      <c r="E35" s="832"/>
      <c r="F35" s="832"/>
      <c r="G35" s="832"/>
      <c r="H35" s="722">
        <f>H33-H34</f>
        <v>0</v>
      </c>
      <c r="I35" s="845">
        <f>I33-I34</f>
        <v>0</v>
      </c>
    </row>
    <row r="36" spans="3:13" ht="16" thickBot="1"/>
    <row r="37" spans="3:13" ht="79" customHeight="1" thickBot="1">
      <c r="C37" s="1022" t="s">
        <v>473</v>
      </c>
      <c r="D37" s="1023"/>
      <c r="E37" s="1023"/>
      <c r="F37" s="1023"/>
      <c r="G37" s="1023"/>
      <c r="H37" s="1024"/>
      <c r="I37" s="846" t="s">
        <v>474</v>
      </c>
      <c r="J37" s="847" t="s">
        <v>475</v>
      </c>
      <c r="K37" s="847" t="s">
        <v>476</v>
      </c>
      <c r="L37" s="847" t="s">
        <v>477</v>
      </c>
    </row>
    <row r="38" spans="3:13" ht="39" customHeight="1" thickBot="1">
      <c r="C38" s="1025" t="s">
        <v>478</v>
      </c>
      <c r="D38" s="1005"/>
      <c r="E38" s="1005"/>
      <c r="F38" s="1005"/>
      <c r="G38" s="1005"/>
      <c r="H38" s="1005"/>
      <c r="I38" s="848"/>
      <c r="J38" s="848"/>
      <c r="K38" s="848"/>
      <c r="L38" s="848"/>
    </row>
    <row r="39" spans="3:13">
      <c r="C39" s="1026" t="s">
        <v>479</v>
      </c>
      <c r="D39" s="1027"/>
      <c r="E39" s="1027"/>
      <c r="F39" s="1027"/>
      <c r="G39" s="1027"/>
      <c r="H39" s="1028"/>
      <c r="I39" s="849">
        <f>H31</f>
        <v>0</v>
      </c>
      <c r="J39" s="896"/>
      <c r="K39" s="838"/>
      <c r="L39" s="851">
        <v>0</v>
      </c>
      <c r="M39" s="219" t="s">
        <v>480</v>
      </c>
    </row>
    <row r="40" spans="3:13">
      <c r="C40" s="1008"/>
      <c r="D40" s="1009"/>
      <c r="E40" s="1009"/>
      <c r="F40" s="1009"/>
      <c r="G40" s="1009"/>
      <c r="H40" s="1010"/>
      <c r="I40" s="852"/>
      <c r="J40" s="853"/>
      <c r="L40" s="853"/>
    </row>
    <row r="41" spans="3:13">
      <c r="C41" s="1008" t="s">
        <v>481</v>
      </c>
      <c r="D41" s="1009"/>
      <c r="E41" s="1009"/>
      <c r="F41" s="1009"/>
      <c r="G41" s="1009"/>
      <c r="H41" s="1010"/>
      <c r="I41" s="849" t="e">
        <f>H26+H35</f>
        <v>#DIV/0!</v>
      </c>
      <c r="J41" s="850"/>
      <c r="K41" s="838"/>
      <c r="L41" s="851">
        <v>0</v>
      </c>
      <c r="M41" s="219" t="s">
        <v>482</v>
      </c>
    </row>
    <row r="42" spans="3:13">
      <c r="C42" s="1008"/>
      <c r="D42" s="1009"/>
      <c r="E42" s="1009"/>
      <c r="F42" s="1009"/>
      <c r="G42" s="1009"/>
      <c r="H42" s="1010"/>
      <c r="I42" s="852"/>
      <c r="J42" s="853"/>
      <c r="L42" s="853"/>
    </row>
    <row r="43" spans="3:13">
      <c r="C43" s="998" t="s">
        <v>483</v>
      </c>
      <c r="D43" s="999"/>
      <c r="E43" s="999"/>
      <c r="F43" s="999"/>
      <c r="G43" s="999"/>
      <c r="H43" s="1000"/>
      <c r="I43" s="854" t="e">
        <f>I41-I39</f>
        <v>#DIV/0!</v>
      </c>
      <c r="J43" s="855">
        <f>J41-J39</f>
        <v>0</v>
      </c>
      <c r="K43" s="856">
        <f>K41-K39</f>
        <v>0</v>
      </c>
      <c r="L43" s="857">
        <v>0</v>
      </c>
      <c r="M43" s="827" t="s">
        <v>484</v>
      </c>
    </row>
    <row r="44" spans="3:13">
      <c r="C44" s="1008"/>
      <c r="D44" s="1009"/>
      <c r="E44" s="1009"/>
      <c r="F44" s="1009"/>
      <c r="G44" s="1009"/>
      <c r="H44" s="1010"/>
      <c r="I44" s="852"/>
      <c r="J44" s="853"/>
      <c r="L44" s="853"/>
    </row>
    <row r="45" spans="3:13">
      <c r="C45" s="1008" t="s">
        <v>485</v>
      </c>
      <c r="D45" s="1009"/>
      <c r="E45" s="1009"/>
      <c r="F45" s="1009"/>
      <c r="G45" s="1009"/>
      <c r="H45" s="1010"/>
      <c r="I45" s="849" t="e">
        <f>H31-H35-H27-H28</f>
        <v>#DIV/0!</v>
      </c>
      <c r="J45" s="850"/>
      <c r="K45" s="838"/>
      <c r="L45" s="851">
        <v>0</v>
      </c>
      <c r="M45" s="219" t="s">
        <v>486</v>
      </c>
    </row>
    <row r="46" spans="3:13">
      <c r="C46" s="1008"/>
      <c r="D46" s="1009"/>
      <c r="E46" s="1009"/>
      <c r="F46" s="1009"/>
      <c r="G46" s="1009"/>
      <c r="H46" s="1010"/>
      <c r="I46" s="852"/>
      <c r="J46" s="853"/>
      <c r="L46" s="853"/>
    </row>
    <row r="47" spans="3:13">
      <c r="C47" s="1008" t="s">
        <v>487</v>
      </c>
      <c r="D47" s="1009"/>
      <c r="E47" s="1009"/>
      <c r="F47" s="1009"/>
      <c r="G47" s="1009"/>
      <c r="H47" s="1010"/>
      <c r="I47" s="852">
        <v>0</v>
      </c>
      <c r="J47" s="850"/>
      <c r="K47" s="838"/>
      <c r="L47" s="851">
        <v>0</v>
      </c>
      <c r="M47" s="219" t="s">
        <v>488</v>
      </c>
    </row>
    <row r="48" spans="3:13">
      <c r="C48" s="1008"/>
      <c r="D48" s="1009"/>
      <c r="E48" s="1009"/>
      <c r="F48" s="1009"/>
      <c r="G48" s="1009"/>
      <c r="H48" s="1010"/>
      <c r="I48" s="852"/>
      <c r="J48" s="853"/>
      <c r="L48" s="853"/>
    </row>
    <row r="49" spans="3:13">
      <c r="C49" s="998" t="s">
        <v>489</v>
      </c>
      <c r="D49" s="1011"/>
      <c r="E49" s="1011"/>
      <c r="F49" s="1011"/>
      <c r="G49" s="1011"/>
      <c r="H49" s="1012"/>
      <c r="I49" s="723" t="e">
        <f>I45*L24</f>
        <v>#DIV/0!</v>
      </c>
      <c r="J49" s="724">
        <f>J45*$L$24+(J47)*$L$26</f>
        <v>0</v>
      </c>
      <c r="K49" s="725">
        <f>K45*$L$24+(K47)*$L$26</f>
        <v>0</v>
      </c>
      <c r="L49" s="857">
        <v>0</v>
      </c>
      <c r="M49" s="827" t="s">
        <v>490</v>
      </c>
    </row>
    <row r="50" spans="3:13" ht="16">
      <c r="C50" s="1008"/>
      <c r="D50" s="1009"/>
      <c r="E50" s="1009"/>
      <c r="F50" s="1009"/>
      <c r="G50" s="1009"/>
      <c r="H50" s="1010"/>
      <c r="I50" s="726"/>
      <c r="J50" s="727"/>
      <c r="L50" s="853"/>
    </row>
    <row r="51" spans="3:13">
      <c r="C51" s="1008" t="s">
        <v>491</v>
      </c>
      <c r="D51" s="1009"/>
      <c r="E51" s="1009"/>
      <c r="F51" s="1009"/>
      <c r="G51" s="1009"/>
      <c r="H51" s="1010"/>
      <c r="I51" s="852">
        <v>0</v>
      </c>
      <c r="J51" s="851">
        <v>0</v>
      </c>
      <c r="K51" s="838"/>
      <c r="L51" s="851">
        <v>0</v>
      </c>
      <c r="M51" s="827" t="s">
        <v>492</v>
      </c>
    </row>
    <row r="52" spans="3:13">
      <c r="C52" s="998" t="s">
        <v>493</v>
      </c>
      <c r="D52" s="999"/>
      <c r="E52" s="999"/>
      <c r="F52" s="999"/>
      <c r="G52" s="999"/>
      <c r="H52" s="1000"/>
      <c r="I52" s="854" t="e">
        <f>I43+I49</f>
        <v>#DIV/0!</v>
      </c>
      <c r="J52" s="855">
        <f>J43+J49-J51</f>
        <v>0</v>
      </c>
      <c r="K52" s="858">
        <f>K43+K49-K51</f>
        <v>0</v>
      </c>
      <c r="L52" s="857">
        <v>0</v>
      </c>
    </row>
    <row r="53" spans="3:13" ht="16" thickBot="1">
      <c r="C53" s="1001"/>
      <c r="D53" s="1002"/>
      <c r="E53" s="1002"/>
      <c r="F53" s="1002"/>
      <c r="G53" s="1002"/>
      <c r="H53" s="1003"/>
      <c r="I53" s="852"/>
      <c r="J53" s="853"/>
      <c r="L53" s="853"/>
    </row>
    <row r="54" spans="3:13" ht="34" customHeight="1" thickBot="1">
      <c r="C54" s="1014" t="s">
        <v>494</v>
      </c>
      <c r="D54" s="1015"/>
      <c r="E54" s="1015"/>
      <c r="F54" s="1015"/>
      <c r="G54" s="1015"/>
      <c r="H54" s="1015"/>
      <c r="I54" s="848"/>
      <c r="J54" s="848"/>
      <c r="K54" s="848"/>
      <c r="L54" s="848"/>
    </row>
    <row r="55" spans="3:13">
      <c r="C55" s="1016" t="s">
        <v>495</v>
      </c>
      <c r="D55" s="1017"/>
      <c r="E55" s="1017"/>
      <c r="F55" s="1017"/>
      <c r="G55" s="1017"/>
      <c r="H55" s="1018"/>
      <c r="I55" s="852"/>
      <c r="J55" s="853"/>
      <c r="L55" s="853"/>
    </row>
    <row r="56" spans="3:13">
      <c r="C56" s="1013" t="s">
        <v>496</v>
      </c>
      <c r="D56" s="1009"/>
      <c r="E56" s="1009"/>
      <c r="F56" s="1009"/>
      <c r="G56" s="1009"/>
      <c r="H56" s="1010"/>
      <c r="I56" s="849">
        <f>L12</f>
        <v>0</v>
      </c>
      <c r="J56" s="850"/>
      <c r="K56" s="838"/>
      <c r="L56" s="850"/>
      <c r="M56" s="219" t="s">
        <v>497</v>
      </c>
    </row>
    <row r="57" spans="3:13">
      <c r="C57" s="1013" t="s">
        <v>498</v>
      </c>
      <c r="D57" s="1009"/>
      <c r="E57" s="1009"/>
      <c r="F57" s="1009"/>
      <c r="G57" s="1009"/>
      <c r="H57" s="1010"/>
      <c r="I57" s="849">
        <f>L14</f>
        <v>0</v>
      </c>
      <c r="J57" s="850"/>
      <c r="K57" s="838"/>
      <c r="L57" s="851"/>
    </row>
    <row r="58" spans="3:13">
      <c r="C58" s="1013" t="s">
        <v>499</v>
      </c>
      <c r="D58" s="1009"/>
      <c r="E58" s="1009"/>
      <c r="F58" s="1009"/>
      <c r="G58" s="1009"/>
      <c r="H58" s="1010"/>
      <c r="I58" s="849">
        <f>L16</f>
        <v>0</v>
      </c>
      <c r="J58" s="850"/>
      <c r="K58" s="838"/>
      <c r="L58" s="850"/>
    </row>
    <row r="59" spans="3:13">
      <c r="C59" s="1008"/>
      <c r="D59" s="1009"/>
      <c r="E59" s="1009"/>
      <c r="F59" s="1009"/>
      <c r="G59" s="1009"/>
      <c r="H59" s="1010"/>
      <c r="I59" s="852"/>
      <c r="J59" s="853"/>
      <c r="K59" s="839"/>
      <c r="L59" s="853"/>
    </row>
    <row r="60" spans="3:13">
      <c r="C60" s="998" t="s">
        <v>128</v>
      </c>
      <c r="D60" s="1011"/>
      <c r="E60" s="1011"/>
      <c r="F60" s="1011"/>
      <c r="G60" s="1011"/>
      <c r="H60" s="1012"/>
      <c r="I60" s="849">
        <f>SUM(I56:I59)</f>
        <v>0</v>
      </c>
      <c r="J60" s="855">
        <f t="shared" ref="J60:L60" si="0">SUM(J56:J59)</f>
        <v>0</v>
      </c>
      <c r="K60" s="855">
        <f t="shared" si="0"/>
        <v>0</v>
      </c>
      <c r="L60" s="855">
        <f t="shared" si="0"/>
        <v>0</v>
      </c>
    </row>
    <row r="61" spans="3:13">
      <c r="C61" s="1008"/>
      <c r="D61" s="1009"/>
      <c r="E61" s="1009"/>
      <c r="F61" s="1009"/>
      <c r="G61" s="1009"/>
      <c r="H61" s="1010"/>
      <c r="I61" s="852"/>
      <c r="J61" s="853"/>
      <c r="K61" s="839"/>
      <c r="L61" s="853"/>
    </row>
    <row r="62" spans="3:13">
      <c r="C62" s="1019" t="s">
        <v>129</v>
      </c>
      <c r="D62" s="1020"/>
      <c r="E62" s="1020"/>
      <c r="F62" s="1020"/>
      <c r="G62" s="1020"/>
      <c r="H62" s="1021"/>
      <c r="I62" s="852"/>
      <c r="J62" s="853"/>
      <c r="K62" s="839"/>
      <c r="L62" s="853"/>
    </row>
    <row r="63" spans="3:13">
      <c r="C63" s="1013" t="s">
        <v>500</v>
      </c>
      <c r="D63" s="1009"/>
      <c r="E63" s="1009"/>
      <c r="F63" s="1009"/>
      <c r="G63" s="1009"/>
      <c r="H63" s="1010"/>
      <c r="I63" s="849">
        <f>I31</f>
        <v>0</v>
      </c>
      <c r="J63" s="850"/>
      <c r="K63" s="838"/>
      <c r="L63" s="850"/>
      <c r="M63" s="219" t="s">
        <v>501</v>
      </c>
    </row>
    <row r="64" spans="3:13" ht="16">
      <c r="C64" s="1013" t="s">
        <v>502</v>
      </c>
      <c r="D64" s="1009"/>
      <c r="E64" s="1009"/>
      <c r="F64" s="1009"/>
      <c r="G64" s="1009"/>
      <c r="H64" s="1010"/>
      <c r="I64" s="726">
        <v>10000</v>
      </c>
      <c r="J64" s="728">
        <v>10000</v>
      </c>
      <c r="K64" s="838">
        <f t="shared" ref="K64" si="1">J64</f>
        <v>10000</v>
      </c>
      <c r="L64" s="850">
        <f>J64</f>
        <v>10000</v>
      </c>
    </row>
    <row r="65" spans="2:12">
      <c r="C65" s="1008"/>
      <c r="D65" s="1009"/>
      <c r="E65" s="1009"/>
      <c r="F65" s="1009"/>
      <c r="G65" s="1009"/>
      <c r="H65" s="1010"/>
      <c r="I65" s="852"/>
      <c r="J65" s="853"/>
      <c r="K65" s="839"/>
      <c r="L65" s="853"/>
    </row>
    <row r="66" spans="2:12">
      <c r="C66" s="998" t="s">
        <v>178</v>
      </c>
      <c r="D66" s="1011"/>
      <c r="E66" s="1011"/>
      <c r="F66" s="1011"/>
      <c r="G66" s="1011"/>
      <c r="H66" s="1012"/>
      <c r="I66" s="849">
        <f>SUM(I63:I65)</f>
        <v>10000</v>
      </c>
      <c r="J66" s="855">
        <f>SUM(J63:J65)</f>
        <v>10000</v>
      </c>
      <c r="K66" s="856">
        <f>K63+K64</f>
        <v>10000</v>
      </c>
      <c r="L66" s="855">
        <f>SUM(L63:L65)</f>
        <v>10000</v>
      </c>
    </row>
    <row r="67" spans="2:12">
      <c r="C67" s="1008"/>
      <c r="D67" s="1009"/>
      <c r="E67" s="1009"/>
      <c r="F67" s="1009"/>
      <c r="G67" s="1009"/>
      <c r="H67" s="1010"/>
      <c r="I67" s="852"/>
      <c r="J67" s="853"/>
      <c r="K67" s="839"/>
      <c r="L67" s="853"/>
    </row>
    <row r="68" spans="2:12">
      <c r="C68" s="1008" t="s">
        <v>503</v>
      </c>
      <c r="D68" s="1009"/>
      <c r="E68" s="1009"/>
      <c r="F68" s="1009"/>
      <c r="G68" s="1009"/>
      <c r="H68" s="1010"/>
      <c r="I68" s="729">
        <f>((I56)-(48000-12000))*$L$19</f>
        <v>-12927.599999999999</v>
      </c>
      <c r="J68" s="730">
        <f>((J56)-(48000-12000))*$L$19</f>
        <v>-12927.599999999999</v>
      </c>
      <c r="K68" s="730">
        <f>((K56)-(48000-12000))*$L$19</f>
        <v>-12927.599999999999</v>
      </c>
      <c r="L68" s="731">
        <f>((L56)-(48000-12000))*$L$19</f>
        <v>-12927.599999999999</v>
      </c>
    </row>
    <row r="69" spans="2:12">
      <c r="C69" s="1008" t="s">
        <v>504</v>
      </c>
      <c r="D69" s="1009"/>
      <c r="E69" s="1009"/>
      <c r="F69" s="1009"/>
      <c r="G69" s="1009"/>
      <c r="H69" s="1010"/>
      <c r="I69" s="852">
        <v>0</v>
      </c>
      <c r="J69" s="853">
        <v>0</v>
      </c>
      <c r="K69" s="859">
        <v>0</v>
      </c>
      <c r="L69" s="860" t="e">
        <f>0.33*-(H26)</f>
        <v>#DIV/0!</v>
      </c>
    </row>
    <row r="70" spans="2:12">
      <c r="C70" s="1008"/>
      <c r="D70" s="1009"/>
      <c r="E70" s="1009"/>
      <c r="F70" s="1009"/>
      <c r="G70" s="1009"/>
      <c r="H70" s="1010"/>
      <c r="I70" s="852"/>
      <c r="J70" s="853"/>
      <c r="K70" s="839"/>
      <c r="L70" s="853"/>
    </row>
    <row r="71" spans="2:12">
      <c r="B71" s="220"/>
      <c r="C71" s="998" t="s">
        <v>505</v>
      </c>
      <c r="D71" s="999"/>
      <c r="E71" s="999"/>
      <c r="F71" s="999"/>
      <c r="G71" s="999"/>
      <c r="H71" s="1000"/>
      <c r="I71" s="854">
        <f>I60-I66-I68</f>
        <v>2927.5999999999985</v>
      </c>
      <c r="J71" s="855">
        <f t="shared" ref="J71:K71" si="2">J60-J66-J68</f>
        <v>2927.5999999999985</v>
      </c>
      <c r="K71" s="856">
        <f t="shared" si="2"/>
        <v>2927.5999999999985</v>
      </c>
      <c r="L71" s="855" t="e">
        <f>L60-L66-L68-L69</f>
        <v>#DIV/0!</v>
      </c>
    </row>
    <row r="72" spans="2:12" ht="16" thickBot="1">
      <c r="C72" s="1001"/>
      <c r="D72" s="1002"/>
      <c r="E72" s="1002"/>
      <c r="F72" s="1002"/>
      <c r="G72" s="1002"/>
      <c r="H72" s="1003"/>
      <c r="I72" s="852"/>
      <c r="J72" s="853"/>
      <c r="K72" s="839"/>
      <c r="L72" s="853"/>
    </row>
    <row r="73" spans="2:12" ht="25" thickBot="1">
      <c r="C73" s="1004" t="s">
        <v>506</v>
      </c>
      <c r="D73" s="1005"/>
      <c r="E73" s="1005"/>
      <c r="F73" s="1005"/>
      <c r="G73" s="1005"/>
      <c r="H73" s="1005"/>
      <c r="I73" s="861" t="e">
        <f>I71-I52</f>
        <v>#DIV/0!</v>
      </c>
      <c r="J73" s="862">
        <f t="shared" ref="J73" si="3">J71-J52</f>
        <v>2927.5999999999985</v>
      </c>
      <c r="K73" s="862">
        <f>K71-K52</f>
        <v>2927.5999999999985</v>
      </c>
      <c r="L73" s="862" t="e">
        <f>L52+L71</f>
        <v>#DIV/0!</v>
      </c>
    </row>
    <row r="74" spans="2:12">
      <c r="C74" s="1006"/>
      <c r="D74" s="1007"/>
      <c r="E74" s="1007"/>
      <c r="F74" s="1007"/>
      <c r="G74" s="1007"/>
      <c r="H74" s="1007"/>
      <c r="I74" s="863" t="s">
        <v>507</v>
      </c>
      <c r="L74" s="220" t="s">
        <v>508</v>
      </c>
    </row>
    <row r="75" spans="2:12">
      <c r="H75" s="864"/>
      <c r="I75" s="863" t="s">
        <v>509</v>
      </c>
      <c r="L75" s="220" t="s">
        <v>510</v>
      </c>
    </row>
    <row r="76" spans="2:12" ht="16" thickBot="1">
      <c r="L76" s="220" t="s">
        <v>511</v>
      </c>
    </row>
    <row r="77" spans="2:12">
      <c r="C77" s="865" t="s">
        <v>512</v>
      </c>
      <c r="D77" s="825"/>
      <c r="E77" s="825"/>
      <c r="F77" s="825"/>
      <c r="G77" s="825"/>
      <c r="H77" s="825"/>
      <c r="I77" s="826"/>
      <c r="L77" s="220" t="s">
        <v>513</v>
      </c>
    </row>
    <row r="78" spans="2:12">
      <c r="C78" s="830" t="s">
        <v>514</v>
      </c>
      <c r="E78" s="221"/>
      <c r="I78" s="829"/>
    </row>
    <row r="79" spans="2:12" ht="16" thickBot="1">
      <c r="C79" s="831" t="s">
        <v>515</v>
      </c>
      <c r="D79" s="832"/>
      <c r="E79" s="866"/>
      <c r="F79" s="832"/>
      <c r="G79" s="832"/>
      <c r="H79" s="832"/>
      <c r="I79" s="833"/>
    </row>
  </sheetData>
  <mergeCells count="38">
    <mergeCell ref="C42:H42"/>
    <mergeCell ref="C37:H37"/>
    <mergeCell ref="C38:H38"/>
    <mergeCell ref="C39:H39"/>
    <mergeCell ref="C40:H40"/>
    <mergeCell ref="C41:H41"/>
    <mergeCell ref="C52:H52"/>
    <mergeCell ref="C43:H43"/>
    <mergeCell ref="C44:H44"/>
    <mergeCell ref="C45:H45"/>
    <mergeCell ref="C46:H46"/>
    <mergeCell ref="C47:H47"/>
    <mergeCell ref="C48:H48"/>
    <mergeCell ref="C49:H49"/>
    <mergeCell ref="C50:H50"/>
    <mergeCell ref="C51:H51"/>
    <mergeCell ref="C64:H64"/>
    <mergeCell ref="C53:H53"/>
    <mergeCell ref="C54:H54"/>
    <mergeCell ref="C55:H55"/>
    <mergeCell ref="C56:H56"/>
    <mergeCell ref="C57:H57"/>
    <mergeCell ref="C58:H58"/>
    <mergeCell ref="C59:H59"/>
    <mergeCell ref="C60:H60"/>
    <mergeCell ref="C61:H61"/>
    <mergeCell ref="C62:H62"/>
    <mergeCell ref="C63:H63"/>
    <mergeCell ref="C71:H71"/>
    <mergeCell ref="C72:H72"/>
    <mergeCell ref="C73:H73"/>
    <mergeCell ref="C74:H74"/>
    <mergeCell ref="C65:H65"/>
    <mergeCell ref="C66:H66"/>
    <mergeCell ref="C67:H67"/>
    <mergeCell ref="C68:H68"/>
    <mergeCell ref="C69:H69"/>
    <mergeCell ref="C70:H70"/>
  </mergeCells>
  <hyperlinks>
    <hyperlink ref="N14" r:id="rId1" xr:uid="{90CD2BA8-2373-0943-AE79-923B3DC2BFD4}"/>
    <hyperlink ref="N5" r:id="rId2" xr:uid="{C0950BBC-59EB-D446-A144-029E5FD3258B}"/>
  </hyperlinks>
  <pageMargins left="0.70866141732283472" right="0.70866141732283472" top="0.74803149606299213" bottom="0.74803149606299213" header="0.31496062992125984" footer="0.31496062992125984"/>
  <pageSetup scale="61" fitToHeight="4" orientation="landscape"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E18DD-C85D-834E-8C68-527A018BA594}">
  <sheetPr>
    <tabColor theme="1"/>
  </sheetPr>
  <dimension ref="B1:AF110"/>
  <sheetViews>
    <sheetView topLeftCell="G1" zoomScale="99" zoomScaleNormal="99" workbookViewId="0">
      <selection activeCell="P82" sqref="P82"/>
    </sheetView>
  </sheetViews>
  <sheetFormatPr baseColWidth="10" defaultColWidth="8.6640625" defaultRowHeight="13"/>
  <cols>
    <col min="1" max="1" width="0" style="5" hidden="1" customWidth="1"/>
    <col min="2" max="2" width="11.6640625" style="5" hidden="1" customWidth="1"/>
    <col min="3" max="4" width="12" style="5" hidden="1" customWidth="1"/>
    <col min="5" max="5" width="11.5" style="5" hidden="1" customWidth="1"/>
    <col min="6" max="6" width="0" style="5" hidden="1" customWidth="1"/>
    <col min="7" max="7" width="66.6640625" style="5" customWidth="1"/>
    <col min="8" max="8" width="17.6640625" style="5" customWidth="1"/>
    <col min="9" max="9" width="15.6640625" style="5" customWidth="1"/>
    <col min="10" max="10" width="13.6640625" style="5" customWidth="1"/>
    <col min="11" max="11" width="12.6640625" style="5" customWidth="1"/>
    <col min="12" max="12" width="11.5" style="5" customWidth="1"/>
    <col min="13" max="13" width="13" style="5" bestFit="1" customWidth="1"/>
    <col min="14" max="14" width="14" style="5" bestFit="1" customWidth="1"/>
    <col min="15" max="15" width="12" style="5" customWidth="1"/>
    <col min="16" max="17" width="13.5" style="5" customWidth="1"/>
    <col min="18" max="18" width="11.5" style="5" customWidth="1"/>
    <col min="19" max="19" width="14.5" style="5" customWidth="1"/>
    <col min="20" max="20" width="16.5" style="5" customWidth="1"/>
    <col min="21" max="21" width="17.1640625" style="5" customWidth="1"/>
    <col min="22" max="16384" width="8.6640625" style="5"/>
  </cols>
  <sheetData>
    <row r="1" spans="2:21" ht="30">
      <c r="G1" s="541" t="s">
        <v>75</v>
      </c>
      <c r="H1" s="542" t="s">
        <v>516</v>
      </c>
      <c r="I1" s="543"/>
      <c r="J1" s="543"/>
      <c r="K1" s="543"/>
      <c r="L1" s="543"/>
      <c r="M1" s="543"/>
    </row>
    <row r="2" spans="2:21">
      <c r="G2" s="5" t="s">
        <v>517</v>
      </c>
    </row>
    <row r="3" spans="2:21" hidden="1"/>
    <row r="4" spans="2:21" ht="15">
      <c r="G4" s="54" t="s">
        <v>518</v>
      </c>
      <c r="H4" s="544" t="s">
        <v>519</v>
      </c>
    </row>
    <row r="5" spans="2:21">
      <c r="C5" s="545"/>
      <c r="D5" s="545"/>
      <c r="M5" s="546" t="s">
        <v>520</v>
      </c>
    </row>
    <row r="6" spans="2:21">
      <c r="B6" s="547"/>
      <c r="C6" s="545"/>
      <c r="D6" s="545"/>
    </row>
    <row r="7" spans="2:21">
      <c r="B7" s="547"/>
      <c r="C7" s="545"/>
      <c r="D7" s="545"/>
      <c r="G7" s="151" t="s">
        <v>521</v>
      </c>
      <c r="H7" s="548" t="s">
        <v>522</v>
      </c>
      <c r="I7" s="548" t="s">
        <v>523</v>
      </c>
      <c r="J7" s="548" t="s">
        <v>524</v>
      </c>
      <c r="K7" s="548" t="s">
        <v>276</v>
      </c>
      <c r="L7" s="548"/>
      <c r="M7" s="151" t="s">
        <v>525</v>
      </c>
      <c r="N7" s="151" t="s">
        <v>526</v>
      </c>
      <c r="O7" s="151" t="s">
        <v>527</v>
      </c>
      <c r="P7" s="151" t="s">
        <v>528</v>
      </c>
      <c r="Q7" s="151" t="s">
        <v>529</v>
      </c>
      <c r="R7" s="151" t="s">
        <v>530</v>
      </c>
      <c r="S7" s="151" t="s">
        <v>531</v>
      </c>
      <c r="T7" s="151" t="s">
        <v>532</v>
      </c>
      <c r="U7" s="151"/>
    </row>
    <row r="8" spans="2:21" ht="16">
      <c r="B8" s="545"/>
      <c r="C8" s="545"/>
      <c r="D8" s="545"/>
      <c r="G8" s="549"/>
      <c r="H8" s="550">
        <v>100</v>
      </c>
      <c r="I8" s="550">
        <v>98</v>
      </c>
      <c r="J8" s="550">
        <v>10</v>
      </c>
      <c r="K8" s="551"/>
      <c r="L8" s="552"/>
      <c r="M8" s="553">
        <v>1</v>
      </c>
      <c r="N8" s="553">
        <v>1</v>
      </c>
      <c r="O8" s="554">
        <f>H8*J8*M8</f>
        <v>1000</v>
      </c>
      <c r="P8" s="554">
        <f>I8*J8*N8</f>
        <v>980</v>
      </c>
      <c r="Q8" s="555">
        <f>P8/$P$27</f>
        <v>3.8176860148032725E-2</v>
      </c>
      <c r="R8" s="556">
        <f>P8-O8</f>
        <v>-20</v>
      </c>
      <c r="T8" s="556">
        <f t="shared" ref="T8:T13" si="0">R8</f>
        <v>-20</v>
      </c>
      <c r="U8" s="556"/>
    </row>
    <row r="9" spans="2:21" ht="16">
      <c r="B9" s="545"/>
      <c r="D9" s="543"/>
      <c r="G9" s="549"/>
      <c r="H9" s="550">
        <v>85</v>
      </c>
      <c r="I9" s="550">
        <v>99</v>
      </c>
      <c r="J9" s="550">
        <v>10</v>
      </c>
      <c r="K9" s="557"/>
      <c r="L9" s="552"/>
      <c r="M9" s="553">
        <v>1</v>
      </c>
      <c r="N9" s="553">
        <v>1</v>
      </c>
      <c r="O9" s="554">
        <f t="shared" ref="O9:O23" si="1">H9*J9*M9</f>
        <v>850</v>
      </c>
      <c r="P9" s="554">
        <f t="shared" ref="P9:P23" si="2">I9*J9*N9</f>
        <v>990</v>
      </c>
      <c r="Q9" s="555">
        <f>P9/$P$27</f>
        <v>3.856641994546163E-2</v>
      </c>
      <c r="R9" s="556">
        <f t="shared" ref="R9:R25" si="3">P9-O9</f>
        <v>140</v>
      </c>
      <c r="T9" s="556">
        <f t="shared" si="0"/>
        <v>140</v>
      </c>
    </row>
    <row r="10" spans="2:21" ht="16">
      <c r="B10" s="545"/>
      <c r="D10" s="543"/>
      <c r="G10" s="549"/>
      <c r="H10" s="550"/>
      <c r="I10" s="550"/>
      <c r="J10" s="550"/>
      <c r="K10" s="557"/>
      <c r="L10" s="552"/>
      <c r="M10" s="553"/>
      <c r="N10" s="553"/>
      <c r="O10" s="554">
        <f t="shared" si="1"/>
        <v>0</v>
      </c>
      <c r="P10" s="554">
        <f t="shared" si="2"/>
        <v>0</v>
      </c>
      <c r="Q10" s="555">
        <f t="shared" ref="Q10:Q27" si="4">P10/$P$27</f>
        <v>0</v>
      </c>
      <c r="R10" s="556">
        <f t="shared" si="3"/>
        <v>0</v>
      </c>
      <c r="T10" s="556">
        <f t="shared" si="0"/>
        <v>0</v>
      </c>
    </row>
    <row r="11" spans="2:21" ht="16">
      <c r="B11" s="545"/>
      <c r="D11" s="543"/>
      <c r="G11" s="549"/>
      <c r="H11" s="550"/>
      <c r="I11" s="550"/>
      <c r="J11" s="550"/>
      <c r="K11" s="551"/>
      <c r="L11" s="552"/>
      <c r="M11" s="553"/>
      <c r="N11" s="553"/>
      <c r="O11" s="554">
        <f t="shared" si="1"/>
        <v>0</v>
      </c>
      <c r="P11" s="554">
        <f t="shared" si="2"/>
        <v>0</v>
      </c>
      <c r="Q11" s="555">
        <f t="shared" si="4"/>
        <v>0</v>
      </c>
      <c r="R11" s="556">
        <f t="shared" si="3"/>
        <v>0</v>
      </c>
      <c r="T11" s="556">
        <f t="shared" si="0"/>
        <v>0</v>
      </c>
    </row>
    <row r="12" spans="2:21" ht="17" thickBot="1">
      <c r="G12" s="549"/>
      <c r="H12" s="550"/>
      <c r="I12" s="550"/>
      <c r="J12" s="550"/>
      <c r="K12" s="553"/>
      <c r="L12" s="552"/>
      <c r="M12" s="553"/>
      <c r="N12" s="553"/>
      <c r="O12" s="554">
        <f t="shared" si="1"/>
        <v>0</v>
      </c>
      <c r="P12" s="554">
        <f t="shared" si="2"/>
        <v>0</v>
      </c>
      <c r="Q12" s="555">
        <f t="shared" si="4"/>
        <v>0</v>
      </c>
      <c r="R12" s="556">
        <f t="shared" si="3"/>
        <v>0</v>
      </c>
      <c r="T12" s="556">
        <f t="shared" si="0"/>
        <v>0</v>
      </c>
    </row>
    <row r="13" spans="2:21" ht="16">
      <c r="B13" s="558"/>
      <c r="C13" s="558" t="s">
        <v>280</v>
      </c>
      <c r="D13" s="558" t="s">
        <v>533</v>
      </c>
      <c r="E13" s="489" t="s">
        <v>534</v>
      </c>
      <c r="G13" s="549"/>
      <c r="H13" s="550"/>
      <c r="I13" s="550"/>
      <c r="J13" s="550"/>
      <c r="K13" s="553"/>
      <c r="L13" s="552"/>
      <c r="M13" s="553"/>
      <c r="N13" s="553"/>
      <c r="O13" s="554">
        <f t="shared" si="1"/>
        <v>0</v>
      </c>
      <c r="P13" s="554">
        <f t="shared" si="2"/>
        <v>0</v>
      </c>
      <c r="Q13" s="555">
        <f t="shared" si="4"/>
        <v>0</v>
      </c>
      <c r="R13" s="556">
        <f t="shared" si="3"/>
        <v>0</v>
      </c>
      <c r="T13" s="556">
        <f t="shared" si="0"/>
        <v>0</v>
      </c>
    </row>
    <row r="14" spans="2:21">
      <c r="B14" s="548"/>
      <c r="C14" s="548"/>
      <c r="D14" s="548"/>
      <c r="E14" s="559"/>
      <c r="G14" s="560" t="s">
        <v>535</v>
      </c>
      <c r="H14" s="561"/>
      <c r="I14" s="561"/>
      <c r="J14" s="561"/>
      <c r="K14" s="151"/>
      <c r="L14" s="548"/>
      <c r="M14" s="151"/>
      <c r="N14" s="151"/>
      <c r="O14" s="561">
        <f>SUM(O8:O13)</f>
        <v>1850</v>
      </c>
      <c r="P14" s="561">
        <f>SUM(P8:P13)</f>
        <v>1970</v>
      </c>
      <c r="Q14" s="562">
        <f t="shared" si="4"/>
        <v>7.6743280093494348E-2</v>
      </c>
      <c r="R14" s="563">
        <f t="shared" si="3"/>
        <v>120</v>
      </c>
      <c r="S14" s="151"/>
      <c r="T14" s="151"/>
      <c r="U14" s="151"/>
    </row>
    <row r="15" spans="2:21">
      <c r="B15" s="548"/>
      <c r="C15" s="548"/>
      <c r="D15" s="548"/>
      <c r="E15" s="559"/>
      <c r="G15" s="560"/>
      <c r="H15" s="561"/>
      <c r="I15" s="561"/>
      <c r="J15" s="561"/>
      <c r="K15" s="151"/>
      <c r="L15" s="548"/>
      <c r="M15" s="151"/>
      <c r="N15" s="151"/>
      <c r="O15" s="561"/>
      <c r="P15" s="561"/>
      <c r="Q15" s="562"/>
      <c r="R15" s="563"/>
      <c r="S15" s="151"/>
      <c r="T15" s="151"/>
    </row>
    <row r="16" spans="2:21">
      <c r="B16" s="548"/>
      <c r="C16" s="548"/>
      <c r="D16" s="548"/>
      <c r="E16" s="559"/>
      <c r="G16" s="560" t="s">
        <v>536</v>
      </c>
      <c r="H16" s="561"/>
      <c r="I16" s="561"/>
      <c r="J16" s="561"/>
      <c r="K16" s="151"/>
      <c r="L16" s="548"/>
      <c r="M16" s="151"/>
      <c r="N16" s="151"/>
      <c r="O16" s="561"/>
      <c r="P16" s="561"/>
      <c r="Q16" s="562"/>
      <c r="R16" s="563"/>
      <c r="S16" s="151"/>
      <c r="T16" s="151"/>
    </row>
    <row r="17" spans="2:32" ht="17" thickBot="1">
      <c r="B17" s="564"/>
      <c r="C17" s="565" t="s">
        <v>537</v>
      </c>
      <c r="D17" s="565" t="s">
        <v>538</v>
      </c>
      <c r="E17" s="566" t="s">
        <v>539</v>
      </c>
      <c r="G17" s="567"/>
      <c r="H17" s="550">
        <v>200</v>
      </c>
      <c r="I17" s="550">
        <v>300</v>
      </c>
      <c r="J17" s="550">
        <v>4</v>
      </c>
      <c r="L17" s="568"/>
      <c r="M17" s="553">
        <v>1</v>
      </c>
      <c r="N17" s="553">
        <v>1</v>
      </c>
      <c r="O17" s="554">
        <f t="shared" si="1"/>
        <v>800</v>
      </c>
      <c r="P17" s="554">
        <f t="shared" si="2"/>
        <v>1200</v>
      </c>
      <c r="Q17" s="555">
        <f t="shared" si="4"/>
        <v>4.6747175691468641E-2</v>
      </c>
      <c r="R17" s="556">
        <f t="shared" si="3"/>
        <v>400</v>
      </c>
      <c r="S17" s="556">
        <f t="shared" ref="S17:S23" si="5">R17</f>
        <v>400</v>
      </c>
      <c r="U17" s="569"/>
      <c r="V17" s="543"/>
      <c r="W17" s="543"/>
      <c r="X17" s="543"/>
      <c r="Y17" s="543"/>
      <c r="Z17" s="543"/>
      <c r="AA17" s="543"/>
      <c r="AB17" s="543"/>
      <c r="AC17" s="543"/>
      <c r="AD17" s="543"/>
      <c r="AE17" s="543"/>
      <c r="AF17" s="543"/>
    </row>
    <row r="18" spans="2:32" ht="16">
      <c r="B18" s="42"/>
      <c r="C18" s="570" t="s">
        <v>75</v>
      </c>
      <c r="D18" s="571" t="s">
        <v>75</v>
      </c>
      <c r="E18" s="572" t="s">
        <v>75</v>
      </c>
      <c r="G18" s="553"/>
      <c r="H18" s="550">
        <v>150</v>
      </c>
      <c r="I18" s="550">
        <v>225</v>
      </c>
      <c r="J18" s="550">
        <v>100</v>
      </c>
      <c r="K18" s="5" t="s">
        <v>75</v>
      </c>
      <c r="L18" s="568"/>
      <c r="M18" s="553">
        <v>1</v>
      </c>
      <c r="N18" s="553">
        <v>1</v>
      </c>
      <c r="O18" s="554">
        <f t="shared" si="1"/>
        <v>15000</v>
      </c>
      <c r="P18" s="554">
        <f t="shared" si="2"/>
        <v>22500</v>
      </c>
      <c r="Q18" s="555">
        <f t="shared" si="4"/>
        <v>0.87650954421503702</v>
      </c>
      <c r="R18" s="556">
        <f t="shared" si="3"/>
        <v>7500</v>
      </c>
      <c r="S18" s="556">
        <f t="shared" si="5"/>
        <v>7500</v>
      </c>
      <c r="U18" s="569"/>
      <c r="V18" s="543"/>
      <c r="W18" s="543"/>
      <c r="X18" s="543"/>
      <c r="Y18" s="543"/>
      <c r="Z18" s="543"/>
      <c r="AA18" s="543"/>
      <c r="AB18" s="543"/>
      <c r="AC18" s="543"/>
      <c r="AD18" s="543"/>
      <c r="AE18" s="543"/>
      <c r="AF18" s="543"/>
    </row>
    <row r="19" spans="2:32" ht="16">
      <c r="B19" s="42"/>
      <c r="C19" s="570">
        <v>4</v>
      </c>
      <c r="D19" s="573" t="e">
        <f>(1+$E$32)^-#REF!</f>
        <v>#REF!</v>
      </c>
      <c r="E19" s="572" t="e">
        <f t="shared" ref="E19:E30" si="6">D19*C19</f>
        <v>#REF!</v>
      </c>
      <c r="G19" s="553"/>
      <c r="H19" s="550"/>
      <c r="I19" s="550"/>
      <c r="J19" s="550"/>
      <c r="L19" s="568"/>
      <c r="M19" s="553"/>
      <c r="N19" s="553"/>
      <c r="O19" s="554">
        <f t="shared" si="1"/>
        <v>0</v>
      </c>
      <c r="P19" s="554">
        <f t="shared" si="2"/>
        <v>0</v>
      </c>
      <c r="Q19" s="555">
        <f t="shared" si="4"/>
        <v>0</v>
      </c>
      <c r="R19" s="556">
        <f t="shared" si="3"/>
        <v>0</v>
      </c>
      <c r="S19" s="556">
        <f t="shared" si="5"/>
        <v>0</v>
      </c>
      <c r="U19" s="569"/>
      <c r="V19" s="569"/>
      <c r="W19" s="543"/>
      <c r="X19" s="543"/>
      <c r="Y19" s="543"/>
      <c r="Z19" s="543"/>
      <c r="AA19" s="543"/>
      <c r="AB19" s="543"/>
      <c r="AC19" s="569"/>
      <c r="AD19" s="543"/>
      <c r="AE19" s="543"/>
      <c r="AF19" s="543"/>
    </row>
    <row r="20" spans="2:32" ht="16">
      <c r="B20" s="42"/>
      <c r="C20" s="570">
        <v>4</v>
      </c>
      <c r="D20" s="573" t="e">
        <f>(1+$E$32)^-#REF!</f>
        <v>#REF!</v>
      </c>
      <c r="E20" s="572" t="e">
        <f t="shared" si="6"/>
        <v>#REF!</v>
      </c>
      <c r="G20" s="553"/>
      <c r="H20" s="550"/>
      <c r="I20" s="550"/>
      <c r="J20" s="550"/>
      <c r="L20" s="568"/>
      <c r="M20" s="553"/>
      <c r="N20" s="553"/>
      <c r="O20" s="554">
        <f t="shared" si="1"/>
        <v>0</v>
      </c>
      <c r="P20" s="554">
        <f t="shared" si="2"/>
        <v>0</v>
      </c>
      <c r="Q20" s="555">
        <f t="shared" si="4"/>
        <v>0</v>
      </c>
      <c r="R20" s="556">
        <f t="shared" si="3"/>
        <v>0</v>
      </c>
      <c r="S20" s="556">
        <f t="shared" si="5"/>
        <v>0</v>
      </c>
      <c r="U20" s="569"/>
      <c r="V20" s="569"/>
      <c r="W20" s="543"/>
      <c r="X20" s="543"/>
      <c r="Y20" s="543"/>
      <c r="Z20" s="543"/>
      <c r="AA20" s="543"/>
      <c r="AB20" s="543"/>
      <c r="AC20" s="543"/>
      <c r="AD20" s="543"/>
      <c r="AE20" s="543"/>
      <c r="AF20" s="543"/>
    </row>
    <row r="21" spans="2:32" ht="16">
      <c r="B21" s="42"/>
      <c r="C21" s="570">
        <v>4</v>
      </c>
      <c r="D21" s="573" t="e">
        <f>(1+$E$32)^-#REF!</f>
        <v>#REF!</v>
      </c>
      <c r="E21" s="572" t="e">
        <f t="shared" si="6"/>
        <v>#REF!</v>
      </c>
      <c r="G21" s="553"/>
      <c r="H21" s="550"/>
      <c r="I21" s="550"/>
      <c r="J21" s="550"/>
      <c r="L21" s="568"/>
      <c r="M21" s="553"/>
      <c r="N21" s="553"/>
      <c r="O21" s="554">
        <f t="shared" si="1"/>
        <v>0</v>
      </c>
      <c r="P21" s="554">
        <f t="shared" si="2"/>
        <v>0</v>
      </c>
      <c r="Q21" s="555">
        <f t="shared" si="4"/>
        <v>0</v>
      </c>
      <c r="R21" s="556">
        <f t="shared" si="3"/>
        <v>0</v>
      </c>
      <c r="S21" s="556">
        <f t="shared" si="5"/>
        <v>0</v>
      </c>
      <c r="T21" s="556"/>
    </row>
    <row r="22" spans="2:32" ht="16">
      <c r="B22" s="42"/>
      <c r="C22" s="570">
        <v>4</v>
      </c>
      <c r="D22" s="573" t="e">
        <f>(1+$E$32)^-#REF!</f>
        <v>#REF!</v>
      </c>
      <c r="E22" s="572" t="e">
        <f t="shared" si="6"/>
        <v>#REF!</v>
      </c>
      <c r="G22" s="553"/>
      <c r="H22" s="550"/>
      <c r="I22" s="550"/>
      <c r="J22" s="550"/>
      <c r="L22" s="568"/>
      <c r="M22" s="553"/>
      <c r="N22" s="553"/>
      <c r="O22" s="554">
        <f t="shared" si="1"/>
        <v>0</v>
      </c>
      <c r="P22" s="554">
        <f t="shared" si="2"/>
        <v>0</v>
      </c>
      <c r="Q22" s="555">
        <f t="shared" si="4"/>
        <v>0</v>
      </c>
      <c r="R22" s="556">
        <f t="shared" si="3"/>
        <v>0</v>
      </c>
      <c r="S22" s="556">
        <f t="shared" si="5"/>
        <v>0</v>
      </c>
    </row>
    <row r="23" spans="2:32" ht="16">
      <c r="B23" s="42"/>
      <c r="C23" s="570">
        <v>4</v>
      </c>
      <c r="D23" s="573" t="e">
        <f>(1+$E$32)^-#REF!</f>
        <v>#REF!</v>
      </c>
      <c r="E23" s="572" t="e">
        <f t="shared" si="6"/>
        <v>#REF!</v>
      </c>
      <c r="G23" s="553"/>
      <c r="H23" s="550"/>
      <c r="I23" s="550"/>
      <c r="J23" s="550"/>
      <c r="L23" s="568"/>
      <c r="M23" s="553"/>
      <c r="N23" s="553"/>
      <c r="O23" s="554">
        <f t="shared" si="1"/>
        <v>0</v>
      </c>
      <c r="P23" s="554">
        <f t="shared" si="2"/>
        <v>0</v>
      </c>
      <c r="Q23" s="555">
        <f t="shared" si="4"/>
        <v>0</v>
      </c>
      <c r="R23" s="556">
        <f t="shared" si="3"/>
        <v>0</v>
      </c>
      <c r="S23" s="556">
        <f t="shared" si="5"/>
        <v>0</v>
      </c>
    </row>
    <row r="24" spans="2:32" ht="16">
      <c r="B24" s="42"/>
      <c r="C24" s="570">
        <v>4</v>
      </c>
      <c r="D24" s="573" t="e">
        <f>(1+$E$32)^-#REF!</f>
        <v>#REF!</v>
      </c>
      <c r="E24" s="572" t="e">
        <f t="shared" si="6"/>
        <v>#REF!</v>
      </c>
      <c r="G24" s="5" t="s">
        <v>75</v>
      </c>
      <c r="H24" s="574" t="s">
        <v>75</v>
      </c>
      <c r="I24" s="574" t="s">
        <v>75</v>
      </c>
      <c r="J24" s="574" t="s">
        <v>75</v>
      </c>
      <c r="K24" s="575" t="s">
        <v>75</v>
      </c>
      <c r="L24" s="576" t="s">
        <v>75</v>
      </c>
      <c r="M24" s="5" t="s">
        <v>75</v>
      </c>
      <c r="N24" s="5" t="s">
        <v>75</v>
      </c>
      <c r="O24" s="574"/>
      <c r="P24" s="574" t="s">
        <v>75</v>
      </c>
      <c r="Q24" s="555"/>
      <c r="R24" s="556"/>
      <c r="S24" s="556" t="s">
        <v>540</v>
      </c>
    </row>
    <row r="25" spans="2:32" ht="16">
      <c r="B25" s="42"/>
      <c r="C25" s="570">
        <v>4</v>
      </c>
      <c r="D25" s="573" t="e">
        <f>(1+$E$32)^-#REF!</f>
        <v>#REF!</v>
      </c>
      <c r="E25" s="572" t="e">
        <f t="shared" si="6"/>
        <v>#REF!</v>
      </c>
      <c r="G25" s="151" t="s">
        <v>541</v>
      </c>
      <c r="H25" s="151"/>
      <c r="I25" s="151"/>
      <c r="J25" s="151"/>
      <c r="K25" s="151"/>
      <c r="L25" s="151"/>
      <c r="M25" s="151"/>
      <c r="N25" s="151"/>
      <c r="O25" s="561">
        <f>SUM(O17:O24)</f>
        <v>15800</v>
      </c>
      <c r="P25" s="563">
        <f>SUM(P17:P24)</f>
        <v>23700</v>
      </c>
      <c r="Q25" s="562">
        <f t="shared" si="4"/>
        <v>0.9232567199065056</v>
      </c>
      <c r="R25" s="563">
        <f t="shared" si="3"/>
        <v>7900</v>
      </c>
      <c r="S25" s="151"/>
      <c r="T25" s="151"/>
    </row>
    <row r="26" spans="2:32" ht="16">
      <c r="B26" s="42"/>
      <c r="C26" s="570"/>
      <c r="D26" s="573"/>
      <c r="E26" s="572"/>
      <c r="H26" s="151"/>
      <c r="O26" s="554"/>
      <c r="P26" s="556"/>
      <c r="Q26" s="556"/>
      <c r="R26" s="556"/>
    </row>
    <row r="27" spans="2:32" ht="16">
      <c r="B27" s="42"/>
      <c r="C27" s="570">
        <v>4</v>
      </c>
      <c r="D27" s="573" t="e">
        <f>(1+$E$32)^-#REF!</f>
        <v>#REF!</v>
      </c>
      <c r="E27" s="572" t="e">
        <f t="shared" si="6"/>
        <v>#REF!</v>
      </c>
      <c r="G27" s="151" t="s">
        <v>542</v>
      </c>
      <c r="H27" s="151"/>
      <c r="I27" s="151"/>
      <c r="J27" s="151"/>
      <c r="K27" s="151"/>
      <c r="L27" s="151"/>
      <c r="M27" s="151"/>
      <c r="N27" s="151"/>
      <c r="O27" s="561">
        <f>O14+O25</f>
        <v>17650</v>
      </c>
      <c r="P27" s="561">
        <f>P14+P25</f>
        <v>25670</v>
      </c>
      <c r="Q27" s="555">
        <f t="shared" si="4"/>
        <v>1</v>
      </c>
      <c r="R27" s="561">
        <f>R14+R25</f>
        <v>8020</v>
      </c>
      <c r="S27" s="151"/>
      <c r="T27" s="151"/>
      <c r="U27" s="151"/>
    </row>
    <row r="28" spans="2:32" ht="16">
      <c r="B28" s="42"/>
      <c r="C28" s="570">
        <v>4</v>
      </c>
      <c r="D28" s="573" t="e">
        <f>(1+$E$32)^-#REF!</f>
        <v>#REF!</v>
      </c>
      <c r="E28" s="572" t="e">
        <f t="shared" si="6"/>
        <v>#REF!</v>
      </c>
    </row>
    <row r="29" spans="2:32" ht="16">
      <c r="B29" s="42"/>
      <c r="C29" s="570">
        <v>4</v>
      </c>
      <c r="D29" s="573" t="e">
        <f>(1+$E$32)^-#REF!</f>
        <v>#REF!</v>
      </c>
      <c r="E29" s="572" t="e">
        <f t="shared" si="6"/>
        <v>#REF!</v>
      </c>
      <c r="G29" s="151" t="s">
        <v>543</v>
      </c>
      <c r="H29" s="5" t="s">
        <v>75</v>
      </c>
      <c r="T29" s="554">
        <f>J85</f>
        <v>0</v>
      </c>
    </row>
    <row r="30" spans="2:32" ht="16">
      <c r="B30" s="42"/>
      <c r="C30" s="570">
        <v>104</v>
      </c>
      <c r="D30" s="573" t="e">
        <f>(1+$E$32)^-#REF!</f>
        <v>#REF!</v>
      </c>
      <c r="E30" s="572" t="e">
        <f t="shared" si="6"/>
        <v>#REF!</v>
      </c>
      <c r="O30" s="556"/>
    </row>
    <row r="31" spans="2:32" ht="16">
      <c r="D31" s="54" t="s">
        <v>544</v>
      </c>
      <c r="E31" s="577" t="e">
        <f>SUM(E18:E30)</f>
        <v>#REF!</v>
      </c>
      <c r="G31" s="578" t="s">
        <v>545</v>
      </c>
      <c r="S31" s="556">
        <f>SUM(S17:S30)</f>
        <v>7900</v>
      </c>
      <c r="T31" s="556">
        <f>SUM(T8:T29)</f>
        <v>120</v>
      </c>
      <c r="U31" s="556"/>
    </row>
    <row r="32" spans="2:32" ht="17" thickBot="1">
      <c r="B32" s="217"/>
      <c r="C32" s="217"/>
      <c r="D32" s="217"/>
      <c r="E32" s="579">
        <v>3.6604445559174088E-2</v>
      </c>
      <c r="G32" s="580" t="s">
        <v>546</v>
      </c>
      <c r="H32" s="581"/>
      <c r="I32" s="581"/>
      <c r="J32" s="581"/>
      <c r="K32" s="581"/>
      <c r="L32" s="581"/>
      <c r="M32" s="581"/>
      <c r="N32" s="581"/>
      <c r="O32" s="581"/>
      <c r="P32" s="581"/>
      <c r="Q32" s="581"/>
      <c r="R32" s="581"/>
      <c r="S32" s="582">
        <f>J37+J38+L37+L38</f>
        <v>0</v>
      </c>
      <c r="T32" s="582">
        <f>J35+J36+L35+L36</f>
        <v>0</v>
      </c>
      <c r="U32" s="582" t="s">
        <v>42</v>
      </c>
      <c r="V32" s="582">
        <f>S32+T32</f>
        <v>0</v>
      </c>
    </row>
    <row r="33" spans="5:22" s="584" customFormat="1" ht="14" thickBot="1">
      <c r="E33" s="583"/>
      <c r="G33" s="585"/>
      <c r="S33" s="586"/>
      <c r="T33" s="586"/>
      <c r="U33" s="587"/>
      <c r="V33" s="587"/>
    </row>
    <row r="34" spans="5:22">
      <c r="G34" s="588" t="s">
        <v>547</v>
      </c>
      <c r="H34" s="589" t="s">
        <v>548</v>
      </c>
      <c r="I34" s="57" t="s">
        <v>549</v>
      </c>
      <c r="J34" s="488" t="s">
        <v>550</v>
      </c>
      <c r="K34" s="57" t="s">
        <v>551</v>
      </c>
      <c r="L34" s="40" t="s">
        <v>552</v>
      </c>
      <c r="M34" s="590"/>
      <c r="O34" s="590"/>
      <c r="U34" s="591" t="s">
        <v>75</v>
      </c>
    </row>
    <row r="35" spans="5:22" ht="16">
      <c r="G35" s="592" t="s">
        <v>553</v>
      </c>
      <c r="H35" s="593">
        <v>0.37</v>
      </c>
      <c r="I35" s="594">
        <f>KItilTopskatPar</f>
        <v>104800</v>
      </c>
      <c r="J35" s="595"/>
      <c r="K35" s="596">
        <f>KItilTopskatEnlig</f>
        <v>52400</v>
      </c>
      <c r="L35" s="597"/>
      <c r="M35" s="575"/>
      <c r="O35" s="575"/>
      <c r="Q35" s="556"/>
      <c r="S35" s="5" t="s">
        <v>75</v>
      </c>
      <c r="T35" s="556" t="s">
        <v>75</v>
      </c>
    </row>
    <row r="36" spans="5:22" ht="16">
      <c r="G36" s="592" t="s">
        <v>554</v>
      </c>
      <c r="H36" s="598">
        <v>0.42</v>
      </c>
      <c r="I36" s="594">
        <f>I35</f>
        <v>104800</v>
      </c>
      <c r="J36" s="595"/>
      <c r="K36" s="596">
        <f>K35</f>
        <v>52400</v>
      </c>
      <c r="L36" s="599"/>
      <c r="M36" s="575"/>
      <c r="O36" s="575"/>
      <c r="S36" s="556" t="s">
        <v>75</v>
      </c>
      <c r="T36" s="556" t="s">
        <v>75</v>
      </c>
    </row>
    <row r="37" spans="5:22" ht="16">
      <c r="G37" s="592" t="s">
        <v>555</v>
      </c>
      <c r="H37" s="593">
        <v>0.27</v>
      </c>
      <c r="I37" s="594">
        <f>2*K37</f>
        <v>126600</v>
      </c>
      <c r="J37" s="595"/>
      <c r="K37" s="596">
        <v>63300</v>
      </c>
      <c r="L37" s="597"/>
      <c r="M37" s="575"/>
      <c r="O37" s="575"/>
      <c r="S37" s="600" t="s">
        <v>75</v>
      </c>
    </row>
    <row r="38" spans="5:22" ht="17" thickBot="1">
      <c r="G38" s="601" t="s">
        <v>556</v>
      </c>
      <c r="H38" s="602">
        <v>0.42</v>
      </c>
      <c r="I38" s="603">
        <f>I37</f>
        <v>126600</v>
      </c>
      <c r="J38" s="604"/>
      <c r="K38" s="605">
        <f>K37</f>
        <v>63300</v>
      </c>
      <c r="L38" s="606"/>
      <c r="M38" s="607"/>
      <c r="O38" s="608"/>
      <c r="S38" s="5" t="s">
        <v>75</v>
      </c>
    </row>
    <row r="39" spans="5:22" ht="14" thickBot="1">
      <c r="O39" s="556"/>
    </row>
    <row r="40" spans="5:22">
      <c r="G40" s="588" t="s">
        <v>557</v>
      </c>
      <c r="H40" s="609"/>
    </row>
    <row r="41" spans="5:22">
      <c r="G41" s="592" t="s">
        <v>528</v>
      </c>
      <c r="H41" s="610">
        <f>P27</f>
        <v>25670</v>
      </c>
      <c r="N41" s="556"/>
    </row>
    <row r="42" spans="5:22">
      <c r="G42" s="611" t="s">
        <v>558</v>
      </c>
      <c r="H42" s="610">
        <f>T29</f>
        <v>0</v>
      </c>
    </row>
    <row r="43" spans="5:22">
      <c r="G43" s="611" t="s">
        <v>559</v>
      </c>
      <c r="H43" s="610">
        <f>V32</f>
        <v>0</v>
      </c>
    </row>
    <row r="44" spans="5:22" ht="19" thickBot="1">
      <c r="G44" s="612" t="s">
        <v>560</v>
      </c>
      <c r="H44" s="613">
        <f>H41+H42-H43</f>
        <v>25670</v>
      </c>
    </row>
    <row r="45" spans="5:22" ht="14" thickBot="1"/>
    <row r="46" spans="5:22" ht="13.25" customHeight="1">
      <c r="G46" s="588" t="s">
        <v>561</v>
      </c>
      <c r="H46" s="614"/>
      <c r="I46" s="614"/>
      <c r="J46" s="614"/>
      <c r="K46" s="1029" t="s">
        <v>562</v>
      </c>
      <c r="L46" s="1030"/>
      <c r="M46" s="1031"/>
    </row>
    <row r="47" spans="5:22" ht="13.25" customHeight="1">
      <c r="G47" s="615" t="s">
        <v>563</v>
      </c>
      <c r="K47" s="1032"/>
      <c r="L47" s="1033"/>
      <c r="M47" s="1034"/>
      <c r="S47" s="5" t="s">
        <v>75</v>
      </c>
    </row>
    <row r="48" spans="5:22" ht="12" customHeight="1">
      <c r="G48" s="616" t="s">
        <v>564</v>
      </c>
      <c r="H48" s="553">
        <v>0</v>
      </c>
      <c r="I48" s="5" t="s">
        <v>565</v>
      </c>
      <c r="K48" s="1032"/>
      <c r="L48" s="1033"/>
      <c r="M48" s="1034"/>
    </row>
    <row r="49" spans="3:13" ht="11.25" hidden="1" customHeight="1">
      <c r="G49" s="592"/>
      <c r="K49" s="1032"/>
      <c r="L49" s="1033"/>
      <c r="M49" s="1034"/>
    </row>
    <row r="50" spans="3:13" ht="13.25" hidden="1" customHeight="1">
      <c r="G50" s="592"/>
      <c r="K50" s="1032"/>
      <c r="L50" s="1033"/>
      <c r="M50" s="1034"/>
    </row>
    <row r="51" spans="3:13" ht="13.25" hidden="1" customHeight="1">
      <c r="G51" s="592"/>
      <c r="K51" s="1032"/>
      <c r="L51" s="1033"/>
      <c r="M51" s="1034"/>
    </row>
    <row r="52" spans="3:13" ht="13.25" customHeight="1" thickBot="1">
      <c r="C52" s="42" t="e">
        <f>#REF!</f>
        <v>#REF!</v>
      </c>
      <c r="G52" s="592" t="s">
        <v>566</v>
      </c>
      <c r="H52" s="617">
        <v>45061</v>
      </c>
      <c r="I52" s="543" t="s">
        <v>567</v>
      </c>
      <c r="K52" s="1035"/>
      <c r="L52" s="1036"/>
      <c r="M52" s="1037"/>
    </row>
    <row r="53" spans="3:13">
      <c r="C53" s="42">
        <v>39767</v>
      </c>
      <c r="G53" s="592" t="s">
        <v>568</v>
      </c>
      <c r="H53" s="617">
        <v>44880</v>
      </c>
      <c r="I53" s="543" t="s">
        <v>569</v>
      </c>
      <c r="J53" s="618"/>
    </row>
    <row r="54" spans="3:13" ht="16">
      <c r="C54" s="554" t="e">
        <f>C52-C53</f>
        <v>#REF!</v>
      </c>
      <c r="G54" s="592" t="s">
        <v>570</v>
      </c>
      <c r="H54" s="5">
        <f>H52-H53</f>
        <v>181</v>
      </c>
      <c r="J54" s="618"/>
    </row>
    <row r="55" spans="3:13">
      <c r="G55" s="592"/>
      <c r="I55" s="5" t="s">
        <v>571</v>
      </c>
      <c r="J55" s="618" t="s">
        <v>572</v>
      </c>
    </row>
    <row r="56" spans="3:13" ht="16">
      <c r="C56" s="5" t="e">
        <f>(4*C54)/(365*1)</f>
        <v>#REF!</v>
      </c>
      <c r="G56" s="592" t="s">
        <v>543</v>
      </c>
      <c r="H56" s="5">
        <f>H48*H54/365</f>
        <v>0</v>
      </c>
      <c r="I56" s="5">
        <f>J8</f>
        <v>10</v>
      </c>
      <c r="J56" s="619">
        <f>I56*H56</f>
        <v>0</v>
      </c>
    </row>
    <row r="57" spans="3:13">
      <c r="G57" s="592"/>
      <c r="J57" s="618"/>
    </row>
    <row r="58" spans="3:13">
      <c r="G58" s="592"/>
      <c r="J58" s="618"/>
    </row>
    <row r="59" spans="3:13">
      <c r="G59" s="615" t="s">
        <v>573</v>
      </c>
      <c r="J59" s="618"/>
    </row>
    <row r="60" spans="3:13">
      <c r="G60" s="616" t="s">
        <v>564</v>
      </c>
      <c r="H60" s="553">
        <v>0</v>
      </c>
      <c r="J60" s="618"/>
    </row>
    <row r="61" spans="3:13">
      <c r="G61" s="592" t="s">
        <v>574</v>
      </c>
      <c r="H61" s="617">
        <v>45061</v>
      </c>
      <c r="J61" s="618"/>
    </row>
    <row r="62" spans="3:13">
      <c r="G62" s="592" t="s">
        <v>575</v>
      </c>
      <c r="H62" s="617">
        <v>45017</v>
      </c>
      <c r="J62" s="618"/>
    </row>
    <row r="63" spans="3:13">
      <c r="G63" s="592" t="s">
        <v>570</v>
      </c>
      <c r="H63" s="5">
        <f>H61-H62</f>
        <v>44</v>
      </c>
      <c r="J63" s="618"/>
    </row>
    <row r="64" spans="3:13">
      <c r="G64" s="592"/>
      <c r="J64" s="618"/>
    </row>
    <row r="65" spans="7:10" ht="16">
      <c r="G65" s="592" t="s">
        <v>543</v>
      </c>
      <c r="H65" s="5">
        <f>H60*H63/365</f>
        <v>0</v>
      </c>
      <c r="I65" s="5">
        <f>J9</f>
        <v>10</v>
      </c>
      <c r="J65" s="619">
        <f>I65*H65</f>
        <v>0</v>
      </c>
    </row>
    <row r="66" spans="7:10" ht="16">
      <c r="G66" s="592"/>
      <c r="J66" s="619"/>
    </row>
    <row r="67" spans="7:10" ht="16">
      <c r="G67" s="592"/>
      <c r="J67" s="619"/>
    </row>
    <row r="68" spans="7:10" ht="16">
      <c r="G68" s="615" t="s">
        <v>573</v>
      </c>
      <c r="J68" s="619"/>
    </row>
    <row r="69" spans="7:10" ht="16">
      <c r="G69" s="616" t="s">
        <v>564</v>
      </c>
      <c r="H69" s="553"/>
      <c r="J69" s="619"/>
    </row>
    <row r="70" spans="7:10" ht="16">
      <c r="G70" s="592" t="s">
        <v>574</v>
      </c>
      <c r="H70" s="617"/>
      <c r="J70" s="619"/>
    </row>
    <row r="71" spans="7:10" ht="16">
      <c r="G71" s="592" t="s">
        <v>575</v>
      </c>
      <c r="H71" s="617"/>
      <c r="J71" s="619"/>
    </row>
    <row r="72" spans="7:10" ht="16">
      <c r="G72" s="592" t="s">
        <v>570</v>
      </c>
      <c r="H72" s="5">
        <f>H70-H71</f>
        <v>0</v>
      </c>
      <c r="J72" s="619"/>
    </row>
    <row r="73" spans="7:10" ht="16">
      <c r="G73" s="592"/>
      <c r="J73" s="619"/>
    </row>
    <row r="74" spans="7:10" ht="16">
      <c r="G74" s="592" t="s">
        <v>543</v>
      </c>
      <c r="H74" s="5">
        <f>H69*H72/365</f>
        <v>0</v>
      </c>
      <c r="I74" s="5">
        <f>J10</f>
        <v>0</v>
      </c>
      <c r="J74" s="619">
        <f>I74*H74</f>
        <v>0</v>
      </c>
    </row>
    <row r="75" spans="7:10" ht="16">
      <c r="G75" s="592"/>
      <c r="J75" s="619"/>
    </row>
    <row r="76" spans="7:10">
      <c r="G76" s="592"/>
      <c r="J76" s="618"/>
    </row>
    <row r="77" spans="7:10">
      <c r="G77" s="615" t="s">
        <v>573</v>
      </c>
      <c r="J77" s="618"/>
    </row>
    <row r="78" spans="7:10">
      <c r="G78" s="616" t="s">
        <v>564</v>
      </c>
      <c r="H78" s="553"/>
      <c r="J78" s="618"/>
    </row>
    <row r="79" spans="7:10">
      <c r="G79" s="592" t="s">
        <v>574</v>
      </c>
      <c r="H79" s="617"/>
      <c r="J79" s="618"/>
    </row>
    <row r="80" spans="7:10">
      <c r="G80" s="592" t="s">
        <v>575</v>
      </c>
      <c r="H80" s="617"/>
      <c r="J80" s="618"/>
    </row>
    <row r="81" spans="7:17">
      <c r="G81" s="592" t="s">
        <v>570</v>
      </c>
      <c r="H81" s="5">
        <f>H79-H80</f>
        <v>0</v>
      </c>
      <c r="J81" s="618"/>
    </row>
    <row r="82" spans="7:17">
      <c r="G82" s="592"/>
      <c r="J82" s="618"/>
    </row>
    <row r="83" spans="7:17">
      <c r="G83" s="592" t="s">
        <v>543</v>
      </c>
      <c r="H83" s="5">
        <f>H78*H81/365</f>
        <v>0</v>
      </c>
      <c r="I83" s="556">
        <f>J11</f>
        <v>0</v>
      </c>
      <c r="J83" s="610">
        <f>I83*H83</f>
        <v>0</v>
      </c>
    </row>
    <row r="84" spans="7:17">
      <c r="G84" s="592"/>
      <c r="J84" s="618"/>
    </row>
    <row r="85" spans="7:17" ht="14" thickBot="1">
      <c r="G85" s="620" t="s">
        <v>576</v>
      </c>
      <c r="H85" s="621"/>
      <c r="I85" s="621"/>
      <c r="J85" s="622">
        <f>J74+J65+J56+J83</f>
        <v>0</v>
      </c>
    </row>
    <row r="89" spans="7:17" ht="23">
      <c r="G89" s="623"/>
    </row>
    <row r="91" spans="7:17">
      <c r="O91" s="556"/>
      <c r="Q91" s="556"/>
    </row>
    <row r="98" spans="7:7" ht="23">
      <c r="G98" s="623"/>
    </row>
    <row r="99" spans="7:7" ht="15" customHeight="1"/>
    <row r="100" spans="7:7" ht="10.5" customHeight="1">
      <c r="G100" s="623"/>
    </row>
    <row r="108" spans="7:7" ht="16">
      <c r="G108" s="555" t="s">
        <v>75</v>
      </c>
    </row>
    <row r="109" spans="7:7">
      <c r="G109" s="624" t="s">
        <v>540</v>
      </c>
    </row>
    <row r="110" spans="7:7">
      <c r="G110" s="624" t="s">
        <v>75</v>
      </c>
    </row>
  </sheetData>
  <mergeCells count="1">
    <mergeCell ref="K46:M52"/>
  </mergeCells>
  <hyperlinks>
    <hyperlink ref="H4" r:id="rId1" xr:uid="{DA005475-187F-AC4C-812F-890A2FF88FCA}"/>
  </hyperlinks>
  <pageMargins left="0.74803149606299213" right="0.74803149606299213" top="0.98425196850393704" bottom="0.98425196850393704" header="0" footer="0"/>
  <pageSetup paperSize="9" scale="60" orientation="landscape" horizontalDpi="300" verticalDpi="300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30F27-66EC-0D46-925F-45610BFA9989}">
  <sheetPr>
    <tabColor theme="1"/>
    <pageSetUpPr fitToPage="1"/>
  </sheetPr>
  <dimension ref="B1:I11"/>
  <sheetViews>
    <sheetView zoomScale="120" zoomScaleNormal="120" workbookViewId="0">
      <selection activeCell="H32" sqref="H32"/>
    </sheetView>
  </sheetViews>
  <sheetFormatPr baseColWidth="10" defaultColWidth="8.6640625" defaultRowHeight="13"/>
  <cols>
    <col min="1" max="1" width="8.6640625" style="5"/>
    <col min="2" max="2" width="28.6640625" style="5" customWidth="1"/>
    <col min="3" max="3" width="13.6640625" style="5" customWidth="1"/>
    <col min="4" max="4" width="13.5" style="5" customWidth="1"/>
    <col min="5" max="5" width="15.6640625" style="5" customWidth="1"/>
    <col min="6" max="6" width="14.6640625" style="5" customWidth="1"/>
    <col min="7" max="7" width="14.5" style="5" customWidth="1"/>
    <col min="8" max="8" width="16" style="5" customWidth="1"/>
    <col min="9" max="9" width="17.1640625" style="5" customWidth="1"/>
    <col min="10" max="10" width="20.6640625" style="5" customWidth="1"/>
    <col min="11" max="13" width="12.1640625" style="5" customWidth="1"/>
    <col min="14" max="16384" width="8.6640625" style="5"/>
  </cols>
  <sheetData>
    <row r="1" spans="2:9">
      <c r="B1" s="625" t="s">
        <v>577</v>
      </c>
    </row>
    <row r="2" spans="2:9">
      <c r="B2" s="151"/>
    </row>
    <row r="3" spans="2:9">
      <c r="B3" s="151"/>
    </row>
    <row r="4" spans="2:9" ht="16">
      <c r="B4" s="626" t="s">
        <v>578</v>
      </c>
      <c r="C4" s="627">
        <v>0</v>
      </c>
      <c r="D4" s="628"/>
      <c r="E4" s="628"/>
      <c r="F4" s="626"/>
      <c r="G4" s="626"/>
      <c r="H4" s="626"/>
      <c r="I4" s="626"/>
    </row>
    <row r="5" spans="2:9" ht="16">
      <c r="B5" s="626"/>
      <c r="C5" s="628"/>
      <c r="D5" s="628"/>
      <c r="E5" s="628"/>
      <c r="F5" s="626"/>
      <c r="G5" s="626"/>
      <c r="H5" s="626"/>
      <c r="I5" s="626"/>
    </row>
    <row r="6" spans="2:9" ht="16">
      <c r="B6" s="626" t="s">
        <v>579</v>
      </c>
      <c r="C6" s="629">
        <v>0</v>
      </c>
      <c r="D6" s="630" t="s">
        <v>580</v>
      </c>
      <c r="E6" s="628"/>
      <c r="F6" s="626"/>
      <c r="G6" s="626"/>
      <c r="H6" s="626"/>
      <c r="I6" s="626"/>
    </row>
    <row r="7" spans="2:9" ht="15">
      <c r="B7" s="626" t="s">
        <v>581</v>
      </c>
      <c r="C7" s="631">
        <v>40</v>
      </c>
      <c r="D7" s="626" t="s">
        <v>582</v>
      </c>
      <c r="E7" s="626"/>
      <c r="F7" s="626"/>
      <c r="G7" s="626"/>
      <c r="H7" s="626"/>
      <c r="I7" s="626"/>
    </row>
    <row r="8" spans="2:9" ht="15">
      <c r="B8" s="626" t="s">
        <v>583</v>
      </c>
      <c r="C8" s="632">
        <v>0</v>
      </c>
      <c r="D8" s="626" t="s">
        <v>584</v>
      </c>
      <c r="E8" s="626"/>
      <c r="F8" s="626"/>
      <c r="G8" s="626"/>
      <c r="H8" s="626"/>
      <c r="I8" s="626"/>
    </row>
    <row r="9" spans="2:9" ht="15">
      <c r="B9" s="626"/>
      <c r="C9" s="626"/>
      <c r="D9" s="626"/>
      <c r="E9" s="626"/>
      <c r="F9" s="626"/>
      <c r="G9" s="626"/>
      <c r="H9" s="626"/>
      <c r="I9" s="626"/>
    </row>
    <row r="10" spans="2:9" ht="15">
      <c r="B10" s="626" t="s">
        <v>585</v>
      </c>
      <c r="C10" s="633">
        <f>-PMT(C6,C7,C4,-C8)</f>
        <v>0</v>
      </c>
      <c r="D10" s="626"/>
      <c r="E10" s="626"/>
      <c r="F10" s="626"/>
      <c r="G10" s="626"/>
      <c r="H10" s="626"/>
      <c r="I10" s="626"/>
    </row>
    <row r="11" spans="2:9" ht="15">
      <c r="B11" s="626"/>
      <c r="C11" s="633"/>
      <c r="D11" s="626"/>
      <c r="E11" s="626"/>
      <c r="F11" s="626"/>
      <c r="G11" s="626"/>
      <c r="H11" s="626"/>
      <c r="I11" s="626"/>
    </row>
  </sheetData>
  <pageMargins left="0.70866141732283472" right="0.70866141732283472" top="0.74803149606299213" bottom="0.74803149606299213" header="0.31496062992125984" footer="0.31496062992125984"/>
  <pageSetup paperSize="9" scale="68" fitToHeight="2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87547-488B-6D4F-9E31-95088A9FE6F7}">
  <sheetPr>
    <tabColor theme="1"/>
  </sheetPr>
  <dimension ref="B2:Y59"/>
  <sheetViews>
    <sheetView topLeftCell="G2" zoomScale="150" zoomScaleNormal="80" workbookViewId="0">
      <selection activeCell="S18" sqref="S18"/>
    </sheetView>
  </sheetViews>
  <sheetFormatPr baseColWidth="10" defaultColWidth="9.1640625" defaultRowHeight="13"/>
  <cols>
    <col min="1" max="1" width="3.1640625" style="5" customWidth="1"/>
    <col min="2" max="2" width="7.6640625" style="5" customWidth="1"/>
    <col min="3" max="3" width="19.5" style="5" bestFit="1" customWidth="1"/>
    <col min="4" max="4" width="10.1640625" style="5" bestFit="1" customWidth="1"/>
    <col min="5" max="5" width="20.1640625" style="5" customWidth="1"/>
    <col min="6" max="6" width="12" style="5" customWidth="1"/>
    <col min="7" max="7" width="9.1640625" style="5"/>
    <col min="8" max="8" width="12.1640625" style="5" customWidth="1"/>
    <col min="9" max="9" width="15.6640625" style="5" customWidth="1"/>
    <col min="10" max="10" width="3.1640625" style="5" customWidth="1"/>
    <col min="11" max="11" width="13.1640625" style="5" bestFit="1" customWidth="1"/>
    <col min="12" max="13" width="9.1640625" style="5"/>
    <col min="14" max="14" width="16.6640625" style="5" customWidth="1"/>
    <col min="15" max="15" width="14.5" style="5" bestFit="1" customWidth="1"/>
    <col min="16" max="16" width="19.1640625" style="5" bestFit="1" customWidth="1"/>
    <col min="17" max="17" width="9.1640625" style="5"/>
    <col min="18" max="18" width="15" style="5" bestFit="1" customWidth="1"/>
    <col min="19" max="19" width="15.6640625" style="5" bestFit="1" customWidth="1"/>
    <col min="20" max="16384" width="9.1640625" style="5"/>
  </cols>
  <sheetData>
    <row r="2" spans="2:21" ht="13.5" customHeight="1" thickBot="1">
      <c r="C2" s="151" t="s">
        <v>586</v>
      </c>
      <c r="D2" s="483">
        <f>D4/0.8</f>
        <v>0</v>
      </c>
      <c r="E2" s="484">
        <f>D2/12</f>
        <v>0</v>
      </c>
      <c r="F2" s="485" t="s">
        <v>587</v>
      </c>
    </row>
    <row r="3" spans="2:21" ht="14" thickBot="1">
      <c r="B3" s="486" t="s">
        <v>588</v>
      </c>
      <c r="C3" s="487"/>
      <c r="D3" s="488"/>
      <c r="E3" s="488"/>
      <c r="F3" s="489">
        <v>2025</v>
      </c>
      <c r="G3" s="490" t="s">
        <v>589</v>
      </c>
      <c r="H3" s="491"/>
      <c r="I3" s="492"/>
    </row>
    <row r="4" spans="2:21" ht="17" thickBot="1">
      <c r="B4" s="10"/>
      <c r="C4" s="492" t="s">
        <v>590</v>
      </c>
      <c r="D4" s="493">
        <v>0</v>
      </c>
      <c r="E4" s="494" t="s">
        <v>591</v>
      </c>
      <c r="F4" s="493">
        <v>0</v>
      </c>
      <c r="G4" s="490" t="s">
        <v>592</v>
      </c>
      <c r="H4" s="491"/>
      <c r="I4" s="492"/>
    </row>
    <row r="5" spans="2:21" ht="17" thickBot="1">
      <c r="B5" s="16"/>
      <c r="C5" s="492" t="s">
        <v>593</v>
      </c>
      <c r="D5" s="495">
        <v>1.4999999999999999E-2</v>
      </c>
      <c r="E5" s="494" t="s">
        <v>594</v>
      </c>
      <c r="F5" s="493">
        <v>0</v>
      </c>
      <c r="H5" s="43" t="s">
        <v>593</v>
      </c>
      <c r="I5" s="496">
        <v>1.4999999999999999E-2</v>
      </c>
      <c r="M5" s="5">
        <v>1</v>
      </c>
      <c r="N5" s="5" t="s">
        <v>595</v>
      </c>
    </row>
    <row r="6" spans="2:21" ht="14" thickBot="1">
      <c r="B6" s="16"/>
      <c r="C6" s="167" t="s">
        <v>596</v>
      </c>
      <c r="D6" s="495">
        <v>0.05</v>
      </c>
      <c r="E6" s="497">
        <f>(1+$D$6/2)^2-1</f>
        <v>5.062499999999992E-2</v>
      </c>
      <c r="F6" s="498"/>
      <c r="H6" s="494" t="s">
        <v>596</v>
      </c>
      <c r="I6" s="499">
        <v>0.03</v>
      </c>
      <c r="K6" s="5" t="s">
        <v>597</v>
      </c>
      <c r="M6" s="5">
        <v>2</v>
      </c>
      <c r="N6" s="5" t="s">
        <v>598</v>
      </c>
    </row>
    <row r="7" spans="2:21" ht="17" thickBot="1">
      <c r="B7" s="16"/>
      <c r="C7" s="492" t="s">
        <v>599</v>
      </c>
      <c r="D7" s="495">
        <v>0.153</v>
      </c>
      <c r="E7" s="34" t="s">
        <v>600</v>
      </c>
      <c r="F7" s="500">
        <f>FV($D$6*(1-$D$7),$F$5,0,-$F$4)</f>
        <v>0</v>
      </c>
      <c r="G7" s="217"/>
      <c r="H7" s="494" t="s">
        <v>599</v>
      </c>
      <c r="I7" s="495">
        <v>0.153</v>
      </c>
      <c r="K7" s="501">
        <v>0</v>
      </c>
      <c r="M7" s="5">
        <v>3</v>
      </c>
      <c r="N7" s="5" t="s">
        <v>601</v>
      </c>
    </row>
    <row r="8" spans="2:21" ht="17" thickBot="1">
      <c r="B8" s="43"/>
      <c r="D8" s="502"/>
      <c r="E8" s="40" t="s">
        <v>602</v>
      </c>
      <c r="F8" s="500">
        <f>PV($D$5,$F$5,0,-$F$7)</f>
        <v>0</v>
      </c>
      <c r="G8" s="503" t="s">
        <v>603</v>
      </c>
      <c r="H8" s="504" t="s">
        <v>604</v>
      </c>
      <c r="I8" s="504" t="s">
        <v>605</v>
      </c>
      <c r="K8" s="4">
        <f>K7/20</f>
        <v>0</v>
      </c>
      <c r="L8" s="5" t="s">
        <v>606</v>
      </c>
      <c r="M8" s="5">
        <v>4</v>
      </c>
      <c r="N8" s="5" t="s">
        <v>607</v>
      </c>
    </row>
    <row r="9" spans="2:21" ht="14" thickBot="1">
      <c r="B9" s="505" t="s">
        <v>608</v>
      </c>
      <c r="C9" s="504" t="s">
        <v>609</v>
      </c>
      <c r="D9" s="506" t="s">
        <v>278</v>
      </c>
      <c r="E9" s="507" t="s">
        <v>610</v>
      </c>
      <c r="F9" s="504" t="s">
        <v>611</v>
      </c>
      <c r="G9" s="508">
        <v>0</v>
      </c>
      <c r="H9" s="509"/>
      <c r="I9" s="510" t="e">
        <f>VLOOKUP(F5,B3:F59,5,FALSE)+F8</f>
        <v>#N/A</v>
      </c>
      <c r="J9" s="151"/>
      <c r="K9" s="511">
        <f>K8/0.63</f>
        <v>0</v>
      </c>
      <c r="L9" s="5" t="s">
        <v>612</v>
      </c>
    </row>
    <row r="10" spans="2:21" ht="16">
      <c r="B10" s="512">
        <v>1</v>
      </c>
      <c r="C10" s="513">
        <f>D4</f>
        <v>0</v>
      </c>
      <c r="D10" s="514">
        <f>C10/2*(1-$D$7)*$D$6</f>
        <v>0</v>
      </c>
      <c r="E10" s="515">
        <f>C10+D10</f>
        <v>0</v>
      </c>
      <c r="F10" s="515">
        <f t="shared" ref="F10:F59" si="0">PV($D$5,B10,0,-E10)</f>
        <v>0</v>
      </c>
      <c r="G10" s="516">
        <f t="shared" ref="G10:G59" si="1">G9+1</f>
        <v>1</v>
      </c>
      <c r="H10" s="517">
        <v>0</v>
      </c>
      <c r="I10" s="518" t="e">
        <f t="shared" ref="I10:I59" si="2">(I9-H10/2)*$I$6*(1-$I$7)+I9-H10</f>
        <v>#N/A</v>
      </c>
      <c r="J10" s="151"/>
      <c r="K10" s="151"/>
      <c r="L10" s="151"/>
    </row>
    <row r="11" spans="2:21" ht="16">
      <c r="B11" s="519">
        <f t="shared" ref="B11:B59" si="3">B10+1</f>
        <v>2</v>
      </c>
      <c r="C11" s="515">
        <f>D4*(1+$D$5)</f>
        <v>0</v>
      </c>
      <c r="D11" s="520">
        <f t="shared" ref="D11:D59" si="4">(E10+C11/2)*(1-$D$7)*$D$6</f>
        <v>0</v>
      </c>
      <c r="E11" s="520">
        <f t="shared" ref="E11:E59" si="5">E10+C11+D11</f>
        <v>0</v>
      </c>
      <c r="F11" s="520">
        <f t="shared" si="0"/>
        <v>0</v>
      </c>
      <c r="G11" s="516">
        <f t="shared" si="1"/>
        <v>2</v>
      </c>
      <c r="H11" s="521">
        <f t="shared" ref="H11:H59" si="6">H10*(1+$I$5)</f>
        <v>0</v>
      </c>
      <c r="I11" s="518" t="e">
        <f t="shared" si="2"/>
        <v>#N/A</v>
      </c>
      <c r="J11" s="151" t="s">
        <v>613</v>
      </c>
      <c r="K11" s="151"/>
      <c r="L11" s="151"/>
    </row>
    <row r="12" spans="2:21" ht="16">
      <c r="B12" s="519">
        <f t="shared" si="3"/>
        <v>3</v>
      </c>
      <c r="C12" s="520">
        <f t="shared" ref="C12:C59" si="7">C11*(1+$D$5)</f>
        <v>0</v>
      </c>
      <c r="D12" s="520">
        <f t="shared" si="4"/>
        <v>0</v>
      </c>
      <c r="E12" s="520">
        <f t="shared" si="5"/>
        <v>0</v>
      </c>
      <c r="F12" s="520">
        <f t="shared" si="0"/>
        <v>0</v>
      </c>
      <c r="G12" s="516">
        <f t="shared" si="1"/>
        <v>3</v>
      </c>
      <c r="H12" s="521">
        <f t="shared" si="6"/>
        <v>0</v>
      </c>
      <c r="I12" s="518" t="e">
        <f t="shared" si="2"/>
        <v>#N/A</v>
      </c>
      <c r="O12" s="522" t="s">
        <v>614</v>
      </c>
      <c r="P12" s="522"/>
      <c r="Q12" s="522" t="s">
        <v>587</v>
      </c>
      <c r="R12" s="522" t="s">
        <v>615</v>
      </c>
    </row>
    <row r="13" spans="2:21" ht="16">
      <c r="B13" s="519">
        <f t="shared" si="3"/>
        <v>4</v>
      </c>
      <c r="C13" s="520">
        <f t="shared" si="7"/>
        <v>0</v>
      </c>
      <c r="D13" s="520">
        <f t="shared" si="4"/>
        <v>0</v>
      </c>
      <c r="E13" s="520">
        <f t="shared" si="5"/>
        <v>0</v>
      </c>
      <c r="F13" s="520">
        <f t="shared" si="0"/>
        <v>0</v>
      </c>
      <c r="G13" s="516">
        <f t="shared" si="1"/>
        <v>4</v>
      </c>
      <c r="H13" s="521">
        <f t="shared" si="6"/>
        <v>0</v>
      </c>
      <c r="I13" s="518" t="e">
        <f t="shared" si="2"/>
        <v>#N/A</v>
      </c>
      <c r="J13" s="151" t="s">
        <v>616</v>
      </c>
      <c r="O13" s="522"/>
      <c r="P13" s="523" t="s">
        <v>617</v>
      </c>
      <c r="Q13" s="524">
        <v>7198</v>
      </c>
      <c r="R13" s="524">
        <f>Q13*12</f>
        <v>86376</v>
      </c>
    </row>
    <row r="14" spans="2:21" ht="16">
      <c r="B14" s="519">
        <f t="shared" si="3"/>
        <v>5</v>
      </c>
      <c r="C14" s="520">
        <f t="shared" si="7"/>
        <v>0</v>
      </c>
      <c r="D14" s="520">
        <f t="shared" si="4"/>
        <v>0</v>
      </c>
      <c r="E14" s="520">
        <f t="shared" si="5"/>
        <v>0</v>
      </c>
      <c r="F14" s="520">
        <f t="shared" si="0"/>
        <v>0</v>
      </c>
      <c r="G14" s="516">
        <f t="shared" si="1"/>
        <v>5</v>
      </c>
      <c r="H14" s="521">
        <f t="shared" si="6"/>
        <v>0</v>
      </c>
      <c r="I14" s="518" t="e">
        <f t="shared" si="2"/>
        <v>#N/A</v>
      </c>
      <c r="J14" s="151" t="s">
        <v>618</v>
      </c>
      <c r="O14" s="522"/>
      <c r="P14" s="523" t="s">
        <v>619</v>
      </c>
      <c r="Q14" s="524">
        <v>8329</v>
      </c>
      <c r="R14" s="524">
        <f>Q14*12</f>
        <v>99948</v>
      </c>
      <c r="U14" s="4"/>
    </row>
    <row r="15" spans="2:21" ht="16">
      <c r="B15" s="519">
        <f t="shared" si="3"/>
        <v>6</v>
      </c>
      <c r="C15" s="520">
        <f t="shared" si="7"/>
        <v>0</v>
      </c>
      <c r="D15" s="520">
        <f t="shared" si="4"/>
        <v>0</v>
      </c>
      <c r="E15" s="520">
        <f t="shared" si="5"/>
        <v>0</v>
      </c>
      <c r="F15" s="520">
        <f t="shared" si="0"/>
        <v>0</v>
      </c>
      <c r="G15" s="516">
        <f t="shared" si="1"/>
        <v>6</v>
      </c>
      <c r="H15" s="521">
        <f t="shared" si="6"/>
        <v>0</v>
      </c>
      <c r="I15" s="518" t="e">
        <f t="shared" si="2"/>
        <v>#N/A</v>
      </c>
      <c r="J15" s="151"/>
      <c r="O15" s="522"/>
      <c r="P15" s="523" t="s">
        <v>620</v>
      </c>
      <c r="Q15" s="524">
        <v>4262</v>
      </c>
      <c r="R15" s="524">
        <f>Q15*12</f>
        <v>51144</v>
      </c>
    </row>
    <row r="16" spans="2:21" ht="16">
      <c r="B16" s="519">
        <f t="shared" si="3"/>
        <v>7</v>
      </c>
      <c r="C16" s="520">
        <f t="shared" si="7"/>
        <v>0</v>
      </c>
      <c r="D16" s="520">
        <f t="shared" si="4"/>
        <v>0</v>
      </c>
      <c r="E16" s="520">
        <f t="shared" si="5"/>
        <v>0</v>
      </c>
      <c r="F16" s="520">
        <f t="shared" si="0"/>
        <v>0</v>
      </c>
      <c r="G16" s="516">
        <f t="shared" si="1"/>
        <v>7</v>
      </c>
      <c r="H16" s="521">
        <f t="shared" si="6"/>
        <v>0</v>
      </c>
      <c r="I16" s="518" t="e">
        <f t="shared" si="2"/>
        <v>#N/A</v>
      </c>
      <c r="Q16" s="4"/>
      <c r="R16" s="4"/>
    </row>
    <row r="17" spans="2:25" ht="16">
      <c r="B17" s="519">
        <f t="shared" si="3"/>
        <v>8</v>
      </c>
      <c r="C17" s="520">
        <f t="shared" si="7"/>
        <v>0</v>
      </c>
      <c r="D17" s="520">
        <f t="shared" si="4"/>
        <v>0</v>
      </c>
      <c r="E17" s="520">
        <f t="shared" si="5"/>
        <v>0</v>
      </c>
      <c r="F17" s="520">
        <f t="shared" si="0"/>
        <v>0</v>
      </c>
      <c r="G17" s="516">
        <f t="shared" si="1"/>
        <v>8</v>
      </c>
      <c r="H17" s="521">
        <f t="shared" si="6"/>
        <v>0</v>
      </c>
      <c r="I17" s="518" t="e">
        <f t="shared" si="2"/>
        <v>#N/A</v>
      </c>
      <c r="J17" s="151"/>
      <c r="P17" s="5" t="s">
        <v>621</v>
      </c>
      <c r="Q17" s="4" t="s">
        <v>587</v>
      </c>
      <c r="R17" s="4" t="s">
        <v>615</v>
      </c>
    </row>
    <row r="18" spans="2:25" ht="16">
      <c r="B18" s="519">
        <f t="shared" si="3"/>
        <v>9</v>
      </c>
      <c r="C18" s="520">
        <f t="shared" si="7"/>
        <v>0</v>
      </c>
      <c r="D18" s="520">
        <f t="shared" si="4"/>
        <v>0</v>
      </c>
      <c r="E18" s="520">
        <f t="shared" si="5"/>
        <v>0</v>
      </c>
      <c r="F18" s="520">
        <f t="shared" si="0"/>
        <v>0</v>
      </c>
      <c r="G18" s="516">
        <f t="shared" si="1"/>
        <v>9</v>
      </c>
      <c r="H18" s="521">
        <f t="shared" si="6"/>
        <v>0</v>
      </c>
      <c r="I18" s="518" t="e">
        <f t="shared" si="2"/>
        <v>#N/A</v>
      </c>
      <c r="J18" s="151"/>
      <c r="K18" s="151"/>
      <c r="L18" s="151"/>
      <c r="M18" s="151"/>
      <c r="P18" s="523" t="s">
        <v>622</v>
      </c>
      <c r="Q18" s="524">
        <f>R18/12</f>
        <v>2343.25</v>
      </c>
      <c r="R18" s="524">
        <v>28119</v>
      </c>
    </row>
    <row r="19" spans="2:25" ht="17" thickBot="1">
      <c r="B19" s="519">
        <f t="shared" si="3"/>
        <v>10</v>
      </c>
      <c r="C19" s="520">
        <f t="shared" si="7"/>
        <v>0</v>
      </c>
      <c r="D19" s="520">
        <f t="shared" si="4"/>
        <v>0</v>
      </c>
      <c r="E19" s="520">
        <f t="shared" si="5"/>
        <v>0</v>
      </c>
      <c r="F19" s="520">
        <f t="shared" si="0"/>
        <v>0</v>
      </c>
      <c r="G19" s="516">
        <f t="shared" si="1"/>
        <v>10</v>
      </c>
      <c r="H19" s="521">
        <f t="shared" si="6"/>
        <v>0</v>
      </c>
      <c r="I19" s="518" t="e">
        <f t="shared" si="2"/>
        <v>#N/A</v>
      </c>
      <c r="J19" s="151"/>
      <c r="K19" s="151"/>
      <c r="L19" s="151"/>
      <c r="M19" s="151"/>
    </row>
    <row r="20" spans="2:25" ht="16">
      <c r="B20" s="519">
        <f t="shared" si="3"/>
        <v>11</v>
      </c>
      <c r="C20" s="520">
        <f t="shared" si="7"/>
        <v>0</v>
      </c>
      <c r="D20" s="520">
        <f t="shared" si="4"/>
        <v>0</v>
      </c>
      <c r="E20" s="520">
        <f t="shared" si="5"/>
        <v>0</v>
      </c>
      <c r="F20" s="520">
        <f t="shared" si="0"/>
        <v>0</v>
      </c>
      <c r="G20" s="516">
        <f t="shared" si="1"/>
        <v>11</v>
      </c>
      <c r="H20" s="521">
        <f t="shared" si="6"/>
        <v>0</v>
      </c>
      <c r="I20" s="518" t="e">
        <f t="shared" si="2"/>
        <v>#N/A</v>
      </c>
      <c r="J20" s="151"/>
      <c r="K20" s="151"/>
      <c r="L20" s="151"/>
      <c r="M20" s="151"/>
      <c r="P20" s="57" t="s">
        <v>623</v>
      </c>
      <c r="Q20" s="488"/>
      <c r="R20" s="525">
        <v>0</v>
      </c>
    </row>
    <row r="21" spans="2:25" ht="17" thickBot="1">
      <c r="B21" s="519">
        <f t="shared" si="3"/>
        <v>12</v>
      </c>
      <c r="C21" s="520">
        <f t="shared" si="7"/>
        <v>0</v>
      </c>
      <c r="D21" s="520">
        <f t="shared" si="4"/>
        <v>0</v>
      </c>
      <c r="E21" s="520">
        <f t="shared" si="5"/>
        <v>0</v>
      </c>
      <c r="F21" s="520">
        <f t="shared" si="0"/>
        <v>0</v>
      </c>
      <c r="G21" s="516">
        <f t="shared" si="1"/>
        <v>12</v>
      </c>
      <c r="H21" s="521">
        <f t="shared" si="6"/>
        <v>0</v>
      </c>
      <c r="I21" s="518" t="e">
        <f t="shared" si="2"/>
        <v>#N/A</v>
      </c>
      <c r="J21" s="151"/>
      <c r="K21" s="151"/>
      <c r="L21" s="151"/>
      <c r="M21" s="151"/>
      <c r="P21" s="63" t="s">
        <v>624</v>
      </c>
      <c r="Q21" s="526">
        <v>0.8</v>
      </c>
      <c r="R21" s="527">
        <f>R20*Q21</f>
        <v>0</v>
      </c>
    </row>
    <row r="22" spans="2:25" ht="16">
      <c r="B22" s="519">
        <f t="shared" si="3"/>
        <v>13</v>
      </c>
      <c r="C22" s="520">
        <f t="shared" si="7"/>
        <v>0</v>
      </c>
      <c r="D22" s="520">
        <f t="shared" si="4"/>
        <v>0</v>
      </c>
      <c r="E22" s="520">
        <f t="shared" si="5"/>
        <v>0</v>
      </c>
      <c r="F22" s="520">
        <f t="shared" si="0"/>
        <v>0</v>
      </c>
      <c r="G22" s="516">
        <f t="shared" si="1"/>
        <v>13</v>
      </c>
      <c r="H22" s="521">
        <f t="shared" si="6"/>
        <v>0</v>
      </c>
      <c r="I22" s="518" t="e">
        <f t="shared" si="2"/>
        <v>#N/A</v>
      </c>
      <c r="J22" s="151"/>
      <c r="K22" s="151"/>
      <c r="L22" s="151"/>
      <c r="M22" s="151"/>
      <c r="P22" s="48" t="s">
        <v>625</v>
      </c>
      <c r="R22" s="528">
        <f>R13</f>
        <v>86376</v>
      </c>
      <c r="S22" s="5" t="s">
        <v>626</v>
      </c>
    </row>
    <row r="23" spans="2:25" ht="16">
      <c r="B23" s="519">
        <f t="shared" si="3"/>
        <v>14</v>
      </c>
      <c r="C23" s="520">
        <f t="shared" si="7"/>
        <v>0</v>
      </c>
      <c r="D23" s="520">
        <f t="shared" si="4"/>
        <v>0</v>
      </c>
      <c r="E23" s="520">
        <f t="shared" si="5"/>
        <v>0</v>
      </c>
      <c r="F23" s="520">
        <f t="shared" si="0"/>
        <v>0</v>
      </c>
      <c r="G23" s="516">
        <f t="shared" si="1"/>
        <v>14</v>
      </c>
      <c r="H23" s="521">
        <f t="shared" si="6"/>
        <v>0</v>
      </c>
      <c r="I23" s="518" t="e">
        <f t="shared" si="2"/>
        <v>#N/A</v>
      </c>
      <c r="J23" s="151"/>
      <c r="K23" s="151"/>
      <c r="L23" s="151"/>
      <c r="M23" s="151"/>
      <c r="P23" s="48" t="s">
        <v>627</v>
      </c>
      <c r="R23" s="528">
        <f>R18</f>
        <v>28119</v>
      </c>
      <c r="S23" s="5" t="str">
        <f>S22</f>
        <v>juster så det passer</v>
      </c>
    </row>
    <row r="24" spans="2:25" ht="16">
      <c r="B24" s="519">
        <f t="shared" si="3"/>
        <v>15</v>
      </c>
      <c r="C24" s="520">
        <f t="shared" si="7"/>
        <v>0</v>
      </c>
      <c r="D24" s="520">
        <f t="shared" si="4"/>
        <v>0</v>
      </c>
      <c r="E24" s="520">
        <f t="shared" si="5"/>
        <v>0</v>
      </c>
      <c r="F24" s="520">
        <f t="shared" si="0"/>
        <v>0</v>
      </c>
      <c r="G24" s="516">
        <f t="shared" si="1"/>
        <v>15</v>
      </c>
      <c r="H24" s="521">
        <f t="shared" si="6"/>
        <v>0</v>
      </c>
      <c r="I24" s="518" t="e">
        <f t="shared" si="2"/>
        <v>#N/A</v>
      </c>
      <c r="J24" s="151"/>
      <c r="K24" s="151"/>
      <c r="L24" s="151"/>
      <c r="M24" s="151"/>
      <c r="P24" s="48" t="s">
        <v>628</v>
      </c>
      <c r="R24" s="528">
        <f>H10</f>
        <v>0</v>
      </c>
      <c r="S24" s="5" t="s">
        <v>629</v>
      </c>
      <c r="W24" s="5" t="s">
        <v>75</v>
      </c>
      <c r="Y24" s="5" t="s">
        <v>75</v>
      </c>
    </row>
    <row r="25" spans="2:25" ht="17" thickBot="1">
      <c r="B25" s="519">
        <f t="shared" si="3"/>
        <v>16</v>
      </c>
      <c r="C25" s="520">
        <f t="shared" si="7"/>
        <v>0</v>
      </c>
      <c r="D25" s="520">
        <f t="shared" si="4"/>
        <v>0</v>
      </c>
      <c r="E25" s="520">
        <f t="shared" si="5"/>
        <v>0</v>
      </c>
      <c r="F25" s="520">
        <f t="shared" si="0"/>
        <v>0</v>
      </c>
      <c r="G25" s="516">
        <f t="shared" si="1"/>
        <v>16</v>
      </c>
      <c r="H25" s="521">
        <f t="shared" si="6"/>
        <v>0</v>
      </c>
      <c r="I25" s="518" t="e">
        <f t="shared" si="2"/>
        <v>#N/A</v>
      </c>
      <c r="P25" s="48" t="s">
        <v>630</v>
      </c>
      <c r="R25" s="529">
        <f>K9</f>
        <v>0</v>
      </c>
    </row>
    <row r="26" spans="2:25" ht="17" thickBot="1">
      <c r="B26" s="519">
        <f t="shared" si="3"/>
        <v>17</v>
      </c>
      <c r="C26" s="520">
        <f t="shared" si="7"/>
        <v>0</v>
      </c>
      <c r="D26" s="520">
        <f t="shared" si="4"/>
        <v>0</v>
      </c>
      <c r="E26" s="520">
        <f t="shared" si="5"/>
        <v>0</v>
      </c>
      <c r="F26" s="520">
        <f t="shared" si="0"/>
        <v>0</v>
      </c>
      <c r="G26" s="516">
        <f t="shared" si="1"/>
        <v>17</v>
      </c>
      <c r="H26" s="521">
        <f t="shared" si="6"/>
        <v>0</v>
      </c>
      <c r="I26" s="518" t="e">
        <f t="shared" si="2"/>
        <v>#N/A</v>
      </c>
      <c r="P26" s="530" t="s">
        <v>631</v>
      </c>
      <c r="Q26" s="531"/>
      <c r="R26" s="532">
        <f>R21-R22-R23-R24-R25</f>
        <v>-114495</v>
      </c>
    </row>
    <row r="27" spans="2:25" ht="17" thickBot="1">
      <c r="B27" s="519">
        <f t="shared" si="3"/>
        <v>18</v>
      </c>
      <c r="C27" s="520">
        <f t="shared" si="7"/>
        <v>0</v>
      </c>
      <c r="D27" s="520">
        <f t="shared" si="4"/>
        <v>0</v>
      </c>
      <c r="E27" s="520">
        <f t="shared" si="5"/>
        <v>0</v>
      </c>
      <c r="F27" s="520">
        <f t="shared" si="0"/>
        <v>0</v>
      </c>
      <c r="G27" s="516">
        <f t="shared" si="1"/>
        <v>18</v>
      </c>
      <c r="H27" s="521">
        <f t="shared" si="6"/>
        <v>0</v>
      </c>
      <c r="I27" s="518" t="e">
        <f t="shared" si="2"/>
        <v>#N/A</v>
      </c>
      <c r="J27" s="151"/>
    </row>
    <row r="28" spans="2:25" ht="16">
      <c r="B28" s="519">
        <f t="shared" si="3"/>
        <v>19</v>
      </c>
      <c r="C28" s="520">
        <f t="shared" si="7"/>
        <v>0</v>
      </c>
      <c r="D28" s="520">
        <f t="shared" si="4"/>
        <v>0</v>
      </c>
      <c r="E28" s="520">
        <f t="shared" si="5"/>
        <v>0</v>
      </c>
      <c r="F28" s="520">
        <f t="shared" si="0"/>
        <v>0</v>
      </c>
      <c r="G28" s="516">
        <f t="shared" si="1"/>
        <v>19</v>
      </c>
      <c r="H28" s="521">
        <f t="shared" si="6"/>
        <v>0</v>
      </c>
      <c r="I28" s="518" t="e">
        <f t="shared" si="2"/>
        <v>#N/A</v>
      </c>
      <c r="J28" s="151"/>
      <c r="P28" s="533" t="s">
        <v>632</v>
      </c>
      <c r="Q28" s="534"/>
      <c r="R28" s="535">
        <f>R22+R23+R24+R25</f>
        <v>114495</v>
      </c>
    </row>
    <row r="29" spans="2:25" ht="17" thickBot="1">
      <c r="B29" s="519">
        <f t="shared" si="3"/>
        <v>20</v>
      </c>
      <c r="C29" s="520">
        <f t="shared" si="7"/>
        <v>0</v>
      </c>
      <c r="D29" s="520">
        <f t="shared" si="4"/>
        <v>0</v>
      </c>
      <c r="E29" s="520">
        <f t="shared" si="5"/>
        <v>0</v>
      </c>
      <c r="F29" s="520">
        <f t="shared" si="0"/>
        <v>0</v>
      </c>
      <c r="G29" s="516">
        <f t="shared" si="1"/>
        <v>20</v>
      </c>
      <c r="H29" s="521">
        <f t="shared" si="6"/>
        <v>0</v>
      </c>
      <c r="I29" s="536" t="e">
        <f t="shared" si="2"/>
        <v>#N/A</v>
      </c>
      <c r="J29" s="151"/>
      <c r="P29" s="537" t="s">
        <v>633</v>
      </c>
      <c r="Q29" s="538"/>
      <c r="R29" s="539" t="e">
        <f>R28/R20</f>
        <v>#DIV/0!</v>
      </c>
    </row>
    <row r="30" spans="2:25" ht="16">
      <c r="B30" s="519">
        <f t="shared" si="3"/>
        <v>21</v>
      </c>
      <c r="C30" s="520">
        <f t="shared" si="7"/>
        <v>0</v>
      </c>
      <c r="D30" s="520">
        <f t="shared" si="4"/>
        <v>0</v>
      </c>
      <c r="E30" s="520">
        <f t="shared" si="5"/>
        <v>0</v>
      </c>
      <c r="F30" s="520">
        <f t="shared" si="0"/>
        <v>0</v>
      </c>
      <c r="G30" s="516">
        <f t="shared" si="1"/>
        <v>21</v>
      </c>
      <c r="H30" s="521">
        <f t="shared" si="6"/>
        <v>0</v>
      </c>
      <c r="I30" s="518" t="e">
        <f t="shared" si="2"/>
        <v>#N/A</v>
      </c>
    </row>
    <row r="31" spans="2:25" ht="16">
      <c r="B31" s="519">
        <f t="shared" si="3"/>
        <v>22</v>
      </c>
      <c r="C31" s="520">
        <f t="shared" si="7"/>
        <v>0</v>
      </c>
      <c r="D31" s="520">
        <f t="shared" si="4"/>
        <v>0</v>
      </c>
      <c r="E31" s="520">
        <f t="shared" si="5"/>
        <v>0</v>
      </c>
      <c r="F31" s="520">
        <f t="shared" si="0"/>
        <v>0</v>
      </c>
      <c r="G31" s="516">
        <f t="shared" si="1"/>
        <v>22</v>
      </c>
      <c r="H31" s="521">
        <f t="shared" si="6"/>
        <v>0</v>
      </c>
      <c r="I31" s="518" t="e">
        <f t="shared" si="2"/>
        <v>#N/A</v>
      </c>
      <c r="J31" s="151"/>
    </row>
    <row r="32" spans="2:25" ht="16">
      <c r="B32" s="519">
        <f t="shared" si="3"/>
        <v>23</v>
      </c>
      <c r="C32" s="520">
        <f t="shared" si="7"/>
        <v>0</v>
      </c>
      <c r="D32" s="520">
        <f t="shared" si="4"/>
        <v>0</v>
      </c>
      <c r="E32" s="520">
        <f t="shared" si="5"/>
        <v>0</v>
      </c>
      <c r="F32" s="520">
        <f t="shared" si="0"/>
        <v>0</v>
      </c>
      <c r="G32" s="516">
        <f t="shared" si="1"/>
        <v>23</v>
      </c>
      <c r="H32" s="521">
        <f t="shared" si="6"/>
        <v>0</v>
      </c>
      <c r="I32" s="518" t="e">
        <f t="shared" si="2"/>
        <v>#N/A</v>
      </c>
      <c r="J32" s="151"/>
    </row>
    <row r="33" spans="2:25" ht="16">
      <c r="B33" s="519">
        <f t="shared" si="3"/>
        <v>24</v>
      </c>
      <c r="C33" s="520">
        <f t="shared" si="7"/>
        <v>0</v>
      </c>
      <c r="D33" s="520">
        <f t="shared" si="4"/>
        <v>0</v>
      </c>
      <c r="E33" s="520">
        <f t="shared" si="5"/>
        <v>0</v>
      </c>
      <c r="F33" s="520">
        <f t="shared" si="0"/>
        <v>0</v>
      </c>
      <c r="G33" s="516">
        <f t="shared" si="1"/>
        <v>24</v>
      </c>
      <c r="H33" s="521">
        <f t="shared" si="6"/>
        <v>0</v>
      </c>
      <c r="I33" s="518" t="e">
        <f t="shared" si="2"/>
        <v>#N/A</v>
      </c>
      <c r="K33" s="5" t="s">
        <v>634</v>
      </c>
    </row>
    <row r="34" spans="2:25" ht="16">
      <c r="B34" s="519">
        <f t="shared" si="3"/>
        <v>25</v>
      </c>
      <c r="C34" s="520">
        <f t="shared" si="7"/>
        <v>0</v>
      </c>
      <c r="D34" s="520">
        <f t="shared" si="4"/>
        <v>0</v>
      </c>
      <c r="E34" s="520">
        <f t="shared" si="5"/>
        <v>0</v>
      </c>
      <c r="F34" s="520">
        <f t="shared" si="0"/>
        <v>0</v>
      </c>
      <c r="G34" s="516">
        <f t="shared" si="1"/>
        <v>25</v>
      </c>
      <c r="H34" s="521">
        <f t="shared" si="6"/>
        <v>0</v>
      </c>
      <c r="I34" s="518" t="e">
        <f t="shared" si="2"/>
        <v>#N/A</v>
      </c>
      <c r="K34" s="5" t="s">
        <v>635</v>
      </c>
      <c r="Y34" s="5" t="s">
        <v>75</v>
      </c>
    </row>
    <row r="35" spans="2:25" ht="16">
      <c r="B35" s="519">
        <f t="shared" si="3"/>
        <v>26</v>
      </c>
      <c r="C35" s="520">
        <f t="shared" si="7"/>
        <v>0</v>
      </c>
      <c r="D35" s="520">
        <f t="shared" si="4"/>
        <v>0</v>
      </c>
      <c r="E35" s="520">
        <f t="shared" si="5"/>
        <v>0</v>
      </c>
      <c r="F35" s="520">
        <f t="shared" si="0"/>
        <v>0</v>
      </c>
      <c r="G35" s="516">
        <f t="shared" si="1"/>
        <v>26</v>
      </c>
      <c r="H35" s="521">
        <f t="shared" si="6"/>
        <v>0</v>
      </c>
      <c r="I35" s="518" t="e">
        <f t="shared" si="2"/>
        <v>#N/A</v>
      </c>
      <c r="K35" s="5" t="s">
        <v>636</v>
      </c>
    </row>
    <row r="36" spans="2:25" ht="16">
      <c r="B36" s="519">
        <f t="shared" si="3"/>
        <v>27</v>
      </c>
      <c r="C36" s="520">
        <f t="shared" si="7"/>
        <v>0</v>
      </c>
      <c r="D36" s="520">
        <f t="shared" si="4"/>
        <v>0</v>
      </c>
      <c r="E36" s="520">
        <f t="shared" si="5"/>
        <v>0</v>
      </c>
      <c r="F36" s="520">
        <f t="shared" si="0"/>
        <v>0</v>
      </c>
      <c r="G36" s="516">
        <f t="shared" si="1"/>
        <v>27</v>
      </c>
      <c r="H36" s="521">
        <f t="shared" si="6"/>
        <v>0</v>
      </c>
      <c r="I36" s="518" t="e">
        <f t="shared" si="2"/>
        <v>#N/A</v>
      </c>
      <c r="K36" s="540"/>
    </row>
    <row r="37" spans="2:25" ht="16">
      <c r="B37" s="519">
        <f t="shared" si="3"/>
        <v>28</v>
      </c>
      <c r="C37" s="520">
        <f t="shared" si="7"/>
        <v>0</v>
      </c>
      <c r="D37" s="520">
        <f t="shared" si="4"/>
        <v>0</v>
      </c>
      <c r="E37" s="520">
        <f t="shared" si="5"/>
        <v>0</v>
      </c>
      <c r="F37" s="520">
        <f t="shared" si="0"/>
        <v>0</v>
      </c>
      <c r="G37" s="516">
        <f t="shared" si="1"/>
        <v>28</v>
      </c>
      <c r="H37" s="521">
        <f t="shared" si="6"/>
        <v>0</v>
      </c>
      <c r="I37" s="518" t="e">
        <f t="shared" si="2"/>
        <v>#N/A</v>
      </c>
      <c r="K37" s="5" t="s">
        <v>637</v>
      </c>
    </row>
    <row r="38" spans="2:25" ht="16">
      <c r="B38" s="519">
        <f t="shared" si="3"/>
        <v>29</v>
      </c>
      <c r="C38" s="520">
        <f t="shared" si="7"/>
        <v>0</v>
      </c>
      <c r="D38" s="520">
        <f t="shared" si="4"/>
        <v>0</v>
      </c>
      <c r="E38" s="520">
        <f t="shared" si="5"/>
        <v>0</v>
      </c>
      <c r="F38" s="520">
        <f t="shared" si="0"/>
        <v>0</v>
      </c>
      <c r="G38" s="516">
        <f t="shared" si="1"/>
        <v>29</v>
      </c>
      <c r="H38" s="521">
        <f t="shared" si="6"/>
        <v>0</v>
      </c>
      <c r="I38" s="518" t="e">
        <f t="shared" si="2"/>
        <v>#N/A</v>
      </c>
    </row>
    <row r="39" spans="2:25" ht="16">
      <c r="B39" s="519">
        <f t="shared" si="3"/>
        <v>30</v>
      </c>
      <c r="C39" s="520">
        <f t="shared" si="7"/>
        <v>0</v>
      </c>
      <c r="D39" s="520">
        <f t="shared" si="4"/>
        <v>0</v>
      </c>
      <c r="E39" s="520">
        <f t="shared" si="5"/>
        <v>0</v>
      </c>
      <c r="F39" s="520">
        <f t="shared" si="0"/>
        <v>0</v>
      </c>
      <c r="G39" s="516">
        <f t="shared" si="1"/>
        <v>30</v>
      </c>
      <c r="H39" s="521">
        <f t="shared" si="6"/>
        <v>0</v>
      </c>
      <c r="I39" s="518" t="e">
        <f t="shared" si="2"/>
        <v>#N/A</v>
      </c>
    </row>
    <row r="40" spans="2:25" ht="16">
      <c r="B40" s="519">
        <f t="shared" si="3"/>
        <v>31</v>
      </c>
      <c r="C40" s="520">
        <f t="shared" si="7"/>
        <v>0</v>
      </c>
      <c r="D40" s="520">
        <f t="shared" si="4"/>
        <v>0</v>
      </c>
      <c r="E40" s="520">
        <f t="shared" si="5"/>
        <v>0</v>
      </c>
      <c r="F40" s="520">
        <f t="shared" si="0"/>
        <v>0</v>
      </c>
      <c r="G40" s="516">
        <f t="shared" si="1"/>
        <v>31</v>
      </c>
      <c r="H40" s="521">
        <f t="shared" si="6"/>
        <v>0</v>
      </c>
      <c r="I40" s="518" t="e">
        <f t="shared" si="2"/>
        <v>#N/A</v>
      </c>
    </row>
    <row r="41" spans="2:25" ht="16">
      <c r="B41" s="519">
        <f t="shared" si="3"/>
        <v>32</v>
      </c>
      <c r="C41" s="520">
        <f t="shared" si="7"/>
        <v>0</v>
      </c>
      <c r="D41" s="520">
        <f t="shared" si="4"/>
        <v>0</v>
      </c>
      <c r="E41" s="520">
        <f t="shared" si="5"/>
        <v>0</v>
      </c>
      <c r="F41" s="520">
        <f t="shared" si="0"/>
        <v>0</v>
      </c>
      <c r="G41" s="516">
        <f t="shared" si="1"/>
        <v>32</v>
      </c>
      <c r="H41" s="521">
        <f t="shared" si="6"/>
        <v>0</v>
      </c>
      <c r="I41" s="518" t="e">
        <f t="shared" si="2"/>
        <v>#N/A</v>
      </c>
    </row>
    <row r="42" spans="2:25" ht="16">
      <c r="B42" s="519">
        <f t="shared" si="3"/>
        <v>33</v>
      </c>
      <c r="C42" s="520">
        <f t="shared" si="7"/>
        <v>0</v>
      </c>
      <c r="D42" s="520">
        <f t="shared" si="4"/>
        <v>0</v>
      </c>
      <c r="E42" s="520">
        <f t="shared" si="5"/>
        <v>0</v>
      </c>
      <c r="F42" s="520">
        <f t="shared" si="0"/>
        <v>0</v>
      </c>
      <c r="G42" s="516">
        <f t="shared" si="1"/>
        <v>33</v>
      </c>
      <c r="H42" s="521">
        <f t="shared" si="6"/>
        <v>0</v>
      </c>
      <c r="I42" s="518" t="e">
        <f t="shared" si="2"/>
        <v>#N/A</v>
      </c>
    </row>
    <row r="43" spans="2:25" ht="16">
      <c r="B43" s="519">
        <f t="shared" si="3"/>
        <v>34</v>
      </c>
      <c r="C43" s="520">
        <f t="shared" si="7"/>
        <v>0</v>
      </c>
      <c r="D43" s="520">
        <f t="shared" si="4"/>
        <v>0</v>
      </c>
      <c r="E43" s="520">
        <f t="shared" si="5"/>
        <v>0</v>
      </c>
      <c r="F43" s="520">
        <f t="shared" si="0"/>
        <v>0</v>
      </c>
      <c r="G43" s="516">
        <f t="shared" si="1"/>
        <v>34</v>
      </c>
      <c r="H43" s="521">
        <f t="shared" si="6"/>
        <v>0</v>
      </c>
      <c r="I43" s="518" t="e">
        <f t="shared" si="2"/>
        <v>#N/A</v>
      </c>
    </row>
    <row r="44" spans="2:25" ht="16">
      <c r="B44" s="519">
        <f t="shared" si="3"/>
        <v>35</v>
      </c>
      <c r="C44" s="520">
        <f t="shared" si="7"/>
        <v>0</v>
      </c>
      <c r="D44" s="520">
        <f t="shared" si="4"/>
        <v>0</v>
      </c>
      <c r="E44" s="520">
        <f t="shared" si="5"/>
        <v>0</v>
      </c>
      <c r="F44" s="520">
        <f t="shared" si="0"/>
        <v>0</v>
      </c>
      <c r="G44" s="516">
        <f t="shared" si="1"/>
        <v>35</v>
      </c>
      <c r="H44" s="521">
        <f t="shared" si="6"/>
        <v>0</v>
      </c>
      <c r="I44" s="518" t="e">
        <f t="shared" si="2"/>
        <v>#N/A</v>
      </c>
    </row>
    <row r="45" spans="2:25" ht="16">
      <c r="B45" s="519">
        <f t="shared" si="3"/>
        <v>36</v>
      </c>
      <c r="C45" s="520">
        <f t="shared" si="7"/>
        <v>0</v>
      </c>
      <c r="D45" s="520">
        <f t="shared" si="4"/>
        <v>0</v>
      </c>
      <c r="E45" s="520">
        <f t="shared" si="5"/>
        <v>0</v>
      </c>
      <c r="F45" s="520">
        <f t="shared" si="0"/>
        <v>0</v>
      </c>
      <c r="G45" s="516">
        <f t="shared" si="1"/>
        <v>36</v>
      </c>
      <c r="H45" s="521">
        <f t="shared" si="6"/>
        <v>0</v>
      </c>
      <c r="I45" s="518" t="e">
        <f t="shared" si="2"/>
        <v>#N/A</v>
      </c>
    </row>
    <row r="46" spans="2:25" ht="16">
      <c r="B46" s="519">
        <f t="shared" si="3"/>
        <v>37</v>
      </c>
      <c r="C46" s="520">
        <f t="shared" si="7"/>
        <v>0</v>
      </c>
      <c r="D46" s="520">
        <f t="shared" si="4"/>
        <v>0</v>
      </c>
      <c r="E46" s="520">
        <f t="shared" si="5"/>
        <v>0</v>
      </c>
      <c r="F46" s="520">
        <f t="shared" si="0"/>
        <v>0</v>
      </c>
      <c r="G46" s="516">
        <f t="shared" si="1"/>
        <v>37</v>
      </c>
      <c r="H46" s="521">
        <f t="shared" si="6"/>
        <v>0</v>
      </c>
      <c r="I46" s="518" t="e">
        <f t="shared" si="2"/>
        <v>#N/A</v>
      </c>
    </row>
    <row r="47" spans="2:25" ht="16">
      <c r="B47" s="519">
        <f t="shared" si="3"/>
        <v>38</v>
      </c>
      <c r="C47" s="520">
        <f t="shared" si="7"/>
        <v>0</v>
      </c>
      <c r="D47" s="520">
        <f t="shared" si="4"/>
        <v>0</v>
      </c>
      <c r="E47" s="520">
        <f t="shared" si="5"/>
        <v>0</v>
      </c>
      <c r="F47" s="520">
        <f t="shared" si="0"/>
        <v>0</v>
      </c>
      <c r="G47" s="516">
        <f t="shared" si="1"/>
        <v>38</v>
      </c>
      <c r="H47" s="521">
        <f t="shared" si="6"/>
        <v>0</v>
      </c>
      <c r="I47" s="518" t="e">
        <f t="shared" si="2"/>
        <v>#N/A</v>
      </c>
    </row>
    <row r="48" spans="2:25" ht="16">
      <c r="B48" s="519">
        <f t="shared" si="3"/>
        <v>39</v>
      </c>
      <c r="C48" s="520">
        <f t="shared" si="7"/>
        <v>0</v>
      </c>
      <c r="D48" s="520">
        <f t="shared" si="4"/>
        <v>0</v>
      </c>
      <c r="E48" s="520">
        <f t="shared" si="5"/>
        <v>0</v>
      </c>
      <c r="F48" s="520">
        <f t="shared" si="0"/>
        <v>0</v>
      </c>
      <c r="G48" s="516">
        <f t="shared" si="1"/>
        <v>39</v>
      </c>
      <c r="H48" s="521">
        <f t="shared" si="6"/>
        <v>0</v>
      </c>
      <c r="I48" s="518" t="e">
        <f t="shared" si="2"/>
        <v>#N/A</v>
      </c>
    </row>
    <row r="49" spans="2:9" ht="16">
      <c r="B49" s="519">
        <f t="shared" si="3"/>
        <v>40</v>
      </c>
      <c r="C49" s="520">
        <f t="shared" si="7"/>
        <v>0</v>
      </c>
      <c r="D49" s="520">
        <f t="shared" si="4"/>
        <v>0</v>
      </c>
      <c r="E49" s="520">
        <f t="shared" si="5"/>
        <v>0</v>
      </c>
      <c r="F49" s="520">
        <f t="shared" si="0"/>
        <v>0</v>
      </c>
      <c r="G49" s="516">
        <f t="shared" si="1"/>
        <v>40</v>
      </c>
      <c r="H49" s="521">
        <f t="shared" si="6"/>
        <v>0</v>
      </c>
      <c r="I49" s="518" t="e">
        <f t="shared" si="2"/>
        <v>#N/A</v>
      </c>
    </row>
    <row r="50" spans="2:9" ht="16">
      <c r="B50" s="519">
        <f t="shared" si="3"/>
        <v>41</v>
      </c>
      <c r="C50" s="520">
        <f t="shared" si="7"/>
        <v>0</v>
      </c>
      <c r="D50" s="520">
        <f t="shared" si="4"/>
        <v>0</v>
      </c>
      <c r="E50" s="520">
        <f t="shared" si="5"/>
        <v>0</v>
      </c>
      <c r="F50" s="520">
        <f t="shared" si="0"/>
        <v>0</v>
      </c>
      <c r="G50" s="516">
        <f t="shared" si="1"/>
        <v>41</v>
      </c>
      <c r="H50" s="521">
        <f t="shared" si="6"/>
        <v>0</v>
      </c>
      <c r="I50" s="518" t="e">
        <f t="shared" si="2"/>
        <v>#N/A</v>
      </c>
    </row>
    <row r="51" spans="2:9" ht="16">
      <c r="B51" s="519">
        <f t="shared" si="3"/>
        <v>42</v>
      </c>
      <c r="C51" s="520">
        <f t="shared" si="7"/>
        <v>0</v>
      </c>
      <c r="D51" s="520">
        <f t="shared" si="4"/>
        <v>0</v>
      </c>
      <c r="E51" s="520">
        <f t="shared" si="5"/>
        <v>0</v>
      </c>
      <c r="F51" s="520">
        <f t="shared" si="0"/>
        <v>0</v>
      </c>
      <c r="G51" s="516">
        <f t="shared" si="1"/>
        <v>42</v>
      </c>
      <c r="H51" s="521">
        <f t="shared" si="6"/>
        <v>0</v>
      </c>
      <c r="I51" s="518" t="e">
        <f t="shared" si="2"/>
        <v>#N/A</v>
      </c>
    </row>
    <row r="52" spans="2:9" ht="16">
      <c r="B52" s="519">
        <f t="shared" si="3"/>
        <v>43</v>
      </c>
      <c r="C52" s="520">
        <f t="shared" si="7"/>
        <v>0</v>
      </c>
      <c r="D52" s="520">
        <f t="shared" si="4"/>
        <v>0</v>
      </c>
      <c r="E52" s="520">
        <f t="shared" si="5"/>
        <v>0</v>
      </c>
      <c r="F52" s="520">
        <f t="shared" si="0"/>
        <v>0</v>
      </c>
      <c r="G52" s="516">
        <f t="shared" si="1"/>
        <v>43</v>
      </c>
      <c r="H52" s="521">
        <f t="shared" si="6"/>
        <v>0</v>
      </c>
      <c r="I52" s="518" t="e">
        <f t="shared" si="2"/>
        <v>#N/A</v>
      </c>
    </row>
    <row r="53" spans="2:9" ht="16">
      <c r="B53" s="519">
        <f t="shared" si="3"/>
        <v>44</v>
      </c>
      <c r="C53" s="520">
        <f t="shared" si="7"/>
        <v>0</v>
      </c>
      <c r="D53" s="520">
        <f t="shared" si="4"/>
        <v>0</v>
      </c>
      <c r="E53" s="520">
        <f t="shared" si="5"/>
        <v>0</v>
      </c>
      <c r="F53" s="520">
        <f t="shared" si="0"/>
        <v>0</v>
      </c>
      <c r="G53" s="516">
        <f t="shared" si="1"/>
        <v>44</v>
      </c>
      <c r="H53" s="521">
        <f t="shared" si="6"/>
        <v>0</v>
      </c>
      <c r="I53" s="518" t="e">
        <f t="shared" si="2"/>
        <v>#N/A</v>
      </c>
    </row>
    <row r="54" spans="2:9" ht="16">
      <c r="B54" s="519">
        <f t="shared" si="3"/>
        <v>45</v>
      </c>
      <c r="C54" s="520">
        <f t="shared" si="7"/>
        <v>0</v>
      </c>
      <c r="D54" s="520">
        <f t="shared" si="4"/>
        <v>0</v>
      </c>
      <c r="E54" s="520">
        <f t="shared" si="5"/>
        <v>0</v>
      </c>
      <c r="F54" s="520">
        <f t="shared" si="0"/>
        <v>0</v>
      </c>
      <c r="G54" s="516">
        <f t="shared" si="1"/>
        <v>45</v>
      </c>
      <c r="H54" s="521">
        <f t="shared" si="6"/>
        <v>0</v>
      </c>
      <c r="I54" s="518" t="e">
        <f t="shared" si="2"/>
        <v>#N/A</v>
      </c>
    </row>
    <row r="55" spans="2:9" ht="16">
      <c r="B55" s="519">
        <f t="shared" si="3"/>
        <v>46</v>
      </c>
      <c r="C55" s="520">
        <f t="shared" si="7"/>
        <v>0</v>
      </c>
      <c r="D55" s="520">
        <f t="shared" si="4"/>
        <v>0</v>
      </c>
      <c r="E55" s="520">
        <f t="shared" si="5"/>
        <v>0</v>
      </c>
      <c r="F55" s="520">
        <f t="shared" si="0"/>
        <v>0</v>
      </c>
      <c r="G55" s="516">
        <f t="shared" si="1"/>
        <v>46</v>
      </c>
      <c r="H55" s="521">
        <f t="shared" si="6"/>
        <v>0</v>
      </c>
      <c r="I55" s="518" t="e">
        <f t="shared" si="2"/>
        <v>#N/A</v>
      </c>
    </row>
    <row r="56" spans="2:9" ht="16">
      <c r="B56" s="519">
        <f t="shared" si="3"/>
        <v>47</v>
      </c>
      <c r="C56" s="520">
        <f t="shared" si="7"/>
        <v>0</v>
      </c>
      <c r="D56" s="520">
        <f t="shared" si="4"/>
        <v>0</v>
      </c>
      <c r="E56" s="520">
        <f t="shared" si="5"/>
        <v>0</v>
      </c>
      <c r="F56" s="520">
        <f t="shared" si="0"/>
        <v>0</v>
      </c>
      <c r="G56" s="516">
        <f t="shared" si="1"/>
        <v>47</v>
      </c>
      <c r="H56" s="521">
        <f t="shared" si="6"/>
        <v>0</v>
      </c>
      <c r="I56" s="518" t="e">
        <f t="shared" si="2"/>
        <v>#N/A</v>
      </c>
    </row>
    <row r="57" spans="2:9" ht="16">
      <c r="B57" s="519">
        <f t="shared" si="3"/>
        <v>48</v>
      </c>
      <c r="C57" s="520">
        <f t="shared" si="7"/>
        <v>0</v>
      </c>
      <c r="D57" s="520">
        <f t="shared" si="4"/>
        <v>0</v>
      </c>
      <c r="E57" s="520">
        <f t="shared" si="5"/>
        <v>0</v>
      </c>
      <c r="F57" s="520">
        <f t="shared" si="0"/>
        <v>0</v>
      </c>
      <c r="G57" s="516">
        <f t="shared" si="1"/>
        <v>48</v>
      </c>
      <c r="H57" s="521">
        <f t="shared" si="6"/>
        <v>0</v>
      </c>
      <c r="I57" s="518" t="e">
        <f t="shared" si="2"/>
        <v>#N/A</v>
      </c>
    </row>
    <row r="58" spans="2:9" ht="16">
      <c r="B58" s="519">
        <f t="shared" si="3"/>
        <v>49</v>
      </c>
      <c r="C58" s="520">
        <f t="shared" si="7"/>
        <v>0</v>
      </c>
      <c r="D58" s="520">
        <f t="shared" si="4"/>
        <v>0</v>
      </c>
      <c r="E58" s="520">
        <f t="shared" si="5"/>
        <v>0</v>
      </c>
      <c r="F58" s="520">
        <f t="shared" si="0"/>
        <v>0</v>
      </c>
      <c r="G58" s="516">
        <f t="shared" si="1"/>
        <v>49</v>
      </c>
      <c r="H58" s="521">
        <f t="shared" si="6"/>
        <v>0</v>
      </c>
      <c r="I58" s="518" t="e">
        <f t="shared" si="2"/>
        <v>#N/A</v>
      </c>
    </row>
    <row r="59" spans="2:9" ht="16">
      <c r="B59" s="519">
        <f t="shared" si="3"/>
        <v>50</v>
      </c>
      <c r="C59" s="520">
        <f t="shared" si="7"/>
        <v>0</v>
      </c>
      <c r="D59" s="520">
        <f t="shared" si="4"/>
        <v>0</v>
      </c>
      <c r="E59" s="520">
        <f t="shared" si="5"/>
        <v>0</v>
      </c>
      <c r="F59" s="520">
        <f t="shared" si="0"/>
        <v>0</v>
      </c>
      <c r="G59" s="516">
        <f t="shared" si="1"/>
        <v>50</v>
      </c>
      <c r="H59" s="521">
        <f t="shared" si="6"/>
        <v>0</v>
      </c>
      <c r="I59" s="518" t="e">
        <f t="shared" si="2"/>
        <v>#N/A</v>
      </c>
    </row>
  </sheetData>
  <pageMargins left="0.7" right="0.7" top="0.75" bottom="0.75" header="0.3" footer="0.3"/>
  <pageSetup paperSize="9" orientation="portrait" horizontalDpi="1200" verticalDpi="120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530A4-B302-8F42-8D52-7CA0EF315E63}">
  <sheetPr>
    <tabColor rgb="FFFFFF00"/>
  </sheetPr>
  <dimension ref="B2:D29"/>
  <sheetViews>
    <sheetView zoomScale="253" zoomScaleNormal="120" workbookViewId="0">
      <selection activeCell="E13" sqref="E13"/>
    </sheetView>
  </sheetViews>
  <sheetFormatPr baseColWidth="10" defaultColWidth="8.6640625" defaultRowHeight="15"/>
  <cols>
    <col min="1" max="1" width="2" style="427" customWidth="1"/>
    <col min="2" max="2" width="32.1640625" style="427" customWidth="1"/>
    <col min="3" max="3" width="16.1640625" style="427" customWidth="1"/>
    <col min="4" max="4" width="16.6640625" style="427" customWidth="1"/>
    <col min="5" max="16384" width="8.6640625" style="427"/>
  </cols>
  <sheetData>
    <row r="2" spans="2:4" ht="16">
      <c r="B2" s="430" t="s">
        <v>369</v>
      </c>
      <c r="C2" s="732"/>
    </row>
    <row r="3" spans="2:4">
      <c r="B3" s="427" t="s">
        <v>263</v>
      </c>
      <c r="C3" s="733"/>
    </row>
    <row r="4" spans="2:4">
      <c r="B4" s="427" t="s">
        <v>333</v>
      </c>
      <c r="C4" s="733"/>
    </row>
    <row r="5" spans="2:4">
      <c r="B5" s="427" t="s">
        <v>372</v>
      </c>
      <c r="C5" s="734"/>
    </row>
    <row r="6" spans="2:4">
      <c r="B6" s="427" t="s">
        <v>374</v>
      </c>
      <c r="C6" s="476" t="e">
        <f>(1+C5/C4)^C4-1</f>
        <v>#DIV/0!</v>
      </c>
    </row>
    <row r="7" spans="2:4" ht="16">
      <c r="C7" s="459"/>
    </row>
    <row r="8" spans="2:4" ht="17" thickBot="1">
      <c r="B8" s="735" t="s">
        <v>232</v>
      </c>
      <c r="C8" s="459"/>
    </row>
    <row r="9" spans="2:4">
      <c r="B9" s="427" t="s">
        <v>376</v>
      </c>
      <c r="C9" s="435">
        <f>1850+1.5%*C2</f>
        <v>1850</v>
      </c>
      <c r="D9" s="427" t="s">
        <v>638</v>
      </c>
    </row>
    <row r="10" spans="2:4" ht="16">
      <c r="B10" s="427" t="s">
        <v>378</v>
      </c>
      <c r="C10" s="732">
        <f>2%*C2+1000+950</f>
        <v>1950</v>
      </c>
      <c r="D10" s="480" t="s">
        <v>379</v>
      </c>
    </row>
    <row r="11" spans="2:4" ht="17" thickBot="1">
      <c r="B11" s="427" t="s">
        <v>176</v>
      </c>
      <c r="C11" s="736">
        <v>0</v>
      </c>
    </row>
    <row r="12" spans="2:4">
      <c r="B12" s="427" t="s">
        <v>236</v>
      </c>
      <c r="C12" s="737">
        <f>SUM(C9:C11)</f>
        <v>3800</v>
      </c>
    </row>
    <row r="13" spans="2:4" ht="16">
      <c r="C13" s="459"/>
    </row>
    <row r="14" spans="2:4">
      <c r="B14" s="430" t="s">
        <v>237</v>
      </c>
      <c r="C14" s="737">
        <f>C2-C12</f>
        <v>-3800</v>
      </c>
    </row>
    <row r="15" spans="2:4">
      <c r="C15" s="737"/>
    </row>
    <row r="16" spans="2:4" ht="16">
      <c r="B16" s="427" t="s">
        <v>382</v>
      </c>
      <c r="C16" s="459" t="e">
        <f>RATE(C3*C4,C20,C14)</f>
        <v>#DIV/0!</v>
      </c>
    </row>
    <row r="17" spans="2:4">
      <c r="B17" s="738" t="s">
        <v>244</v>
      </c>
      <c r="C17" s="739" t="e">
        <f>(1+C16)^C4-1</f>
        <v>#DIV/0!</v>
      </c>
    </row>
    <row r="18" spans="2:4">
      <c r="C18" s="737"/>
    </row>
    <row r="19" spans="2:4" ht="17" thickBot="1">
      <c r="C19" s="740" t="s">
        <v>639</v>
      </c>
      <c r="D19" s="741" t="s">
        <v>640</v>
      </c>
    </row>
    <row r="20" spans="2:4">
      <c r="B20" s="427" t="s">
        <v>383</v>
      </c>
      <c r="C20" s="742" t="e">
        <f>PMT(C5/C4,C3*C4,C2)</f>
        <v>#DIV/0!</v>
      </c>
      <c r="D20" s="742" t="e">
        <f>C4*C20</f>
        <v>#DIV/0!</v>
      </c>
    </row>
    <row r="21" spans="2:4" ht="16">
      <c r="B21" s="427" t="s">
        <v>239</v>
      </c>
      <c r="C21" s="438" t="e">
        <f>D21/C4</f>
        <v>#DIV/0!</v>
      </c>
      <c r="D21" s="438" t="e">
        <f>CUMIPMT(C5/C4,C3*C4,C2,1,C4,0)</f>
        <v>#DIV/0!</v>
      </c>
    </row>
    <row r="22" spans="2:4">
      <c r="B22" s="427" t="s">
        <v>384</v>
      </c>
      <c r="C22" s="435" t="e">
        <f>D22/C4</f>
        <v>#DIV/0!</v>
      </c>
      <c r="D22" s="435" t="e">
        <f>1/3*D21</f>
        <v>#DIV/0!</v>
      </c>
    </row>
    <row r="23" spans="2:4">
      <c r="B23" s="738" t="s">
        <v>241</v>
      </c>
      <c r="C23" s="743" t="e">
        <f>C20-C22</f>
        <v>#DIV/0!</v>
      </c>
      <c r="D23" s="743" t="e">
        <f>D20-D22</f>
        <v>#DIV/0!</v>
      </c>
    </row>
    <row r="24" spans="2:4">
      <c r="B24" s="744" t="s">
        <v>641</v>
      </c>
    </row>
    <row r="25" spans="2:4">
      <c r="B25" s="745"/>
    </row>
    <row r="27" spans="2:4">
      <c r="B27" s="474"/>
    </row>
    <row r="29" spans="2:4" ht="16">
      <c r="B29" s="746"/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4D837-6100-124D-9493-D669E29F92F7}">
  <dimension ref="A1"/>
  <sheetViews>
    <sheetView workbookViewId="0"/>
  </sheetViews>
  <sheetFormatPr baseColWidth="10" defaultColWidth="11" defaultRowHeight="16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42150DA7EBAE146A0008195A4976989" ma:contentTypeVersion="22" ma:contentTypeDescription="Opret et nyt dokument." ma:contentTypeScope="" ma:versionID="bb49a8d41e2132d2fd9bf186ff06d321">
  <xsd:schema xmlns:xsd="http://www.w3.org/2001/XMLSchema" xmlns:xs="http://www.w3.org/2001/XMLSchema" xmlns:p="http://schemas.microsoft.com/office/2006/metadata/properties" xmlns:ns1="http://schemas.microsoft.com/sharepoint/v3" xmlns:ns2="0ff1153b-be98-465d-a7ff-36bc3c69af6c" xmlns:ns3="c7e2ecf6-e361-4159-9367-86aa4c26842f" xmlns:ns4="c3c11eb6-de36-4131-bab2-6a22847efc48" targetNamespace="http://schemas.microsoft.com/office/2006/metadata/properties" ma:root="true" ma:fieldsID="17e0d2fe9dcd414a9c9b93b92d334190" ns1:_="" ns2:_="" ns3:_="" ns4:_="">
    <xsd:import namespace="http://schemas.microsoft.com/sharepoint/v3"/>
    <xsd:import namespace="0ff1153b-be98-465d-a7ff-36bc3c69af6c"/>
    <xsd:import namespace="c7e2ecf6-e361-4159-9367-86aa4c26842f"/>
    <xsd:import namespace="c3c11eb6-de36-4131-bab2-6a22847efc4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Flow" minOccurs="0"/>
                <xsd:element ref="ns3:Subjekt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1:_ip_UnifiedCompliancePolicyProperties" minOccurs="0"/>
                <xsd:element ref="ns1:_ip_UnifiedCompliancePolicyUIAc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Egenskaber for Unified Compliance Policy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Handling for Unified Compliance Policy-grænseflade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f1153b-be98-465d-a7ff-36bc3c69af6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Delt med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lt med detaljer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e2ecf6-e361-4159-9367-86aa4c26842f" elementFormDefault="qualified">
    <xsd:import namespace="http://schemas.microsoft.com/office/2006/documentManagement/types"/>
    <xsd:import namespace="http://schemas.microsoft.com/office/infopath/2007/PartnerControls"/>
    <xsd:element name="Flow" ma:index="10" nillable="true" ma:displayName="Flow" ma:internalName="Flow">
      <xsd:simpleType>
        <xsd:restriction base="dms:Text"/>
      </xsd:simpleType>
    </xsd:element>
    <xsd:element name="Subjekt" ma:index="11" nillable="true" ma:displayName="Subjekt" ma:internalName="Subjekt">
      <xsd:simpleType>
        <xsd:restriction base="dms:Text"/>
      </xsd:simpleType>
    </xsd:element>
    <xsd:element name="MediaServiceMetadata" ma:index="12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4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Billedmærker" ma:readOnly="false" ma:fieldId="{5cf76f15-5ced-4ddc-b409-7134ff3c332f}" ma:taxonomyMulti="true" ma:sspId="3273e385-a8b0-4d51-8803-6e97695cb9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c11eb6-de36-4131-bab2-6a22847efc48" elementFormDefault="qualified">
    <xsd:import namespace="http://schemas.microsoft.com/office/2006/documentManagement/types"/>
    <xsd:import namespace="http://schemas.microsoft.com/office/infopath/2007/PartnerControls"/>
    <xsd:element name="TaxCatchAll" ma:index="27" nillable="true" ma:displayName="Taksonomiopsamlingskolonne" ma:hidden="true" ma:list="{a1a370a8-317b-4539-b185-7c03a802e66e}" ma:internalName="TaxCatchAll" ma:showField="CatchAllData" ma:web="c3c11eb6-de36-4131-bab2-6a22847efc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c3c11eb6-de36-4131-bab2-6a22847efc48" xsi:nil="true"/>
    <_ip_UnifiedCompliancePolicyProperties xmlns="http://schemas.microsoft.com/sharepoint/v3" xsi:nil="true"/>
    <lcf76f155ced4ddcb4097134ff3c332f xmlns="c7e2ecf6-e361-4159-9367-86aa4c26842f">
      <Terms xmlns="http://schemas.microsoft.com/office/infopath/2007/PartnerControls"/>
    </lcf76f155ced4ddcb4097134ff3c332f>
    <Flow xmlns="c7e2ecf6-e361-4159-9367-86aa4c26842f" xsi:nil="true"/>
    <Subjekt xmlns="c7e2ecf6-e361-4159-9367-86aa4c26842f" xsi:nil="true"/>
  </documentManagement>
</p:properties>
</file>

<file path=customXml/itemProps1.xml><?xml version="1.0" encoding="utf-8"?>
<ds:datastoreItem xmlns:ds="http://schemas.openxmlformats.org/officeDocument/2006/customXml" ds:itemID="{FFDB3922-FA7E-4F1B-9245-C574F82CD4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ff1153b-be98-465d-a7ff-36bc3c69af6c"/>
    <ds:schemaRef ds:uri="c7e2ecf6-e361-4159-9367-86aa4c26842f"/>
    <ds:schemaRef ds:uri="c3c11eb6-de36-4131-bab2-6a22847efc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C193A71-D8E6-4FFB-8BD1-561F90684E4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865621A-E63A-4773-87D6-4A679DFA1A32}">
  <ds:schemaRefs>
    <ds:schemaRef ds:uri="http://purl.org/dc/terms/"/>
    <ds:schemaRef ds:uri="http://schemas.microsoft.com/office/2006/metadata/properties"/>
    <ds:schemaRef ds:uri="c7e2ecf6-e361-4159-9367-86aa4c26842f"/>
    <ds:schemaRef ds:uri="0ff1153b-be98-465d-a7ff-36bc3c69af6c"/>
    <ds:schemaRef ds:uri="http://schemas.microsoft.com/sharepoint/v3"/>
    <ds:schemaRef ds:uri="c3c11eb6-de36-4131-bab2-6a22847efc48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1b29427a-4ed3-4f0e-a3ff-ced1342f64ac}" enabled="0" method="" siteId="{1b29427a-4ed3-4f0e-a3ff-ced1342f64a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43</vt:i4>
      </vt:variant>
    </vt:vector>
  </HeadingPairs>
  <TitlesOfParts>
    <vt:vector size="66" baseType="lpstr">
      <vt:lpstr>Enlig skat før boligkøb</vt:lpstr>
      <vt:lpstr>Ægtepar skat før boligkøb</vt:lpstr>
      <vt:lpstr>Budget før boligkøb</vt:lpstr>
      <vt:lpstr>Skattesatser</vt:lpstr>
      <vt:lpstr>Hvordan finansieres boligen</vt:lpstr>
      <vt:lpstr>Banklån</vt:lpstr>
      <vt:lpstr>Realkredit finansiering</vt:lpstr>
      <vt:lpstr>F5</vt:lpstr>
      <vt:lpstr>Enlig skat efter boligkøb</vt:lpstr>
      <vt:lpstr>Ægtepar skat efter boligkøb</vt:lpstr>
      <vt:lpstr>Budget efter boligkøb</vt:lpstr>
      <vt:lpstr>Rådighedsbeløb og gældsfaktor</vt:lpstr>
      <vt:lpstr>Nedkonvertering</vt:lpstr>
      <vt:lpstr>Opkonvertering</vt:lpstr>
      <vt:lpstr>Byg realkredit beregn restgæld</vt:lpstr>
      <vt:lpstr>Andelsboliglån</vt:lpstr>
      <vt:lpstr>Andelsværdiberegner</vt:lpstr>
      <vt:lpstr>Forældrekøb</vt:lpstr>
      <vt:lpstr>Investering</vt:lpstr>
      <vt:lpstr>Hvor meget har jeg at leve for</vt:lpstr>
      <vt:lpstr>Pensionsberegner 2025</vt:lpstr>
      <vt:lpstr>Låneskabelon</vt:lpstr>
      <vt:lpstr>Ark1</vt:lpstr>
      <vt:lpstr>ArbBidrag</vt:lpstr>
      <vt:lpstr>BeFradragHojSats</vt:lpstr>
      <vt:lpstr>BeFradragKmMax</vt:lpstr>
      <vt:lpstr>BeFradragKmMin</vt:lpstr>
      <vt:lpstr>BeFradragLavSats</vt:lpstr>
      <vt:lpstr>BFradragMax</vt:lpstr>
      <vt:lpstr>BFradragProc</vt:lpstr>
      <vt:lpstr>Bundskat</vt:lpstr>
      <vt:lpstr>EjVSkatGranse</vt:lpstr>
      <vt:lpstr>EjVSkatMax</vt:lpstr>
      <vt:lpstr>EjVSkatMin</vt:lpstr>
      <vt:lpstr>EPENfradragMax</vt:lpstr>
      <vt:lpstr>EPENfradragProc</vt:lpstr>
      <vt:lpstr>EPENSeniorMax</vt:lpstr>
      <vt:lpstr>EPENSeniorProc</vt:lpstr>
      <vt:lpstr>FagforeningMax</vt:lpstr>
      <vt:lpstr>FirmabilGranse</vt:lpstr>
      <vt:lpstr>FirmabilHoj</vt:lpstr>
      <vt:lpstr>FirmabilLav</vt:lpstr>
      <vt:lpstr>Forsigtighed</vt:lpstr>
      <vt:lpstr>FriTelefon</vt:lpstr>
      <vt:lpstr>GranseForhBFdrag</vt:lpstr>
      <vt:lpstr>GranseNegKIEnlig</vt:lpstr>
      <vt:lpstr>GranseNegKIPar</vt:lpstr>
      <vt:lpstr>GronCheck</vt:lpstr>
      <vt:lpstr>GronSkatMax</vt:lpstr>
      <vt:lpstr>GronSkatMin</vt:lpstr>
      <vt:lpstr>GronSkatMod</vt:lpstr>
      <vt:lpstr>Jfradraggranse</vt:lpstr>
      <vt:lpstr>JfradragMax</vt:lpstr>
      <vt:lpstr>Jfradragproc</vt:lpstr>
      <vt:lpstr>KItilTopskatEnlig</vt:lpstr>
      <vt:lpstr>KItilTopskatPar</vt:lpstr>
      <vt:lpstr>Personfradrag</vt:lpstr>
      <vt:lpstr>'Budget efter boligkøb'!Print_Area</vt:lpstr>
      <vt:lpstr>'Budget før boligkøb'!Print_Area</vt:lpstr>
      <vt:lpstr>RatepensionMax</vt:lpstr>
      <vt:lpstr>SkraatSkatteloftKI</vt:lpstr>
      <vt:lpstr>SkraatSkatteloftPI</vt:lpstr>
      <vt:lpstr>Sundhedsbidrag</vt:lpstr>
      <vt:lpstr>TillagNegKI</vt:lpstr>
      <vt:lpstr>Topskat</vt:lpstr>
      <vt:lpstr>TopSkatGranse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Christian Engstrøm (ENG - Adjunkt - Cphbusiness)</dc:creator>
  <cp:keywords/>
  <dc:description/>
  <cp:lastModifiedBy>Thomas Petersen</cp:lastModifiedBy>
  <cp:revision/>
  <dcterms:created xsi:type="dcterms:W3CDTF">2024-01-14T11:10:57Z</dcterms:created>
  <dcterms:modified xsi:type="dcterms:W3CDTF">2025-02-12T23:25:27Z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0x010100A42150DA7EBAE146A0008195A4976989</vt:lpwstr>
  </property>
  <property fmtid="{D5CDD505-2E9C-101B-9397-08002B2CF9AE}" pid="3" name="MediaServiceImageTags">
    <vt:lpwstr/>
  </property>
</Properties>
</file>