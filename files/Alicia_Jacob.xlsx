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CPH/CPH FIN F2024/ONLINE_Hillerød/PR/materialer/eng_2.sem/08. Boligfinansiering/Opgaver/Opgave II/"/>
    </mc:Choice>
  </mc:AlternateContent>
  <xr:revisionPtr revIDLastSave="0" documentId="13_ncr:1_{F9111725-CC35-5C4E-9EFF-A5C0E8FBDDDA}" xr6:coauthVersionLast="47" xr6:coauthVersionMax="47" xr10:uidLastSave="{00000000-0000-0000-0000-000000000000}"/>
  <bookViews>
    <workbookView xWindow="-23760" yWindow="-21100" windowWidth="38400" windowHeight="21100" xr2:uid="{D6DCFE85-4E09-1A42-A80C-A1094EA39B65}"/>
  </bookViews>
  <sheets>
    <sheet name="Ægtepar" sheetId="2" r:id="rId1"/>
    <sheet name="Budget lejebolig" sheetId="4" r:id="rId2"/>
    <sheet name="Hvordan finansieres boligen" sheetId="10" r:id="rId3"/>
    <sheet name="Banklån (2)" sheetId="11" r:id="rId4"/>
    <sheet name="Realkredit finansiering (2)" sheetId="12" r:id="rId5"/>
    <sheet name="F5 (2)" sheetId="13" state="hidden" r:id="rId6"/>
    <sheet name="Budget med hus" sheetId="9" r:id="rId7"/>
    <sheet name="Rådighedsbeløb og gældsfaktor" sheetId="14" r:id="rId8"/>
    <sheet name="Skattesatser" sheetId="3" r:id="rId9"/>
    <sheet name="Ark1" sheetId="1" r:id="rId10"/>
  </sheets>
  <definedNames>
    <definedName name="__hej1" localSheetId="7" hidden="1">#REF!</definedName>
    <definedName name="__hej1" hidden="1">#REF!</definedName>
    <definedName name="_hej1" localSheetId="7" hidden="1">#REF!</definedName>
    <definedName name="_hej1" hidden="1">#REF!</definedName>
    <definedName name="ArbBidrag" localSheetId="3">#REF!</definedName>
    <definedName name="ArbBidrag" localSheetId="1">#REF!</definedName>
    <definedName name="ArbBidrag" localSheetId="6">#REF!</definedName>
    <definedName name="ArbBidrag" localSheetId="5">#REF!</definedName>
    <definedName name="ArbBidrag" localSheetId="7">#REF!</definedName>
    <definedName name="ArbBidrag" localSheetId="4">#REF!</definedName>
    <definedName name="ArbBidrag">Skattesatser!$H$3</definedName>
    <definedName name="BeFradragHojSats" localSheetId="3">#REF!</definedName>
    <definedName name="BeFradragHojSats" localSheetId="1">#REF!</definedName>
    <definedName name="BeFradragHojSats" localSheetId="6">#REF!</definedName>
    <definedName name="BeFradragHojSats" localSheetId="5">#REF!</definedName>
    <definedName name="BeFradragHojSats" localSheetId="7">#REF!</definedName>
    <definedName name="BeFradragHojSats" localSheetId="4">#REF!</definedName>
    <definedName name="BeFradragHojSats">Skattesatser!$H$4</definedName>
    <definedName name="BeFradragKmMax" localSheetId="3">#REF!</definedName>
    <definedName name="BeFradragKmMax" localSheetId="1">#REF!</definedName>
    <definedName name="BeFradragKmMax" localSheetId="6">#REF!</definedName>
    <definedName name="BeFradragKmMax" localSheetId="5">#REF!</definedName>
    <definedName name="BeFradragKmMax" localSheetId="7">#REF!</definedName>
    <definedName name="BeFradragKmMax" localSheetId="4">#REF!</definedName>
    <definedName name="BeFradragKmMax">Skattesatser!$H$6</definedName>
    <definedName name="BeFradragKmMin" localSheetId="3">#REF!</definedName>
    <definedName name="BeFradragKmMin" localSheetId="1">#REF!</definedName>
    <definedName name="BeFradragKmMin" localSheetId="6">#REF!</definedName>
    <definedName name="BeFradragKmMin" localSheetId="5">#REF!</definedName>
    <definedName name="BeFradragKmMin" localSheetId="7">#REF!</definedName>
    <definedName name="BeFradragKmMin" localSheetId="4">#REF!</definedName>
    <definedName name="BeFradragKmMin">Skattesatser!$H$5</definedName>
    <definedName name="BeFradragLavSats" localSheetId="3">#REF!</definedName>
    <definedName name="BeFradragLavSats" localSheetId="1">#REF!</definedName>
    <definedName name="BeFradragLavSats" localSheetId="6">#REF!</definedName>
    <definedName name="BeFradragLavSats" localSheetId="5">#REF!</definedName>
    <definedName name="BeFradragLavSats" localSheetId="7">#REF!</definedName>
    <definedName name="BeFradragLavSats" localSheetId="4">#REF!</definedName>
    <definedName name="BeFradragLavSats">Skattesatser!$H$7</definedName>
    <definedName name="BFradragMax" localSheetId="3">#REF!</definedName>
    <definedName name="BFradragMax" localSheetId="1">#REF!</definedName>
    <definedName name="BFradragMax" localSheetId="6">#REF!</definedName>
    <definedName name="BFradragMax" localSheetId="5">#REF!</definedName>
    <definedName name="BFradragMax" localSheetId="7">#REF!</definedName>
    <definedName name="BFradragMax" localSheetId="4">#REF!</definedName>
    <definedName name="BFradragMax">Skattesatser!$H$10</definedName>
    <definedName name="BFradragProc" localSheetId="3">#REF!</definedName>
    <definedName name="BFradragProc" localSheetId="1">#REF!</definedName>
    <definedName name="BFradragProc" localSheetId="6">#REF!</definedName>
    <definedName name="BFradragProc" localSheetId="5">#REF!</definedName>
    <definedName name="BFradragProc" localSheetId="7">#REF!</definedName>
    <definedName name="BFradragProc" localSheetId="4">#REF!</definedName>
    <definedName name="BFradragProc">Skattesatser!$H$9</definedName>
    <definedName name="Bundskat" localSheetId="3">#REF!</definedName>
    <definedName name="Bundskat" localSheetId="1">#REF!</definedName>
    <definedName name="Bundskat" localSheetId="6">#REF!</definedName>
    <definedName name="Bundskat" localSheetId="5">#REF!</definedName>
    <definedName name="Bundskat" localSheetId="7">#REF!</definedName>
    <definedName name="Bundskat" localSheetId="4">#REF!</definedName>
    <definedName name="Bundskat">Skattesatser!$H$11</definedName>
    <definedName name="dikdsks" localSheetId="1" hidden="1">#REF!</definedName>
    <definedName name="dikdsks" localSheetId="6" hidden="1">#REF!</definedName>
    <definedName name="dikdsks" localSheetId="5" hidden="1">#REF!</definedName>
    <definedName name="dikdsks" localSheetId="4" hidden="1">#REF!</definedName>
    <definedName name="dikdsks" hidden="1">#REF!</definedName>
    <definedName name="dsfasdfsfa" localSheetId="1" hidden="1">#REF!</definedName>
    <definedName name="dsfasdfsfa" localSheetId="6" hidden="1">#REF!</definedName>
    <definedName name="dsfasdfsfa" localSheetId="5" hidden="1">#REF!</definedName>
    <definedName name="dsfasdfsfa" localSheetId="4" hidden="1">#REF!</definedName>
    <definedName name="dsfasdfsfa" hidden="1">#REF!</definedName>
    <definedName name="EjVSkatGranse" localSheetId="5">#REF!</definedName>
    <definedName name="EjVSkatGranse" localSheetId="4">#REF!</definedName>
    <definedName name="EjVSkatGranse">Skattesatser!$H$14</definedName>
    <definedName name="EjVSkatMax" localSheetId="3">#REF!</definedName>
    <definedName name="EjVSkatMax" localSheetId="1">#REF!</definedName>
    <definedName name="EjVSkatMax" localSheetId="6">#REF!</definedName>
    <definedName name="EjVSkatMax" localSheetId="5">#REF!</definedName>
    <definedName name="EjVSkatMax" localSheetId="7">#REF!</definedName>
    <definedName name="EjVSkatMax" localSheetId="4">#REF!</definedName>
    <definedName name="EjVSkatMax">Skattesatser!$H$13</definedName>
    <definedName name="EjVSkatMin" localSheetId="3">#REF!</definedName>
    <definedName name="EjVSkatMin" localSheetId="1">#REF!</definedName>
    <definedName name="EjVSkatMin" localSheetId="6">#REF!</definedName>
    <definedName name="EjVSkatMin" localSheetId="5">#REF!</definedName>
    <definedName name="EjVSkatMin" localSheetId="7">#REF!</definedName>
    <definedName name="EjVSkatMin" localSheetId="4">#REF!</definedName>
    <definedName name="EjVSkatMin">Skattesatser!$H$12</definedName>
    <definedName name="EPENfradragMax" localSheetId="7">#REF!</definedName>
    <definedName name="EPENfradragMax">Skattesatser!$H$16</definedName>
    <definedName name="EPENfradragProc" localSheetId="7">#REF!</definedName>
    <definedName name="EPENfradragProc">Skattesatser!$H$15</definedName>
    <definedName name="EPENSeniorMax" localSheetId="7">#REF!</definedName>
    <definedName name="EPENSeniorMax">Skattesatser!$H$18</definedName>
    <definedName name="EPENSeniorProc" localSheetId="7">#REF!</definedName>
    <definedName name="EPENSeniorProc">Skattesatser!$H$17</definedName>
    <definedName name="FagforeningMax" localSheetId="3">#REF!</definedName>
    <definedName name="FagforeningMax" localSheetId="1">#REF!</definedName>
    <definedName name="FagforeningMax" localSheetId="6">#REF!</definedName>
    <definedName name="FagforeningMax" localSheetId="5">#REF!</definedName>
    <definedName name="FagforeningMax" localSheetId="7">#REF!</definedName>
    <definedName name="FagforeningMax" localSheetId="4">#REF!</definedName>
    <definedName name="FagforeningMax">Skattesatser!$H$19</definedName>
    <definedName name="FirmabilGranse" localSheetId="3">#REF!</definedName>
    <definedName name="FirmabilGranse" localSheetId="5">#REF!</definedName>
    <definedName name="FirmabilGranse" localSheetId="7">#REF!</definedName>
    <definedName name="FirmabilGranse" localSheetId="4">#REF!</definedName>
    <definedName name="FirmabilGranse">Skattesatser!$H$20</definedName>
    <definedName name="FirmabilHoj" localSheetId="3">#REF!</definedName>
    <definedName name="FirmabilHoj" localSheetId="5">#REF!</definedName>
    <definedName name="FirmabilHoj" localSheetId="7">#REF!</definedName>
    <definedName name="FirmabilHoj" localSheetId="4">#REF!</definedName>
    <definedName name="FirmabilHoj">Skattesatser!$H$22</definedName>
    <definedName name="FirmabilLav" localSheetId="3">#REF!</definedName>
    <definedName name="FirmabilLav" localSheetId="5">#REF!</definedName>
    <definedName name="FirmabilLav" localSheetId="7">#REF!</definedName>
    <definedName name="FirmabilLav" localSheetId="4">#REF!</definedName>
    <definedName name="FirmabilLav">Skattesatser!$H$21</definedName>
    <definedName name="Forsigtighed" localSheetId="7">#REF!</definedName>
    <definedName name="Forsigtighed">Skattesatser!$H$23</definedName>
    <definedName name="FriTelefon" localSheetId="3">#REF!</definedName>
    <definedName name="FriTelefon" localSheetId="1">#REF!</definedName>
    <definedName name="FriTelefon" localSheetId="6">#REF!</definedName>
    <definedName name="FriTelefon" localSheetId="5">#REF!</definedName>
    <definedName name="FriTelefon" localSheetId="7">#REF!</definedName>
    <definedName name="FriTelefon" localSheetId="4">#REF!</definedName>
    <definedName name="FriTelefon">Skattesatser!$H$24</definedName>
    <definedName name="Gift" localSheetId="7">#REF!</definedName>
    <definedName name="Gift">#REF!</definedName>
    <definedName name="GranseForhBFdrag" localSheetId="5">#REF!</definedName>
    <definedName name="GranseForhBFdrag" localSheetId="4">#REF!</definedName>
    <definedName name="GranseForhBFdrag">Skattesatser!$H$8</definedName>
    <definedName name="GranseNegKIEnlig" localSheetId="5">#REF!</definedName>
    <definedName name="GranseNegKIEnlig" localSheetId="7">#REF!</definedName>
    <definedName name="GranseNegKIEnlig" localSheetId="4">#REF!</definedName>
    <definedName name="GranseNegKIEnlig">Skattesatser!$H$42</definedName>
    <definedName name="GranseNegKIPar" localSheetId="3">#REF!</definedName>
    <definedName name="GranseNegKIPar" localSheetId="1">#REF!</definedName>
    <definedName name="GranseNegKIPar" localSheetId="6">#REF!</definedName>
    <definedName name="GranseNegKIPar" localSheetId="5">#REF!</definedName>
    <definedName name="GranseNegKIPar" localSheetId="7">#REF!</definedName>
    <definedName name="GranseNegKIPar" localSheetId="4">#REF!</definedName>
    <definedName name="GranseNegKIPar">Skattesatser!$H$41</definedName>
    <definedName name="Grøn_check_antal_børn_max" localSheetId="1">#REF!</definedName>
    <definedName name="Grøn_check_antal_børn_max" localSheetId="6">#REF!</definedName>
    <definedName name="Grøn_check_antal_børn_max" localSheetId="7">#REF!</definedName>
    <definedName name="Grøn_check_antal_børn_max">Skattesatser!#REF!</definedName>
    <definedName name="GronCheck" localSheetId="3">#REF!</definedName>
    <definedName name="GronCheck" localSheetId="1">#REF!</definedName>
    <definedName name="GronCheck" localSheetId="6">#REF!</definedName>
    <definedName name="GronCheck" localSheetId="5">#REF!</definedName>
    <definedName name="GronCheck" localSheetId="7">#REF!</definedName>
    <definedName name="GronCheck" localSheetId="4">#REF!</definedName>
    <definedName name="GronCheck">Skattesatser!$H$25</definedName>
    <definedName name="GronSkatBorn" localSheetId="1">#REF!</definedName>
    <definedName name="GronSkatBorn" localSheetId="6">#REF!</definedName>
    <definedName name="GronSkatBorn" localSheetId="7">#REF!</definedName>
    <definedName name="GronSkatBorn">Skattesatser!#REF!</definedName>
    <definedName name="GronSkatBornexGranse" localSheetId="1">#REF!</definedName>
    <definedName name="GronSkatBornexGranse" localSheetId="6">#REF!</definedName>
    <definedName name="GronSkatBornexGranse" localSheetId="7">#REF!</definedName>
    <definedName name="GronSkatBornexGranse">Skattesatser!#REF!</definedName>
    <definedName name="GronSkatexBorn" localSheetId="1">#REF!</definedName>
    <definedName name="GronSkatexBorn" localSheetId="6">#REF!</definedName>
    <definedName name="GronSkatexBorn" localSheetId="7">#REF!</definedName>
    <definedName name="GronSkatexBorn">Skattesatser!#REF!</definedName>
    <definedName name="GronSkatMax" localSheetId="3">#REF!</definedName>
    <definedName name="GronSkatMax" localSheetId="1">#REF!</definedName>
    <definedName name="GronSkatMax" localSheetId="6">#REF!</definedName>
    <definedName name="GronSkatMax" localSheetId="5">#REF!</definedName>
    <definedName name="GronSkatMax" localSheetId="7">#REF!</definedName>
    <definedName name="GronSkatMax" localSheetId="4">#REF!</definedName>
    <definedName name="GronSkatMax">Skattesatser!$H$27</definedName>
    <definedName name="GronSkatMin" localSheetId="3">#REF!</definedName>
    <definedName name="GronSkatMin" localSheetId="1">#REF!</definedName>
    <definedName name="GronSkatMin" localSheetId="6">#REF!</definedName>
    <definedName name="GronSkatMin" localSheetId="5">#REF!</definedName>
    <definedName name="GronSkatMin" localSheetId="7">#REF!</definedName>
    <definedName name="GronSkatMin" localSheetId="4">#REF!</definedName>
    <definedName name="GronSkatMin">Skattesatser!$H$26</definedName>
    <definedName name="GronSkatMod" localSheetId="3">#REF!</definedName>
    <definedName name="GronSkatMod" localSheetId="1">#REF!</definedName>
    <definedName name="GronSkatMod" localSheetId="6">#REF!</definedName>
    <definedName name="GronSkatMod" localSheetId="5">#REF!</definedName>
    <definedName name="GronSkatMod" localSheetId="7">#REF!</definedName>
    <definedName name="GronSkatMod" localSheetId="4">#REF!</definedName>
    <definedName name="GronSkatMod">Skattesatser!$H$28</definedName>
    <definedName name="hej" localSheetId="7" hidden="1">#REF!</definedName>
    <definedName name="hej" hidden="1">#REF!</definedName>
    <definedName name="henrik" localSheetId="1" hidden="1">#REF!</definedName>
    <definedName name="henrik" localSheetId="6" hidden="1">#REF!</definedName>
    <definedName name="henrik" localSheetId="5" hidden="1">#REF!</definedName>
    <definedName name="henrik" localSheetId="4" hidden="1">#REF!</definedName>
    <definedName name="henrik" hidden="1">#REF!</definedName>
    <definedName name="ieeooe" localSheetId="1" hidden="1">#REF!</definedName>
    <definedName name="ieeooe" localSheetId="6" hidden="1">#REF!</definedName>
    <definedName name="ieeooe" localSheetId="5" hidden="1">#REF!</definedName>
    <definedName name="ieeooe" localSheetId="4" hidden="1">#REF!</definedName>
    <definedName name="ieeooe" hidden="1">#REF!</definedName>
    <definedName name="Intro" localSheetId="3">#REF!</definedName>
    <definedName name="Intro" localSheetId="1">#REF!</definedName>
    <definedName name="Intro" localSheetId="6">#REF!</definedName>
    <definedName name="Intro" localSheetId="5">#REF!</definedName>
    <definedName name="Intro" localSheetId="7">#REF!</definedName>
    <definedName name="Intro" localSheetId="4">#REF!</definedName>
    <definedName name="Intro">#REF!</definedName>
    <definedName name="Jfradraggranse" localSheetId="7">#REF!</definedName>
    <definedName name="Jfradraggranse">Skattesatser!$H$30</definedName>
    <definedName name="JfradragMax" localSheetId="7">#REF!</definedName>
    <definedName name="JfradragMax">Skattesatser!$H$31</definedName>
    <definedName name="Jfradragproc" localSheetId="7">#REF!</definedName>
    <definedName name="Jfradragproc">Skattesatser!$H$29</definedName>
    <definedName name="KItilTopskatEnlig" localSheetId="1">#REF!</definedName>
    <definedName name="KItilTopskatEnlig" localSheetId="6">#REF!</definedName>
    <definedName name="KItilTopskatEnlig" localSheetId="5">#REF!</definedName>
    <definedName name="KItilTopskatEnlig" localSheetId="7">#REF!</definedName>
    <definedName name="KItilTopskatEnlig" localSheetId="4">#REF!</definedName>
    <definedName name="KItilTopskatEnlig">Skattesatser!$H$33</definedName>
    <definedName name="KItilTopskatPar" localSheetId="3">#REF!</definedName>
    <definedName name="KItilTopskatPar" localSheetId="1">#REF!</definedName>
    <definedName name="KItilTopskatPar" localSheetId="6">#REF!</definedName>
    <definedName name="KItilTopskatPar" localSheetId="5">#REF!</definedName>
    <definedName name="KItilTopskatPar" localSheetId="7">#REF!</definedName>
    <definedName name="KItilTopskatPar" localSheetId="4">#REF!</definedName>
    <definedName name="KItilTopskatPar">Skattesatser!$H$32</definedName>
    <definedName name="Look1Area" localSheetId="3" hidden="1">#REF!</definedName>
    <definedName name="Look1Area" localSheetId="1" hidden="1">#REF!</definedName>
    <definedName name="Look1Area" localSheetId="6" hidden="1">#REF!</definedName>
    <definedName name="Look1Area" localSheetId="5" hidden="1">#REF!</definedName>
    <definedName name="Look1Area" localSheetId="7" hidden="1">#REF!</definedName>
    <definedName name="Look1Area" localSheetId="4" hidden="1">#REF!</definedName>
    <definedName name="Look1Area" hidden="1">#REF!</definedName>
    <definedName name="Look2Area" localSheetId="3" hidden="1">#REF!</definedName>
    <definedName name="Look2Area" localSheetId="1" hidden="1">#REF!</definedName>
    <definedName name="Look2Area" localSheetId="6" hidden="1">#REF!</definedName>
    <definedName name="Look2Area" localSheetId="5" hidden="1">#REF!</definedName>
    <definedName name="Look2Area" localSheetId="7" hidden="1">#REF!</definedName>
    <definedName name="Look2Area" localSheetId="4" hidden="1">#REF!</definedName>
    <definedName name="Look2Area" hidden="1">#REF!</definedName>
    <definedName name="Look3Area" localSheetId="3" hidden="1">#REF!</definedName>
    <definedName name="Look3Area" localSheetId="1" hidden="1">#REF!</definedName>
    <definedName name="Look3Area" localSheetId="6" hidden="1">#REF!</definedName>
    <definedName name="Look3Area" localSheetId="5" hidden="1">#REF!</definedName>
    <definedName name="Look3Area" localSheetId="7" hidden="1">#REF!</definedName>
    <definedName name="Look3Area" localSheetId="4" hidden="1">#REF!</definedName>
    <definedName name="Look3Area" hidden="1">#REF!</definedName>
    <definedName name="Look4Area" localSheetId="1" hidden="1">#REF!</definedName>
    <definedName name="Look4Area" localSheetId="6" hidden="1">#REF!</definedName>
    <definedName name="Look4Area" localSheetId="5" hidden="1">#REF!</definedName>
    <definedName name="Look4Area" localSheetId="4" hidden="1">#REF!</definedName>
    <definedName name="Look4Area" hidden="1">#REF!</definedName>
    <definedName name="Look5Area" localSheetId="1" hidden="1">#REF!</definedName>
    <definedName name="Look5Area" localSheetId="6" hidden="1">#REF!</definedName>
    <definedName name="Look5Area" localSheetId="5" hidden="1">#REF!</definedName>
    <definedName name="Look5Area" localSheetId="4" hidden="1">#REF!</definedName>
    <definedName name="Look5Area" hidden="1">#REF!</definedName>
    <definedName name="mkiuyee" localSheetId="1" hidden="1">#REF!</definedName>
    <definedName name="mkiuyee" localSheetId="6" hidden="1">#REF!</definedName>
    <definedName name="mkiuyee" localSheetId="5" hidden="1">#REF!</definedName>
    <definedName name="mkiuyee" localSheetId="4" hidden="1">#REF!</definedName>
    <definedName name="mkiuyee" hidden="1">#REF!</definedName>
    <definedName name="NyIntro">#REF!</definedName>
    <definedName name="Personfradrag" localSheetId="3">#REF!</definedName>
    <definedName name="Personfradrag" localSheetId="1">#REF!</definedName>
    <definedName name="Personfradrag" localSheetId="6">#REF!</definedName>
    <definedName name="Personfradrag" localSheetId="5">#REF!</definedName>
    <definedName name="Personfradrag" localSheetId="7">#REF!</definedName>
    <definedName name="Personfradrag" localSheetId="4">#REF!</definedName>
    <definedName name="Personfradrag">Skattesatser!$H$34</definedName>
    <definedName name="poedoe" localSheetId="1">#REF!</definedName>
    <definedName name="poedoe" localSheetId="6">#REF!</definedName>
    <definedName name="poedoe" localSheetId="5">#REF!</definedName>
    <definedName name="poedoe" localSheetId="4">#REF!</definedName>
    <definedName name="poedoe">#REF!</definedName>
    <definedName name="polse" localSheetId="1">#REF!</definedName>
    <definedName name="polse" localSheetId="6">#REF!</definedName>
    <definedName name="polse" localSheetId="5">#REF!</definedName>
    <definedName name="polse" localSheetId="4">#REF!</definedName>
    <definedName name="polse">#REF!</definedName>
    <definedName name="_xlnm.Print_Area" localSheetId="1">'Budget lejebolig'!$A$1:$N$88</definedName>
    <definedName name="_xlnm.Print_Area" localSheetId="6">'Budget med hus'!$A$1:$N$88</definedName>
    <definedName name="qiecmkie" localSheetId="1" hidden="1">#REF!</definedName>
    <definedName name="qiecmkie" localSheetId="6" hidden="1">#REF!</definedName>
    <definedName name="qiecmkie" localSheetId="5" hidden="1">#REF!</definedName>
    <definedName name="qiecmkie" localSheetId="4" hidden="1">#REF!</definedName>
    <definedName name="qiecmkie" hidden="1">#REF!</definedName>
    <definedName name="qqqqwww" localSheetId="1" hidden="1">#REF!</definedName>
    <definedName name="qqqqwww" localSheetId="6" hidden="1">#REF!</definedName>
    <definedName name="qqqqwww" localSheetId="5" hidden="1">#REF!</definedName>
    <definedName name="qqqqwww" localSheetId="4" hidden="1">#REF!</definedName>
    <definedName name="qqqqwww" hidden="1">#REF!</definedName>
    <definedName name="RatepensionMax" localSheetId="3">#REF!</definedName>
    <definedName name="RatepensionMax" localSheetId="1">#REF!</definedName>
    <definedName name="RatepensionMax" localSheetId="6">#REF!</definedName>
    <definedName name="RatepensionMax" localSheetId="5">#REF!</definedName>
    <definedName name="RatepensionMax" localSheetId="7">#REF!</definedName>
    <definedName name="RatepensionMax" localSheetId="4">#REF!</definedName>
    <definedName name="RatepensionMax">Skattesatser!$H$36</definedName>
    <definedName name="sda" localSheetId="1">#REF!</definedName>
    <definedName name="sda" localSheetId="6">#REF!</definedName>
    <definedName name="sda" localSheetId="5">#REF!</definedName>
    <definedName name="sda" localSheetId="4">#REF!</definedName>
    <definedName name="sda">#REF!</definedName>
    <definedName name="Skatteordning">#REF!</definedName>
    <definedName name="SkraatSkatteloftKI" localSheetId="3">#REF!</definedName>
    <definedName name="SkraatSkatteloftKI" localSheetId="1">#REF!</definedName>
    <definedName name="SkraatSkatteloftKI" localSheetId="6">#REF!</definedName>
    <definedName name="SkraatSkatteloftKI" localSheetId="5">#REF!</definedName>
    <definedName name="SkraatSkatteloftKI" localSheetId="7">#REF!</definedName>
    <definedName name="SkraatSkatteloftKI" localSheetId="4">#REF!</definedName>
    <definedName name="SkraatSkatteloftKI">Skattesatser!$H$38</definedName>
    <definedName name="SkraatSkatteloftPI" localSheetId="3">#REF!</definedName>
    <definedName name="SkraatSkatteloftPI" localSheetId="1">#REF!</definedName>
    <definedName name="SkraatSkatteloftPI" localSheetId="6">#REF!</definedName>
    <definedName name="SkraatSkatteloftPI" localSheetId="5">#REF!</definedName>
    <definedName name="SkraatSkatteloftPI" localSheetId="7">#REF!</definedName>
    <definedName name="SkraatSkatteloftPI" localSheetId="4">#REF!</definedName>
    <definedName name="SkraatSkatteloftPI">Skattesatser!$H$37</definedName>
    <definedName name="Sundhedsbidrag" localSheetId="3">#REF!</definedName>
    <definedName name="Sundhedsbidrag" localSheetId="1">#REF!</definedName>
    <definedName name="Sundhedsbidrag" localSheetId="6">#REF!</definedName>
    <definedName name="Sundhedsbidrag" localSheetId="5">#REF!</definedName>
    <definedName name="Sundhedsbidrag" localSheetId="7">#REF!</definedName>
    <definedName name="Sundhedsbidrag" localSheetId="4">#REF!</definedName>
    <definedName name="Sundhedsbidrag">Skattesatser!$H$39</definedName>
    <definedName name="teste11" localSheetId="1">#REF!</definedName>
    <definedName name="teste11" localSheetId="6">#REF!</definedName>
    <definedName name="teste11" localSheetId="5">#REF!</definedName>
    <definedName name="teste11" localSheetId="4">#REF!</definedName>
    <definedName name="teste11">#REF!</definedName>
    <definedName name="testen" localSheetId="1" hidden="1">#REF!</definedName>
    <definedName name="testen" localSheetId="6" hidden="1">#REF!</definedName>
    <definedName name="testen" localSheetId="5" hidden="1">#REF!</definedName>
    <definedName name="testen" localSheetId="4" hidden="1">#REF!</definedName>
    <definedName name="testen" hidden="1">#REF!</definedName>
    <definedName name="TillagNegKI" localSheetId="3">#REF!</definedName>
    <definedName name="TillagNegKI" localSheetId="1">#REF!</definedName>
    <definedName name="TillagNegKI" localSheetId="6">#REF!</definedName>
    <definedName name="TillagNegKI" localSheetId="5">#REF!</definedName>
    <definedName name="TillagNegKI" localSheetId="7">#REF!</definedName>
    <definedName name="TillagNegKI" localSheetId="4">#REF!</definedName>
    <definedName name="TillagNegKI">Skattesatser!$H$40</definedName>
    <definedName name="Topskat" localSheetId="3">#REF!</definedName>
    <definedName name="Topskat" localSheetId="1">#REF!</definedName>
    <definedName name="Topskat" localSheetId="6">#REF!</definedName>
    <definedName name="Topskat" localSheetId="5">#REF!</definedName>
    <definedName name="Topskat" localSheetId="7">#REF!</definedName>
    <definedName name="Topskat" localSheetId="4">#REF!</definedName>
    <definedName name="Topskat">Skattesatser!$H$43</definedName>
    <definedName name="TopSkatGranse" localSheetId="3">#REF!</definedName>
    <definedName name="TopSkatGranse" localSheetId="1">#REF!</definedName>
    <definedName name="TopSkatGranse" localSheetId="6">#REF!</definedName>
    <definedName name="TopSkatGranse" localSheetId="5">#REF!</definedName>
    <definedName name="TopSkatGranse" localSheetId="7">#REF!</definedName>
    <definedName name="TopSkatGranse" localSheetId="4">#REF!</definedName>
    <definedName name="TopSkatGranse">Skattesatser!$H$35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4" l="1"/>
  <c r="B7" i="9"/>
  <c r="B7" i="4"/>
  <c r="E14" i="12" l="1"/>
  <c r="F13" i="12"/>
  <c r="F11" i="12"/>
  <c r="E11" i="12"/>
  <c r="H10" i="12"/>
  <c r="H11" i="12" s="1"/>
  <c r="G10" i="12"/>
  <c r="G11" i="12" s="1"/>
  <c r="B3" i="12"/>
  <c r="H5" i="12" s="1"/>
  <c r="B2" i="12"/>
  <c r="D6" i="11"/>
  <c r="D19" i="11" s="1"/>
  <c r="E11" i="10"/>
  <c r="E15" i="10" s="1"/>
  <c r="E17" i="10" s="1"/>
  <c r="F8" i="10"/>
  <c r="K5" i="10"/>
  <c r="D12" i="11" l="1"/>
  <c r="D14" i="11" s="1"/>
  <c r="D20" i="11"/>
  <c r="D21" i="11" s="1"/>
  <c r="D22" i="11" s="1"/>
  <c r="F5" i="12"/>
  <c r="F16" i="12" s="1"/>
  <c r="B8" i="12"/>
  <c r="E5" i="12"/>
  <c r="E3" i="12" s="1"/>
  <c r="H3" i="12"/>
  <c r="K11" i="10"/>
  <c r="F15" i="10"/>
  <c r="G5" i="12"/>
  <c r="G13" i="12"/>
  <c r="F14" i="12"/>
  <c r="C3" i="12"/>
  <c r="D16" i="11" l="1"/>
  <c r="E23" i="10"/>
  <c r="E18" i="12"/>
  <c r="E21" i="12"/>
  <c r="E16" i="12"/>
  <c r="E17" i="12" s="1"/>
  <c r="E22" i="12"/>
  <c r="B6" i="12"/>
  <c r="B9" i="12" s="1"/>
  <c r="E22" i="10" s="1"/>
  <c r="B3" i="13"/>
  <c r="F3" i="12"/>
  <c r="E122" i="13"/>
  <c r="E120" i="13"/>
  <c r="E118" i="13"/>
  <c r="E116" i="13"/>
  <c r="E114" i="13"/>
  <c r="E112" i="13"/>
  <c r="E110" i="13"/>
  <c r="E108" i="13"/>
  <c r="E106" i="13"/>
  <c r="E104" i="13"/>
  <c r="E102" i="13"/>
  <c r="E100" i="13"/>
  <c r="E98" i="13"/>
  <c r="E96" i="13"/>
  <c r="E94" i="13"/>
  <c r="E92" i="13"/>
  <c r="E123" i="13"/>
  <c r="E121" i="13"/>
  <c r="E89" i="13"/>
  <c r="E88" i="13"/>
  <c r="E81" i="13"/>
  <c r="E80" i="13"/>
  <c r="E73" i="13"/>
  <c r="E72" i="13"/>
  <c r="E66" i="13"/>
  <c r="E64" i="13"/>
  <c r="E62" i="13"/>
  <c r="E60" i="13"/>
  <c r="E58" i="13"/>
  <c r="E56" i="13"/>
  <c r="E54" i="13"/>
  <c r="E52" i="13"/>
  <c r="E50" i="13"/>
  <c r="E48" i="13"/>
  <c r="E46" i="13"/>
  <c r="E44" i="13"/>
  <c r="E117" i="13"/>
  <c r="E113" i="13"/>
  <c r="E109" i="13"/>
  <c r="E105" i="13"/>
  <c r="E101" i="13"/>
  <c r="E97" i="13"/>
  <c r="E93" i="13"/>
  <c r="E87" i="13"/>
  <c r="E86" i="13"/>
  <c r="E79" i="13"/>
  <c r="E78" i="13"/>
  <c r="E71" i="13"/>
  <c r="E70" i="13"/>
  <c r="E85" i="13"/>
  <c r="E84" i="13"/>
  <c r="E77" i="13"/>
  <c r="E76" i="13"/>
  <c r="E69" i="13"/>
  <c r="E68" i="13"/>
  <c r="E65" i="13"/>
  <c r="E63" i="13"/>
  <c r="E61" i="13"/>
  <c r="E59" i="13"/>
  <c r="E57" i="13"/>
  <c r="E55" i="13"/>
  <c r="E53" i="13"/>
  <c r="E51" i="13"/>
  <c r="E49" i="13"/>
  <c r="E47" i="13"/>
  <c r="E119" i="13"/>
  <c r="E103" i="13"/>
  <c r="E74" i="13"/>
  <c r="E67" i="13"/>
  <c r="E45" i="13"/>
  <c r="E107" i="13"/>
  <c r="E91" i="13"/>
  <c r="E43" i="13"/>
  <c r="E41" i="13"/>
  <c r="E39" i="13"/>
  <c r="E37" i="13"/>
  <c r="E35" i="13"/>
  <c r="E33" i="13"/>
  <c r="E31" i="13"/>
  <c r="E29" i="13"/>
  <c r="E27" i="13"/>
  <c r="E25" i="13"/>
  <c r="E23" i="13"/>
  <c r="E21" i="13"/>
  <c r="E19" i="13"/>
  <c r="E17" i="13"/>
  <c r="E15" i="13"/>
  <c r="E13" i="13"/>
  <c r="E11" i="13"/>
  <c r="E9" i="13"/>
  <c r="E7" i="13"/>
  <c r="E5" i="13"/>
  <c r="E111" i="13"/>
  <c r="E95" i="13"/>
  <c r="E90" i="13"/>
  <c r="E83" i="13"/>
  <c r="E115" i="13"/>
  <c r="E42" i="13"/>
  <c r="E34" i="13"/>
  <c r="E26" i="13"/>
  <c r="E18" i="13"/>
  <c r="E10" i="13"/>
  <c r="E82" i="13"/>
  <c r="E75" i="13"/>
  <c r="E36" i="13"/>
  <c r="E28" i="13"/>
  <c r="E20" i="13"/>
  <c r="E12" i="13"/>
  <c r="E4" i="13"/>
  <c r="E40" i="13"/>
  <c r="E32" i="13"/>
  <c r="E24" i="13"/>
  <c r="E8" i="13"/>
  <c r="F17" i="12"/>
  <c r="E38" i="13"/>
  <c r="E30" i="13"/>
  <c r="E22" i="13"/>
  <c r="E14" i="13"/>
  <c r="E6" i="13"/>
  <c r="E99" i="13"/>
  <c r="E16" i="13"/>
  <c r="H13" i="12"/>
  <c r="G14" i="12"/>
  <c r="F17" i="10"/>
  <c r="F18" i="10" s="1"/>
  <c r="G3" i="12"/>
  <c r="D24" i="11" l="1"/>
  <c r="D25" i="11" s="1"/>
  <c r="K10" i="10"/>
  <c r="E19" i="12"/>
  <c r="E27" i="12" s="1"/>
  <c r="E6" i="12"/>
  <c r="E7" i="12" s="1"/>
  <c r="K9" i="10" s="1"/>
  <c r="C4" i="13"/>
  <c r="D4" i="13" s="1"/>
  <c r="B4" i="13" s="1"/>
  <c r="F4" i="13"/>
  <c r="G4" i="13" s="1"/>
  <c r="E25" i="10"/>
  <c r="H14" i="12"/>
  <c r="H18" i="12"/>
  <c r="H16" i="12"/>
  <c r="H17" i="12" s="1"/>
  <c r="G18" i="12"/>
  <c r="G16" i="12"/>
  <c r="G17" i="12" s="1"/>
  <c r="K13" i="10" l="1"/>
  <c r="K16" i="10" s="1"/>
  <c r="E24" i="12"/>
  <c r="E28" i="12" s="1"/>
  <c r="B15" i="9" s="1"/>
  <c r="F6" i="12"/>
  <c r="G6" i="12" s="1"/>
  <c r="F5" i="13"/>
  <c r="C5" i="13"/>
  <c r="G21" i="12"/>
  <c r="G19" i="12"/>
  <c r="H21" i="12"/>
  <c r="H19" i="12"/>
  <c r="E25" i="12" l="1"/>
  <c r="F7" i="12"/>
  <c r="D5" i="13"/>
  <c r="B5" i="13" s="1"/>
  <c r="H6" i="12"/>
  <c r="H7" i="12" s="1"/>
  <c r="G7" i="12"/>
  <c r="G5" i="13"/>
  <c r="H27" i="12"/>
  <c r="H24" i="12"/>
  <c r="G27" i="12"/>
  <c r="G24" i="12"/>
  <c r="H28" i="12" l="1"/>
  <c r="H25" i="12"/>
  <c r="G28" i="12"/>
  <c r="G25" i="12"/>
  <c r="F6" i="13"/>
  <c r="C6" i="13"/>
  <c r="D6" i="13" l="1"/>
  <c r="B6" i="13" s="1"/>
  <c r="G6" i="13"/>
  <c r="F7" i="13" l="1"/>
  <c r="C7" i="13"/>
  <c r="D7" i="13" l="1"/>
  <c r="B7" i="13" s="1"/>
  <c r="F21" i="12"/>
  <c r="F22" i="12" s="1"/>
  <c r="G7" i="13"/>
  <c r="F18" i="12"/>
  <c r="F19" i="12" s="1"/>
  <c r="F27" i="12" l="1"/>
  <c r="F24" i="12"/>
  <c r="F8" i="13"/>
  <c r="G8" i="13" s="1"/>
  <c r="C8" i="13"/>
  <c r="D8" i="13" s="1"/>
  <c r="B8" i="13" s="1"/>
  <c r="C9" i="13" l="1"/>
  <c r="D9" i="13" s="1"/>
  <c r="B9" i="13" s="1"/>
  <c r="F9" i="13"/>
  <c r="G9" i="13" s="1"/>
  <c r="F28" i="12"/>
  <c r="F25" i="12"/>
  <c r="C10" i="13" l="1"/>
  <c r="D10" i="13" s="1"/>
  <c r="B10" i="13" s="1"/>
  <c r="F10" i="13"/>
  <c r="G10" i="13" s="1"/>
  <c r="F11" i="13" l="1"/>
  <c r="G11" i="13" s="1"/>
  <c r="C11" i="13"/>
  <c r="D11" i="13" s="1"/>
  <c r="B11" i="13" s="1"/>
  <c r="C12" i="13" l="1"/>
  <c r="D12" i="13" s="1"/>
  <c r="B12" i="13" s="1"/>
  <c r="F12" i="13"/>
  <c r="G12" i="13" s="1"/>
  <c r="C13" i="13" l="1"/>
  <c r="D13" i="13" s="1"/>
  <c r="B13" i="13" s="1"/>
  <c r="F13" i="13"/>
  <c r="G13" i="13" s="1"/>
  <c r="F14" i="13" l="1"/>
  <c r="G14" i="13" s="1"/>
  <c r="C14" i="13"/>
  <c r="D14" i="13" s="1"/>
  <c r="B14" i="13" s="1"/>
  <c r="C15" i="13" l="1"/>
  <c r="D15" i="13" s="1"/>
  <c r="B15" i="13" s="1"/>
  <c r="F15" i="13"/>
  <c r="G15" i="13" s="1"/>
  <c r="F16" i="13" l="1"/>
  <c r="G16" i="13" s="1"/>
  <c r="C16" i="13"/>
  <c r="D16" i="13" s="1"/>
  <c r="B16" i="13" s="1"/>
  <c r="C17" i="13" l="1"/>
  <c r="D17" i="13" s="1"/>
  <c r="B17" i="13" s="1"/>
  <c r="F17" i="13"/>
  <c r="G17" i="13" s="1"/>
  <c r="C18" i="13" l="1"/>
  <c r="D18" i="13" s="1"/>
  <c r="B18" i="13" s="1"/>
  <c r="F18" i="13"/>
  <c r="G18" i="13" s="1"/>
  <c r="F19" i="13" l="1"/>
  <c r="G19" i="13" s="1"/>
  <c r="C19" i="13"/>
  <c r="D19" i="13" s="1"/>
  <c r="B19" i="13" s="1"/>
  <c r="C20" i="13" l="1"/>
  <c r="D20" i="13" s="1"/>
  <c r="B20" i="13" s="1"/>
  <c r="F20" i="13"/>
  <c r="G20" i="13" s="1"/>
  <c r="F21" i="13" l="1"/>
  <c r="G21" i="13" s="1"/>
  <c r="C21" i="13"/>
  <c r="D21" i="13" s="1"/>
  <c r="B21" i="13" s="1"/>
  <c r="F22" i="13" l="1"/>
  <c r="G22" i="13" s="1"/>
  <c r="C22" i="13"/>
  <c r="D22" i="13" s="1"/>
  <c r="B22" i="13" s="1"/>
  <c r="C23" i="13" l="1"/>
  <c r="D23" i="13" s="1"/>
  <c r="B23" i="13" s="1"/>
  <c r="F23" i="13"/>
  <c r="G23" i="13" s="1"/>
  <c r="C24" i="13" l="1"/>
  <c r="D24" i="13" s="1"/>
  <c r="B24" i="13" s="1"/>
  <c r="F24" i="13"/>
  <c r="G24" i="13" s="1"/>
  <c r="F25" i="13" l="1"/>
  <c r="G25" i="13" s="1"/>
  <c r="C25" i="13"/>
  <c r="D25" i="13" s="1"/>
  <c r="B25" i="13" s="1"/>
  <c r="C26" i="13" l="1"/>
  <c r="D26" i="13" s="1"/>
  <c r="B26" i="13" s="1"/>
  <c r="F26" i="13"/>
  <c r="G26" i="13" s="1"/>
  <c r="F27" i="13" l="1"/>
  <c r="G27" i="13" s="1"/>
  <c r="C27" i="13"/>
  <c r="D27" i="13" s="1"/>
  <c r="B27" i="13" s="1"/>
  <c r="C28" i="13" l="1"/>
  <c r="D28" i="13" s="1"/>
  <c r="B28" i="13" s="1"/>
  <c r="F28" i="13"/>
  <c r="G28" i="13" s="1"/>
  <c r="C29" i="13" l="1"/>
  <c r="D29" i="13" s="1"/>
  <c r="B29" i="13" s="1"/>
  <c r="F29" i="13"/>
  <c r="G29" i="13" s="1"/>
  <c r="F30" i="13" l="1"/>
  <c r="G30" i="13" s="1"/>
  <c r="C30" i="13"/>
  <c r="D30" i="13" s="1"/>
  <c r="B30" i="13" s="1"/>
  <c r="C31" i="13" l="1"/>
  <c r="D31" i="13" s="1"/>
  <c r="B31" i="13" s="1"/>
  <c r="F31" i="13"/>
  <c r="G31" i="13" s="1"/>
  <c r="F32" i="13" l="1"/>
  <c r="G32" i="13" s="1"/>
  <c r="C32" i="13"/>
  <c r="D32" i="13" s="1"/>
  <c r="B32" i="13" s="1"/>
  <c r="F33" i="13" l="1"/>
  <c r="G33" i="13" s="1"/>
  <c r="C33" i="13"/>
  <c r="D33" i="13" s="1"/>
  <c r="B33" i="13" s="1"/>
  <c r="C34" i="13" l="1"/>
  <c r="D34" i="13" s="1"/>
  <c r="B34" i="13" s="1"/>
  <c r="F34" i="13"/>
  <c r="G34" i="13" s="1"/>
  <c r="F35" i="13" l="1"/>
  <c r="G35" i="13" s="1"/>
  <c r="C35" i="13"/>
  <c r="D35" i="13" s="1"/>
  <c r="B35" i="13" s="1"/>
  <c r="C36" i="13" l="1"/>
  <c r="D36" i="13" s="1"/>
  <c r="B36" i="13" s="1"/>
  <c r="F36" i="13"/>
  <c r="G36" i="13" s="1"/>
  <c r="C37" i="13" l="1"/>
  <c r="D37" i="13" s="1"/>
  <c r="B37" i="13" s="1"/>
  <c r="F37" i="13"/>
  <c r="G37" i="13" s="1"/>
  <c r="F38" i="13" l="1"/>
  <c r="G38" i="13" s="1"/>
  <c r="C38" i="13"/>
  <c r="D38" i="13" s="1"/>
  <c r="B38" i="13" s="1"/>
  <c r="F39" i="13" l="1"/>
  <c r="G39" i="13" s="1"/>
  <c r="C39" i="13"/>
  <c r="D39" i="13" s="1"/>
  <c r="B39" i="13" s="1"/>
  <c r="F40" i="13" l="1"/>
  <c r="G40" i="13" s="1"/>
  <c r="C40" i="13"/>
  <c r="D40" i="13" s="1"/>
  <c r="B40" i="13" s="1"/>
  <c r="C41" i="13" l="1"/>
  <c r="D41" i="13" s="1"/>
  <c r="B41" i="13" s="1"/>
  <c r="F41" i="13"/>
  <c r="G41" i="13" s="1"/>
  <c r="C42" i="13" l="1"/>
  <c r="D42" i="13" s="1"/>
  <c r="B42" i="13" s="1"/>
  <c r="F42" i="13"/>
  <c r="G42" i="13" s="1"/>
  <c r="F43" i="13" l="1"/>
  <c r="G43" i="13" s="1"/>
  <c r="C43" i="13"/>
  <c r="D43" i="13" s="1"/>
  <c r="B43" i="13" s="1"/>
  <c r="F44" i="13" l="1"/>
  <c r="G44" i="13" s="1"/>
  <c r="C44" i="13"/>
  <c r="D44" i="13" s="1"/>
  <c r="B44" i="13" s="1"/>
  <c r="C45" i="13" l="1"/>
  <c r="D45" i="13" s="1"/>
  <c r="B45" i="13" s="1"/>
  <c r="F45" i="13"/>
  <c r="G45" i="13" s="1"/>
  <c r="C46" i="13" l="1"/>
  <c r="D46" i="13" s="1"/>
  <c r="B46" i="13" s="1"/>
  <c r="F46" i="13"/>
  <c r="G46" i="13" s="1"/>
  <c r="F47" i="13" l="1"/>
  <c r="G47" i="13" s="1"/>
  <c r="C47" i="13"/>
  <c r="D47" i="13" s="1"/>
  <c r="B47" i="13" s="1"/>
  <c r="C48" i="13" l="1"/>
  <c r="D48" i="13" s="1"/>
  <c r="B48" i="13" s="1"/>
  <c r="F48" i="13"/>
  <c r="G48" i="13" s="1"/>
  <c r="F49" i="13" l="1"/>
  <c r="G49" i="13" s="1"/>
  <c r="C49" i="13"/>
  <c r="D49" i="13" s="1"/>
  <c r="B49" i="13" s="1"/>
  <c r="C50" i="13" l="1"/>
  <c r="D50" i="13" s="1"/>
  <c r="B50" i="13" s="1"/>
  <c r="F50" i="13"/>
  <c r="G50" i="13" s="1"/>
  <c r="F51" i="13" l="1"/>
  <c r="G51" i="13" s="1"/>
  <c r="C51" i="13"/>
  <c r="D51" i="13" s="1"/>
  <c r="B51" i="13" s="1"/>
  <c r="F52" i="13" l="1"/>
  <c r="G52" i="13" s="1"/>
  <c r="C52" i="13"/>
  <c r="D52" i="13" s="1"/>
  <c r="B52" i="13" s="1"/>
  <c r="C53" i="13" l="1"/>
  <c r="D53" i="13" s="1"/>
  <c r="B53" i="13" s="1"/>
  <c r="F53" i="13"/>
  <c r="G53" i="13" s="1"/>
  <c r="F54" i="13" l="1"/>
  <c r="G54" i="13" s="1"/>
  <c r="C54" i="13"/>
  <c r="D54" i="13" s="1"/>
  <c r="B54" i="13" s="1"/>
  <c r="C55" i="13" l="1"/>
  <c r="D55" i="13" s="1"/>
  <c r="B55" i="13" s="1"/>
  <c r="F55" i="13"/>
  <c r="G55" i="13" s="1"/>
  <c r="F56" i="13" l="1"/>
  <c r="G56" i="13" s="1"/>
  <c r="C56" i="13"/>
  <c r="D56" i="13" s="1"/>
  <c r="B56" i="13" s="1"/>
  <c r="F57" i="13" l="1"/>
  <c r="G57" i="13" s="1"/>
  <c r="C57" i="13"/>
  <c r="D57" i="13" s="1"/>
  <c r="B57" i="13" s="1"/>
  <c r="C58" i="13" l="1"/>
  <c r="D58" i="13" s="1"/>
  <c r="B58" i="13" s="1"/>
  <c r="F58" i="13"/>
  <c r="G58" i="13" s="1"/>
  <c r="F59" i="13" l="1"/>
  <c r="G59" i="13" s="1"/>
  <c r="C59" i="13"/>
  <c r="D59" i="13" s="1"/>
  <c r="B59" i="13" s="1"/>
  <c r="C60" i="13" l="1"/>
  <c r="D60" i="13" s="1"/>
  <c r="B60" i="13" s="1"/>
  <c r="F60" i="13"/>
  <c r="G60" i="13" s="1"/>
  <c r="C61" i="13" l="1"/>
  <c r="D61" i="13" s="1"/>
  <c r="B61" i="13" s="1"/>
  <c r="F61" i="13"/>
  <c r="G61" i="13" s="1"/>
  <c r="F62" i="13" l="1"/>
  <c r="G62" i="13" s="1"/>
  <c r="C62" i="13"/>
  <c r="D62" i="13" s="1"/>
  <c r="B62" i="13" s="1"/>
  <c r="C63" i="13" l="1"/>
  <c r="D63" i="13" s="1"/>
  <c r="B63" i="13" s="1"/>
  <c r="F63" i="13"/>
  <c r="G63" i="13" s="1"/>
  <c r="C64" i="13" l="1"/>
  <c r="D64" i="13" s="1"/>
  <c r="B64" i="13" s="1"/>
  <c r="F64" i="13"/>
  <c r="G64" i="13" s="1"/>
  <c r="F65" i="13" l="1"/>
  <c r="G65" i="13" s="1"/>
  <c r="C65" i="13"/>
  <c r="D65" i="13" s="1"/>
  <c r="B65" i="13" s="1"/>
  <c r="C66" i="13" l="1"/>
  <c r="D66" i="13" s="1"/>
  <c r="B66" i="13" s="1"/>
  <c r="F66" i="13"/>
  <c r="G66" i="13" s="1"/>
  <c r="F67" i="13" l="1"/>
  <c r="G67" i="13" s="1"/>
  <c r="C67" i="13"/>
  <c r="D67" i="13" s="1"/>
  <c r="B67" i="13" s="1"/>
  <c r="F68" i="13" l="1"/>
  <c r="G68" i="13" s="1"/>
  <c r="C68" i="13"/>
  <c r="D68" i="13" s="1"/>
  <c r="B68" i="13" s="1"/>
  <c r="F69" i="13" l="1"/>
  <c r="G69" i="13" s="1"/>
  <c r="C69" i="13"/>
  <c r="D69" i="13" s="1"/>
  <c r="B69" i="13" s="1"/>
  <c r="C70" i="13" l="1"/>
  <c r="D70" i="13" s="1"/>
  <c r="B70" i="13" s="1"/>
  <c r="F70" i="13"/>
  <c r="G70" i="13" s="1"/>
  <c r="C71" i="13" l="1"/>
  <c r="D71" i="13" s="1"/>
  <c r="B71" i="13" s="1"/>
  <c r="F71" i="13"/>
  <c r="G71" i="13" s="1"/>
  <c r="C72" i="13" l="1"/>
  <c r="D72" i="13" s="1"/>
  <c r="B72" i="13" s="1"/>
  <c r="F72" i="13"/>
  <c r="G72" i="13" s="1"/>
  <c r="C73" i="13" l="1"/>
  <c r="D73" i="13" s="1"/>
  <c r="B73" i="13" s="1"/>
  <c r="F73" i="13"/>
  <c r="G73" i="13" s="1"/>
  <c r="F74" i="13" l="1"/>
  <c r="G74" i="13" s="1"/>
  <c r="C74" i="13"/>
  <c r="D74" i="13" s="1"/>
  <c r="B74" i="13" s="1"/>
  <c r="F75" i="13" l="1"/>
  <c r="G75" i="13" s="1"/>
  <c r="C75" i="13"/>
  <c r="D75" i="13" s="1"/>
  <c r="B75" i="13" s="1"/>
  <c r="F76" i="13" l="1"/>
  <c r="G76" i="13" s="1"/>
  <c r="C76" i="13"/>
  <c r="D76" i="13" s="1"/>
  <c r="B76" i="13" s="1"/>
  <c r="F77" i="13" l="1"/>
  <c r="G77" i="13" s="1"/>
  <c r="C77" i="13"/>
  <c r="D77" i="13" s="1"/>
  <c r="B77" i="13" s="1"/>
  <c r="F78" i="13" l="1"/>
  <c r="G78" i="13" s="1"/>
  <c r="C78" i="13"/>
  <c r="D78" i="13" s="1"/>
  <c r="B78" i="13" s="1"/>
  <c r="F79" i="13" l="1"/>
  <c r="G79" i="13" s="1"/>
  <c r="C79" i="13"/>
  <c r="D79" i="13" s="1"/>
  <c r="B79" i="13" s="1"/>
  <c r="F80" i="13" l="1"/>
  <c r="G80" i="13" s="1"/>
  <c r="C80" i="13"/>
  <c r="D80" i="13" s="1"/>
  <c r="B80" i="13" s="1"/>
  <c r="C81" i="13" l="1"/>
  <c r="D81" i="13" s="1"/>
  <c r="B81" i="13" s="1"/>
  <c r="F81" i="13"/>
  <c r="G81" i="13" s="1"/>
  <c r="F82" i="13" l="1"/>
  <c r="G82" i="13" s="1"/>
  <c r="C82" i="13"/>
  <c r="D82" i="13" s="1"/>
  <c r="B82" i="13" s="1"/>
  <c r="C83" i="13" l="1"/>
  <c r="D83" i="13" s="1"/>
  <c r="B83" i="13" s="1"/>
  <c r="F83" i="13"/>
  <c r="G83" i="13" s="1"/>
  <c r="F84" i="13" l="1"/>
  <c r="G84" i="13" s="1"/>
  <c r="C84" i="13"/>
  <c r="D84" i="13" s="1"/>
  <c r="B84" i="13" s="1"/>
  <c r="C85" i="13" l="1"/>
  <c r="D85" i="13" s="1"/>
  <c r="B85" i="13" s="1"/>
  <c r="F85" i="13"/>
  <c r="G85" i="13" s="1"/>
  <c r="F86" i="13" l="1"/>
  <c r="G86" i="13" s="1"/>
  <c r="C86" i="13"/>
  <c r="D86" i="13" s="1"/>
  <c r="B86" i="13" s="1"/>
  <c r="C87" i="13" l="1"/>
  <c r="D87" i="13" s="1"/>
  <c r="B87" i="13" s="1"/>
  <c r="F87" i="13"/>
  <c r="G87" i="13" s="1"/>
  <c r="F88" i="13" l="1"/>
  <c r="G88" i="13" s="1"/>
  <c r="C88" i="13"/>
  <c r="D88" i="13" s="1"/>
  <c r="B88" i="13" s="1"/>
  <c r="F89" i="13" l="1"/>
  <c r="G89" i="13" s="1"/>
  <c r="C89" i="13"/>
  <c r="D89" i="13" s="1"/>
  <c r="B89" i="13" s="1"/>
  <c r="C90" i="13" l="1"/>
  <c r="D90" i="13" s="1"/>
  <c r="B90" i="13" s="1"/>
  <c r="F90" i="13"/>
  <c r="G90" i="13" s="1"/>
  <c r="C91" i="13" l="1"/>
  <c r="D91" i="13" s="1"/>
  <c r="B91" i="13" s="1"/>
  <c r="F91" i="13"/>
  <c r="G91" i="13" s="1"/>
  <c r="F92" i="13" l="1"/>
  <c r="G92" i="13" s="1"/>
  <c r="C92" i="13"/>
  <c r="D92" i="13" s="1"/>
  <c r="B92" i="13" s="1"/>
  <c r="C93" i="13" l="1"/>
  <c r="D93" i="13" s="1"/>
  <c r="B93" i="13" s="1"/>
  <c r="F93" i="13"/>
  <c r="G93" i="13" s="1"/>
  <c r="C94" i="13" l="1"/>
  <c r="D94" i="13" s="1"/>
  <c r="B94" i="13" s="1"/>
  <c r="F94" i="13"/>
  <c r="G94" i="13" s="1"/>
  <c r="F95" i="13" l="1"/>
  <c r="G95" i="13" s="1"/>
  <c r="C95" i="13"/>
  <c r="D95" i="13" s="1"/>
  <c r="B95" i="13" s="1"/>
  <c r="F96" i="13" l="1"/>
  <c r="G96" i="13" s="1"/>
  <c r="C96" i="13"/>
  <c r="D96" i="13" s="1"/>
  <c r="B96" i="13" s="1"/>
  <c r="C97" i="13" l="1"/>
  <c r="D97" i="13" s="1"/>
  <c r="B97" i="13" s="1"/>
  <c r="F97" i="13"/>
  <c r="G97" i="13" s="1"/>
  <c r="F98" i="13" l="1"/>
  <c r="G98" i="13" s="1"/>
  <c r="C98" i="13"/>
  <c r="D98" i="13" s="1"/>
  <c r="B98" i="13" s="1"/>
  <c r="F99" i="13" l="1"/>
  <c r="G99" i="13" s="1"/>
  <c r="C99" i="13"/>
  <c r="D99" i="13" s="1"/>
  <c r="B99" i="13" s="1"/>
  <c r="F100" i="13" l="1"/>
  <c r="G100" i="13" s="1"/>
  <c r="C100" i="13"/>
  <c r="D100" i="13" s="1"/>
  <c r="B100" i="13" s="1"/>
  <c r="C101" i="13" l="1"/>
  <c r="D101" i="13" s="1"/>
  <c r="B101" i="13" s="1"/>
  <c r="F101" i="13"/>
  <c r="G101" i="13" s="1"/>
  <c r="F102" i="13" l="1"/>
  <c r="G102" i="13" s="1"/>
  <c r="C102" i="13"/>
  <c r="D102" i="13" s="1"/>
  <c r="B102" i="13" s="1"/>
  <c r="F103" i="13" l="1"/>
  <c r="G103" i="13" s="1"/>
  <c r="C103" i="13"/>
  <c r="D103" i="13" s="1"/>
  <c r="B103" i="13" s="1"/>
  <c r="C104" i="13" l="1"/>
  <c r="D104" i="13" s="1"/>
  <c r="B104" i="13" s="1"/>
  <c r="F104" i="13"/>
  <c r="G104" i="13" s="1"/>
  <c r="F105" i="13" l="1"/>
  <c r="G105" i="13" s="1"/>
  <c r="C105" i="13"/>
  <c r="D105" i="13" s="1"/>
  <c r="B105" i="13" s="1"/>
  <c r="F106" i="13" l="1"/>
  <c r="G106" i="13" s="1"/>
  <c r="C106" i="13"/>
  <c r="D106" i="13" s="1"/>
  <c r="B106" i="13" s="1"/>
  <c r="C107" i="13" l="1"/>
  <c r="D107" i="13" s="1"/>
  <c r="B107" i="13" s="1"/>
  <c r="F107" i="13"/>
  <c r="G107" i="13" s="1"/>
  <c r="F108" i="13" l="1"/>
  <c r="G108" i="13" s="1"/>
  <c r="C108" i="13"/>
  <c r="D108" i="13" s="1"/>
  <c r="B108" i="13" s="1"/>
  <c r="C109" i="13" l="1"/>
  <c r="D109" i="13" s="1"/>
  <c r="B109" i="13" s="1"/>
  <c r="F109" i="13"/>
  <c r="G109" i="13" s="1"/>
  <c r="C110" i="13" l="1"/>
  <c r="D110" i="13" s="1"/>
  <c r="B110" i="13" s="1"/>
  <c r="F110" i="13"/>
  <c r="G110" i="13" s="1"/>
  <c r="C111" i="13" l="1"/>
  <c r="D111" i="13" s="1"/>
  <c r="B111" i="13" s="1"/>
  <c r="F111" i="13"/>
  <c r="G111" i="13" s="1"/>
  <c r="F112" i="13" l="1"/>
  <c r="G112" i="13" s="1"/>
  <c r="C112" i="13"/>
  <c r="D112" i="13" s="1"/>
  <c r="B112" i="13" s="1"/>
  <c r="C113" i="13" l="1"/>
  <c r="D113" i="13" s="1"/>
  <c r="B113" i="13" s="1"/>
  <c r="F113" i="13"/>
  <c r="G113" i="13" s="1"/>
  <c r="F114" i="13" l="1"/>
  <c r="G114" i="13" s="1"/>
  <c r="C114" i="13"/>
  <c r="D114" i="13" s="1"/>
  <c r="B114" i="13" s="1"/>
  <c r="F115" i="13" l="1"/>
  <c r="G115" i="13" s="1"/>
  <c r="C115" i="13"/>
  <c r="D115" i="13" s="1"/>
  <c r="B115" i="13" s="1"/>
  <c r="F116" i="13" l="1"/>
  <c r="G116" i="13" s="1"/>
  <c r="C116" i="13"/>
  <c r="D116" i="13" s="1"/>
  <c r="B116" i="13" s="1"/>
  <c r="C117" i="13" l="1"/>
  <c r="D117" i="13" s="1"/>
  <c r="B117" i="13" s="1"/>
  <c r="F117" i="13"/>
  <c r="G117" i="13" s="1"/>
  <c r="C118" i="13" l="1"/>
  <c r="D118" i="13" s="1"/>
  <c r="B118" i="13" s="1"/>
  <c r="F118" i="13"/>
  <c r="G118" i="13" s="1"/>
  <c r="F119" i="13" l="1"/>
  <c r="G119" i="13" s="1"/>
  <c r="C119" i="13"/>
  <c r="D119" i="13" s="1"/>
  <c r="B119" i="13" s="1"/>
  <c r="C120" i="13" l="1"/>
  <c r="D120" i="13" s="1"/>
  <c r="B120" i="13" s="1"/>
  <c r="F120" i="13"/>
  <c r="G120" i="13" s="1"/>
  <c r="C121" i="13" l="1"/>
  <c r="D121" i="13" s="1"/>
  <c r="B121" i="13" s="1"/>
  <c r="F121" i="13"/>
  <c r="G121" i="13" s="1"/>
  <c r="F122" i="13" l="1"/>
  <c r="G122" i="13" s="1"/>
  <c r="C122" i="13"/>
  <c r="D122" i="13" s="1"/>
  <c r="B122" i="13" s="1"/>
  <c r="C123" i="13" l="1"/>
  <c r="D123" i="13" s="1"/>
  <c r="B123" i="13" s="1"/>
  <c r="F123" i="13"/>
  <c r="G123" i="13" s="1"/>
  <c r="N85" i="9" l="1"/>
  <c r="M85" i="9"/>
  <c r="L85" i="9"/>
  <c r="K85" i="9"/>
  <c r="J85" i="9"/>
  <c r="I85" i="9"/>
  <c r="H85" i="9"/>
  <c r="G85" i="9"/>
  <c r="F85" i="9"/>
  <c r="E85" i="9"/>
  <c r="D85" i="9"/>
  <c r="C85" i="9"/>
  <c r="B85" i="9"/>
  <c r="B80" i="9"/>
  <c r="N79" i="9"/>
  <c r="N78" i="9"/>
  <c r="C77" i="9"/>
  <c r="C80" i="9" s="1"/>
  <c r="M74" i="9"/>
  <c r="L74" i="9"/>
  <c r="K74" i="9"/>
  <c r="J74" i="9"/>
  <c r="I74" i="9"/>
  <c r="H74" i="9"/>
  <c r="G74" i="9"/>
  <c r="F74" i="9"/>
  <c r="E74" i="9"/>
  <c r="D74" i="9"/>
  <c r="C74" i="9"/>
  <c r="B74" i="9"/>
  <c r="N73" i="9"/>
  <c r="N72" i="9"/>
  <c r="N74" i="9" s="1"/>
  <c r="B69" i="9"/>
  <c r="N68" i="9"/>
  <c r="N67" i="9"/>
  <c r="C66" i="9"/>
  <c r="D66" i="9" s="1"/>
  <c r="E66" i="9" s="1"/>
  <c r="F66" i="9" s="1"/>
  <c r="G66" i="9" s="1"/>
  <c r="H66" i="9" s="1"/>
  <c r="I66" i="9" s="1"/>
  <c r="J66" i="9" s="1"/>
  <c r="K66" i="9" s="1"/>
  <c r="L66" i="9" s="1"/>
  <c r="M66" i="9" s="1"/>
  <c r="C65" i="9"/>
  <c r="D65" i="9" s="1"/>
  <c r="E65" i="9" s="1"/>
  <c r="F65" i="9" s="1"/>
  <c r="G65" i="9" s="1"/>
  <c r="H65" i="9" s="1"/>
  <c r="I65" i="9" s="1"/>
  <c r="J65" i="9" s="1"/>
  <c r="K65" i="9" s="1"/>
  <c r="L65" i="9" s="1"/>
  <c r="M65" i="9" s="1"/>
  <c r="C64" i="9"/>
  <c r="D64" i="9" s="1"/>
  <c r="B61" i="9"/>
  <c r="N60" i="9"/>
  <c r="C59" i="9"/>
  <c r="N58" i="9"/>
  <c r="N57" i="9"/>
  <c r="D56" i="9"/>
  <c r="C55" i="9"/>
  <c r="C54" i="9"/>
  <c r="C61" i="9" s="1"/>
  <c r="E53" i="9"/>
  <c r="H53" i="9" s="1"/>
  <c r="K53" i="9" s="1"/>
  <c r="D53" i="9"/>
  <c r="E52" i="9"/>
  <c r="H52" i="9" s="1"/>
  <c r="B49" i="9"/>
  <c r="C48" i="9"/>
  <c r="D48" i="9" s="1"/>
  <c r="E48" i="9" s="1"/>
  <c r="F48" i="9" s="1"/>
  <c r="G48" i="9" s="1"/>
  <c r="H48" i="9" s="1"/>
  <c r="I48" i="9" s="1"/>
  <c r="J48" i="9" s="1"/>
  <c r="K48" i="9" s="1"/>
  <c r="L48" i="9" s="1"/>
  <c r="M48" i="9" s="1"/>
  <c r="C47" i="9"/>
  <c r="D47" i="9" s="1"/>
  <c r="E47" i="9" s="1"/>
  <c r="F47" i="9" s="1"/>
  <c r="G47" i="9" s="1"/>
  <c r="H47" i="9" s="1"/>
  <c r="I47" i="9" s="1"/>
  <c r="J47" i="9" s="1"/>
  <c r="K47" i="9" s="1"/>
  <c r="L47" i="9" s="1"/>
  <c r="M47" i="9" s="1"/>
  <c r="C46" i="9"/>
  <c r="D46" i="9" s="1"/>
  <c r="E46" i="9" s="1"/>
  <c r="F46" i="9" s="1"/>
  <c r="G46" i="9" s="1"/>
  <c r="H46" i="9" s="1"/>
  <c r="I46" i="9" s="1"/>
  <c r="J46" i="9" s="1"/>
  <c r="K46" i="9" s="1"/>
  <c r="L46" i="9" s="1"/>
  <c r="M46" i="9" s="1"/>
  <c r="C45" i="9"/>
  <c r="D45" i="9" s="1"/>
  <c r="E45" i="9" s="1"/>
  <c r="F45" i="9" s="1"/>
  <c r="G45" i="9" s="1"/>
  <c r="H45" i="9" s="1"/>
  <c r="I45" i="9" s="1"/>
  <c r="J45" i="9" s="1"/>
  <c r="K45" i="9" s="1"/>
  <c r="L45" i="9" s="1"/>
  <c r="M45" i="9" s="1"/>
  <c r="C44" i="9"/>
  <c r="B41" i="9"/>
  <c r="N40" i="9"/>
  <c r="C39" i="9"/>
  <c r="D39" i="9" s="1"/>
  <c r="D41" i="9" s="1"/>
  <c r="B36" i="9"/>
  <c r="N35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N33" i="9"/>
  <c r="C32" i="9"/>
  <c r="C36" i="9" s="1"/>
  <c r="N31" i="9"/>
  <c r="N30" i="9"/>
  <c r="C26" i="9"/>
  <c r="D26" i="9" s="1"/>
  <c r="E26" i="9" s="1"/>
  <c r="F26" i="9" s="1"/>
  <c r="G26" i="9" s="1"/>
  <c r="H26" i="9" s="1"/>
  <c r="I26" i="9" s="1"/>
  <c r="J26" i="9" s="1"/>
  <c r="K26" i="9" s="1"/>
  <c r="L26" i="9" s="1"/>
  <c r="M26" i="9" s="1"/>
  <c r="N25" i="9"/>
  <c r="C24" i="9"/>
  <c r="N23" i="9"/>
  <c r="C22" i="9"/>
  <c r="H21" i="9"/>
  <c r="N21" i="9" s="1"/>
  <c r="C20" i="9"/>
  <c r="D20" i="9" s="1"/>
  <c r="E20" i="9" s="1"/>
  <c r="F20" i="9" s="1"/>
  <c r="G20" i="9" s="1"/>
  <c r="H20" i="9" s="1"/>
  <c r="I20" i="9" s="1"/>
  <c r="J20" i="9" s="1"/>
  <c r="K20" i="9" s="1"/>
  <c r="L20" i="9" s="1"/>
  <c r="M20" i="9" s="1"/>
  <c r="E19" i="9"/>
  <c r="H19" i="9" s="1"/>
  <c r="K19" i="9" s="1"/>
  <c r="B18" i="9"/>
  <c r="C18" i="9" s="1"/>
  <c r="D18" i="9" s="1"/>
  <c r="E18" i="9" s="1"/>
  <c r="F18" i="9" s="1"/>
  <c r="G18" i="9" s="1"/>
  <c r="H18" i="9" s="1"/>
  <c r="I18" i="9" s="1"/>
  <c r="J18" i="9" s="1"/>
  <c r="K18" i="9" s="1"/>
  <c r="L18" i="9" s="1"/>
  <c r="M18" i="9" s="1"/>
  <c r="N17" i="9"/>
  <c r="C16" i="9"/>
  <c r="N9" i="9"/>
  <c r="N8" i="9"/>
  <c r="E7" i="9"/>
  <c r="N6" i="9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B80" i="4"/>
  <c r="N79" i="4"/>
  <c r="N78" i="4"/>
  <c r="C77" i="4"/>
  <c r="M74" i="4"/>
  <c r="L74" i="4"/>
  <c r="K74" i="4"/>
  <c r="J74" i="4"/>
  <c r="I74" i="4"/>
  <c r="H74" i="4"/>
  <c r="G74" i="4"/>
  <c r="F74" i="4"/>
  <c r="E74" i="4"/>
  <c r="D74" i="4"/>
  <c r="C74" i="4"/>
  <c r="B74" i="4"/>
  <c r="N73" i="4"/>
  <c r="N72" i="4"/>
  <c r="N74" i="4" s="1"/>
  <c r="B69" i="4"/>
  <c r="N68" i="4"/>
  <c r="N67" i="4"/>
  <c r="C66" i="4"/>
  <c r="D66" i="4" s="1"/>
  <c r="E66" i="4" s="1"/>
  <c r="F66" i="4" s="1"/>
  <c r="G66" i="4" s="1"/>
  <c r="H66" i="4" s="1"/>
  <c r="I66" i="4" s="1"/>
  <c r="J66" i="4" s="1"/>
  <c r="K66" i="4" s="1"/>
  <c r="L66" i="4" s="1"/>
  <c r="M66" i="4" s="1"/>
  <c r="C65" i="4"/>
  <c r="D65" i="4" s="1"/>
  <c r="E65" i="4" s="1"/>
  <c r="F65" i="4" s="1"/>
  <c r="G65" i="4" s="1"/>
  <c r="H65" i="4" s="1"/>
  <c r="I65" i="4" s="1"/>
  <c r="J65" i="4" s="1"/>
  <c r="K65" i="4" s="1"/>
  <c r="L65" i="4" s="1"/>
  <c r="M65" i="4" s="1"/>
  <c r="C64" i="4"/>
  <c r="D64" i="4" s="1"/>
  <c r="B61" i="4"/>
  <c r="N60" i="4"/>
  <c r="C59" i="4"/>
  <c r="N58" i="4"/>
  <c r="N57" i="4"/>
  <c r="D56" i="4"/>
  <c r="E56" i="4" s="1"/>
  <c r="C55" i="4"/>
  <c r="D55" i="4" s="1"/>
  <c r="C54" i="4"/>
  <c r="E53" i="4"/>
  <c r="H53" i="4" s="1"/>
  <c r="K53" i="4" s="1"/>
  <c r="D53" i="4"/>
  <c r="E52" i="4"/>
  <c r="B49" i="4"/>
  <c r="C48" i="4"/>
  <c r="C47" i="4"/>
  <c r="C46" i="4"/>
  <c r="C45" i="4"/>
  <c r="C44" i="4"/>
  <c r="B41" i="4"/>
  <c r="N40" i="4"/>
  <c r="C39" i="4"/>
  <c r="B36" i="4"/>
  <c r="N35" i="4"/>
  <c r="C34" i="4"/>
  <c r="N33" i="4"/>
  <c r="C32" i="4"/>
  <c r="N31" i="4"/>
  <c r="N30" i="4"/>
  <c r="B27" i="4"/>
  <c r="B82" i="4" s="1"/>
  <c r="C26" i="4"/>
  <c r="N25" i="4"/>
  <c r="C24" i="4"/>
  <c r="N23" i="4"/>
  <c r="C22" i="4"/>
  <c r="D22" i="4" s="1"/>
  <c r="H21" i="4"/>
  <c r="N21" i="4" s="1"/>
  <c r="C20" i="4"/>
  <c r="E19" i="4"/>
  <c r="C18" i="4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N17" i="4"/>
  <c r="C16" i="4"/>
  <c r="C15" i="4"/>
  <c r="N9" i="4"/>
  <c r="N8" i="4"/>
  <c r="M7" i="4"/>
  <c r="E7" i="4"/>
  <c r="H7" i="4" s="1"/>
  <c r="K7" i="4" s="1"/>
  <c r="N6" i="4"/>
  <c r="E72" i="2"/>
  <c r="E71" i="2"/>
  <c r="C71" i="2"/>
  <c r="D71" i="2" s="1"/>
  <c r="D64" i="2"/>
  <c r="F63" i="2"/>
  <c r="E63" i="2"/>
  <c r="D63" i="2"/>
  <c r="D55" i="2"/>
  <c r="C55" i="2"/>
  <c r="C64" i="2" s="1"/>
  <c r="F54" i="2"/>
  <c r="E54" i="2"/>
  <c r="E55" i="2" s="1"/>
  <c r="G55" i="2" s="1"/>
  <c r="D54" i="2"/>
  <c r="C54" i="2"/>
  <c r="C63" i="2" s="1"/>
  <c r="D40" i="2"/>
  <c r="C40" i="2"/>
  <c r="D35" i="2"/>
  <c r="D79" i="2" s="1"/>
  <c r="C35" i="2"/>
  <c r="D30" i="2"/>
  <c r="C30" i="2"/>
  <c r="AA29" i="2"/>
  <c r="AC28" i="2" s="1"/>
  <c r="D29" i="2"/>
  <c r="C29" i="2"/>
  <c r="K28" i="2"/>
  <c r="L28" i="2" s="1"/>
  <c r="I28" i="2"/>
  <c r="J28" i="2" s="1"/>
  <c r="K26" i="2"/>
  <c r="I26" i="2"/>
  <c r="D24" i="2"/>
  <c r="C24" i="2"/>
  <c r="D22" i="2"/>
  <c r="C22" i="2"/>
  <c r="I29" i="2" s="1"/>
  <c r="J21" i="2"/>
  <c r="L21" i="2" s="1"/>
  <c r="C15" i="2"/>
  <c r="C72" i="2" s="1"/>
  <c r="D14" i="2"/>
  <c r="C14" i="2"/>
  <c r="G9" i="2" s="1"/>
  <c r="C13" i="2"/>
  <c r="G8" i="2" s="1"/>
  <c r="J12" i="2"/>
  <c r="D12" i="2"/>
  <c r="D13" i="2" s="1"/>
  <c r="H9" i="2"/>
  <c r="H8" i="2"/>
  <c r="H7" i="2"/>
  <c r="G7" i="2"/>
  <c r="H6" i="2"/>
  <c r="G6" i="2"/>
  <c r="H5" i="2"/>
  <c r="G5" i="2"/>
  <c r="K2" i="2"/>
  <c r="I2" i="2"/>
  <c r="G63" i="2" l="1"/>
  <c r="H63" i="2" s="1"/>
  <c r="D24" i="4"/>
  <c r="C36" i="4"/>
  <c r="D32" i="4"/>
  <c r="D39" i="4"/>
  <c r="C41" i="4"/>
  <c r="D48" i="4"/>
  <c r="D54" i="4"/>
  <c r="C61" i="4"/>
  <c r="D59" i="4"/>
  <c r="C80" i="4"/>
  <c r="D77" i="4"/>
  <c r="D22" i="9"/>
  <c r="C49" i="9"/>
  <c r="D44" i="9"/>
  <c r="D49" i="9" s="1"/>
  <c r="D25" i="2"/>
  <c r="D37" i="2" s="1"/>
  <c r="E54" i="4"/>
  <c r="F54" i="4" s="1"/>
  <c r="D41" i="4"/>
  <c r="E39" i="4"/>
  <c r="D61" i="4"/>
  <c r="F56" i="4"/>
  <c r="G56" i="4" s="1"/>
  <c r="H56" i="4" s="1"/>
  <c r="I56" i="4" s="1"/>
  <c r="J56" i="4" s="1"/>
  <c r="K56" i="4" s="1"/>
  <c r="L56" i="4" s="1"/>
  <c r="M56" i="4" s="1"/>
  <c r="E64" i="4"/>
  <c r="D69" i="4"/>
  <c r="E55" i="4"/>
  <c r="F55" i="4" s="1"/>
  <c r="G55" i="4" s="1"/>
  <c r="H55" i="4" s="1"/>
  <c r="I55" i="4" s="1"/>
  <c r="J55" i="4" s="1"/>
  <c r="K55" i="4" s="1"/>
  <c r="L55" i="4" s="1"/>
  <c r="M55" i="4" s="1"/>
  <c r="E22" i="4"/>
  <c r="F22" i="4" s="1"/>
  <c r="G22" i="4" s="1"/>
  <c r="H22" i="4" s="1"/>
  <c r="I22" i="4" s="1"/>
  <c r="J22" i="4" s="1"/>
  <c r="K22" i="4" s="1"/>
  <c r="L22" i="4" s="1"/>
  <c r="M22" i="4" s="1"/>
  <c r="N7" i="4"/>
  <c r="N65" i="4"/>
  <c r="N66" i="4"/>
  <c r="C69" i="4"/>
  <c r="E64" i="2"/>
  <c r="G64" i="2" s="1"/>
  <c r="H64" i="2" s="1"/>
  <c r="D15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H19" i="4"/>
  <c r="K19" i="4" s="1"/>
  <c r="D20" i="4"/>
  <c r="E20" i="4" s="1"/>
  <c r="F20" i="4" s="1"/>
  <c r="G20" i="4" s="1"/>
  <c r="H20" i="4" s="1"/>
  <c r="I20" i="4" s="1"/>
  <c r="J20" i="4" s="1"/>
  <c r="K20" i="4" s="1"/>
  <c r="L20" i="4" s="1"/>
  <c r="M20" i="4" s="1"/>
  <c r="D26" i="4"/>
  <c r="E26" i="4" s="1"/>
  <c r="F26" i="4" s="1"/>
  <c r="G26" i="4" s="1"/>
  <c r="H26" i="4" s="1"/>
  <c r="I26" i="4" s="1"/>
  <c r="J26" i="4" s="1"/>
  <c r="K26" i="4" s="1"/>
  <c r="L26" i="4" s="1"/>
  <c r="M26" i="4" s="1"/>
  <c r="C27" i="4"/>
  <c r="E32" i="4"/>
  <c r="D34" i="4"/>
  <c r="E34" i="4" s="1"/>
  <c r="F34" i="4" s="1"/>
  <c r="G34" i="4" s="1"/>
  <c r="H34" i="4" s="1"/>
  <c r="I34" i="4" s="1"/>
  <c r="J34" i="4" s="1"/>
  <c r="K34" i="4" s="1"/>
  <c r="L34" i="4" s="1"/>
  <c r="M34" i="4" s="1"/>
  <c r="D44" i="4"/>
  <c r="D45" i="4"/>
  <c r="E45" i="4" s="1"/>
  <c r="F45" i="4" s="1"/>
  <c r="G45" i="4" s="1"/>
  <c r="H45" i="4" s="1"/>
  <c r="I45" i="4" s="1"/>
  <c r="J45" i="4" s="1"/>
  <c r="K45" i="4" s="1"/>
  <c r="L45" i="4" s="1"/>
  <c r="M45" i="4" s="1"/>
  <c r="D46" i="4"/>
  <c r="E46" i="4" s="1"/>
  <c r="F46" i="4" s="1"/>
  <c r="G46" i="4" s="1"/>
  <c r="H46" i="4" s="1"/>
  <c r="I46" i="4" s="1"/>
  <c r="J46" i="4" s="1"/>
  <c r="K46" i="4" s="1"/>
  <c r="L46" i="4" s="1"/>
  <c r="M46" i="4" s="1"/>
  <c r="D47" i="4"/>
  <c r="E47" i="4" s="1"/>
  <c r="F47" i="4" s="1"/>
  <c r="G47" i="4" s="1"/>
  <c r="H47" i="4" s="1"/>
  <c r="I47" i="4" s="1"/>
  <c r="J47" i="4" s="1"/>
  <c r="K47" i="4" s="1"/>
  <c r="L47" i="4" s="1"/>
  <c r="M47" i="4" s="1"/>
  <c r="C49" i="4"/>
  <c r="N53" i="4"/>
  <c r="H52" i="4"/>
  <c r="H55" i="2"/>
  <c r="F71" i="2"/>
  <c r="J19" i="2" s="1"/>
  <c r="L19" i="2" s="1"/>
  <c r="N19" i="9"/>
  <c r="N20" i="9"/>
  <c r="D16" i="9"/>
  <c r="E16" i="9" s="1"/>
  <c r="F16" i="9" s="1"/>
  <c r="G16" i="9" s="1"/>
  <c r="H16" i="9" s="1"/>
  <c r="I16" i="9" s="1"/>
  <c r="J16" i="9" s="1"/>
  <c r="K16" i="9" s="1"/>
  <c r="L16" i="9" s="1"/>
  <c r="M16" i="9" s="1"/>
  <c r="N45" i="9"/>
  <c r="N47" i="9"/>
  <c r="D69" i="9"/>
  <c r="E64" i="9"/>
  <c r="K52" i="9"/>
  <c r="H7" i="9"/>
  <c r="K7" i="9" s="1"/>
  <c r="M7" i="9" s="1"/>
  <c r="D24" i="9"/>
  <c r="N46" i="9"/>
  <c r="N48" i="9"/>
  <c r="N26" i="9"/>
  <c r="N34" i="9"/>
  <c r="D54" i="9"/>
  <c r="E54" i="9" s="1"/>
  <c r="F54" i="9" s="1"/>
  <c r="D55" i="9"/>
  <c r="E55" i="9" s="1"/>
  <c r="F55" i="9" s="1"/>
  <c r="G55" i="9" s="1"/>
  <c r="H55" i="9" s="1"/>
  <c r="I55" i="9" s="1"/>
  <c r="J55" i="9" s="1"/>
  <c r="K55" i="9" s="1"/>
  <c r="L55" i="9" s="1"/>
  <c r="M55" i="9" s="1"/>
  <c r="E56" i="9"/>
  <c r="F56" i="9" s="1"/>
  <c r="G56" i="9" s="1"/>
  <c r="H56" i="9" s="1"/>
  <c r="I56" i="9" s="1"/>
  <c r="J56" i="9" s="1"/>
  <c r="K56" i="9" s="1"/>
  <c r="L56" i="9" s="1"/>
  <c r="M56" i="9" s="1"/>
  <c r="D32" i="9"/>
  <c r="E39" i="9"/>
  <c r="C41" i="9"/>
  <c r="D59" i="9"/>
  <c r="E59" i="9" s="1"/>
  <c r="F59" i="9" s="1"/>
  <c r="G59" i="9" s="1"/>
  <c r="H59" i="9" s="1"/>
  <c r="I59" i="9" s="1"/>
  <c r="J59" i="9" s="1"/>
  <c r="K59" i="9" s="1"/>
  <c r="L59" i="9" s="1"/>
  <c r="M59" i="9" s="1"/>
  <c r="N65" i="9"/>
  <c r="N66" i="9"/>
  <c r="C69" i="9"/>
  <c r="D77" i="9"/>
  <c r="N53" i="9"/>
  <c r="E44" i="9"/>
  <c r="J29" i="2"/>
  <c r="AD29" i="2"/>
  <c r="AC29" i="2"/>
  <c r="D81" i="2"/>
  <c r="K13" i="2" s="1"/>
  <c r="D27" i="2"/>
  <c r="F72" i="2"/>
  <c r="J20" i="2" s="1"/>
  <c r="L20" i="2" s="1"/>
  <c r="K29" i="2"/>
  <c r="C39" i="2"/>
  <c r="C80" i="2"/>
  <c r="C25" i="2"/>
  <c r="D39" i="2"/>
  <c r="C81" i="2"/>
  <c r="G54" i="2"/>
  <c r="H54" i="2" s="1"/>
  <c r="C79" i="2"/>
  <c r="D38" i="2" l="1"/>
  <c r="H56" i="2"/>
  <c r="C41" i="2" s="1"/>
  <c r="H65" i="2"/>
  <c r="D41" i="2" s="1"/>
  <c r="E24" i="9"/>
  <c r="F24" i="9" s="1"/>
  <c r="G24" i="9" s="1"/>
  <c r="H24" i="9" s="1"/>
  <c r="I24" i="9" s="1"/>
  <c r="J24" i="9" s="1"/>
  <c r="K24" i="9" s="1"/>
  <c r="L24" i="9" s="1"/>
  <c r="M24" i="9" s="1"/>
  <c r="N24" i="9"/>
  <c r="C82" i="4"/>
  <c r="E22" i="9"/>
  <c r="F22" i="9" s="1"/>
  <c r="G22" i="9" s="1"/>
  <c r="H22" i="9" s="1"/>
  <c r="I22" i="9" s="1"/>
  <c r="J22" i="9" s="1"/>
  <c r="K22" i="9" s="1"/>
  <c r="L22" i="9" s="1"/>
  <c r="M22" i="9" s="1"/>
  <c r="N22" i="9"/>
  <c r="D80" i="4"/>
  <c r="E77" i="4"/>
  <c r="E59" i="4"/>
  <c r="F59" i="4" s="1"/>
  <c r="G59" i="4" s="1"/>
  <c r="H59" i="4" s="1"/>
  <c r="I59" i="4" s="1"/>
  <c r="J59" i="4" s="1"/>
  <c r="K59" i="4" s="1"/>
  <c r="L59" i="4" s="1"/>
  <c r="M59" i="4" s="1"/>
  <c r="N59" i="4"/>
  <c r="E48" i="4"/>
  <c r="F48" i="4" s="1"/>
  <c r="G48" i="4" s="1"/>
  <c r="H48" i="4" s="1"/>
  <c r="I48" i="4" s="1"/>
  <c r="J48" i="4" s="1"/>
  <c r="K48" i="4" s="1"/>
  <c r="L48" i="4" s="1"/>
  <c r="M48" i="4" s="1"/>
  <c r="N48" i="4"/>
  <c r="E24" i="4"/>
  <c r="F24" i="4" s="1"/>
  <c r="G24" i="4" s="1"/>
  <c r="H24" i="4" s="1"/>
  <c r="I24" i="4" s="1"/>
  <c r="J24" i="4" s="1"/>
  <c r="K24" i="4" s="1"/>
  <c r="L24" i="4" s="1"/>
  <c r="M24" i="4" s="1"/>
  <c r="N24" i="4"/>
  <c r="D31" i="2"/>
  <c r="D77" i="2" s="1"/>
  <c r="AB41" i="2" s="1"/>
  <c r="E41" i="9"/>
  <c r="F39" i="9"/>
  <c r="K52" i="4"/>
  <c r="N45" i="4"/>
  <c r="E41" i="4"/>
  <c r="F39" i="4"/>
  <c r="N47" i="4"/>
  <c r="G54" i="4"/>
  <c r="F61" i="4"/>
  <c r="E77" i="9"/>
  <c r="D80" i="9"/>
  <c r="E32" i="9"/>
  <c r="D36" i="9"/>
  <c r="G54" i="9"/>
  <c r="F61" i="9"/>
  <c r="N56" i="9"/>
  <c r="N59" i="9"/>
  <c r="N7" i="9"/>
  <c r="D49" i="4"/>
  <c r="E44" i="4"/>
  <c r="D27" i="4"/>
  <c r="E15" i="4"/>
  <c r="N34" i="4"/>
  <c r="N55" i="4"/>
  <c r="N19" i="4"/>
  <c r="N56" i="4"/>
  <c r="D36" i="4"/>
  <c r="E69" i="9"/>
  <c r="F64" i="9"/>
  <c r="E49" i="9"/>
  <c r="F44" i="9"/>
  <c r="N52" i="9"/>
  <c r="E61" i="9"/>
  <c r="D61" i="9"/>
  <c r="N55" i="9"/>
  <c r="N52" i="4"/>
  <c r="N20" i="4"/>
  <c r="N46" i="4"/>
  <c r="N16" i="9"/>
  <c r="F32" i="4"/>
  <c r="E36" i="4"/>
  <c r="N22" i="4"/>
  <c r="E69" i="4"/>
  <c r="F64" i="4"/>
  <c r="E61" i="4"/>
  <c r="N16" i="4"/>
  <c r="N26" i="4"/>
  <c r="K6" i="2"/>
  <c r="L6" i="2" s="1"/>
  <c r="K5" i="2"/>
  <c r="L5" i="2" s="1"/>
  <c r="C38" i="2"/>
  <c r="C27" i="2"/>
  <c r="C31" i="2" s="1"/>
  <c r="C37" i="2"/>
  <c r="I13" i="2"/>
  <c r="I14" i="2"/>
  <c r="D76" i="2"/>
  <c r="L29" i="2"/>
  <c r="D43" i="2"/>
  <c r="D45" i="2" s="1"/>
  <c r="D82" i="4" l="1"/>
  <c r="F77" i="4"/>
  <c r="E80" i="4"/>
  <c r="C43" i="2"/>
  <c r="C45" i="2" s="1"/>
  <c r="G64" i="9"/>
  <c r="F69" i="9"/>
  <c r="E27" i="4"/>
  <c r="F15" i="4"/>
  <c r="F32" i="9"/>
  <c r="E36" i="9"/>
  <c r="H54" i="4"/>
  <c r="G61" i="4"/>
  <c r="F69" i="4"/>
  <c r="G64" i="4"/>
  <c r="G32" i="4"/>
  <c r="F36" i="4"/>
  <c r="F49" i="9"/>
  <c r="G44" i="9"/>
  <c r="E49" i="4"/>
  <c r="F44" i="4"/>
  <c r="G61" i="9"/>
  <c r="H54" i="9"/>
  <c r="F77" i="9"/>
  <c r="E80" i="9"/>
  <c r="F41" i="4"/>
  <c r="G39" i="4"/>
  <c r="G39" i="9"/>
  <c r="F41" i="9"/>
  <c r="AB29" i="2"/>
  <c r="K8" i="2" s="1"/>
  <c r="L8" i="2" s="1"/>
  <c r="AB44" i="2"/>
  <c r="AB45" i="2"/>
  <c r="AB43" i="2"/>
  <c r="C76" i="2"/>
  <c r="C77" i="2"/>
  <c r="I5" i="2" s="1"/>
  <c r="J5" i="2" s="1"/>
  <c r="D83" i="2"/>
  <c r="L13" i="2" s="1"/>
  <c r="D82" i="2"/>
  <c r="G77" i="4" l="1"/>
  <c r="F80" i="4"/>
  <c r="G36" i="4"/>
  <c r="H32" i="4"/>
  <c r="F27" i="4"/>
  <c r="G15" i="4"/>
  <c r="H39" i="4"/>
  <c r="G41" i="4"/>
  <c r="F80" i="9"/>
  <c r="G77" i="9"/>
  <c r="F49" i="4"/>
  <c r="G44" i="4"/>
  <c r="E82" i="4"/>
  <c r="G49" i="9"/>
  <c r="H44" i="9"/>
  <c r="H64" i="4"/>
  <c r="G69" i="4"/>
  <c r="F36" i="9"/>
  <c r="G32" i="9"/>
  <c r="H64" i="9"/>
  <c r="G69" i="9"/>
  <c r="K9" i="2"/>
  <c r="L9" i="2" s="1"/>
  <c r="G41" i="9"/>
  <c r="H39" i="9"/>
  <c r="I54" i="9"/>
  <c r="H61" i="9"/>
  <c r="I54" i="4"/>
  <c r="H61" i="4"/>
  <c r="C83" i="2"/>
  <c r="J13" i="2" s="1"/>
  <c r="C78" i="2"/>
  <c r="I9" i="2"/>
  <c r="J9" i="2" s="1"/>
  <c r="I7" i="2"/>
  <c r="J7" i="2" s="1"/>
  <c r="I8" i="2"/>
  <c r="J8" i="2" s="1"/>
  <c r="K7" i="2"/>
  <c r="L7" i="2" s="1"/>
  <c r="F82" i="4" l="1"/>
  <c r="G80" i="4"/>
  <c r="H77" i="4"/>
  <c r="L10" i="2"/>
  <c r="L15" i="2" s="1"/>
  <c r="L18" i="2" s="1"/>
  <c r="L23" i="2" s="1"/>
  <c r="K30" i="2" s="1"/>
  <c r="K31" i="2" s="1"/>
  <c r="L31" i="2" s="1"/>
  <c r="I61" i="4"/>
  <c r="J54" i="4"/>
  <c r="H49" i="9"/>
  <c r="I44" i="9"/>
  <c r="G80" i="9"/>
  <c r="H77" i="9"/>
  <c r="G27" i="4"/>
  <c r="H15" i="4"/>
  <c r="H41" i="9"/>
  <c r="I39" i="9"/>
  <c r="H69" i="9"/>
  <c r="I64" i="9"/>
  <c r="J54" i="9"/>
  <c r="I61" i="9"/>
  <c r="I64" i="4"/>
  <c r="H69" i="4"/>
  <c r="G49" i="4"/>
  <c r="H44" i="4"/>
  <c r="H36" i="4"/>
  <c r="I32" i="4"/>
  <c r="G36" i="9"/>
  <c r="H32" i="9"/>
  <c r="H41" i="4"/>
  <c r="I39" i="4"/>
  <c r="C82" i="2"/>
  <c r="C84" i="2" s="1"/>
  <c r="J14" i="2" s="1"/>
  <c r="I6" i="2"/>
  <c r="J6" i="2" s="1"/>
  <c r="J10" i="2" s="1"/>
  <c r="B5" i="9" l="1"/>
  <c r="B5" i="4"/>
  <c r="H80" i="4"/>
  <c r="I77" i="4"/>
  <c r="L30" i="2"/>
  <c r="H49" i="4"/>
  <c r="I44" i="4"/>
  <c r="I77" i="9"/>
  <c r="H80" i="9"/>
  <c r="I49" i="9"/>
  <c r="J44" i="9"/>
  <c r="I41" i="9"/>
  <c r="J39" i="9"/>
  <c r="I32" i="9"/>
  <c r="H36" i="9"/>
  <c r="J32" i="4"/>
  <c r="I36" i="4"/>
  <c r="I69" i="4"/>
  <c r="J64" i="4"/>
  <c r="H27" i="4"/>
  <c r="H82" i="4" s="1"/>
  <c r="I15" i="4"/>
  <c r="J15" i="2"/>
  <c r="J18" i="2" s="1"/>
  <c r="J23" i="2" s="1"/>
  <c r="I30" i="2" s="1"/>
  <c r="J30" i="2" s="1"/>
  <c r="I41" i="4"/>
  <c r="J39" i="4"/>
  <c r="K54" i="9"/>
  <c r="J61" i="9"/>
  <c r="I69" i="9"/>
  <c r="J64" i="9"/>
  <c r="G82" i="4"/>
  <c r="K54" i="4"/>
  <c r="J61" i="4"/>
  <c r="J77" i="4" l="1"/>
  <c r="I80" i="4"/>
  <c r="C5" i="4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/>
  <c r="C5" i="9"/>
  <c r="D5" i="9" s="1"/>
  <c r="E5" i="9" s="1"/>
  <c r="F5" i="9" s="1"/>
  <c r="G5" i="9" s="1"/>
  <c r="H5" i="9" s="1"/>
  <c r="I5" i="9" s="1"/>
  <c r="J5" i="9" s="1"/>
  <c r="K5" i="9" s="1"/>
  <c r="L5" i="9" s="1"/>
  <c r="M5" i="9" s="1"/>
  <c r="I31" i="2"/>
  <c r="J31" i="2" s="1"/>
  <c r="L54" i="4"/>
  <c r="K61" i="4"/>
  <c r="L54" i="9"/>
  <c r="K61" i="9"/>
  <c r="J32" i="9"/>
  <c r="I36" i="9"/>
  <c r="I49" i="4"/>
  <c r="J44" i="4"/>
  <c r="K64" i="9"/>
  <c r="J69" i="9"/>
  <c r="J69" i="4"/>
  <c r="K64" i="4"/>
  <c r="K39" i="9"/>
  <c r="J41" i="9"/>
  <c r="J41" i="4"/>
  <c r="K39" i="4"/>
  <c r="I27" i="4"/>
  <c r="I82" i="4" s="1"/>
  <c r="J15" i="4"/>
  <c r="K32" i="4"/>
  <c r="J36" i="4"/>
  <c r="J49" i="9"/>
  <c r="K44" i="9"/>
  <c r="J77" i="9"/>
  <c r="I80" i="9"/>
  <c r="N5" i="9" l="1"/>
  <c r="B4" i="9"/>
  <c r="B4" i="4"/>
  <c r="K77" i="4"/>
  <c r="J80" i="4"/>
  <c r="J49" i="4"/>
  <c r="K44" i="4"/>
  <c r="L61" i="9"/>
  <c r="M54" i="9"/>
  <c r="J80" i="9"/>
  <c r="K77" i="9"/>
  <c r="K36" i="4"/>
  <c r="L32" i="4"/>
  <c r="L64" i="4"/>
  <c r="K69" i="4"/>
  <c r="K49" i="9"/>
  <c r="L44" i="9"/>
  <c r="J27" i="4"/>
  <c r="J82" i="4" s="1"/>
  <c r="K15" i="4"/>
  <c r="L39" i="4"/>
  <c r="K41" i="4"/>
  <c r="J36" i="9"/>
  <c r="K32" i="9"/>
  <c r="L61" i="4"/>
  <c r="M54" i="4"/>
  <c r="B27" i="9"/>
  <c r="B82" i="9" s="1"/>
  <c r="C15" i="9"/>
  <c r="K41" i="9"/>
  <c r="L39" i="9"/>
  <c r="L64" i="9"/>
  <c r="K69" i="9"/>
  <c r="K80" i="4" l="1"/>
  <c r="L77" i="4"/>
  <c r="B10" i="4"/>
  <c r="B86" i="4" s="1"/>
  <c r="B88" i="4" s="1"/>
  <c r="C4" i="4"/>
  <c r="C4" i="9"/>
  <c r="B10" i="9"/>
  <c r="B86" i="9" s="1"/>
  <c r="B88" i="9" s="1"/>
  <c r="L36" i="4"/>
  <c r="M32" i="4"/>
  <c r="M61" i="9"/>
  <c r="N54" i="9"/>
  <c r="N61" i="9" s="1"/>
  <c r="L69" i="9"/>
  <c r="M64" i="9"/>
  <c r="M61" i="4"/>
  <c r="N54" i="4"/>
  <c r="N61" i="4" s="1"/>
  <c r="L41" i="4"/>
  <c r="M39" i="4"/>
  <c r="K80" i="9"/>
  <c r="L77" i="9"/>
  <c r="K49" i="4"/>
  <c r="L44" i="4"/>
  <c r="M64" i="4"/>
  <c r="M69" i="4" s="1"/>
  <c r="L69" i="4"/>
  <c r="L49" i="9"/>
  <c r="M44" i="9"/>
  <c r="L41" i="9"/>
  <c r="M39" i="9"/>
  <c r="C27" i="9"/>
  <c r="C82" i="9" s="1"/>
  <c r="D15" i="9"/>
  <c r="K36" i="9"/>
  <c r="L32" i="9"/>
  <c r="K27" i="4"/>
  <c r="K82" i="4" s="1"/>
  <c r="L15" i="4"/>
  <c r="C10" i="9" l="1"/>
  <c r="C86" i="9" s="1"/>
  <c r="C88" i="9" s="1"/>
  <c r="D4" i="9"/>
  <c r="D4" i="4"/>
  <c r="C10" i="4"/>
  <c r="C86" i="4" s="1"/>
  <c r="C88" i="4" s="1"/>
  <c r="L80" i="4"/>
  <c r="M77" i="4"/>
  <c r="M49" i="9"/>
  <c r="N44" i="9"/>
  <c r="N49" i="9" s="1"/>
  <c r="M69" i="9"/>
  <c r="N64" i="9"/>
  <c r="N69" i="9" s="1"/>
  <c r="M32" i="9"/>
  <c r="L36" i="9"/>
  <c r="L27" i="4"/>
  <c r="M15" i="4"/>
  <c r="D27" i="9"/>
  <c r="D82" i="9" s="1"/>
  <c r="E15" i="9"/>
  <c r="M77" i="9"/>
  <c r="L80" i="9"/>
  <c r="M41" i="9"/>
  <c r="N41" i="9" s="1"/>
  <c r="N39" i="9"/>
  <c r="N64" i="4"/>
  <c r="N69" i="4" s="1"/>
  <c r="M36" i="4"/>
  <c r="N36" i="4" s="1"/>
  <c r="N32" i="4"/>
  <c r="L49" i="4"/>
  <c r="M44" i="4"/>
  <c r="M41" i="4"/>
  <c r="N41" i="4" s="1"/>
  <c r="N39" i="4"/>
  <c r="L82" i="4" l="1"/>
  <c r="M80" i="4"/>
  <c r="N77" i="4"/>
  <c r="N80" i="4" s="1"/>
  <c r="D10" i="4"/>
  <c r="D86" i="4" s="1"/>
  <c r="D88" i="4" s="1"/>
  <c r="E4" i="4"/>
  <c r="E4" i="9"/>
  <c r="D10" i="9"/>
  <c r="D86" i="9" s="1"/>
  <c r="D88" i="9" s="1"/>
  <c r="M80" i="9"/>
  <c r="N77" i="9"/>
  <c r="N80" i="9" s="1"/>
  <c r="M27" i="4"/>
  <c r="N15" i="4"/>
  <c r="N27" i="4" s="1"/>
  <c r="M49" i="4"/>
  <c r="N44" i="4"/>
  <c r="N49" i="4" s="1"/>
  <c r="E27" i="9"/>
  <c r="E82" i="9" s="1"/>
  <c r="F15" i="9"/>
  <c r="M36" i="9"/>
  <c r="N36" i="9" s="1"/>
  <c r="N32" i="9"/>
  <c r="F4" i="9" l="1"/>
  <c r="E10" i="9"/>
  <c r="E86" i="9" s="1"/>
  <c r="E88" i="9" s="1"/>
  <c r="E10" i="4"/>
  <c r="E86" i="4" s="1"/>
  <c r="E88" i="4" s="1"/>
  <c r="F4" i="4"/>
  <c r="F27" i="9"/>
  <c r="F82" i="9" s="1"/>
  <c r="G15" i="9"/>
  <c r="N82" i="4"/>
  <c r="M82" i="4"/>
  <c r="F10" i="4" l="1"/>
  <c r="F86" i="4" s="1"/>
  <c r="F88" i="4" s="1"/>
  <c r="G4" i="4"/>
  <c r="F10" i="9"/>
  <c r="G4" i="9"/>
  <c r="G27" i="9"/>
  <c r="G82" i="9" s="1"/>
  <c r="H15" i="9"/>
  <c r="G10" i="9" l="1"/>
  <c r="G86" i="9" s="1"/>
  <c r="G88" i="9" s="1"/>
  <c r="H4" i="9"/>
  <c r="F86" i="9"/>
  <c r="F88" i="9" s="1"/>
  <c r="H4" i="4"/>
  <c r="G10" i="4"/>
  <c r="H27" i="9"/>
  <c r="H82" i="9" s="1"/>
  <c r="I15" i="9"/>
  <c r="G86" i="4" l="1"/>
  <c r="G88" i="4" s="1"/>
  <c r="H10" i="4"/>
  <c r="I4" i="4"/>
  <c r="I4" i="9"/>
  <c r="H10" i="9"/>
  <c r="I27" i="9"/>
  <c r="I82" i="9" s="1"/>
  <c r="J15" i="9"/>
  <c r="H86" i="9" l="1"/>
  <c r="H88" i="9" s="1"/>
  <c r="J4" i="9"/>
  <c r="I10" i="9"/>
  <c r="I10" i="4"/>
  <c r="I86" i="4" s="1"/>
  <c r="I88" i="4" s="1"/>
  <c r="J4" i="4"/>
  <c r="H86" i="4"/>
  <c r="H88" i="4" s="1"/>
  <c r="J27" i="9"/>
  <c r="J82" i="9" s="1"/>
  <c r="K15" i="9"/>
  <c r="J10" i="4" l="1"/>
  <c r="K4" i="4"/>
  <c r="I86" i="9"/>
  <c r="I88" i="9" s="1"/>
  <c r="J10" i="9"/>
  <c r="K4" i="9"/>
  <c r="K27" i="9"/>
  <c r="K82" i="9" s="1"/>
  <c r="L15" i="9"/>
  <c r="K10" i="9" l="1"/>
  <c r="K86" i="9" s="1"/>
  <c r="K88" i="9" s="1"/>
  <c r="L4" i="9"/>
  <c r="J86" i="9"/>
  <c r="J88" i="9" s="1"/>
  <c r="L4" i="4"/>
  <c r="K10" i="4"/>
  <c r="K86" i="4" s="1"/>
  <c r="K88" i="4" s="1"/>
  <c r="J86" i="4"/>
  <c r="J88" i="4" s="1"/>
  <c r="L27" i="9"/>
  <c r="L82" i="9" s="1"/>
  <c r="M15" i="9"/>
  <c r="L10" i="4" l="1"/>
  <c r="M4" i="4"/>
  <c r="M4" i="9"/>
  <c r="M10" i="9" s="1"/>
  <c r="L10" i="9"/>
  <c r="M27" i="9"/>
  <c r="M82" i="9" s="1"/>
  <c r="N15" i="9"/>
  <c r="N27" i="9" s="1"/>
  <c r="N82" i="9" s="1"/>
  <c r="M86" i="9" l="1"/>
  <c r="M88" i="9" s="1"/>
  <c r="N4" i="9"/>
  <c r="N10" i="9"/>
  <c r="N86" i="9" s="1"/>
  <c r="N87" i="9" s="1"/>
  <c r="N88" i="9" s="1"/>
  <c r="E5" i="14" s="1"/>
  <c r="L86" i="9"/>
  <c r="L88" i="9" s="1"/>
  <c r="M10" i="4"/>
  <c r="M86" i="4" s="1"/>
  <c r="M88" i="4" s="1"/>
  <c r="N4" i="4"/>
  <c r="L86" i="4"/>
  <c r="L88" i="4" s="1"/>
  <c r="N10" i="4"/>
  <c r="N86" i="4" s="1"/>
  <c r="N87" i="4" s="1"/>
  <c r="N88" i="4" s="1"/>
  <c r="E4" i="14" s="1"/>
  <c r="E6" i="14" l="1"/>
  <c r="E8" i="14"/>
  <c r="E7" i="14"/>
</calcChain>
</file>

<file path=xl/sharedStrings.xml><?xml version="1.0" encoding="utf-8"?>
<sst xmlns="http://schemas.openxmlformats.org/spreadsheetml/2006/main" count="677" uniqueCount="464">
  <si>
    <t>Skatteberegningsprogram - par</t>
  </si>
  <si>
    <t>År 2025</t>
  </si>
  <si>
    <t>Person 1, er den med højest indkomst</t>
  </si>
  <si>
    <t>Alicia</t>
  </si>
  <si>
    <t>Jacob</t>
  </si>
  <si>
    <t>Privat indskud på ratepension (og ophørende livrente)</t>
  </si>
  <si>
    <t>Beregnings-grundlag</t>
  </si>
  <si>
    <t>Beregnet skat</t>
  </si>
  <si>
    <t>Privat indskud på livrente</t>
  </si>
  <si>
    <t>Beregning af skat</t>
  </si>
  <si>
    <t>Procent</t>
  </si>
  <si>
    <t>Fradrag</t>
  </si>
  <si>
    <t>Alder</t>
  </si>
  <si>
    <t>Bundskat</t>
  </si>
  <si>
    <t>Har fri telefon (ja/nej)</t>
  </si>
  <si>
    <t>ja</t>
  </si>
  <si>
    <t>Topskat</t>
  </si>
  <si>
    <t>Fagforening</t>
  </si>
  <si>
    <t>Sundhedsbidrag</t>
  </si>
  <si>
    <t>A-kasse og efterløn</t>
  </si>
  <si>
    <t>Kommuneskat</t>
  </si>
  <si>
    <t>Antal km til arbejde (tur/retur)</t>
  </si>
  <si>
    <t>Kirkeskat</t>
  </si>
  <si>
    <t>Antal arbejdsdage</t>
  </si>
  <si>
    <t>Medlem af Folkekirken (ja/nej)</t>
  </si>
  <si>
    <t>nej</t>
  </si>
  <si>
    <t>Vælg Kommune</t>
  </si>
  <si>
    <t>København</t>
  </si>
  <si>
    <t>Evt skattetillæg af neg. KI under 50.000</t>
  </si>
  <si>
    <t>Kommuneskattesats</t>
  </si>
  <si>
    <t>Evt. nedslag i topskatten (lønindkomst)</t>
  </si>
  <si>
    <t>Kirkeskattesats</t>
  </si>
  <si>
    <t>Evt. nedslag i topskatten (kapitalindkomst)</t>
  </si>
  <si>
    <t>Grundskyldssats</t>
  </si>
  <si>
    <t>Ejendomsværdi (offentlig)</t>
  </si>
  <si>
    <t>Grundværdi (offentlig)</t>
  </si>
  <si>
    <r>
      <t>Evt skatterabat (</t>
    </r>
    <r>
      <rPr>
        <i/>
        <sz val="10"/>
        <rFont val="Arial"/>
        <family val="2"/>
      </rPr>
      <t>bolig købt før 1.jan.2024</t>
    </r>
    <r>
      <rPr>
        <sz val="10"/>
        <rFont val="Arial"/>
        <family val="2"/>
      </rPr>
      <t>)</t>
    </r>
  </si>
  <si>
    <t>Indkomstskat i alt (incl. AM-bidrag)</t>
  </si>
  <si>
    <t>Ejendomsværdiskat</t>
  </si>
  <si>
    <r>
      <t>Lønindkomst    (</t>
    </r>
    <r>
      <rPr>
        <b/>
        <i/>
        <sz val="8"/>
        <rFont val="Arial"/>
        <family val="2"/>
      </rPr>
      <t>efter evt. ATP</t>
    </r>
    <r>
      <rPr>
        <b/>
        <sz val="10"/>
        <rFont val="Arial"/>
        <family val="2"/>
      </rPr>
      <t>)</t>
    </r>
  </si>
  <si>
    <t>Grundskyld</t>
  </si>
  <si>
    <r>
      <t xml:space="preserve">  arbejdsgiverpensionsordning %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</si>
  <si>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Skatterabat</t>
  </si>
  <si>
    <r>
      <t>- arbejdsgiverpensionsordning DKK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</si>
  <si>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+ anden AM-pligtig indkomst</t>
  </si>
  <si>
    <t>Skat i alt</t>
  </si>
  <si>
    <t>+ fri telefon</t>
  </si>
  <si>
    <t>= Beregningsgrundlag for AM-bidrag</t>
  </si>
  <si>
    <t>Udbetalt efter skat</t>
  </si>
  <si>
    <t>Uudnyttet</t>
  </si>
  <si>
    <t>Udligning af KI til brug for bundskat</t>
  </si>
  <si>
    <t>- AM-bidrag</t>
  </si>
  <si>
    <t>Pr. år</t>
  </si>
  <si>
    <t>Pr. måned</t>
  </si>
  <si>
    <t>KI</t>
  </si>
  <si>
    <t>P1</t>
  </si>
  <si>
    <t>P2</t>
  </si>
  <si>
    <r>
      <t>+ Ikke AM-pligtig indkomst (</t>
    </r>
    <r>
      <rPr>
        <i/>
        <sz val="9"/>
        <rFont val="Arial"/>
        <family val="2"/>
      </rPr>
      <t>SU, dagpenge, pension etc.</t>
    </r>
    <r>
      <rPr>
        <sz val="10"/>
        <rFont val="Arial"/>
        <family val="2"/>
      </rPr>
      <t>)</t>
    </r>
  </si>
  <si>
    <t>Lønindkomst</t>
  </si>
  <si>
    <t>person 2</t>
  </si>
  <si>
    <r>
      <t>- Eget indskud på ratepension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</si>
  <si>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arbejdsgiver pensionsordning</t>
  </si>
  <si>
    <r>
      <t>- Eget indskud på livrente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</si>
  <si>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skat</t>
  </si>
  <si>
    <t>= Personlig indkomst (PI)</t>
  </si>
  <si>
    <t>+ Renteindtægter</t>
  </si>
  <si>
    <t>-  Renteudgfter</t>
  </si>
  <si>
    <t>+ Kapitalindkomst (KI)  i alt</t>
  </si>
  <si>
    <t>Beskæftigelsesfradrag</t>
  </si>
  <si>
    <t>Jobfradrag</t>
  </si>
  <si>
    <t>Ekstra pensionsfradrag</t>
  </si>
  <si>
    <t xml:space="preserve">fradrag </t>
  </si>
  <si>
    <t>Fagforening, A-kasse og efterløn</t>
  </si>
  <si>
    <t>Befordring</t>
  </si>
  <si>
    <t>Andre ligningsmæssige fradrag</t>
  </si>
  <si>
    <t>- Ligningsmæssige fradrag i alt</t>
  </si>
  <si>
    <t>= Skattepligtig indkomst (SI)</t>
  </si>
  <si>
    <t>BEREGNINGSOMRÅDE (INDTAST IKKE NOGET)</t>
  </si>
  <si>
    <t>Person1</t>
  </si>
  <si>
    <t>sats</t>
  </si>
  <si>
    <t>dage</t>
  </si>
  <si>
    <t>km/dag</t>
  </si>
  <si>
    <t>min.</t>
  </si>
  <si>
    <t>frad./dag</t>
  </si>
  <si>
    <t>fradrag i alt</t>
  </si>
  <si>
    <t xml:space="preserve"> </t>
  </si>
  <si>
    <t>Befordring for km under standardgrænse</t>
  </si>
  <si>
    <t>Befordring for km over standardgrænse</t>
  </si>
  <si>
    <t>Samlet befordringsfradrag</t>
  </si>
  <si>
    <t>Evt. forhøjelser skal laves manuelt</t>
  </si>
  <si>
    <t>Person2</t>
  </si>
  <si>
    <t>Ejendomsskatter</t>
  </si>
  <si>
    <t>Sats</t>
  </si>
  <si>
    <t>Høj sats</t>
  </si>
  <si>
    <t>Ejendomsværdi</t>
  </si>
  <si>
    <t>I alt</t>
  </si>
  <si>
    <t>Mellemregninger</t>
  </si>
  <si>
    <t>Person 1</t>
  </si>
  <si>
    <t>Person 2</t>
  </si>
  <si>
    <t>Værdi af personlig indkomst</t>
  </si>
  <si>
    <t>Værdi af personlig indkomst plus positiv kapitalindkomst</t>
  </si>
  <si>
    <t>Værdi af PI plus KI &gt; min grænse</t>
  </si>
  <si>
    <t>Positiv kapitalindkomst</t>
  </si>
  <si>
    <t>Positiv kapitalindkomst over fælles min grænse</t>
  </si>
  <si>
    <t>Sum af skatteprocenter</t>
  </si>
  <si>
    <t>Topskatteberegningsgrundlag</t>
  </si>
  <si>
    <t xml:space="preserve"> - andel som vedrører lønindkomst</t>
  </si>
  <si>
    <t xml:space="preserve"> - andel som vedrører kapitalindkomst</t>
  </si>
  <si>
    <t xml:space="preserve">Privatbudget - </t>
  </si>
  <si>
    <t>boligkøb</t>
  </si>
  <si>
    <t>Indtægter</t>
  </si>
  <si>
    <t>jan</t>
  </si>
  <si>
    <t>feb</t>
  </si>
  <si>
    <t>mar</t>
  </si>
  <si>
    <t>apr</t>
  </si>
  <si>
    <t>maj</t>
  </si>
  <si>
    <t xml:space="preserve">juni </t>
  </si>
  <si>
    <t>juli</t>
  </si>
  <si>
    <t>aug</t>
  </si>
  <si>
    <t>sept</t>
  </si>
  <si>
    <t>okt</t>
  </si>
  <si>
    <t>nov</t>
  </si>
  <si>
    <t>dec</t>
  </si>
  <si>
    <t>TOTAL</t>
  </si>
  <si>
    <t>Alicia Løn, efter skat</t>
  </si>
  <si>
    <t>Jacob Løn, efter skat</t>
  </si>
  <si>
    <t>Renter/udbytte</t>
  </si>
  <si>
    <t>Børnefamilie ydelser</t>
  </si>
  <si>
    <t>Børnebidrag</t>
  </si>
  <si>
    <t>Diverse</t>
  </si>
  <si>
    <t>Indtægter i alt</t>
  </si>
  <si>
    <t>Udgifter</t>
  </si>
  <si>
    <t>Bolig</t>
  </si>
  <si>
    <t>Husleje incl vand og varme</t>
  </si>
  <si>
    <t>efter skat</t>
  </si>
  <si>
    <t>Banklån</t>
  </si>
  <si>
    <t>Renovation</t>
  </si>
  <si>
    <t>Varme</t>
  </si>
  <si>
    <t>Elektricitet</t>
  </si>
  <si>
    <t>Vand</t>
  </si>
  <si>
    <t>Fællesudgifter</t>
  </si>
  <si>
    <t>Grundejerforening</t>
  </si>
  <si>
    <t>Vedligeholdelse</t>
  </si>
  <si>
    <t>Hus forsikring</t>
  </si>
  <si>
    <t>Ejerudgift</t>
  </si>
  <si>
    <t>Bolig i alt</t>
  </si>
  <si>
    <t xml:space="preserve">Bil </t>
  </si>
  <si>
    <t>Forsikring</t>
  </si>
  <si>
    <t>Vægtafgift</t>
  </si>
  <si>
    <t>EL</t>
  </si>
  <si>
    <t>Falck</t>
  </si>
  <si>
    <t xml:space="preserve">Billån </t>
  </si>
  <si>
    <t>Vedligehold/reparation</t>
  </si>
  <si>
    <t>Biludgifter i alt</t>
  </si>
  <si>
    <t>Transport øvrig</t>
  </si>
  <si>
    <t>Offentlig transport</t>
  </si>
  <si>
    <t>Transport i alt</t>
  </si>
  <si>
    <t>Kommunikation/TV</t>
  </si>
  <si>
    <t>Fastnettelefon</t>
  </si>
  <si>
    <t>Mobiltelefon</t>
  </si>
  <si>
    <t>Internet</t>
  </si>
  <si>
    <t>Hybridnet/kabel-TV</t>
  </si>
  <si>
    <t>Aviser og Tidsskrifter</t>
  </si>
  <si>
    <t xml:space="preserve">Kommun./TV i alt </t>
  </si>
  <si>
    <t>Forsikringer</t>
  </si>
  <si>
    <t>A-kasse og Efterløn, Alicia</t>
  </si>
  <si>
    <t>A-kasse og  efterløn, Jacob</t>
  </si>
  <si>
    <t>Fagforening, Alicia</t>
  </si>
  <si>
    <t>Fagforening, Jacob</t>
  </si>
  <si>
    <t>Familieforsikring</t>
  </si>
  <si>
    <t>Ulykkesforsikring</t>
  </si>
  <si>
    <t>Sygeforsikring Danmark</t>
  </si>
  <si>
    <t>Receptpligtig medecin</t>
  </si>
  <si>
    <t>Forsikringer i alt</t>
  </si>
  <si>
    <t>Børneudgifter</t>
  </si>
  <si>
    <t>SFO</t>
  </si>
  <si>
    <t>Vuggestue/børnehave</t>
  </si>
  <si>
    <t>Transport</t>
  </si>
  <si>
    <t>Skoleudgifter</t>
  </si>
  <si>
    <t>Børneudgifter i alt</t>
  </si>
  <si>
    <t>Gældsforpligtelser</t>
  </si>
  <si>
    <t>Forpligtelser i alt</t>
  </si>
  <si>
    <t>Ferieopsparing</t>
  </si>
  <si>
    <t>Øvrig faste</t>
  </si>
  <si>
    <t>Opsparing</t>
  </si>
  <si>
    <t>Diverse i alt</t>
  </si>
  <si>
    <t>Udgifter i alt</t>
  </si>
  <si>
    <t>Oversigt</t>
  </si>
  <si>
    <t>Overskud/underskud</t>
  </si>
  <si>
    <t>Årligt rådighedsbeløb</t>
  </si>
  <si>
    <t>Månedligt rådighedsbeløb</t>
  </si>
  <si>
    <t>Hvordan skal boligen finansieres?</t>
  </si>
  <si>
    <t>Hvordan anvendes pengene?</t>
  </si>
  <si>
    <t>Kontantpris på boligen</t>
  </si>
  <si>
    <t>kr.</t>
  </si>
  <si>
    <t>Sælger skal have</t>
  </si>
  <si>
    <t>Hvor kommer pengene fra:</t>
  </si>
  <si>
    <r>
      <t xml:space="preserve">Realkreditlån, </t>
    </r>
    <r>
      <rPr>
        <sz val="12"/>
        <color rgb="FFFF0000"/>
        <rFont val="Verdana"/>
        <family val="2"/>
      </rPr>
      <t>maks. 80%</t>
    </r>
  </si>
  <si>
    <t>Hvad kommer kunden med</t>
  </si>
  <si>
    <t>Provenu fra realkreditlån</t>
  </si>
  <si>
    <r>
      <t xml:space="preserve">Tinglysning - Låneomkostninger, realkredit er </t>
    </r>
    <r>
      <rPr>
        <b/>
        <u/>
        <sz val="12"/>
        <color rgb="FFFF0000"/>
        <rFont val="Verdana"/>
        <family val="2"/>
      </rPr>
      <t>trukket fra</t>
    </r>
  </si>
  <si>
    <t xml:space="preserve"> - op af "lommen penge":</t>
  </si>
  <si>
    <t>Provenu fra banklån</t>
  </si>
  <si>
    <r>
      <t xml:space="preserve">Tinglysning - Låneomkostninger, banklån er </t>
    </r>
    <r>
      <rPr>
        <b/>
        <u/>
        <sz val="12"/>
        <color rgb="FFFF0000"/>
        <rFont val="Verdana"/>
        <family val="2"/>
      </rPr>
      <t>trukket fra</t>
    </r>
  </si>
  <si>
    <t>Skøde</t>
  </si>
  <si>
    <t>Egne midler</t>
  </si>
  <si>
    <t>Advokat, anslået</t>
  </si>
  <si>
    <t>Halv ejerskifteforsikring</t>
  </si>
  <si>
    <t>Flytteomkostninger/renovering og andet</t>
  </si>
  <si>
    <r>
      <t xml:space="preserve">Egen udbetaling, </t>
    </r>
    <r>
      <rPr>
        <sz val="12"/>
        <color rgb="FFFF0000"/>
        <rFont val="Verdana"/>
        <family val="2"/>
      </rPr>
      <t>min. 5%</t>
    </r>
  </si>
  <si>
    <t>Mangler</t>
  </si>
  <si>
    <t>Skal altid være 0</t>
  </si>
  <si>
    <r>
      <t xml:space="preserve">Restfinansiering </t>
    </r>
    <r>
      <rPr>
        <sz val="12"/>
        <color rgb="FFFF0000"/>
        <rFont val="Verdana"/>
        <family val="2"/>
      </rPr>
      <t>(minus = overskud)</t>
    </r>
  </si>
  <si>
    <t>Banklån inkl. omkostninger</t>
  </si>
  <si>
    <t>Låneomkostninger</t>
  </si>
  <si>
    <t>Lægger 2 mio kr + 150 tkr af opsparingen</t>
  </si>
  <si>
    <t>Tinglysning - Låneomkostninger, realkredit</t>
  </si>
  <si>
    <t>Tinglysning - Låneomkostninger, banklån</t>
  </si>
  <si>
    <t>Låneomkostninger i alt</t>
  </si>
  <si>
    <t>Fremgangsmåde:</t>
  </si>
  <si>
    <t>1) Start altid med at udfylde rente og kurs i fanebladet "Realkreditfinansiering" og rente i "Banklån"</t>
  </si>
  <si>
    <t>2) Slet altid E8 og K18 inden start</t>
  </si>
  <si>
    <t>2) Indtast boligens kontantpris (E5)</t>
  </si>
  <si>
    <t>3) Indtast hvor mange penge kunden kommer med (E9)</t>
  </si>
  <si>
    <t>4) Indtast ejerskifteforsikring (E13) og flytteomkostninger m.m. (E14)</t>
  </si>
  <si>
    <t>Er restfinansiering (E17) nu under 80%:</t>
  </si>
  <si>
    <t>Er restfinansiering (E17) nu over 80%:</t>
  </si>
  <si>
    <t>1) Indtast realkreditlånet (E8) med det beløb som fremgår af E17</t>
  </si>
  <si>
    <t>1) Indtast realkreditlånet (E8) som 80% af kontantprisen</t>
  </si>
  <si>
    <t>2) Lav en målsøgning så "Mangler" (K16) bliver 0 ved ændring af celle E8</t>
  </si>
  <si>
    <t>2) Lav en målsøgning så "Mangler" (K16) bliver 0 ved ændring af celle K18</t>
  </si>
  <si>
    <r>
      <rPr>
        <b/>
        <sz val="14"/>
        <color rgb="FFFF0000"/>
        <rFont val="Verdana"/>
        <family val="2"/>
      </rPr>
      <t xml:space="preserve">Hvis </t>
    </r>
    <r>
      <rPr>
        <b/>
        <sz val="14"/>
        <color theme="1"/>
        <rFont val="Verdana"/>
        <family val="2"/>
      </rPr>
      <t>realkreditlånet (E8) bliver mere end 80%:</t>
    </r>
  </si>
  <si>
    <t>1) Gå til "Er restfinansiering (E17) nu over 80%"</t>
  </si>
  <si>
    <t xml:space="preserve">Banklån til finasiering af boligen </t>
  </si>
  <si>
    <t>Lånets størrelse (hovedstol)</t>
  </si>
  <si>
    <t>jf. ark "Hvordan finansieres huset…"</t>
  </si>
  <si>
    <t>Løbetid,år</t>
  </si>
  <si>
    <t>en bolig kan godt finansieres over 30 år</t>
  </si>
  <si>
    <t>Antal terminer pr år</t>
  </si>
  <si>
    <t>Rente pr år</t>
  </si>
  <si>
    <t>(tjek rentesatsen på bankernes hjemmesider under bank boliglån - det er ikke et realkreditlån)</t>
  </si>
  <si>
    <t>Etableringsomkostninger:</t>
  </si>
  <si>
    <t>Tinglysning af pant</t>
  </si>
  <si>
    <t>Bankens etableringsomk.</t>
  </si>
  <si>
    <t>(nordea's dokumentgebyr og vurderingsgebyr)</t>
  </si>
  <si>
    <t>Etableringsomkostninger i alt</t>
  </si>
  <si>
    <t>Provenu (hvad får jeg i hånden)</t>
  </si>
  <si>
    <t>Ydelse pr termin før skat</t>
  </si>
  <si>
    <t>Renteudgifter år 1</t>
  </si>
  <si>
    <t>Skattefar betaler 1/3 af renteudgifterne</t>
  </si>
  <si>
    <t>Ydelse pr. termin efter skat</t>
  </si>
  <si>
    <t>= Den der anvendes i budgettet, medmindre du skriver renteudgiften ind i skattebegningen</t>
  </si>
  <si>
    <t>Omkostninger i procent pr termin</t>
  </si>
  <si>
    <t>ÅOP</t>
  </si>
  <si>
    <t>Lånetype</t>
  </si>
  <si>
    <t>Fastforrentet med afdrag</t>
  </si>
  <si>
    <t>Rentetilpasning med afdrag F5</t>
  </si>
  <si>
    <t>Fastforrentet uden afdrag</t>
  </si>
  <si>
    <t>Rentetilpasning uden afdrag F1</t>
  </si>
  <si>
    <t>Husets pris</t>
  </si>
  <si>
    <t>Belåningsgrad (max.80%)</t>
  </si>
  <si>
    <t>Lånebeløb</t>
  </si>
  <si>
    <t>Obligationshovedstol</t>
  </si>
  <si>
    <t>kurs på obligation</t>
  </si>
  <si>
    <t>Låneomkostninger ved optagelse af realkreditlån:</t>
  </si>
  <si>
    <t>Kursværdi</t>
  </si>
  <si>
    <t xml:space="preserve"> - lånekostninger</t>
  </si>
  <si>
    <t>Etableringsomkostninger Realkreditinstitut</t>
  </si>
  <si>
    <t>Låneprovenu (det jeg får i hånden)</t>
  </si>
  <si>
    <t>Kurtage/kursskæring, 0,2 pct.</t>
  </si>
  <si>
    <t>Pålydende rente</t>
  </si>
  <si>
    <t>Bidragssats</t>
  </si>
  <si>
    <t>Rente + bidragssats</t>
  </si>
  <si>
    <t>Løbetid, år</t>
  </si>
  <si>
    <t>Terminer pr. år</t>
  </si>
  <si>
    <t>Antal terminer i alt</t>
  </si>
  <si>
    <t>Ydelse pr. termin</t>
  </si>
  <si>
    <t>Ydelse pr. år</t>
  </si>
  <si>
    <t>Bidrag 1.år</t>
  </si>
  <si>
    <t>Bruttoydelse 1.år</t>
  </si>
  <si>
    <t>Akkumuleret rente 1.år</t>
  </si>
  <si>
    <t>Afdrag på gæld 1.år</t>
  </si>
  <si>
    <t>Nettoydelse 1.år</t>
  </si>
  <si>
    <t>Nettoydelse pr. termin (1.år)</t>
  </si>
  <si>
    <t>Bruttoydelse pr. måned (gnsn)</t>
  </si>
  <si>
    <t>Nettoydelse pr. måned (gnsn)</t>
  </si>
  <si>
    <t>Termin</t>
  </si>
  <si>
    <t>Restgæld</t>
  </si>
  <si>
    <t>Rente</t>
  </si>
  <si>
    <t>Afdrag</t>
  </si>
  <si>
    <t>Ydelse</t>
  </si>
  <si>
    <t>Bidrag</t>
  </si>
  <si>
    <t>Brutto-    ydelse</t>
  </si>
  <si>
    <t>Jens Løn, efter skat</t>
  </si>
  <si>
    <t>Anna Løn, efter skat</t>
  </si>
  <si>
    <t>Ydelse realkreditlån netto</t>
  </si>
  <si>
    <t>Rådighedsbeløbet er over "min.krav" men fortsat</t>
  </si>
  <si>
    <t>Krav i henhold til tommelfingerregel</t>
  </si>
  <si>
    <t>De kan godt mht rådighedsbeløb og gældsfaktor er fin.</t>
  </si>
  <si>
    <t>Konklusion:</t>
  </si>
  <si>
    <t>Spg 2:</t>
  </si>
  <si>
    <t>De kan godt vælge et afdragsfrit eller variabelt forrentet lån da gældsfaktoren er under 4, men ydelsen vil stige vis renten stiger.</t>
  </si>
  <si>
    <t>Spg 3:</t>
  </si>
  <si>
    <t>Det er som at tisse i bukserne når der efter 10 år skal afdrages. I tilfælde de havde et dyrt banklån ville det give god mening, at afdrage på det først.</t>
  </si>
  <si>
    <t>Spg 4:</t>
  </si>
  <si>
    <t>Vi kreditvurdere ALTID ud fra fastforrentet lån med afdrag.</t>
  </si>
  <si>
    <t>Kommuneskattesatser 2025</t>
  </si>
  <si>
    <t>Arbejdsmarkedsbidrag</t>
  </si>
  <si>
    <t>Befordringsfradrag høje sats</t>
  </si>
  <si>
    <t>Kommunenavn</t>
  </si>
  <si>
    <t>Kommune</t>
  </si>
  <si>
    <t>Kirke</t>
  </si>
  <si>
    <t>Grundskyld (promille)</t>
  </si>
  <si>
    <t>Befordringsfradrag min km for høj sats</t>
  </si>
  <si>
    <t>Albertslund</t>
  </si>
  <si>
    <t>Befordringsfradrag max km for høj sats</t>
  </si>
  <si>
    <t>Allerød</t>
  </si>
  <si>
    <t>Befordringsfradrag lave sats</t>
  </si>
  <si>
    <t>Assens</t>
  </si>
  <si>
    <t>Befordringsfradrag Indtægtsgrænse for forhøjet  (før AM-bidrag)</t>
  </si>
  <si>
    <t>Ballerup</t>
  </si>
  <si>
    <t>Beskæftigelsesfradrag (%)</t>
  </si>
  <si>
    <t>Billund</t>
  </si>
  <si>
    <t>Beskæftigelsesfradrag (max)</t>
  </si>
  <si>
    <t>Bornholm</t>
  </si>
  <si>
    <t>Brøndby</t>
  </si>
  <si>
    <t>Ejendomsværdiskat - lave sats</t>
  </si>
  <si>
    <t>Brønderslev</t>
  </si>
  <si>
    <t>Ejendomsværdiskat - høje sats</t>
  </si>
  <si>
    <t>Dragør</t>
  </si>
  <si>
    <t>Ejendomsværdiskat - skillegrænse</t>
  </si>
  <si>
    <t>Egedal</t>
  </si>
  <si>
    <t>Ekstra pensionsfradrag (%)</t>
  </si>
  <si>
    <t>Esbjerg</t>
  </si>
  <si>
    <t>Ekstra pensionsfradrag (max)</t>
  </si>
  <si>
    <t>Fanø</t>
  </si>
  <si>
    <t>Ekstra pensionsfradrag (%) Senior</t>
  </si>
  <si>
    <t>Favrskov</t>
  </si>
  <si>
    <t>Ekstra pensionsfradrag (max) Senior</t>
  </si>
  <si>
    <t>Faxe</t>
  </si>
  <si>
    <t>Fagforening Max</t>
  </si>
  <si>
    <t>Fredensborg</t>
  </si>
  <si>
    <t>Firmabil grænse</t>
  </si>
  <si>
    <t>Fredericia</t>
  </si>
  <si>
    <t>Firmabil lave sats</t>
  </si>
  <si>
    <t>Frederiksberg</t>
  </si>
  <si>
    <t>Firmabil høje sats</t>
  </si>
  <si>
    <t>Frederikshavn</t>
  </si>
  <si>
    <t>Forsigtighedssats (Ejendomsskatter)</t>
  </si>
  <si>
    <t>Frederikssund</t>
  </si>
  <si>
    <t>Fri telefon</t>
  </si>
  <si>
    <t>Furesø</t>
  </si>
  <si>
    <t>Grøn check</t>
  </si>
  <si>
    <t>Faaborg-Midtfyn</t>
  </si>
  <si>
    <t>Grøn check modregning Start</t>
  </si>
  <si>
    <t>Gentofte</t>
  </si>
  <si>
    <t>Grøn check modregning Slut</t>
  </si>
  <si>
    <t>Gladsaxe</t>
  </si>
  <si>
    <t>Grøn check modregning Sats</t>
  </si>
  <si>
    <t>Glostrup</t>
  </si>
  <si>
    <t>Jobfradrag (%)</t>
  </si>
  <si>
    <t>Greve</t>
  </si>
  <si>
    <t>Jobfradraggrænse</t>
  </si>
  <si>
    <t>Gribskov</t>
  </si>
  <si>
    <t>Jobfradrag (max)</t>
  </si>
  <si>
    <t>Guldborgsund</t>
  </si>
  <si>
    <t>Kapitalindkomstgrænse til Topskat Par</t>
  </si>
  <si>
    <t>Haderslev</t>
  </si>
  <si>
    <t>Kapitalindkomstgrænse til Topskat Enlig</t>
  </si>
  <si>
    <t>Halsnæs</t>
  </si>
  <si>
    <t>Personfradrag</t>
  </si>
  <si>
    <t>Hedensted</t>
  </si>
  <si>
    <t>Personfradrag topskat</t>
  </si>
  <si>
    <t>Helsingør</t>
  </si>
  <si>
    <t>Ratepension Max indskud</t>
  </si>
  <si>
    <t>Herlev</t>
  </si>
  <si>
    <t>Skrå Skatteloft - personlig indkomst</t>
  </si>
  <si>
    <t>Herning</t>
  </si>
  <si>
    <t>Skrå Skatteloft - kapitalindkomst</t>
  </si>
  <si>
    <t>Hillerød</t>
  </si>
  <si>
    <t>Hjørring</t>
  </si>
  <si>
    <t>Tillæg for negativ kapitalindkomst procent</t>
  </si>
  <si>
    <t>Holbæk</t>
  </si>
  <si>
    <t>Tillæg for negativ kapitalindkomst grænse par</t>
  </si>
  <si>
    <t>Holstebro</t>
  </si>
  <si>
    <t>Tillæg for negativ kapitalindkomst grænse enlig</t>
  </si>
  <si>
    <t>Horsens</t>
  </si>
  <si>
    <t>Hvidovre</t>
  </si>
  <si>
    <t>Høje-Taastrup</t>
  </si>
  <si>
    <t>Hørsholm</t>
  </si>
  <si>
    <t>Ikast-Brande</t>
  </si>
  <si>
    <t>Ishøj</t>
  </si>
  <si>
    <t>Jammerbugt</t>
  </si>
  <si>
    <t>Kalundborg</t>
  </si>
  <si>
    <t>Kerteminde</t>
  </si>
  <si>
    <t>Kolding</t>
  </si>
  <si>
    <t>Køge</t>
  </si>
  <si>
    <t>Langeland</t>
  </si>
  <si>
    <t>Lejre</t>
  </si>
  <si>
    <t>Lemvig</t>
  </si>
  <si>
    <t>Lolland</t>
  </si>
  <si>
    <t>Lyngby-Taarbæk</t>
  </si>
  <si>
    <t>Læsø</t>
  </si>
  <si>
    <t>Mariagerfjord</t>
  </si>
  <si>
    <t>Middelfart</t>
  </si>
  <si>
    <t>Morsø</t>
  </si>
  <si>
    <t>Norddjurs</t>
  </si>
  <si>
    <t>Nordfyns</t>
  </si>
  <si>
    <t>Nyborg</t>
  </si>
  <si>
    <t>Næstved</t>
  </si>
  <si>
    <t>Odder</t>
  </si>
  <si>
    <t>Odense</t>
  </si>
  <si>
    <t>Odsherred</t>
  </si>
  <si>
    <t>Randers</t>
  </si>
  <si>
    <t>Rebild</t>
  </si>
  <si>
    <t>Ringkøbing-Skjern</t>
  </si>
  <si>
    <t>Ringsted</t>
  </si>
  <si>
    <t>Roskilde</t>
  </si>
  <si>
    <t>Rudersdal</t>
  </si>
  <si>
    <t>Rødovre</t>
  </si>
  <si>
    <t>Samsø</t>
  </si>
  <si>
    <t>Silkeborg</t>
  </si>
  <si>
    <t>Skanderborg</t>
  </si>
  <si>
    <t>Skive</t>
  </si>
  <si>
    <t>Slagelse</t>
  </si>
  <si>
    <t>Solrød</t>
  </si>
  <si>
    <t>Sorø</t>
  </si>
  <si>
    <t>Stevns</t>
  </si>
  <si>
    <t>Struer</t>
  </si>
  <si>
    <t>Svendborg</t>
  </si>
  <si>
    <t>Syddjurs</t>
  </si>
  <si>
    <t>Sønderborg</t>
  </si>
  <si>
    <t>Thisted</t>
  </si>
  <si>
    <t>Tønder</t>
  </si>
  <si>
    <t>Tårnby</t>
  </si>
  <si>
    <t>Vallensbæk</t>
  </si>
  <si>
    <t>Varde</t>
  </si>
  <si>
    <t>Vejen</t>
  </si>
  <si>
    <t>Vejle</t>
  </si>
  <si>
    <t>Vesthimmerland</t>
  </si>
  <si>
    <t>Viborg</t>
  </si>
  <si>
    <t>Vordingborg</t>
  </si>
  <si>
    <t>Ærø</t>
  </si>
  <si>
    <t>Aabenraa</t>
  </si>
  <si>
    <t>Aalborg</t>
  </si>
  <si>
    <t>Aarhus</t>
  </si>
  <si>
    <t xml:space="preserve">Rådighedsbeløb før og efter køb </t>
  </si>
  <si>
    <t>Gældsfaktor ved køb</t>
  </si>
  <si>
    <t>Rådighedsbeløb før køb af hus</t>
  </si>
  <si>
    <t>Gældsfaktor v/enlig</t>
  </si>
  <si>
    <r>
      <t xml:space="preserve">Rådighedsbeløb fastforrrentet  </t>
    </r>
    <r>
      <rPr>
        <b/>
        <sz val="14"/>
        <color rgb="FFFF0000"/>
        <rFont val="Calibri"/>
        <family val="2"/>
        <scheme val="minor"/>
      </rPr>
      <t>MED</t>
    </r>
    <r>
      <rPr>
        <b/>
        <sz val="14"/>
        <color theme="1"/>
        <rFont val="Calibri"/>
        <family val="2"/>
        <scheme val="minor"/>
      </rPr>
      <t xml:space="preserve"> afdrag</t>
    </r>
  </si>
  <si>
    <r>
      <t xml:space="preserve">Rådighedsbeløb F5 </t>
    </r>
    <r>
      <rPr>
        <b/>
        <sz val="14"/>
        <color rgb="FFFF0000"/>
        <rFont val="Calibri"/>
        <family val="2"/>
        <scheme val="minor"/>
      </rPr>
      <t>MED</t>
    </r>
    <r>
      <rPr>
        <b/>
        <sz val="14"/>
        <color theme="1"/>
        <rFont val="Calibri"/>
        <family val="2"/>
        <scheme val="minor"/>
      </rPr>
      <t xml:space="preserve"> afdrag</t>
    </r>
  </si>
  <si>
    <t>Gældsfaktor v/par</t>
  </si>
  <si>
    <r>
      <t xml:space="preserve">Rådighedsbeløb fastforrentet </t>
    </r>
    <r>
      <rPr>
        <b/>
        <sz val="14"/>
        <color rgb="FFFF0000"/>
        <rFont val="Calibri"/>
        <family val="2"/>
        <scheme val="minor"/>
      </rPr>
      <t>UDEN</t>
    </r>
    <r>
      <rPr>
        <b/>
        <sz val="14"/>
        <color theme="1"/>
        <rFont val="Calibri"/>
        <family val="2"/>
        <scheme val="minor"/>
      </rPr>
      <t xml:space="preserve"> afdrag</t>
    </r>
  </si>
  <si>
    <r>
      <t xml:space="preserve">Rådighedsbeløb F1 </t>
    </r>
    <r>
      <rPr>
        <b/>
        <sz val="14"/>
        <color rgb="FFFF0000"/>
        <rFont val="Calibri"/>
        <family val="2"/>
        <scheme val="minor"/>
      </rPr>
      <t>UDEN</t>
    </r>
    <r>
      <rPr>
        <b/>
        <sz val="14"/>
        <color theme="1"/>
        <rFont val="Calibri"/>
        <family val="2"/>
        <scheme val="minor"/>
      </rPr>
      <t xml:space="preserve"> afdrag</t>
    </r>
  </si>
  <si>
    <t>Hvilket lån skal jeg vælge?</t>
  </si>
  <si>
    <t>De skal kreditvurderes ud fra et fastforrentet realkreditlån MED afdrag!</t>
  </si>
  <si>
    <r>
      <t xml:space="preserve">De kan </t>
    </r>
    <r>
      <rPr>
        <b/>
        <sz val="14"/>
        <color rgb="FFFF0000"/>
        <rFont val="Calibri"/>
        <family val="2"/>
        <scheme val="minor"/>
      </rPr>
      <t>IKKE</t>
    </r>
    <r>
      <rPr>
        <b/>
        <sz val="14"/>
        <rFont val="Arial"/>
        <family val="2"/>
      </rPr>
      <t xml:space="preserve"> blive kreditvurderet udfra andre realkreditlån!!!</t>
    </r>
  </si>
  <si>
    <t xml:space="preserve">Vælger de efter den kreditvurdering at tage et andet lån skal </t>
  </si>
  <si>
    <t>de rådgives omkring fordele/ulemper vedr. fast vs. flex og afdrag vs. uden afdrag</t>
  </si>
  <si>
    <t>Afdragsfrihed på realkreditlånet kan være hensigtsmæssigt, hvis de har et dyrt banklån også</t>
  </si>
  <si>
    <t>Der er "frit valg" af realkreditlån hvis gældsfaktor er under 4 eller belåningsgrad er under 60%</t>
  </si>
  <si>
    <t>De har tidligere vist at de kan lægge 6.000 kr til side, hvorfor rådighedsbeløbet er nogenlunde det samme. Dog har de nu ingen opsparing.</t>
  </si>
  <si>
    <t xml:space="preserve">under "hvad de har i lejelejligheden".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</si>
</sst>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#,##0.0"/>
    <numFmt numFmtId="166" formatCode="_(* #,##0_);_(* \(#,##0\);_(* &quot;-&quot;??_);_(@_)"/>
    <numFmt numFmtId="167" formatCode="&quot;kr&quot;\ #,##0.00"/>
    <numFmt numFmtId="168" formatCode="0.0%"/>
    <numFmt numFmtId="169" formatCode="0.0000%"/>
    <numFmt numFmtId="170" formatCode="0.0000"/>
    <numFmt numFmtId="171" formatCode="_(* #,##0.0_);_(* \(#,##0.0\);_(* &quot;-&quot;??_);_(@_)"/>
    <numFmt numFmtId="172" formatCode="_ * #,##0.00_ ;_ * \-#,##0.00_ ;_ * &quot;-&quot;??_ ;_ @_ "/>
    <numFmt numFmtId="173" formatCode="_ * #,##0_ ;_ * \-#,##0_ ;_ * &quot;-&quot;??_ ;_ @_ "/>
    <numFmt numFmtId="174" formatCode="&quot;kr.&quot;\ #,##0;[Red]&quot;kr.&quot;\ \-#,##0"/>
    <numFmt numFmtId="175" formatCode="0.000%"/>
    <numFmt numFmtId="176" formatCode="_-* #,##0.00\ _k_r_._-;\-* #,##0.00\ _k_r_._-;_-* &quot;-&quot;??\ _k_r_._-;_-@_-"/>
    <numFmt numFmtId="177" formatCode="_ * #,##0.0_ ;_ * \-#,##0.0_ ;_ * &quot;-&quot;??_ ;_ @_ "/>
  </numFmts>
  <fonts count="8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0"/>
      <color rgb="FF0000FF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0"/>
      <color indexed="10"/>
      <name val="Arial"/>
      <family val="2"/>
    </font>
    <font>
      <sz val="10"/>
      <color rgb="FF0000FF"/>
      <name val="Arial"/>
      <family val="2"/>
    </font>
    <font>
      <sz val="10"/>
      <color indexed="12"/>
      <name val="MS Sans Serif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sz val="12"/>
      <color indexed="10"/>
      <name val="Arial"/>
      <family val="2"/>
    </font>
    <font>
      <sz val="18"/>
      <color rgb="FFFF0000"/>
      <name val="Arial"/>
      <family val="2"/>
    </font>
    <font>
      <sz val="12"/>
      <color rgb="FF14143C"/>
      <name val="Arial"/>
      <family val="2"/>
    </font>
    <font>
      <sz val="10"/>
      <color rgb="FF14143C"/>
      <name val="Arial"/>
      <family val="2"/>
    </font>
    <font>
      <sz val="10"/>
      <color rgb="FFFF0000"/>
      <name val="Arial"/>
      <family val="2"/>
    </font>
    <font>
      <b/>
      <sz val="16"/>
      <color indexed="8"/>
      <name val="Verdana"/>
      <family val="2"/>
    </font>
    <font>
      <b/>
      <sz val="16"/>
      <color rgb="FFFF0000"/>
      <name val="Verdana"/>
      <family val="2"/>
    </font>
    <font>
      <sz val="16"/>
      <color indexed="8"/>
      <name val="Verdana"/>
      <family val="2"/>
    </font>
    <font>
      <sz val="10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8"/>
      <name val="Verdana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10"/>
      <color rgb="FFFF0000"/>
      <name val="Verdana"/>
      <family val="2"/>
    </font>
    <font>
      <b/>
      <sz val="12"/>
      <color rgb="FFFF0000"/>
      <name val="Verdana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color rgb="FFFF0000"/>
      <name val="Verdana"/>
      <family val="2"/>
    </font>
    <font>
      <b/>
      <sz val="12"/>
      <name val="Verdana"/>
      <family val="2"/>
    </font>
    <font>
      <i/>
      <sz val="10"/>
      <name val="Verdana"/>
      <family val="2"/>
    </font>
    <font>
      <sz val="13.5"/>
      <color rgb="FF000000"/>
      <name val="Times"/>
      <charset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Verdana"/>
      <family val="2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sz val="12"/>
      <color rgb="FFFF0000"/>
      <name val="Verdana"/>
      <family val="2"/>
    </font>
    <font>
      <sz val="12"/>
      <color theme="1"/>
      <name val="Verdana"/>
      <family val="2"/>
    </font>
    <font>
      <b/>
      <u/>
      <sz val="12"/>
      <color rgb="FFFF0000"/>
      <name val="Verdana"/>
      <family val="2"/>
    </font>
    <font>
      <sz val="14"/>
      <color rgb="FFFF0000"/>
      <name val="Verdana"/>
      <family val="2"/>
    </font>
    <font>
      <b/>
      <sz val="14"/>
      <color rgb="FFFF0000"/>
      <name val="Verdana"/>
      <family val="2"/>
    </font>
    <font>
      <u/>
      <sz val="12"/>
      <color theme="1"/>
      <name val="Verdana"/>
      <family val="2"/>
    </font>
    <font>
      <u/>
      <sz val="14"/>
      <color rgb="FFFF0000"/>
      <name val="Verdana"/>
      <family val="2"/>
    </font>
    <font>
      <b/>
      <u/>
      <sz val="14"/>
      <color rgb="FFFF0000"/>
      <name val="Verdana"/>
      <family val="2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u val="singleAccounting"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Arial"/>
      <family val="2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i/>
      <sz val="14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rgb="FFE5E5E5"/>
      </right>
      <top style="medium">
        <color indexed="64"/>
      </top>
      <bottom/>
      <diagonal/>
    </border>
    <border>
      <left/>
      <right style="medium">
        <color rgb="FFE5E5E5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9"/>
      </bottom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 style="thin">
        <color indexed="8"/>
      </right>
      <top style="thin">
        <color indexed="23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9"/>
      </bottom>
      <diagonal/>
    </border>
    <border>
      <left/>
      <right/>
      <top style="thin">
        <color indexed="55"/>
      </top>
      <bottom style="thin">
        <color indexed="9"/>
      </bottom>
      <diagonal/>
    </border>
    <border>
      <left/>
      <right style="thin">
        <color indexed="8"/>
      </right>
      <top style="thin">
        <color indexed="55"/>
      </top>
      <bottom style="thin">
        <color indexed="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3"/>
      </top>
      <bottom style="thin">
        <color indexed="9"/>
      </bottom>
      <diagonal/>
    </border>
    <border>
      <left/>
      <right style="thin">
        <color indexed="64"/>
      </right>
      <top style="thin">
        <color indexed="55"/>
      </top>
      <bottom style="thin">
        <color indexed="9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thin">
        <color indexed="9"/>
      </top>
      <bottom style="thin">
        <color indexed="55"/>
      </bottom>
      <diagonal/>
    </border>
    <border>
      <left/>
      <right style="thin">
        <color indexed="64"/>
      </right>
      <top style="thin">
        <color indexed="9"/>
      </top>
      <bottom style="thin">
        <color indexed="55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63"/>
      </right>
      <top style="thin">
        <color indexed="55"/>
      </top>
      <bottom style="thin">
        <color indexed="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/>
    <xf numFmtId="172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0" fontId="43" fillId="0" borderId="0"/>
    <xf numFmtId="172" fontId="4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3" fillId="0" borderId="0"/>
    <xf numFmtId="172" fontId="43" fillId="0" borderId="0" applyFont="0" applyFill="0" applyBorder="0" applyAlignment="0" applyProtection="0"/>
    <xf numFmtId="9" fontId="43" fillId="0" borderId="0" applyFont="0" applyFill="0" applyBorder="0" applyAlignment="0" applyProtection="0"/>
  </cellStyleXfs>
  <cellXfs count="552">
    <xf numFmtId="0" fontId="0" fillId="0" borderId="0" xfId="0"/>
    <xf numFmtId="0" fontId="4" fillId="0" borderId="0" xfId="1" applyFont="1" applyAlignment="1">
      <alignment horizontal="right"/>
    </xf>
    <xf numFmtId="3" fontId="5" fillId="0" borderId="0" xfId="1" applyNumberFormat="1" applyFont="1"/>
    <xf numFmtId="3" fontId="3" fillId="0" borderId="0" xfId="1" applyNumberFormat="1"/>
    <xf numFmtId="0" fontId="3" fillId="0" borderId="0" xfId="1"/>
    <xf numFmtId="3" fontId="6" fillId="2" borderId="0" xfId="1" applyNumberFormat="1" applyFont="1" applyFill="1" applyAlignment="1">
      <alignment horizontal="center"/>
    </xf>
    <xf numFmtId="3" fontId="4" fillId="3" borderId="2" xfId="1" applyNumberFormat="1" applyFont="1" applyFill="1" applyBorder="1" applyAlignment="1">
      <alignment horizontal="center"/>
    </xf>
    <xf numFmtId="3" fontId="4" fillId="3" borderId="3" xfId="1" applyNumberFormat="1" applyFont="1" applyFill="1" applyBorder="1" applyAlignment="1">
      <alignment horizontal="center"/>
    </xf>
    <xf numFmtId="3" fontId="4" fillId="0" borderId="0" xfId="1" applyNumberFormat="1" applyFont="1"/>
    <xf numFmtId="0" fontId="3" fillId="0" borderId="2" xfId="1" applyBorder="1"/>
    <xf numFmtId="3" fontId="8" fillId="5" borderId="2" xfId="2" applyNumberFormat="1" applyFont="1" applyFill="1" applyBorder="1"/>
    <xf numFmtId="3" fontId="8" fillId="5" borderId="3" xfId="2" applyNumberFormat="1" applyFont="1" applyFill="1" applyBorder="1"/>
    <xf numFmtId="0" fontId="3" fillId="4" borderId="4" xfId="1" applyFill="1" applyBorder="1"/>
    <xf numFmtId="0" fontId="4" fillId="4" borderId="4" xfId="1" applyFont="1" applyFill="1" applyBorder="1" applyAlignment="1">
      <alignment horizontal="center"/>
    </xf>
    <xf numFmtId="0" fontId="4" fillId="4" borderId="3" xfId="1" applyFont="1" applyFill="1" applyBorder="1" applyAlignment="1">
      <alignment horizontal="center"/>
    </xf>
    <xf numFmtId="0" fontId="3" fillId="0" borderId="7" xfId="1" applyBorder="1"/>
    <xf numFmtId="3" fontId="8" fillId="5" borderId="7" xfId="2" applyNumberFormat="1" applyFont="1" applyFill="1" applyBorder="1"/>
    <xf numFmtId="3" fontId="8" fillId="5" borderId="6" xfId="2" applyNumberFormat="1" applyFont="1" applyFill="1" applyBorder="1"/>
    <xf numFmtId="0" fontId="4" fillId="4" borderId="8" xfId="1" applyFont="1" applyFill="1" applyBorder="1"/>
    <xf numFmtId="0" fontId="9" fillId="4" borderId="8" xfId="1" applyFont="1" applyFill="1" applyBorder="1" applyAlignment="1">
      <alignment horizontal="center"/>
    </xf>
    <xf numFmtId="3" fontId="9" fillId="4" borderId="9" xfId="1" quotePrefix="1" applyNumberFormat="1" applyFont="1" applyFill="1" applyBorder="1" applyAlignment="1">
      <alignment horizontal="center"/>
    </xf>
    <xf numFmtId="10" fontId="8" fillId="0" borderId="10" xfId="3" applyNumberFormat="1" applyFont="1" applyFill="1" applyBorder="1"/>
    <xf numFmtId="3" fontId="8" fillId="0" borderId="3" xfId="2" applyNumberFormat="1" applyFont="1" applyBorder="1"/>
    <xf numFmtId="3" fontId="3" fillId="0" borderId="4" xfId="1" applyNumberFormat="1" applyBorder="1"/>
    <xf numFmtId="3" fontId="4" fillId="0" borderId="3" xfId="1" applyNumberFormat="1" applyFont="1" applyBorder="1"/>
    <xf numFmtId="3" fontId="3" fillId="0" borderId="5" xfId="1" applyNumberFormat="1" applyBorder="1"/>
    <xf numFmtId="3" fontId="3" fillId="0" borderId="6" xfId="1" applyNumberFormat="1" applyBorder="1"/>
    <xf numFmtId="3" fontId="8" fillId="5" borderId="7" xfId="2" applyNumberFormat="1" applyFont="1" applyFill="1" applyBorder="1" applyAlignment="1">
      <alignment horizontal="right"/>
    </xf>
    <xf numFmtId="3" fontId="8" fillId="5" borderId="6" xfId="2" applyNumberFormat="1" applyFont="1" applyFill="1" applyBorder="1" applyAlignment="1">
      <alignment horizontal="right"/>
    </xf>
    <xf numFmtId="10" fontId="8" fillId="0" borderId="0" xfId="3" applyNumberFormat="1" applyFont="1" applyFill="1" applyBorder="1"/>
    <xf numFmtId="3" fontId="8" fillId="0" borderId="6" xfId="2" applyNumberFormat="1" applyFont="1" applyBorder="1"/>
    <xf numFmtId="3" fontId="4" fillId="0" borderId="6" xfId="1" applyNumberFormat="1" applyFont="1" applyBorder="1"/>
    <xf numFmtId="0" fontId="3" fillId="0" borderId="7" xfId="1" applyBorder="1" applyAlignment="1">
      <alignment horizontal="left"/>
    </xf>
    <xf numFmtId="165" fontId="8" fillId="5" borderId="7" xfId="2" applyNumberFormat="1" applyFont="1" applyFill="1" applyBorder="1"/>
    <xf numFmtId="165" fontId="8" fillId="5" borderId="6" xfId="2" applyNumberFormat="1" applyFont="1" applyFill="1" applyBorder="1"/>
    <xf numFmtId="0" fontId="3" fillId="0" borderId="11" xfId="1" applyBorder="1"/>
    <xf numFmtId="10" fontId="8" fillId="0" borderId="12" xfId="3" applyNumberFormat="1" applyFont="1" applyBorder="1"/>
    <xf numFmtId="3" fontId="3" fillId="0" borderId="12" xfId="1" applyNumberFormat="1" applyBorder="1"/>
    <xf numFmtId="3" fontId="3" fillId="0" borderId="11" xfId="1" applyNumberFormat="1" applyBorder="1"/>
    <xf numFmtId="3" fontId="4" fillId="0" borderId="13" xfId="1" applyNumberFormat="1" applyFont="1" applyBorder="1"/>
    <xf numFmtId="0" fontId="9" fillId="0" borderId="4" xfId="1" applyFont="1" applyBorder="1" applyAlignment="1">
      <alignment horizontal="center"/>
    </xf>
    <xf numFmtId="0" fontId="3" fillId="0" borderId="3" xfId="1" applyBorder="1"/>
    <xf numFmtId="0" fontId="9" fillId="0" borderId="0" xfId="1" applyFont="1" applyAlignment="1">
      <alignment horizontal="center"/>
    </xf>
    <xf numFmtId="0" fontId="3" fillId="0" borderId="6" xfId="1" applyBorder="1"/>
    <xf numFmtId="0" fontId="3" fillId="0" borderId="14" xfId="1" applyBorder="1"/>
    <xf numFmtId="0" fontId="3" fillId="0" borderId="5" xfId="1" quotePrefix="1" applyBorder="1" applyAlignment="1">
      <alignment horizontal="left"/>
    </xf>
    <xf numFmtId="3" fontId="11" fillId="0" borderId="6" xfId="1" applyNumberFormat="1" applyFont="1" applyBorder="1"/>
    <xf numFmtId="10" fontId="8" fillId="6" borderId="2" xfId="3" applyNumberFormat="1" applyFont="1" applyFill="1" applyBorder="1"/>
    <xf numFmtId="0" fontId="3" fillId="0" borderId="5" xfId="1" applyBorder="1"/>
    <xf numFmtId="10" fontId="12" fillId="0" borderId="5" xfId="1" applyNumberFormat="1" applyFont="1" applyBorder="1"/>
    <xf numFmtId="10" fontId="12" fillId="0" borderId="0" xfId="1" applyNumberFormat="1" applyFont="1"/>
    <xf numFmtId="3" fontId="4" fillId="0" borderId="0" xfId="1" applyNumberFormat="1" applyFont="1" applyAlignment="1">
      <alignment horizontal="right"/>
    </xf>
    <xf numFmtId="10" fontId="8" fillId="6" borderId="7" xfId="3" applyNumberFormat="1" applyFont="1" applyFill="1" applyBorder="1"/>
    <xf numFmtId="0" fontId="3" fillId="0" borderId="0" xfId="1" applyAlignment="1">
      <alignment horizontal="right"/>
    </xf>
    <xf numFmtId="10" fontId="8" fillId="6" borderId="14" xfId="3" applyNumberFormat="1" applyFont="1" applyFill="1" applyBorder="1"/>
    <xf numFmtId="10" fontId="8" fillId="7" borderId="14" xfId="3" applyNumberFormat="1" applyFont="1" applyFill="1" applyBorder="1"/>
    <xf numFmtId="3" fontId="13" fillId="0" borderId="5" xfId="2" applyNumberFormat="1" applyFont="1" applyBorder="1"/>
    <xf numFmtId="0" fontId="3" fillId="0" borderId="4" xfId="1" applyBorder="1"/>
    <xf numFmtId="3" fontId="8" fillId="7" borderId="7" xfId="2" applyNumberFormat="1" applyFont="1" applyFill="1" applyBorder="1"/>
    <xf numFmtId="10" fontId="3" fillId="0" borderId="0" xfId="1" applyNumberFormat="1"/>
    <xf numFmtId="10" fontId="3" fillId="0" borderId="6" xfId="1" applyNumberFormat="1" applyBorder="1"/>
    <xf numFmtId="0" fontId="3" fillId="0" borderId="4" xfId="1" applyBorder="1" applyAlignment="1">
      <alignment horizontal="left"/>
    </xf>
    <xf numFmtId="0" fontId="3" fillId="0" borderId="10" xfId="1" applyBorder="1" applyAlignment="1">
      <alignment horizontal="right"/>
    </xf>
    <xf numFmtId="0" fontId="3" fillId="0" borderId="4" xfId="1" applyBorder="1" applyAlignment="1">
      <alignment horizontal="right"/>
    </xf>
    <xf numFmtId="0" fontId="3" fillId="0" borderId="8" xfId="1" applyBorder="1"/>
    <xf numFmtId="3" fontId="8" fillId="5" borderId="14" xfId="2" applyNumberFormat="1" applyFont="1" applyFill="1" applyBorder="1"/>
    <xf numFmtId="3" fontId="8" fillId="7" borderId="14" xfId="2" applyNumberFormat="1" applyFont="1" applyFill="1" applyBorder="1"/>
    <xf numFmtId="0" fontId="3" fillId="0" borderId="5" xfId="1" applyBorder="1" applyAlignment="1">
      <alignment horizontal="right"/>
    </xf>
    <xf numFmtId="0" fontId="11" fillId="0" borderId="0" xfId="1" applyFont="1" applyAlignment="1">
      <alignment horizontal="right"/>
    </xf>
    <xf numFmtId="0" fontId="15" fillId="0" borderId="0" xfId="1" applyFont="1"/>
    <xf numFmtId="0" fontId="3" fillId="0" borderId="5" xfId="1" applyBorder="1" applyAlignment="1">
      <alignment horizontal="left"/>
    </xf>
    <xf numFmtId="0" fontId="15" fillId="0" borderId="5" xfId="1" applyFont="1" applyBorder="1"/>
    <xf numFmtId="0" fontId="4" fillId="0" borderId="4" xfId="1" applyFont="1" applyBorder="1" applyAlignment="1">
      <alignment horizontal="left"/>
    </xf>
    <xf numFmtId="3" fontId="17" fillId="5" borderId="2" xfId="1" applyNumberFormat="1" applyFont="1" applyFill="1" applyBorder="1" applyAlignment="1">
      <alignment horizontal="right"/>
    </xf>
    <xf numFmtId="3" fontId="17" fillId="5" borderId="3" xfId="1" applyNumberFormat="1" applyFont="1" applyFill="1" applyBorder="1" applyAlignment="1">
      <alignment horizontal="right"/>
    </xf>
    <xf numFmtId="3" fontId="11" fillId="0" borderId="0" xfId="1" applyNumberFormat="1" applyFont="1"/>
    <xf numFmtId="9" fontId="3" fillId="5" borderId="7" xfId="1" applyNumberFormat="1" applyFill="1" applyBorder="1" applyAlignment="1">
      <alignment horizontal="right"/>
    </xf>
    <xf numFmtId="9" fontId="3" fillId="5" borderId="6" xfId="1" applyNumberFormat="1" applyFill="1" applyBorder="1" applyAlignment="1">
      <alignment horizontal="right"/>
    </xf>
    <xf numFmtId="3" fontId="17" fillId="6" borderId="7" xfId="1" applyNumberFormat="1" applyFont="1" applyFill="1" applyBorder="1" applyAlignment="1">
      <alignment horizontal="right"/>
    </xf>
    <xf numFmtId="3" fontId="17" fillId="6" borderId="6" xfId="1" applyNumberFormat="1" applyFont="1" applyFill="1" applyBorder="1" applyAlignment="1">
      <alignment horizontal="right"/>
    </xf>
    <xf numFmtId="3" fontId="17" fillId="5" borderId="7" xfId="1" applyNumberFormat="1" applyFont="1" applyFill="1" applyBorder="1" applyAlignment="1">
      <alignment horizontal="right"/>
    </xf>
    <xf numFmtId="3" fontId="17" fillId="5" borderId="6" xfId="1" applyNumberFormat="1" applyFont="1" applyFill="1" applyBorder="1" applyAlignment="1">
      <alignment horizontal="right"/>
    </xf>
    <xf numFmtId="0" fontId="19" fillId="4" borderId="11" xfId="1" applyFont="1" applyFill="1" applyBorder="1"/>
    <xf numFmtId="3" fontId="3" fillId="4" borderId="12" xfId="1" applyNumberFormat="1" applyFill="1" applyBorder="1"/>
    <xf numFmtId="0" fontId="3" fillId="4" borderId="11" xfId="1" applyFill="1" applyBorder="1"/>
    <xf numFmtId="3" fontId="19" fillId="4" borderId="13" xfId="1" applyNumberFormat="1" applyFont="1" applyFill="1" applyBorder="1"/>
    <xf numFmtId="0" fontId="3" fillId="0" borderId="8" xfId="1" quotePrefix="1" applyBorder="1" applyAlignment="1">
      <alignment horizontal="left"/>
    </xf>
    <xf numFmtId="3" fontId="17" fillId="0" borderId="14" xfId="1" applyNumberFormat="1" applyFont="1" applyBorder="1" applyAlignment="1">
      <alignment horizontal="right"/>
    </xf>
    <xf numFmtId="3" fontId="17" fillId="0" borderId="9" xfId="1" applyNumberFormat="1" applyFont="1" applyBorder="1" applyAlignment="1">
      <alignment horizontal="right"/>
    </xf>
    <xf numFmtId="2" fontId="11" fillId="0" borderId="0" xfId="1" applyNumberFormat="1" applyFont="1" applyAlignment="1">
      <alignment horizontal="right"/>
    </xf>
    <xf numFmtId="0" fontId="11" fillId="0" borderId="15" xfId="1" quotePrefix="1" applyFont="1" applyBorder="1" applyAlignment="1">
      <alignment horizontal="left"/>
    </xf>
    <xf numFmtId="3" fontId="20" fillId="0" borderId="16" xfId="2" applyNumberFormat="1" applyFont="1" applyBorder="1"/>
    <xf numFmtId="0" fontId="11" fillId="0" borderId="5" xfId="1" quotePrefix="1" applyFont="1" applyBorder="1" applyAlignment="1">
      <alignment horizontal="left"/>
    </xf>
    <xf numFmtId="0" fontId="11" fillId="0" borderId="7" xfId="1" applyFont="1" applyBorder="1"/>
    <xf numFmtId="0" fontId="11" fillId="0" borderId="6" xfId="1" applyFont="1" applyBorder="1"/>
    <xf numFmtId="0" fontId="4" fillId="4" borderId="2" xfId="1" applyFont="1" applyFill="1" applyBorder="1" applyAlignment="1">
      <alignment horizontal="center"/>
    </xf>
    <xf numFmtId="3" fontId="3" fillId="0" borderId="7" xfId="1" applyNumberFormat="1" applyBorder="1"/>
    <xf numFmtId="0" fontId="22" fillId="4" borderId="5" xfId="1" applyFont="1" applyFill="1" applyBorder="1" applyAlignment="1">
      <alignment horizontal="center"/>
    </xf>
    <xf numFmtId="3" fontId="22" fillId="4" borderId="6" xfId="1" applyNumberFormat="1" applyFont="1" applyFill="1" applyBorder="1" applyAlignment="1">
      <alignment horizontal="center"/>
    </xf>
    <xf numFmtId="0" fontId="4" fillId="4" borderId="7" xfId="1" applyFont="1" applyFill="1" applyBorder="1" applyAlignment="1">
      <alignment horizontal="center"/>
    </xf>
    <xf numFmtId="0" fontId="24" fillId="0" borderId="4" xfId="1" applyFont="1" applyBorder="1"/>
    <xf numFmtId="3" fontId="3" fillId="0" borderId="10" xfId="1" applyNumberFormat="1" applyBorder="1"/>
    <xf numFmtId="3" fontId="3" fillId="0" borderId="3" xfId="1" applyNumberFormat="1" applyBorder="1"/>
    <xf numFmtId="0" fontId="24" fillId="0" borderId="5" xfId="1" quotePrefix="1" applyFont="1" applyBorder="1"/>
    <xf numFmtId="3" fontId="25" fillId="0" borderId="17" xfId="1" applyNumberFormat="1" applyFont="1" applyBorder="1"/>
    <xf numFmtId="166" fontId="0" fillId="0" borderId="14" xfId="2" applyNumberFormat="1" applyFont="1" applyBorder="1"/>
    <xf numFmtId="10" fontId="0" fillId="0" borderId="0" xfId="3" applyNumberFormat="1" applyFont="1"/>
    <xf numFmtId="3" fontId="20" fillId="0" borderId="18" xfId="2" applyNumberFormat="1" applyFont="1" applyBorder="1"/>
    <xf numFmtId="0" fontId="26" fillId="4" borderId="11" xfId="1" applyFont="1" applyFill="1" applyBorder="1"/>
    <xf numFmtId="3" fontId="3" fillId="4" borderId="13" xfId="1" applyNumberFormat="1" applyFill="1" applyBorder="1"/>
    <xf numFmtId="3" fontId="27" fillId="8" borderId="11" xfId="1" applyNumberFormat="1" applyFont="1" applyFill="1" applyBorder="1"/>
    <xf numFmtId="3" fontId="27" fillId="8" borderId="13" xfId="1" applyNumberFormat="1" applyFont="1" applyFill="1" applyBorder="1"/>
    <xf numFmtId="3" fontId="4" fillId="0" borderId="0" xfId="1" applyNumberFormat="1" applyFont="1" applyAlignment="1">
      <alignment horizontal="left"/>
    </xf>
    <xf numFmtId="0" fontId="3" fillId="0" borderId="5" xfId="1" quotePrefix="1" applyBorder="1"/>
    <xf numFmtId="3" fontId="20" fillId="0" borderId="19" xfId="2" applyNumberFormat="1" applyFont="1" applyBorder="1"/>
    <xf numFmtId="3" fontId="11" fillId="0" borderId="7" xfId="2" applyNumberFormat="1" applyFont="1" applyBorder="1"/>
    <xf numFmtId="3" fontId="11" fillId="0" borderId="6" xfId="2" applyNumberFormat="1" applyFont="1" applyBorder="1"/>
    <xf numFmtId="3" fontId="15" fillId="0" borderId="0" xfId="1" applyNumberFormat="1" applyFont="1"/>
    <xf numFmtId="166" fontId="0" fillId="0" borderId="7" xfId="2" applyNumberFormat="1" applyFont="1" applyBorder="1"/>
    <xf numFmtId="166" fontId="3" fillId="4" borderId="7" xfId="2" applyNumberFormat="1" applyFont="1" applyFill="1" applyBorder="1"/>
    <xf numFmtId="0" fontId="4" fillId="0" borderId="5" xfId="1" quotePrefix="1" applyFont="1" applyBorder="1" applyAlignment="1">
      <alignment horizontal="left"/>
    </xf>
    <xf numFmtId="3" fontId="4" fillId="0" borderId="7" xfId="1" applyNumberFormat="1" applyFont="1" applyBorder="1"/>
    <xf numFmtId="0" fontId="11" fillId="0" borderId="11" xfId="1" quotePrefix="1" applyFont="1" applyBorder="1" applyAlignment="1">
      <alignment horizontal="left"/>
    </xf>
    <xf numFmtId="3" fontId="19" fillId="0" borderId="17" xfId="2" applyNumberFormat="1" applyFont="1" applyBorder="1"/>
    <xf numFmtId="3" fontId="19" fillId="0" borderId="13" xfId="2" applyNumberFormat="1" applyFont="1" applyBorder="1"/>
    <xf numFmtId="0" fontId="4" fillId="4" borderId="17" xfId="1" applyFont="1" applyFill="1" applyBorder="1"/>
    <xf numFmtId="3" fontId="3" fillId="0" borderId="0" xfId="1" quotePrefix="1" applyNumberFormat="1" applyAlignment="1">
      <alignment horizontal="center"/>
    </xf>
    <xf numFmtId="3" fontId="4" fillId="3" borderId="17" xfId="1" applyNumberFormat="1" applyFont="1" applyFill="1" applyBorder="1" applyAlignment="1">
      <alignment horizontal="center"/>
    </xf>
    <xf numFmtId="0" fontId="3" fillId="4" borderId="10" xfId="1" applyFill="1" applyBorder="1" applyAlignment="1">
      <alignment horizontal="right"/>
    </xf>
    <xf numFmtId="0" fontId="3" fillId="4" borderId="10" xfId="1" quotePrefix="1" applyFill="1" applyBorder="1" applyAlignment="1">
      <alignment horizontal="right"/>
    </xf>
    <xf numFmtId="3" fontId="3" fillId="4" borderId="10" xfId="1" quotePrefix="1" applyNumberFormat="1" applyFill="1" applyBorder="1" applyAlignment="1">
      <alignment horizontal="right"/>
    </xf>
    <xf numFmtId="3" fontId="3" fillId="4" borderId="3" xfId="1" applyNumberFormat="1" applyFill="1" applyBorder="1" applyAlignment="1">
      <alignment horizontal="right"/>
    </xf>
    <xf numFmtId="0" fontId="3" fillId="4" borderId="5" xfId="1" applyFill="1" applyBorder="1"/>
    <xf numFmtId="167" fontId="13" fillId="4" borderId="0" xfId="1" applyNumberFormat="1" applyFont="1" applyFill="1"/>
    <xf numFmtId="3" fontId="13" fillId="4" borderId="0" xfId="2" applyNumberFormat="1" applyFont="1" applyFill="1" applyBorder="1"/>
    <xf numFmtId="165" fontId="13" fillId="4" borderId="0" xfId="2" applyNumberFormat="1" applyFont="1" applyFill="1" applyBorder="1"/>
    <xf numFmtId="165" fontId="3" fillId="4" borderId="0" xfId="1" applyNumberFormat="1" applyFill="1"/>
    <xf numFmtId="3" fontId="3" fillId="4" borderId="6" xfId="1" applyNumberFormat="1" applyFill="1" applyBorder="1"/>
    <xf numFmtId="0" fontId="4" fillId="4" borderId="5" xfId="1" applyFont="1" applyFill="1" applyBorder="1"/>
    <xf numFmtId="3" fontId="3" fillId="4" borderId="0" xfId="1" applyNumberFormat="1" applyFill="1"/>
    <xf numFmtId="0" fontId="19" fillId="0" borderId="0" xfId="1" applyFont="1" applyAlignment="1">
      <alignment horizontal="right"/>
    </xf>
    <xf numFmtId="0" fontId="3" fillId="4" borderId="8" xfId="1" quotePrefix="1" applyFill="1" applyBorder="1"/>
    <xf numFmtId="168" fontId="13" fillId="4" borderId="1" xfId="3" applyNumberFormat="1" applyFont="1" applyFill="1" applyBorder="1"/>
    <xf numFmtId="3" fontId="3" fillId="4" borderId="1" xfId="1" applyNumberFormat="1" applyFill="1" applyBorder="1"/>
    <xf numFmtId="3" fontId="13" fillId="4" borderId="1" xfId="2" applyNumberFormat="1" applyFont="1" applyFill="1" applyBorder="1"/>
    <xf numFmtId="3" fontId="3" fillId="4" borderId="9" xfId="1" applyNumberFormat="1" applyFill="1" applyBorder="1"/>
    <xf numFmtId="0" fontId="28" fillId="0" borderId="0" xfId="1" applyFont="1"/>
    <xf numFmtId="3" fontId="28" fillId="0" borderId="0" xfId="1" applyNumberFormat="1" applyFont="1"/>
    <xf numFmtId="167" fontId="13" fillId="0" borderId="0" xfId="1" applyNumberFormat="1" applyFont="1"/>
    <xf numFmtId="3" fontId="13" fillId="0" borderId="0" xfId="2" applyNumberFormat="1" applyFont="1"/>
    <xf numFmtId="3" fontId="19" fillId="0" borderId="0" xfId="1" applyNumberFormat="1" applyFont="1"/>
    <xf numFmtId="169" fontId="0" fillId="0" borderId="0" xfId="3" applyNumberFormat="1" applyFont="1"/>
    <xf numFmtId="0" fontId="4" fillId="4" borderId="4" xfId="1" applyFont="1" applyFill="1" applyBorder="1"/>
    <xf numFmtId="0" fontId="3" fillId="4" borderId="10" xfId="1" applyFill="1" applyBorder="1" applyAlignment="1">
      <alignment horizontal="center"/>
    </xf>
    <xf numFmtId="3" fontId="3" fillId="4" borderId="3" xfId="1" applyNumberFormat="1" applyFill="1" applyBorder="1" applyAlignment="1">
      <alignment horizontal="center"/>
    </xf>
    <xf numFmtId="10" fontId="13" fillId="4" borderId="0" xfId="3" applyNumberFormat="1" applyFont="1" applyFill="1" applyBorder="1" applyAlignment="1">
      <alignment horizontal="center"/>
    </xf>
    <xf numFmtId="3" fontId="13" fillId="4" borderId="0" xfId="2" applyNumberFormat="1" applyFont="1" applyFill="1" applyBorder="1" applyAlignment="1">
      <alignment horizontal="center"/>
    </xf>
    <xf numFmtId="3" fontId="3" fillId="4" borderId="6" xfId="1" applyNumberFormat="1" applyFill="1" applyBorder="1" applyAlignment="1">
      <alignment horizontal="center"/>
    </xf>
    <xf numFmtId="0" fontId="3" fillId="4" borderId="8" xfId="1" applyFill="1" applyBorder="1"/>
    <xf numFmtId="10" fontId="13" fillId="4" borderId="1" xfId="3" applyNumberFormat="1" applyFont="1" applyFill="1" applyBorder="1" applyAlignment="1">
      <alignment horizontal="center"/>
    </xf>
    <xf numFmtId="3" fontId="13" fillId="4" borderId="1" xfId="2" applyNumberFormat="1" applyFont="1" applyFill="1" applyBorder="1" applyAlignment="1">
      <alignment horizontal="center"/>
    </xf>
    <xf numFmtId="3" fontId="3" fillId="4" borderId="9" xfId="1" applyNumberFormat="1" applyFill="1" applyBorder="1" applyAlignment="1">
      <alignment horizontal="center"/>
    </xf>
    <xf numFmtId="0" fontId="4" fillId="0" borderId="0" xfId="1" applyFont="1"/>
    <xf numFmtId="3" fontId="4" fillId="3" borderId="13" xfId="1" applyNumberFormat="1" applyFont="1" applyFill="1" applyBorder="1" applyAlignment="1">
      <alignment horizontal="center"/>
    </xf>
    <xf numFmtId="0" fontId="3" fillId="4" borderId="4" xfId="1" applyFill="1" applyBorder="1" applyAlignment="1">
      <alignment horizontal="left"/>
    </xf>
    <xf numFmtId="3" fontId="3" fillId="4" borderId="2" xfId="1" applyNumberFormat="1" applyFill="1" applyBorder="1"/>
    <xf numFmtId="3" fontId="3" fillId="4" borderId="3" xfId="1" applyNumberFormat="1" applyFill="1" applyBorder="1"/>
    <xf numFmtId="0" fontId="3" fillId="4" borderId="5" xfId="1" applyFill="1" applyBorder="1" applyAlignment="1">
      <alignment horizontal="left"/>
    </xf>
    <xf numFmtId="3" fontId="3" fillId="4" borderId="7" xfId="1" applyNumberFormat="1" applyFill="1" applyBorder="1"/>
    <xf numFmtId="3" fontId="3" fillId="9" borderId="6" xfId="1" applyNumberFormat="1" applyFill="1" applyBorder="1"/>
    <xf numFmtId="170" fontId="3" fillId="0" borderId="0" xfId="1" applyNumberFormat="1"/>
    <xf numFmtId="10" fontId="3" fillId="4" borderId="7" xfId="1" applyNumberFormat="1" applyFill="1" applyBorder="1"/>
    <xf numFmtId="10" fontId="3" fillId="4" borderId="6" xfId="1" applyNumberFormat="1" applyFill="1" applyBorder="1"/>
    <xf numFmtId="0" fontId="3" fillId="4" borderId="5" xfId="1" quotePrefix="1" applyFill="1" applyBorder="1" applyAlignment="1">
      <alignment horizontal="left"/>
    </xf>
    <xf numFmtId="0" fontId="3" fillId="4" borderId="8" xfId="1" quotePrefix="1" applyFill="1" applyBorder="1" applyAlignment="1">
      <alignment horizontal="left"/>
    </xf>
    <xf numFmtId="3" fontId="3" fillId="4" borderId="14" xfId="1" applyNumberFormat="1" applyFill="1" applyBorder="1"/>
    <xf numFmtId="3" fontId="3" fillId="9" borderId="9" xfId="1" applyNumberFormat="1" applyFill="1" applyBorder="1"/>
    <xf numFmtId="171" fontId="0" fillId="0" borderId="0" xfId="2" applyNumberFormat="1" applyFont="1"/>
    <xf numFmtId="10" fontId="8" fillId="4" borderId="3" xfId="3" applyNumberFormat="1" applyFont="1" applyFill="1" applyBorder="1"/>
    <xf numFmtId="0" fontId="30" fillId="0" borderId="0" xfId="1" applyFont="1" applyAlignment="1">
      <alignment vertical="center" wrapText="1"/>
    </xf>
    <xf numFmtId="164" fontId="12" fillId="4" borderId="6" xfId="2" applyFont="1" applyFill="1" applyBorder="1"/>
    <xf numFmtId="0" fontId="31" fillId="10" borderId="20" xfId="1" applyFont="1" applyFill="1" applyBorder="1" applyAlignment="1">
      <alignment horizontal="left" vertical="top" wrapText="1"/>
    </xf>
    <xf numFmtId="0" fontId="31" fillId="10" borderId="21" xfId="1" applyFont="1" applyFill="1" applyBorder="1" applyAlignment="1">
      <alignment horizontal="left" vertical="top" wrapText="1"/>
    </xf>
    <xf numFmtId="171" fontId="31" fillId="10" borderId="3" xfId="2" applyNumberFormat="1" applyFont="1" applyFill="1" applyBorder="1" applyAlignment="1">
      <alignment horizontal="left" vertical="top" wrapText="1"/>
    </xf>
    <xf numFmtId="166" fontId="12" fillId="4" borderId="6" xfId="2" applyNumberFormat="1" applyFont="1" applyFill="1" applyBorder="1"/>
    <xf numFmtId="171" fontId="3" fillId="0" borderId="6" xfId="2" applyNumberFormat="1" applyFont="1" applyFill="1" applyBorder="1"/>
    <xf numFmtId="3" fontId="8" fillId="4" borderId="6" xfId="2" applyNumberFormat="1" applyFont="1" applyFill="1" applyBorder="1"/>
    <xf numFmtId="10" fontId="8" fillId="4" borderId="6" xfId="3" applyNumberFormat="1" applyFont="1" applyFill="1" applyBorder="1"/>
    <xf numFmtId="10" fontId="3" fillId="4" borderId="5" xfId="3" applyNumberFormat="1" applyFont="1" applyFill="1" applyBorder="1" applyAlignment="1">
      <alignment horizontal="left"/>
    </xf>
    <xf numFmtId="10" fontId="12" fillId="4" borderId="6" xfId="3" applyNumberFormat="1" applyFont="1" applyFill="1" applyBorder="1"/>
    <xf numFmtId="3" fontId="12" fillId="4" borderId="6" xfId="2" applyNumberFormat="1" applyFont="1" applyFill="1" applyBorder="1"/>
    <xf numFmtId="9" fontId="8" fillId="4" borderId="6" xfId="3" applyFont="1" applyFill="1" applyBorder="1"/>
    <xf numFmtId="3" fontId="32" fillId="4" borderId="6" xfId="2" applyNumberFormat="1" applyFont="1" applyFill="1" applyBorder="1"/>
    <xf numFmtId="168" fontId="32" fillId="4" borderId="6" xfId="3" applyNumberFormat="1" applyFont="1" applyFill="1" applyBorder="1"/>
    <xf numFmtId="3" fontId="3" fillId="4" borderId="5" xfId="1" applyNumberFormat="1" applyFill="1" applyBorder="1" applyAlignment="1">
      <alignment horizontal="left"/>
    </xf>
    <xf numFmtId="3" fontId="12" fillId="4" borderId="6" xfId="1" applyNumberFormat="1" applyFont="1" applyFill="1" applyBorder="1"/>
    <xf numFmtId="9" fontId="12" fillId="4" borderId="6" xfId="3" applyFont="1" applyFill="1" applyBorder="1"/>
    <xf numFmtId="9" fontId="8" fillId="4" borderId="9" xfId="3" applyFont="1" applyFill="1" applyBorder="1"/>
    <xf numFmtId="0" fontId="3" fillId="0" borderId="1" xfId="1" applyBorder="1"/>
    <xf numFmtId="171" fontId="3" fillId="0" borderId="9" xfId="2" applyNumberFormat="1" applyFont="1" applyFill="1" applyBorder="1"/>
    <xf numFmtId="3" fontId="33" fillId="11" borderId="0" xfId="4" applyNumberFormat="1" applyFont="1" applyFill="1"/>
    <xf numFmtId="3" fontId="34" fillId="11" borderId="0" xfId="4" applyNumberFormat="1" applyFont="1" applyFill="1"/>
    <xf numFmtId="3" fontId="35" fillId="11" borderId="0" xfId="4" applyNumberFormat="1" applyFont="1" applyFill="1"/>
    <xf numFmtId="3" fontId="36" fillId="11" borderId="0" xfId="4" applyNumberFormat="1" applyFont="1" applyFill="1"/>
    <xf numFmtId="3" fontId="36" fillId="11" borderId="22" xfId="4" applyNumberFormat="1" applyFont="1" applyFill="1" applyBorder="1"/>
    <xf numFmtId="3" fontId="37" fillId="12" borderId="23" xfId="4" applyNumberFormat="1" applyFont="1" applyFill="1" applyBorder="1"/>
    <xf numFmtId="3" fontId="38" fillId="12" borderId="24" xfId="4" applyNumberFormat="1" applyFont="1" applyFill="1" applyBorder="1" applyAlignment="1">
      <alignment horizontal="center"/>
    </xf>
    <xf numFmtId="1" fontId="38" fillId="12" borderId="24" xfId="4" applyNumberFormat="1" applyFont="1" applyFill="1" applyBorder="1" applyAlignment="1">
      <alignment horizontal="center"/>
    </xf>
    <xf numFmtId="1" fontId="38" fillId="12" borderId="25" xfId="4" applyNumberFormat="1" applyFont="1" applyFill="1" applyBorder="1" applyAlignment="1">
      <alignment horizontal="center"/>
    </xf>
    <xf numFmtId="3" fontId="36" fillId="11" borderId="26" xfId="4" applyNumberFormat="1" applyFont="1" applyFill="1" applyBorder="1"/>
    <xf numFmtId="3" fontId="36" fillId="11" borderId="27" xfId="4" applyNumberFormat="1" applyFont="1" applyFill="1" applyBorder="1"/>
    <xf numFmtId="3" fontId="36" fillId="12" borderId="28" xfId="4" applyNumberFormat="1" applyFont="1" applyFill="1" applyBorder="1" applyAlignment="1" applyProtection="1">
      <alignment horizontal="left"/>
      <protection locked="0" hidden="1"/>
    </xf>
    <xf numFmtId="3" fontId="36" fillId="12" borderId="29" xfId="4" applyNumberFormat="1" applyFont="1" applyFill="1" applyBorder="1" applyProtection="1">
      <protection locked="0" hidden="1"/>
    </xf>
    <xf numFmtId="3" fontId="36" fillId="12" borderId="30" xfId="4" applyNumberFormat="1" applyFont="1" applyFill="1" applyBorder="1" applyProtection="1">
      <protection locked="0" hidden="1"/>
    </xf>
    <xf numFmtId="3" fontId="38" fillId="12" borderId="31" xfId="4" applyNumberFormat="1" applyFont="1" applyFill="1" applyBorder="1" applyProtection="1">
      <protection hidden="1"/>
    </xf>
    <xf numFmtId="3" fontId="36" fillId="12" borderId="0" xfId="4" applyNumberFormat="1" applyFont="1" applyFill="1" applyProtection="1">
      <protection locked="0" hidden="1"/>
    </xf>
    <xf numFmtId="3" fontId="38" fillId="12" borderId="32" xfId="4" applyNumberFormat="1" applyFont="1" applyFill="1" applyBorder="1" applyProtection="1">
      <protection hidden="1"/>
    </xf>
    <xf numFmtId="3" fontId="37" fillId="12" borderId="28" xfId="4" applyNumberFormat="1" applyFont="1" applyFill="1" applyBorder="1" applyAlignment="1" applyProtection="1">
      <alignment horizontal="left"/>
      <protection locked="0" hidden="1"/>
    </xf>
    <xf numFmtId="3" fontId="38" fillId="12" borderId="33" xfId="4" applyNumberFormat="1" applyFont="1" applyFill="1" applyBorder="1" applyProtection="1">
      <protection locked="0" hidden="1"/>
    </xf>
    <xf numFmtId="3" fontId="38" fillId="12" borderId="34" xfId="4" applyNumberFormat="1" applyFont="1" applyFill="1" applyBorder="1" applyProtection="1">
      <protection locked="0" hidden="1"/>
    </xf>
    <xf numFmtId="3" fontId="38" fillId="12" borderId="35" xfId="4" applyNumberFormat="1" applyFont="1" applyFill="1" applyBorder="1" applyProtection="1">
      <protection hidden="1"/>
    </xf>
    <xf numFmtId="3" fontId="38" fillId="11" borderId="0" xfId="4" applyNumberFormat="1" applyFont="1" applyFill="1"/>
    <xf numFmtId="3" fontId="38" fillId="11" borderId="26" xfId="4" applyNumberFormat="1" applyFont="1" applyFill="1" applyBorder="1"/>
    <xf numFmtId="3" fontId="38" fillId="11" borderId="27" xfId="4" applyNumberFormat="1" applyFont="1" applyFill="1" applyBorder="1"/>
    <xf numFmtId="3" fontId="39" fillId="12" borderId="36" xfId="4" applyNumberFormat="1" applyFont="1" applyFill="1" applyBorder="1" applyAlignment="1" applyProtection="1">
      <alignment horizontal="left"/>
      <protection locked="0" hidden="1"/>
    </xf>
    <xf numFmtId="3" fontId="40" fillId="12" borderId="37" xfId="4" applyNumberFormat="1" applyFont="1" applyFill="1" applyBorder="1" applyProtection="1">
      <protection locked="0" hidden="1"/>
    </xf>
    <xf numFmtId="3" fontId="40" fillId="12" borderId="38" xfId="4" applyNumberFormat="1" applyFont="1" applyFill="1" applyBorder="1" applyProtection="1">
      <protection hidden="1"/>
    </xf>
    <xf numFmtId="3" fontId="39" fillId="11" borderId="0" xfId="4" applyNumberFormat="1" applyFont="1" applyFill="1"/>
    <xf numFmtId="3" fontId="39" fillId="11" borderId="39" xfId="4" applyNumberFormat="1" applyFont="1" applyFill="1" applyBorder="1"/>
    <xf numFmtId="3" fontId="36" fillId="13" borderId="0" xfId="4" applyNumberFormat="1" applyFont="1" applyFill="1" applyAlignment="1" applyProtection="1">
      <alignment horizontal="left"/>
      <protection locked="0" hidden="1"/>
    </xf>
    <xf numFmtId="3" fontId="36" fillId="13" borderId="0" xfId="4" applyNumberFormat="1" applyFont="1" applyFill="1" applyProtection="1">
      <protection locked="0" hidden="1"/>
    </xf>
    <xf numFmtId="3" fontId="36" fillId="13" borderId="0" xfId="4" applyNumberFormat="1" applyFont="1" applyFill="1" applyProtection="1">
      <protection hidden="1"/>
    </xf>
    <xf numFmtId="3" fontId="36" fillId="11" borderId="39" xfId="4" applyNumberFormat="1" applyFont="1" applyFill="1" applyBorder="1"/>
    <xf numFmtId="3" fontId="37" fillId="12" borderId="40" xfId="4" applyNumberFormat="1" applyFont="1" applyFill="1" applyBorder="1" applyAlignment="1" applyProtection="1">
      <alignment horizontal="left" vertical="center"/>
      <protection locked="0" hidden="1"/>
    </xf>
    <xf numFmtId="3" fontId="38" fillId="12" borderId="39" xfId="4" applyNumberFormat="1" applyFont="1" applyFill="1" applyBorder="1" applyAlignment="1">
      <alignment horizontal="center"/>
    </xf>
    <xf numFmtId="1" fontId="38" fillId="12" borderId="39" xfId="4" applyNumberFormat="1" applyFont="1" applyFill="1" applyBorder="1" applyAlignment="1">
      <alignment horizontal="center"/>
    </xf>
    <xf numFmtId="1" fontId="38" fillId="12" borderId="41" xfId="4" applyNumberFormat="1" applyFont="1" applyFill="1" applyBorder="1" applyAlignment="1">
      <alignment horizontal="center"/>
    </xf>
    <xf numFmtId="3" fontId="36" fillId="11" borderId="0" xfId="4" applyNumberFormat="1" applyFont="1" applyFill="1" applyAlignment="1">
      <alignment vertical="center"/>
    </xf>
    <xf numFmtId="3" fontId="36" fillId="11" borderId="39" xfId="4" applyNumberFormat="1" applyFont="1" applyFill="1" applyBorder="1" applyAlignment="1">
      <alignment vertical="center"/>
    </xf>
    <xf numFmtId="3" fontId="38" fillId="12" borderId="42" xfId="4" applyNumberFormat="1" applyFont="1" applyFill="1" applyBorder="1" applyAlignment="1" applyProtection="1">
      <alignment horizontal="left"/>
      <protection locked="0" hidden="1"/>
    </xf>
    <xf numFmtId="3" fontId="36" fillId="12" borderId="0" xfId="4" applyNumberFormat="1" applyFont="1" applyFill="1"/>
    <xf numFmtId="3" fontId="36" fillId="12" borderId="43" xfId="4" applyNumberFormat="1" applyFont="1" applyFill="1" applyBorder="1"/>
    <xf numFmtId="3" fontId="36" fillId="12" borderId="42" xfId="4" applyNumberFormat="1" applyFont="1" applyFill="1" applyBorder="1" applyAlignment="1" applyProtection="1">
      <alignment horizontal="left"/>
      <protection locked="0" hidden="1"/>
    </xf>
    <xf numFmtId="3" fontId="38" fillId="12" borderId="44" xfId="4" applyNumberFormat="1" applyFont="1" applyFill="1" applyBorder="1" applyProtection="1">
      <protection locked="0" hidden="1"/>
    </xf>
    <xf numFmtId="3" fontId="38" fillId="12" borderId="43" xfId="4" applyNumberFormat="1" applyFont="1" applyFill="1" applyBorder="1" applyProtection="1">
      <protection locked="0" hidden="1"/>
    </xf>
    <xf numFmtId="3" fontId="38" fillId="12" borderId="44" xfId="4" applyNumberFormat="1" applyFont="1" applyFill="1" applyBorder="1" applyProtection="1">
      <protection hidden="1"/>
    </xf>
    <xf numFmtId="3" fontId="38" fillId="12" borderId="43" xfId="4" applyNumberFormat="1" applyFont="1" applyFill="1" applyBorder="1" applyProtection="1">
      <protection hidden="1"/>
    </xf>
    <xf numFmtId="3" fontId="41" fillId="11" borderId="0" xfId="4" applyNumberFormat="1" applyFont="1" applyFill="1"/>
    <xf numFmtId="3" fontId="38" fillId="12" borderId="33" xfId="4" applyNumberFormat="1" applyFont="1" applyFill="1" applyBorder="1" applyProtection="1">
      <protection hidden="1"/>
    </xf>
    <xf numFmtId="3" fontId="38" fillId="12" borderId="34" xfId="4" applyNumberFormat="1" applyFont="1" applyFill="1" applyBorder="1" applyProtection="1">
      <protection hidden="1"/>
    </xf>
    <xf numFmtId="3" fontId="38" fillId="12" borderId="45" xfId="4" applyNumberFormat="1" applyFont="1" applyFill="1" applyBorder="1" applyProtection="1">
      <protection hidden="1"/>
    </xf>
    <xf numFmtId="3" fontId="39" fillId="12" borderId="42" xfId="4" applyNumberFormat="1" applyFont="1" applyFill="1" applyBorder="1" applyAlignment="1" applyProtection="1">
      <alignment horizontal="left"/>
      <protection locked="0" hidden="1"/>
    </xf>
    <xf numFmtId="3" fontId="40" fillId="12" borderId="0" xfId="4" applyNumberFormat="1" applyFont="1" applyFill="1" applyProtection="1">
      <protection hidden="1"/>
    </xf>
    <xf numFmtId="3" fontId="39" fillId="12" borderId="43" xfId="4" applyNumberFormat="1" applyFont="1" applyFill="1" applyBorder="1" applyProtection="1">
      <protection hidden="1"/>
    </xf>
    <xf numFmtId="3" fontId="39" fillId="11" borderId="26" xfId="4" applyNumberFormat="1" applyFont="1" applyFill="1" applyBorder="1"/>
    <xf numFmtId="3" fontId="39" fillId="11" borderId="27" xfId="4" applyNumberFormat="1" applyFont="1" applyFill="1" applyBorder="1"/>
    <xf numFmtId="3" fontId="38" fillId="12" borderId="43" xfId="4" applyNumberFormat="1" applyFont="1" applyFill="1" applyBorder="1"/>
    <xf numFmtId="3" fontId="36" fillId="12" borderId="46" xfId="4" applyNumberFormat="1" applyFont="1" applyFill="1" applyBorder="1" applyProtection="1">
      <protection locked="0" hidden="1"/>
    </xf>
    <xf numFmtId="3" fontId="36" fillId="12" borderId="47" xfId="4" applyNumberFormat="1" applyFont="1" applyFill="1" applyBorder="1" applyProtection="1">
      <protection locked="0" hidden="1"/>
    </xf>
    <xf numFmtId="3" fontId="38" fillId="12" borderId="48" xfId="4" applyNumberFormat="1" applyFont="1" applyFill="1" applyBorder="1" applyProtection="1">
      <protection hidden="1"/>
    </xf>
    <xf numFmtId="3" fontId="36" fillId="12" borderId="49" xfId="4" applyNumberFormat="1" applyFont="1" applyFill="1" applyBorder="1" applyProtection="1">
      <protection locked="0" hidden="1"/>
    </xf>
    <xf numFmtId="3" fontId="38" fillId="12" borderId="50" xfId="4" applyNumberFormat="1" applyFont="1" applyFill="1" applyBorder="1" applyProtection="1">
      <protection hidden="1"/>
    </xf>
    <xf numFmtId="3" fontId="36" fillId="12" borderId="33" xfId="4" applyNumberFormat="1" applyFont="1" applyFill="1" applyBorder="1" applyProtection="1">
      <protection locked="0" hidden="1"/>
    </xf>
    <xf numFmtId="3" fontId="36" fillId="12" borderId="34" xfId="4" applyNumberFormat="1" applyFont="1" applyFill="1" applyBorder="1" applyProtection="1">
      <protection locked="0" hidden="1"/>
    </xf>
    <xf numFmtId="3" fontId="36" fillId="12" borderId="51" xfId="4" applyNumberFormat="1" applyFont="1" applyFill="1" applyBorder="1" applyProtection="1">
      <protection locked="0" hidden="1"/>
    </xf>
    <xf numFmtId="3" fontId="36" fillId="12" borderId="29" xfId="4" applyNumberFormat="1" applyFont="1" applyFill="1" applyBorder="1" applyProtection="1">
      <protection hidden="1"/>
    </xf>
    <xf numFmtId="3" fontId="36" fillId="12" borderId="30" xfId="4" applyNumberFormat="1" applyFont="1" applyFill="1" applyBorder="1" applyProtection="1">
      <protection hidden="1"/>
    </xf>
    <xf numFmtId="3" fontId="36" fillId="12" borderId="0" xfId="4" applyNumberFormat="1" applyFont="1" applyFill="1" applyProtection="1">
      <protection hidden="1"/>
    </xf>
    <xf numFmtId="3" fontId="38" fillId="12" borderId="0" xfId="4" applyNumberFormat="1" applyFont="1" applyFill="1" applyProtection="1">
      <protection hidden="1"/>
    </xf>
    <xf numFmtId="3" fontId="40" fillId="11" borderId="0" xfId="4" applyNumberFormat="1" applyFont="1" applyFill="1"/>
    <xf numFmtId="3" fontId="40" fillId="11" borderId="26" xfId="4" applyNumberFormat="1" applyFont="1" applyFill="1" applyBorder="1"/>
    <xf numFmtId="3" fontId="40" fillId="11" borderId="27" xfId="4" applyNumberFormat="1" applyFont="1" applyFill="1" applyBorder="1"/>
    <xf numFmtId="3" fontId="38" fillId="12" borderId="45" xfId="4" applyNumberFormat="1" applyFont="1" applyFill="1" applyBorder="1" applyProtection="1">
      <protection locked="0" hidden="1"/>
    </xf>
    <xf numFmtId="3" fontId="40" fillId="12" borderId="0" xfId="4" applyNumberFormat="1" applyFont="1" applyFill="1" applyProtection="1">
      <protection locked="0" hidden="1"/>
    </xf>
    <xf numFmtId="3" fontId="39" fillId="12" borderId="43" xfId="4" applyNumberFormat="1" applyFont="1" applyFill="1" applyBorder="1" applyProtection="1">
      <protection locked="0" hidden="1"/>
    </xf>
    <xf numFmtId="3" fontId="39" fillId="14" borderId="42" xfId="4" applyNumberFormat="1" applyFont="1" applyFill="1" applyBorder="1" applyProtection="1">
      <protection locked="0" hidden="1"/>
    </xf>
    <xf numFmtId="3" fontId="40" fillId="14" borderId="0" xfId="4" applyNumberFormat="1" applyFont="1" applyFill="1"/>
    <xf numFmtId="3" fontId="39" fillId="14" borderId="43" xfId="4" applyNumberFormat="1" applyFont="1" applyFill="1" applyBorder="1"/>
    <xf numFmtId="3" fontId="37" fillId="14" borderId="42" xfId="4" applyNumberFormat="1" applyFont="1" applyFill="1" applyBorder="1" applyProtection="1">
      <protection locked="0" hidden="1"/>
    </xf>
    <xf numFmtId="3" fontId="38" fillId="14" borderId="33" xfId="4" applyNumberFormat="1" applyFont="1" applyFill="1" applyBorder="1"/>
    <xf numFmtId="3" fontId="38" fillId="14" borderId="34" xfId="4" applyNumberFormat="1" applyFont="1" applyFill="1" applyBorder="1"/>
    <xf numFmtId="3" fontId="38" fillId="14" borderId="52" xfId="4" applyNumberFormat="1" applyFont="1" applyFill="1" applyBorder="1"/>
    <xf numFmtId="3" fontId="40" fillId="14" borderId="53" xfId="4" applyNumberFormat="1" applyFont="1" applyFill="1" applyBorder="1" applyProtection="1">
      <protection locked="0" hidden="1"/>
    </xf>
    <xf numFmtId="3" fontId="40" fillId="14" borderId="22" xfId="4" applyNumberFormat="1" applyFont="1" applyFill="1" applyBorder="1"/>
    <xf numFmtId="3" fontId="39" fillId="14" borderId="54" xfId="4" applyNumberFormat="1" applyFont="1" applyFill="1" applyBorder="1"/>
    <xf numFmtId="3" fontId="36" fillId="11" borderId="55" xfId="4" applyNumberFormat="1" applyFont="1" applyFill="1" applyBorder="1" applyProtection="1">
      <protection locked="0" hidden="1"/>
    </xf>
    <xf numFmtId="3" fontId="36" fillId="11" borderId="55" xfId="4" applyNumberFormat="1" applyFont="1" applyFill="1" applyBorder="1"/>
    <xf numFmtId="3" fontId="37" fillId="14" borderId="40" xfId="4" applyNumberFormat="1" applyFont="1" applyFill="1" applyBorder="1" applyProtection="1">
      <protection locked="0" hidden="1"/>
    </xf>
    <xf numFmtId="3" fontId="38" fillId="14" borderId="39" xfId="4" applyNumberFormat="1" applyFont="1" applyFill="1" applyBorder="1" applyAlignment="1" applyProtection="1">
      <alignment horizontal="center"/>
      <protection locked="0" hidden="1"/>
    </xf>
    <xf numFmtId="1" fontId="38" fillId="14" borderId="39" xfId="4" applyNumberFormat="1" applyFont="1" applyFill="1" applyBorder="1" applyAlignment="1" applyProtection="1">
      <alignment horizontal="center"/>
      <protection locked="0" hidden="1"/>
    </xf>
    <xf numFmtId="1" fontId="38" fillId="14" borderId="41" xfId="4" applyNumberFormat="1" applyFont="1" applyFill="1" applyBorder="1" applyAlignment="1" applyProtection="1">
      <alignment horizontal="center"/>
      <protection locked="0" hidden="1"/>
    </xf>
    <xf numFmtId="3" fontId="36" fillId="14" borderId="42" xfId="4" applyNumberFormat="1" applyFont="1" applyFill="1" applyBorder="1" applyProtection="1">
      <protection locked="0" hidden="1"/>
    </xf>
    <xf numFmtId="3" fontId="36" fillId="14" borderId="33" xfId="4" applyNumberFormat="1" applyFont="1" applyFill="1" applyBorder="1" applyProtection="1">
      <protection hidden="1"/>
    </xf>
    <xf numFmtId="3" fontId="36" fillId="14" borderId="34" xfId="4" applyNumberFormat="1" applyFont="1" applyFill="1" applyBorder="1" applyProtection="1">
      <protection hidden="1"/>
    </xf>
    <xf numFmtId="3" fontId="38" fillId="14" borderId="45" xfId="4" applyNumberFormat="1" applyFont="1" applyFill="1" applyBorder="1" applyProtection="1">
      <protection hidden="1"/>
    </xf>
    <xf numFmtId="3" fontId="36" fillId="14" borderId="42" xfId="4" applyNumberFormat="1" applyFont="1" applyFill="1" applyBorder="1" applyAlignment="1">
      <alignment horizontal="left"/>
    </xf>
    <xf numFmtId="3" fontId="38" fillId="14" borderId="0" xfId="4" applyNumberFormat="1" applyFont="1" applyFill="1" applyAlignment="1">
      <alignment horizontal="left"/>
    </xf>
    <xf numFmtId="3" fontId="38" fillId="14" borderId="43" xfId="4" applyNumberFormat="1" applyFont="1" applyFill="1" applyBorder="1"/>
    <xf numFmtId="3" fontId="36" fillId="14" borderId="33" xfId="4" applyNumberFormat="1" applyFont="1" applyFill="1" applyBorder="1"/>
    <xf numFmtId="3" fontId="36" fillId="14" borderId="34" xfId="4" applyNumberFormat="1" applyFont="1" applyFill="1" applyBorder="1"/>
    <xf numFmtId="3" fontId="42" fillId="14" borderId="45" xfId="4" applyNumberFormat="1" applyFont="1" applyFill="1" applyBorder="1"/>
    <xf numFmtId="3" fontId="36" fillId="14" borderId="53" xfId="4" applyNumberFormat="1" applyFont="1" applyFill="1" applyBorder="1"/>
    <xf numFmtId="3" fontId="36" fillId="14" borderId="22" xfId="4" applyNumberFormat="1" applyFont="1" applyFill="1" applyBorder="1"/>
    <xf numFmtId="3" fontId="38" fillId="14" borderId="54" xfId="4" applyNumberFormat="1" applyFont="1" applyFill="1" applyBorder="1"/>
    <xf numFmtId="3" fontId="38" fillId="6" borderId="0" xfId="5" applyNumberFormat="1" applyFont="1" applyFill="1"/>
    <xf numFmtId="3" fontId="36" fillId="11" borderId="0" xfId="5" applyNumberFormat="1" applyFont="1" applyFill="1"/>
    <xf numFmtId="0" fontId="43" fillId="0" borderId="0" xfId="6"/>
    <xf numFmtId="3" fontId="36" fillId="6" borderId="0" xfId="4" applyNumberFormat="1" applyFont="1" applyFill="1"/>
    <xf numFmtId="3" fontId="38" fillId="6" borderId="0" xfId="4" applyNumberFormat="1" applyFont="1" applyFill="1" applyAlignment="1">
      <alignment horizontal="center"/>
    </xf>
    <xf numFmtId="3" fontId="44" fillId="11" borderId="0" xfId="4" applyNumberFormat="1" applyFont="1" applyFill="1"/>
    <xf numFmtId="3" fontId="45" fillId="11" borderId="0" xfId="4" applyNumberFormat="1" applyFont="1" applyFill="1"/>
    <xf numFmtId="165" fontId="38" fillId="6" borderId="0" xfId="4" applyNumberFormat="1" applyFont="1" applyFill="1" applyAlignment="1">
      <alignment horizontal="center"/>
    </xf>
    <xf numFmtId="3" fontId="46" fillId="11" borderId="0" xfId="5" applyNumberFormat="1" applyFont="1" applyFill="1"/>
    <xf numFmtId="3" fontId="44" fillId="0" borderId="0" xfId="4" applyNumberFormat="1" applyFont="1"/>
    <xf numFmtId="3" fontId="36" fillId="3" borderId="0" xfId="4" applyNumberFormat="1" applyFont="1" applyFill="1"/>
    <xf numFmtId="3" fontId="36" fillId="0" borderId="0" xfId="4" applyNumberFormat="1" applyFont="1"/>
    <xf numFmtId="3" fontId="36" fillId="11" borderId="0" xfId="5" quotePrefix="1" applyNumberFormat="1" applyFont="1" applyFill="1"/>
    <xf numFmtId="3" fontId="36" fillId="0" borderId="0" xfId="4" quotePrefix="1" applyNumberFormat="1" applyFont="1"/>
    <xf numFmtId="3" fontId="37" fillId="0" borderId="0" xfId="4" applyNumberFormat="1" applyFont="1"/>
    <xf numFmtId="3" fontId="47" fillId="0" borderId="0" xfId="4" applyNumberFormat="1" applyFont="1"/>
    <xf numFmtId="3" fontId="48" fillId="11" borderId="0" xfId="4" applyNumberFormat="1" applyFont="1" applyFill="1"/>
    <xf numFmtId="3" fontId="38" fillId="11" borderId="0" xfId="5" applyNumberFormat="1" applyFont="1" applyFill="1"/>
    <xf numFmtId="3" fontId="46" fillId="11" borderId="0" xfId="4" applyNumberFormat="1" applyFont="1" applyFill="1"/>
    <xf numFmtId="0" fontId="49" fillId="0" borderId="0" xfId="1" applyFont="1" applyAlignment="1">
      <alignment wrapText="1"/>
    </xf>
    <xf numFmtId="3" fontId="38" fillId="11" borderId="56" xfId="4" applyNumberFormat="1" applyFont="1" applyFill="1" applyBorder="1"/>
    <xf numFmtId="0" fontId="50" fillId="0" borderId="0" xfId="6" applyFont="1"/>
    <xf numFmtId="173" fontId="0" fillId="0" borderId="0" xfId="7" applyNumberFormat="1" applyFont="1"/>
    <xf numFmtId="173" fontId="43" fillId="0" borderId="0" xfId="6" applyNumberFormat="1"/>
    <xf numFmtId="0" fontId="52" fillId="0" borderId="0" xfId="6" applyFont="1"/>
    <xf numFmtId="0" fontId="53" fillId="0" borderId="0" xfId="6" applyFont="1"/>
    <xf numFmtId="173" fontId="53" fillId="0" borderId="0" xfId="7" applyNumberFormat="1" applyFont="1"/>
    <xf numFmtId="173" fontId="52" fillId="0" borderId="0" xfId="7" applyNumberFormat="1" applyFont="1"/>
    <xf numFmtId="173" fontId="0" fillId="5" borderId="0" xfId="7" applyNumberFormat="1" applyFont="1" applyFill="1"/>
    <xf numFmtId="172" fontId="43" fillId="0" borderId="0" xfId="6" applyNumberFormat="1"/>
    <xf numFmtId="173" fontId="1" fillId="0" borderId="6" xfId="11" applyNumberFormat="1" applyFont="1" applyBorder="1"/>
    <xf numFmtId="10" fontId="1" fillId="5" borderId="7" xfId="12" applyNumberFormat="1" applyFont="1" applyFill="1" applyBorder="1"/>
    <xf numFmtId="10" fontId="0" fillId="0" borderId="0" xfId="13" applyNumberFormat="1" applyFont="1"/>
    <xf numFmtId="10" fontId="1" fillId="0" borderId="7" xfId="12" applyNumberFormat="1" applyFont="1" applyBorder="1"/>
    <xf numFmtId="173" fontId="1" fillId="0" borderId="3" xfId="11" applyNumberFormat="1" applyFont="1" applyBorder="1"/>
    <xf numFmtId="173" fontId="2" fillId="0" borderId="6" xfId="11" applyNumberFormat="1" applyFont="1" applyBorder="1"/>
    <xf numFmtId="173" fontId="55" fillId="0" borderId="9" xfId="11" applyNumberFormat="1" applyFont="1" applyBorder="1"/>
    <xf numFmtId="10" fontId="50" fillId="0" borderId="0" xfId="13" applyNumberFormat="1" applyFont="1"/>
    <xf numFmtId="0" fontId="56" fillId="0" borderId="0" xfId="0" applyFont="1"/>
    <xf numFmtId="0" fontId="57" fillId="0" borderId="0" xfId="0" applyFont="1"/>
    <xf numFmtId="3" fontId="57" fillId="0" borderId="0" xfId="0" applyNumberFormat="1" applyFont="1"/>
    <xf numFmtId="0" fontId="58" fillId="0" borderId="58" xfId="0" applyFont="1" applyBorder="1"/>
    <xf numFmtId="0" fontId="57" fillId="0" borderId="59" xfId="0" applyFont="1" applyBorder="1"/>
    <xf numFmtId="0" fontId="57" fillId="0" borderId="59" xfId="0" applyFont="1" applyBorder="1" applyAlignment="1">
      <alignment horizontal="right"/>
    </xf>
    <xf numFmtId="3" fontId="58" fillId="5" borderId="60" xfId="0" applyNumberFormat="1" applyFont="1" applyFill="1" applyBorder="1"/>
    <xf numFmtId="3" fontId="58" fillId="0" borderId="60" xfId="0" applyNumberFormat="1" applyFont="1" applyBorder="1"/>
    <xf numFmtId="0" fontId="59" fillId="0" borderId="4" xfId="15" applyFont="1" applyBorder="1"/>
    <xf numFmtId="0" fontId="60" fillId="0" borderId="10" xfId="0" applyFont="1" applyBorder="1"/>
    <xf numFmtId="3" fontId="59" fillId="0" borderId="3" xfId="0" applyNumberFormat="1" applyFont="1" applyBorder="1"/>
    <xf numFmtId="0" fontId="58" fillId="0" borderId="61" xfId="0" applyFont="1" applyBorder="1"/>
    <xf numFmtId="0" fontId="57" fillId="0" borderId="62" xfId="0" applyFont="1" applyBorder="1"/>
    <xf numFmtId="0" fontId="57" fillId="0" borderId="63" xfId="0" applyFont="1" applyBorder="1"/>
    <xf numFmtId="0" fontId="60" fillId="0" borderId="5" xfId="0" applyFont="1" applyBorder="1"/>
    <xf numFmtId="0" fontId="60" fillId="0" borderId="64" xfId="0" applyFont="1" applyBorder="1"/>
    <xf numFmtId="0" fontId="60" fillId="0" borderId="0" xfId="0" applyFont="1"/>
    <xf numFmtId="0" fontId="60" fillId="0" borderId="0" xfId="0" applyFont="1" applyAlignment="1">
      <alignment horizontal="right"/>
    </xf>
    <xf numFmtId="3" fontId="60" fillId="5" borderId="6" xfId="0" applyNumberFormat="1" applyFont="1" applyFill="1" applyBorder="1"/>
    <xf numFmtId="168" fontId="60" fillId="0" borderId="0" xfId="0" applyNumberFormat="1" applyFont="1" applyAlignment="1">
      <alignment horizontal="left"/>
    </xf>
    <xf numFmtId="0" fontId="57" fillId="0" borderId="64" xfId="0" applyFont="1" applyBorder="1"/>
    <xf numFmtId="0" fontId="57" fillId="0" borderId="65" xfId="0" applyFont="1" applyBorder="1"/>
    <xf numFmtId="9" fontId="60" fillId="0" borderId="0" xfId="0" applyNumberFormat="1" applyFont="1" applyAlignment="1">
      <alignment horizontal="left"/>
    </xf>
    <xf numFmtId="3" fontId="60" fillId="0" borderId="65" xfId="0" applyNumberFormat="1" applyFont="1" applyBorder="1"/>
    <xf numFmtId="0" fontId="59" fillId="0" borderId="0" xfId="15" applyFont="1"/>
    <xf numFmtId="3" fontId="60" fillId="6" borderId="6" xfId="0" applyNumberFormat="1" applyFont="1" applyFill="1" applyBorder="1"/>
    <xf numFmtId="0" fontId="60" fillId="0" borderId="0" xfId="15" applyFont="1"/>
    <xf numFmtId="0" fontId="62" fillId="0" borderId="0" xfId="15" applyFont="1"/>
    <xf numFmtId="0" fontId="57" fillId="0" borderId="5" xfId="0" applyFont="1" applyBorder="1"/>
    <xf numFmtId="3" fontId="60" fillId="0" borderId="6" xfId="0" applyNumberFormat="1" applyFont="1" applyBorder="1"/>
    <xf numFmtId="0" fontId="60" fillId="0" borderId="0" xfId="0" applyFont="1" applyAlignment="1">
      <alignment horizontal="left"/>
    </xf>
    <xf numFmtId="0" fontId="57" fillId="0" borderId="0" xfId="0" applyFont="1" applyAlignment="1">
      <alignment horizontal="right"/>
    </xf>
    <xf numFmtId="0" fontId="58" fillId="0" borderId="66" xfId="0" applyFont="1" applyBorder="1"/>
    <xf numFmtId="0" fontId="57" fillId="0" borderId="67" xfId="0" applyFont="1" applyBorder="1"/>
    <xf numFmtId="0" fontId="57" fillId="0" borderId="67" xfId="0" applyFont="1" applyBorder="1" applyAlignment="1">
      <alignment horizontal="right"/>
    </xf>
    <xf numFmtId="3" fontId="58" fillId="0" borderId="68" xfId="0" applyNumberFormat="1" applyFont="1" applyBorder="1"/>
    <xf numFmtId="3" fontId="60" fillId="5" borderId="69" xfId="0" applyNumberFormat="1" applyFont="1" applyFill="1" applyBorder="1"/>
    <xf numFmtId="3" fontId="57" fillId="6" borderId="6" xfId="0" applyNumberFormat="1" applyFont="1" applyFill="1" applyBorder="1"/>
    <xf numFmtId="0" fontId="58" fillId="0" borderId="11" xfId="0" applyFont="1" applyBorder="1"/>
    <xf numFmtId="0" fontId="57" fillId="0" borderId="12" xfId="0" applyFont="1" applyBorder="1"/>
    <xf numFmtId="0" fontId="57" fillId="0" borderId="12" xfId="0" applyFont="1" applyBorder="1" applyAlignment="1">
      <alignment horizontal="right"/>
    </xf>
    <xf numFmtId="3" fontId="58" fillId="15" borderId="13" xfId="0" applyNumberFormat="1" applyFont="1" applyFill="1" applyBorder="1"/>
    <xf numFmtId="0" fontId="63" fillId="0" borderId="0" xfId="0" applyFont="1"/>
    <xf numFmtId="0" fontId="58" fillId="0" borderId="8" xfId="0" applyFont="1" applyBorder="1"/>
    <xf numFmtId="0" fontId="57" fillId="0" borderId="70" xfId="0" applyFont="1" applyBorder="1"/>
    <xf numFmtId="0" fontId="57" fillId="0" borderId="1" xfId="0" applyFont="1" applyBorder="1"/>
    <xf numFmtId="0" fontId="57" fillId="0" borderId="1" xfId="0" applyFont="1" applyBorder="1" applyAlignment="1">
      <alignment horizontal="right"/>
    </xf>
    <xf numFmtId="3" fontId="58" fillId="0" borderId="9" xfId="0" applyNumberFormat="1" applyFont="1" applyBorder="1"/>
    <xf numFmtId="168" fontId="64" fillId="0" borderId="0" xfId="14" applyNumberFormat="1" applyFont="1" applyBorder="1" applyAlignment="1">
      <alignment horizontal="left"/>
    </xf>
    <xf numFmtId="0" fontId="58" fillId="16" borderId="11" xfId="0" applyFont="1" applyFill="1" applyBorder="1"/>
    <xf numFmtId="0" fontId="57" fillId="16" borderId="12" xfId="0" applyFont="1" applyFill="1" applyBorder="1"/>
    <xf numFmtId="3" fontId="58" fillId="5" borderId="13" xfId="0" applyNumberFormat="1" applyFont="1" applyFill="1" applyBorder="1"/>
    <xf numFmtId="3" fontId="60" fillId="0" borderId="0" xfId="0" applyNumberFormat="1" applyFont="1"/>
    <xf numFmtId="3" fontId="57" fillId="0" borderId="63" xfId="0" applyNumberFormat="1" applyFont="1" applyBorder="1"/>
    <xf numFmtId="3" fontId="57" fillId="0" borderId="65" xfId="0" applyNumberFormat="1" applyFont="1" applyBorder="1"/>
    <xf numFmtId="0" fontId="60" fillId="0" borderId="64" xfId="15" applyFont="1" applyBorder="1"/>
    <xf numFmtId="3" fontId="60" fillId="0" borderId="71" xfId="0" applyNumberFormat="1" applyFont="1" applyBorder="1"/>
    <xf numFmtId="0" fontId="58" fillId="0" borderId="0" xfId="0" applyFont="1"/>
    <xf numFmtId="3" fontId="58" fillId="0" borderId="0" xfId="0" applyNumberFormat="1" applyFont="1"/>
    <xf numFmtId="0" fontId="65" fillId="0" borderId="0" xfId="15" applyFont="1"/>
    <xf numFmtId="0" fontId="66" fillId="0" borderId="0" xfId="0" applyFont="1"/>
    <xf numFmtId="0" fontId="65" fillId="0" borderId="0" xfId="0" applyFont="1"/>
    <xf numFmtId="0" fontId="57" fillId="0" borderId="4" xfId="0" applyFont="1" applyBorder="1"/>
    <xf numFmtId="0" fontId="57" fillId="0" borderId="10" xfId="0" applyFont="1" applyBorder="1"/>
    <xf numFmtId="3" fontId="57" fillId="0" borderId="10" xfId="0" applyNumberFormat="1" applyFont="1" applyBorder="1"/>
    <xf numFmtId="0" fontId="57" fillId="0" borderId="3" xfId="0" applyFont="1" applyBorder="1"/>
    <xf numFmtId="0" fontId="62" fillId="0" borderId="0" xfId="0" applyFont="1"/>
    <xf numFmtId="0" fontId="57" fillId="0" borderId="6" xfId="0" applyFont="1" applyBorder="1"/>
    <xf numFmtId="3" fontId="60" fillId="0" borderId="0" xfId="0" applyNumberFormat="1" applyFont="1" applyAlignment="1">
      <alignment horizontal="left"/>
    </xf>
    <xf numFmtId="3" fontId="60" fillId="0" borderId="0" xfId="0" applyNumberFormat="1" applyFont="1" applyAlignment="1">
      <alignment horizontal="right"/>
    </xf>
    <xf numFmtId="0" fontId="57" fillId="0" borderId="8" xfId="0" applyFont="1" applyBorder="1"/>
    <xf numFmtId="3" fontId="57" fillId="0" borderId="1" xfId="0" applyNumberFormat="1" applyFont="1" applyBorder="1"/>
    <xf numFmtId="0" fontId="57" fillId="0" borderId="9" xfId="0" applyFont="1" applyBorder="1"/>
    <xf numFmtId="0" fontId="58" fillId="0" borderId="4" xfId="0" applyFont="1" applyBorder="1"/>
    <xf numFmtId="3" fontId="58" fillId="0" borderId="10" xfId="0" applyNumberFormat="1" applyFont="1" applyBorder="1"/>
    <xf numFmtId="3" fontId="58" fillId="0" borderId="4" xfId="0" applyNumberFormat="1" applyFont="1" applyBorder="1"/>
    <xf numFmtId="0" fontId="43" fillId="0" borderId="0" xfId="15"/>
    <xf numFmtId="0" fontId="67" fillId="0" borderId="0" xfId="15" applyFont="1"/>
    <xf numFmtId="0" fontId="68" fillId="0" borderId="0" xfId="15" applyFont="1"/>
    <xf numFmtId="173" fontId="68" fillId="0" borderId="0" xfId="16" applyNumberFormat="1" applyFont="1"/>
    <xf numFmtId="168" fontId="68" fillId="0" borderId="0" xfId="15" applyNumberFormat="1" applyFont="1"/>
    <xf numFmtId="0" fontId="51" fillId="0" borderId="0" xfId="15" applyFont="1"/>
    <xf numFmtId="173" fontId="68" fillId="0" borderId="0" xfId="15" applyNumberFormat="1" applyFont="1"/>
    <xf numFmtId="173" fontId="69" fillId="0" borderId="0" xfId="16" applyNumberFormat="1" applyFont="1"/>
    <xf numFmtId="174" fontId="68" fillId="0" borderId="0" xfId="15" applyNumberFormat="1" applyFont="1"/>
    <xf numFmtId="0" fontId="68" fillId="3" borderId="0" xfId="15" applyFont="1" applyFill="1"/>
    <xf numFmtId="174" fontId="68" fillId="3" borderId="0" xfId="15" applyNumberFormat="1" applyFont="1" applyFill="1"/>
    <xf numFmtId="0" fontId="68" fillId="0" borderId="0" xfId="15" quotePrefix="1" applyFont="1"/>
    <xf numFmtId="175" fontId="43" fillId="0" borderId="0" xfId="15" applyNumberFormat="1"/>
    <xf numFmtId="0" fontId="52" fillId="3" borderId="0" xfId="15" applyFont="1" applyFill="1"/>
    <xf numFmtId="10" fontId="52" fillId="3" borderId="0" xfId="17" applyNumberFormat="1" applyFont="1" applyFill="1"/>
    <xf numFmtId="0" fontId="50" fillId="0" borderId="0" xfId="6" applyFont="1" applyAlignment="1">
      <alignment horizontal="center"/>
    </xf>
    <xf numFmtId="0" fontId="55" fillId="0" borderId="0" xfId="6" applyFont="1"/>
    <xf numFmtId="9" fontId="43" fillId="5" borderId="0" xfId="6" applyNumberFormat="1" applyFill="1" applyAlignment="1">
      <alignment horizontal="center"/>
    </xf>
    <xf numFmtId="0" fontId="2" fillId="0" borderId="2" xfId="6" applyFont="1" applyBorder="1"/>
    <xf numFmtId="173" fontId="1" fillId="0" borderId="7" xfId="7" applyNumberFormat="1" applyFont="1" applyBorder="1"/>
    <xf numFmtId="0" fontId="1" fillId="0" borderId="7" xfId="6" applyFont="1" applyBorder="1"/>
    <xf numFmtId="2" fontId="1" fillId="5" borderId="7" xfId="6" applyNumberFormat="1" applyFont="1" applyFill="1" applyBorder="1"/>
    <xf numFmtId="2" fontId="1" fillId="6" borderId="7" xfId="6" applyNumberFormat="1" applyFont="1" applyFill="1" applyBorder="1"/>
    <xf numFmtId="2" fontId="1" fillId="6" borderId="6" xfId="6" applyNumberFormat="1" applyFont="1" applyFill="1" applyBorder="1"/>
    <xf numFmtId="0" fontId="2" fillId="0" borderId="7" xfId="6" applyFont="1" applyBorder="1"/>
    <xf numFmtId="173" fontId="1" fillId="0" borderId="7" xfId="6" applyNumberFormat="1" applyFont="1" applyBorder="1"/>
    <xf numFmtId="173" fontId="1" fillId="0" borderId="6" xfId="6" applyNumberFormat="1" applyFont="1" applyBorder="1"/>
    <xf numFmtId="0" fontId="1" fillId="0" borderId="7" xfId="6" quotePrefix="1" applyFont="1" applyBorder="1"/>
    <xf numFmtId="172" fontId="0" fillId="0" borderId="0" xfId="7" applyFont="1"/>
    <xf numFmtId="176" fontId="50" fillId="0" borderId="0" xfId="6" applyNumberFormat="1" applyFont="1"/>
    <xf numFmtId="173" fontId="43" fillId="0" borderId="22" xfId="6" applyNumberFormat="1" applyBorder="1"/>
    <xf numFmtId="0" fontId="1" fillId="0" borderId="6" xfId="6" applyFont="1" applyBorder="1"/>
    <xf numFmtId="173" fontId="50" fillId="0" borderId="0" xfId="6" applyNumberFormat="1" applyFont="1"/>
    <xf numFmtId="10" fontId="1" fillId="5" borderId="7" xfId="6" applyNumberFormat="1" applyFont="1" applyFill="1" applyBorder="1"/>
    <xf numFmtId="10" fontId="1" fillId="5" borderId="6" xfId="6" applyNumberFormat="1" applyFont="1" applyFill="1" applyBorder="1"/>
    <xf numFmtId="10" fontId="1" fillId="0" borderId="7" xfId="6" applyNumberFormat="1" applyFont="1" applyBorder="1"/>
    <xf numFmtId="10" fontId="1" fillId="0" borderId="6" xfId="6" applyNumberFormat="1" applyFont="1" applyBorder="1"/>
    <xf numFmtId="0" fontId="1" fillId="5" borderId="7" xfId="6" applyFont="1" applyFill="1" applyBorder="1"/>
    <xf numFmtId="0" fontId="1" fillId="5" borderId="6" xfId="6" applyFont="1" applyFill="1" applyBorder="1"/>
    <xf numFmtId="10" fontId="43" fillId="0" borderId="0" xfId="6" applyNumberFormat="1"/>
    <xf numFmtId="0" fontId="1" fillId="0" borderId="2" xfId="6" applyFont="1" applyBorder="1"/>
    <xf numFmtId="173" fontId="1" fillId="0" borderId="2" xfId="7" applyNumberFormat="1" applyFont="1" applyBorder="1"/>
    <xf numFmtId="176" fontId="43" fillId="0" borderId="0" xfId="6" applyNumberFormat="1"/>
    <xf numFmtId="0" fontId="55" fillId="0" borderId="7" xfId="6" applyFont="1" applyBorder="1"/>
    <xf numFmtId="173" fontId="2" fillId="0" borderId="7" xfId="7" applyNumberFormat="1" applyFont="1" applyBorder="1"/>
    <xf numFmtId="177" fontId="52" fillId="0" borderId="0" xfId="7" applyNumberFormat="1" applyFont="1"/>
    <xf numFmtId="10" fontId="0" fillId="0" borderId="0" xfId="7" applyNumberFormat="1" applyFont="1"/>
    <xf numFmtId="0" fontId="55" fillId="0" borderId="14" xfId="6" applyFont="1" applyBorder="1"/>
    <xf numFmtId="173" fontId="55" fillId="0" borderId="14" xfId="7" applyNumberFormat="1" applyFont="1" applyBorder="1"/>
    <xf numFmtId="173" fontId="53" fillId="0" borderId="0" xfId="7" applyNumberFormat="1" applyFont="1" applyAlignment="1">
      <alignment horizontal="right"/>
    </xf>
    <xf numFmtId="173" fontId="53" fillId="0" borderId="5" xfId="7" applyNumberFormat="1" applyFont="1" applyBorder="1"/>
    <xf numFmtId="0" fontId="43" fillId="0" borderId="0" xfId="6" applyAlignment="1">
      <alignment horizontal="right"/>
    </xf>
    <xf numFmtId="0" fontId="60" fillId="16" borderId="0" xfId="0" applyFont="1" applyFill="1"/>
    <xf numFmtId="0" fontId="60" fillId="16" borderId="0" xfId="0" applyFont="1" applyFill="1" applyAlignment="1">
      <alignment horizontal="right"/>
    </xf>
    <xf numFmtId="0" fontId="70" fillId="0" borderId="0" xfId="0" applyFont="1"/>
    <xf numFmtId="0" fontId="3" fillId="6" borderId="0" xfId="1" applyFill="1"/>
    <xf numFmtId="0" fontId="71" fillId="0" borderId="0" xfId="15" applyFont="1"/>
    <xf numFmtId="0" fontId="43" fillId="0" borderId="61" xfId="15" applyBorder="1"/>
    <xf numFmtId="0" fontId="72" fillId="0" borderId="63" xfId="15" applyFont="1" applyBorder="1" applyAlignment="1">
      <alignment horizontal="right"/>
    </xf>
    <xf numFmtId="0" fontId="43" fillId="0" borderId="4" xfId="15" applyBorder="1"/>
    <xf numFmtId="0" fontId="43" fillId="0" borderId="10" xfId="15" applyBorder="1"/>
    <xf numFmtId="0" fontId="43" fillId="0" borderId="3" xfId="15" applyBorder="1"/>
    <xf numFmtId="0" fontId="51" fillId="0" borderId="64" xfId="15" applyFont="1" applyBorder="1"/>
    <xf numFmtId="173" fontId="72" fillId="0" borderId="65" xfId="16" applyNumberFormat="1" applyFont="1" applyBorder="1"/>
    <xf numFmtId="0" fontId="51" fillId="0" borderId="5" xfId="15" applyFont="1" applyBorder="1"/>
    <xf numFmtId="2" fontId="51" fillId="0" borderId="6" xfId="15" applyNumberFormat="1" applyFont="1" applyBorder="1"/>
    <xf numFmtId="173" fontId="72" fillId="0" borderId="65" xfId="15" applyNumberFormat="1" applyFont="1" applyBorder="1"/>
    <xf numFmtId="0" fontId="43" fillId="0" borderId="5" xfId="15" applyBorder="1"/>
    <xf numFmtId="0" fontId="43" fillId="0" borderId="6" xfId="15" applyBorder="1"/>
    <xf numFmtId="0" fontId="51" fillId="0" borderId="66" xfId="15" applyFont="1" applyBorder="1"/>
    <xf numFmtId="173" fontId="72" fillId="0" borderId="68" xfId="15" applyNumberFormat="1" applyFont="1" applyBorder="1"/>
    <xf numFmtId="0" fontId="43" fillId="0" borderId="8" xfId="15" applyBorder="1"/>
    <xf numFmtId="0" fontId="43" fillId="0" borderId="1" xfId="15" applyBorder="1"/>
    <xf numFmtId="0" fontId="43" fillId="0" borderId="9" xfId="15" applyBorder="1"/>
    <xf numFmtId="0" fontId="51" fillId="0" borderId="4" xfId="15" applyFont="1" applyBorder="1"/>
    <xf numFmtId="0" fontId="68" fillId="0" borderId="5" xfId="15" applyFont="1" applyBorder="1"/>
    <xf numFmtId="0" fontId="75" fillId="0" borderId="8" xfId="15" applyFont="1" applyBorder="1"/>
    <xf numFmtId="0" fontId="43" fillId="0" borderId="0" xfId="15" quotePrefix="1"/>
    <xf numFmtId="0" fontId="75" fillId="0" borderId="0" xfId="15" applyFont="1"/>
    <xf numFmtId="2" fontId="73" fillId="0" borderId="0" xfId="15" applyNumberFormat="1" applyFont="1"/>
    <xf numFmtId="0" fontId="76" fillId="0" borderId="0" xfId="15" applyFont="1"/>
    <xf numFmtId="0" fontId="73" fillId="0" borderId="0" xfId="15" applyFont="1"/>
    <xf numFmtId="2" fontId="73" fillId="0" borderId="0" xfId="2" applyNumberFormat="1" applyFont="1"/>
    <xf numFmtId="0" fontId="50" fillId="0" borderId="0" xfId="15" applyFont="1"/>
    <xf numFmtId="0" fontId="1" fillId="0" borderId="0" xfId="15" applyFont="1"/>
    <xf numFmtId="3" fontId="77" fillId="6" borderId="0" xfId="5" applyNumberFormat="1" applyFont="1" applyFill="1"/>
    <xf numFmtId="3" fontId="78" fillId="11" borderId="0" xfId="5" applyNumberFormat="1" applyFont="1" applyFill="1"/>
    <xf numFmtId="3" fontId="73" fillId="11" borderId="0" xfId="5" applyNumberFormat="1" applyFont="1" applyFill="1"/>
    <xf numFmtId="3" fontId="75" fillId="11" borderId="0" xfId="5" applyNumberFormat="1" applyFont="1" applyFill="1"/>
    <xf numFmtId="3" fontId="75" fillId="11" borderId="0" xfId="4" applyNumberFormat="1" applyFont="1" applyFill="1"/>
    <xf numFmtId="3" fontId="79" fillId="11" borderId="0" xfId="4" applyNumberFormat="1" applyFont="1" applyFill="1"/>
    <xf numFmtId="3" fontId="72" fillId="0" borderId="0" xfId="4" applyNumberFormat="1" applyFont="1"/>
    <xf numFmtId="3" fontId="80" fillId="11" borderId="0" xfId="4" applyNumberFormat="1" applyFont="1" applyFill="1"/>
    <xf numFmtId="3" fontId="38" fillId="11" borderId="53" xfId="4" applyNumberFormat="1" applyFont="1" applyFill="1" applyBorder="1"/>
    <xf numFmtId="3" fontId="36" fillId="11" borderId="54" xfId="4" applyNumberFormat="1" applyFont="1" applyFill="1" applyBorder="1"/>
    <xf numFmtId="3" fontId="36" fillId="11" borderId="57" xfId="4" applyNumberFormat="1" applyFont="1" applyFill="1" applyBorder="1"/>
    <xf numFmtId="3" fontId="38" fillId="0" borderId="0" xfId="5" applyNumberFormat="1" applyFont="1"/>
    <xf numFmtId="3" fontId="36" fillId="0" borderId="0" xfId="5" applyNumberFormat="1" applyFont="1"/>
    <xf numFmtId="3" fontId="38" fillId="0" borderId="0" xfId="4" applyNumberFormat="1" applyFont="1" applyAlignment="1">
      <alignment horizontal="center"/>
    </xf>
    <xf numFmtId="3" fontId="45" fillId="0" borderId="0" xfId="4" applyNumberFormat="1" applyFont="1"/>
    <xf numFmtId="165" fontId="38" fillId="0" borderId="0" xfId="4" applyNumberFormat="1" applyFont="1" applyAlignment="1">
      <alignment horizontal="center"/>
    </xf>
    <xf numFmtId="3" fontId="38" fillId="0" borderId="0" xfId="4" applyNumberFormat="1" applyFont="1"/>
    <xf numFmtId="3" fontId="46" fillId="0" borderId="0" xfId="5" applyNumberFormat="1" applyFont="1"/>
    <xf numFmtId="3" fontId="36" fillId="0" borderId="0" xfId="5" quotePrefix="1" applyNumberFormat="1" applyFont="1"/>
    <xf numFmtId="3" fontId="41" fillId="0" borderId="0" xfId="5" applyNumberFormat="1" applyFont="1"/>
    <xf numFmtId="3" fontId="41" fillId="0" borderId="0" xfId="4" applyNumberFormat="1" applyFont="1"/>
    <xf numFmtId="3" fontId="46" fillId="0" borderId="0" xfId="4" applyNumberFormat="1" applyFont="1"/>
    <xf numFmtId="3" fontId="48" fillId="0" borderId="0" xfId="4" applyNumberFormat="1" applyFont="1"/>
    <xf numFmtId="0" fontId="21" fillId="4" borderId="4" xfId="1" applyFont="1" applyFill="1" applyBorder="1" applyAlignment="1">
      <alignment horizontal="center" vertical="center" wrapText="1"/>
    </xf>
    <xf numFmtId="0" fontId="21" fillId="4" borderId="10" xfId="1" applyFont="1" applyFill="1" applyBorder="1" applyAlignment="1">
      <alignment horizontal="center" vertical="center" wrapText="1"/>
    </xf>
    <xf numFmtId="0" fontId="21" fillId="4" borderId="3" xfId="1" applyFont="1" applyFill="1" applyBorder="1" applyAlignment="1">
      <alignment horizontal="center" vertical="center" wrapText="1"/>
    </xf>
    <xf numFmtId="0" fontId="21" fillId="4" borderId="8" xfId="1" applyFont="1" applyFill="1" applyBorder="1" applyAlignment="1">
      <alignment horizontal="center" vertical="center" wrapText="1"/>
    </xf>
    <xf numFmtId="0" fontId="21" fillId="4" borderId="1" xfId="1" applyFont="1" applyFill="1" applyBorder="1" applyAlignment="1">
      <alignment horizontal="center" vertical="center" wrapText="1"/>
    </xf>
    <xf numFmtId="0" fontId="21" fillId="4" borderId="9" xfId="1" applyFont="1" applyFill="1" applyBorder="1" applyAlignment="1">
      <alignment horizontal="center" vertical="center" wrapText="1"/>
    </xf>
    <xf numFmtId="3" fontId="7" fillId="4" borderId="4" xfId="1" applyNumberFormat="1" applyFont="1" applyFill="1" applyBorder="1" applyAlignment="1">
      <alignment horizontal="center"/>
    </xf>
    <xf numFmtId="3" fontId="7" fillId="4" borderId="3" xfId="1" applyNumberFormat="1" applyFont="1" applyFill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9" fillId="4" borderId="5" xfId="1" applyNumberFormat="1" applyFont="1" applyFill="1" applyBorder="1" applyAlignment="1">
      <alignment horizontal="center" wrapText="1"/>
    </xf>
    <xf numFmtId="3" fontId="9" fillId="4" borderId="8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wrapText="1"/>
    </xf>
    <xf numFmtId="3" fontId="10" fillId="4" borderId="9" xfId="1" applyNumberFormat="1" applyFont="1" applyFill="1" applyBorder="1" applyAlignment="1">
      <alignment horizontal="center" wrapText="1"/>
    </xf>
    <xf numFmtId="3" fontId="38" fillId="6" borderId="0" xfId="4" applyNumberFormat="1" applyFont="1" applyFill="1" applyAlignment="1">
      <alignment horizontal="center"/>
    </xf>
    <xf numFmtId="165" fontId="38" fillId="6" borderId="0" xfId="5" applyNumberFormat="1" applyFont="1" applyFill="1" applyAlignment="1">
      <alignment horizontal="center"/>
    </xf>
    <xf numFmtId="3" fontId="38" fillId="6" borderId="0" xfId="5" applyNumberFormat="1" applyFont="1" applyFill="1" applyAlignment="1">
      <alignment horizontal="center"/>
    </xf>
    <xf numFmtId="0" fontId="2" fillId="7" borderId="2" xfId="6" applyFont="1" applyFill="1" applyBorder="1" applyAlignment="1">
      <alignment horizontal="center" vertical="center" wrapText="1"/>
    </xf>
    <xf numFmtId="0" fontId="2" fillId="7" borderId="14" xfId="6" applyFont="1" applyFill="1" applyBorder="1" applyAlignment="1">
      <alignment horizontal="center" vertical="center" wrapText="1"/>
    </xf>
    <xf numFmtId="3" fontId="54" fillId="7" borderId="4" xfId="6" applyNumberFormat="1" applyFont="1" applyFill="1" applyBorder="1" applyAlignment="1">
      <alignment horizontal="center" vertical="center" wrapText="1"/>
    </xf>
    <xf numFmtId="3" fontId="54" fillId="7" borderId="5" xfId="6" applyNumberFormat="1" applyFont="1" applyFill="1" applyBorder="1" applyAlignment="1">
      <alignment horizontal="center" vertical="center" wrapText="1"/>
    </xf>
    <xf numFmtId="0" fontId="54" fillId="7" borderId="0" xfId="6" applyFont="1" applyFill="1" applyAlignment="1">
      <alignment horizontal="center" vertical="center" wrapText="1"/>
    </xf>
    <xf numFmtId="3" fontId="54" fillId="7" borderId="0" xfId="6" applyNumberFormat="1" applyFont="1" applyFill="1" applyAlignment="1">
      <alignment horizontal="center" vertical="center" wrapText="1"/>
    </xf>
    <xf numFmtId="3" fontId="38" fillId="0" borderId="0" xfId="4" applyNumberFormat="1" applyFont="1" applyAlignment="1">
      <alignment horizontal="center"/>
    </xf>
    <xf numFmtId="165" fontId="38" fillId="0" borderId="0" xfId="5" applyNumberFormat="1" applyFont="1" applyAlignment="1">
      <alignment horizontal="center"/>
    </xf>
    <xf numFmtId="3" fontId="38" fillId="0" borderId="0" xfId="5" applyNumberFormat="1" applyFont="1" applyAlignment="1">
      <alignment horizontal="center"/>
    </xf>
    <xf numFmtId="0" fontId="29" fillId="0" borderId="0" xfId="1" applyFont="1" applyAlignment="1">
      <alignment horizontal="left" vertical="center" wrapText="1"/>
    </xf>
  </cellXfs>
  <cellStyles count="18">
    <cellStyle name="Komma 2" xfId="2" xr:uid="{92D7A1D0-9E6C-524D-9649-A35B913D0256}"/>
    <cellStyle name="Komma 2 2 2" xfId="11" xr:uid="{E0BC1543-9E65-664D-BFCD-7989D0B6C945}"/>
    <cellStyle name="Komma 3" xfId="16" xr:uid="{B420D655-871F-3E43-A478-778385343325}"/>
    <cellStyle name="Komma 4" xfId="7" xr:uid="{76499703-3E01-C24B-BFC0-EC88E7545C21}"/>
    <cellStyle name="Komma 4 2" xfId="10" xr:uid="{6F4E0898-BDF0-AF47-9E58-7D655BC7D937}"/>
    <cellStyle name="Normal" xfId="0" builtinId="0"/>
    <cellStyle name="Normal 2" xfId="1" xr:uid="{1D8863C2-049B-3948-A508-A704199325FF}"/>
    <cellStyle name="Normal 2 2" xfId="15" xr:uid="{1028A92E-A9E2-A145-9976-CC860258CB62}"/>
    <cellStyle name="Normal 3" xfId="4" xr:uid="{9122FE67-0602-A34E-8F89-5F1B6F4EE9C4}"/>
    <cellStyle name="Normal 3 2" xfId="5" xr:uid="{14311F8B-50D2-3440-8BE0-585E0A91FE26}"/>
    <cellStyle name="Normal 5" xfId="6" xr:uid="{9D8572FF-395F-5847-898D-3F6FE13A4831}"/>
    <cellStyle name="Normal 5 2" xfId="9" xr:uid="{40561C3E-484E-8441-9AA3-A447DFD7C4EF}"/>
    <cellStyle name="Percent" xfId="14" builtinId="5"/>
    <cellStyle name="Procent 2" xfId="3" xr:uid="{8CA005BF-273E-AB47-9169-01EFA4580203}"/>
    <cellStyle name="Procent 3" xfId="8" xr:uid="{FF779363-D08C-4D4E-A519-5694FBB42AF5}"/>
    <cellStyle name="Procent 3 2" xfId="12" xr:uid="{9D22BD69-00F3-E249-B3C7-18476FF9F827}"/>
    <cellStyle name="Procent 4" xfId="17" xr:uid="{1620969D-A220-9E45-9BF3-EFC710D70E03}"/>
    <cellStyle name="Procent 5" xfId="13" xr:uid="{BE67BAE5-5C20-3545-B5A4-B1B30A2BC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'Realkredit finansiering (2)'!$D$2</c:f>
              <c:strCache>
                <c:ptCount val="1"/>
              </c:strCache>
            </c:strRef>
          </c:tx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'Realkredit finansiering (2)'!$E$1:$H$1</c:f>
              <c:strCache>
                <c:ptCount val="4"/>
                <c:pt idx="0">
                  <c:v>Fastforrentet med afdrag</c:v>
                </c:pt>
                <c:pt idx="1">
                  <c:v>Rentetilpasning med afdrag F5</c:v>
                </c:pt>
                <c:pt idx="2">
                  <c:v>Fastforrentet uden afdrag</c:v>
                </c:pt>
                <c:pt idx="3">
                  <c:v>Rentetilpasning uden afdrag F1</c:v>
                </c:pt>
              </c:strCache>
            </c:strRef>
          </c:cat>
          <c:val>
            <c:numRef>
              <c:f>'Realkredit finansiering (2)'!$E$2:$H$2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7D1-3843-82F8-D8A07F1DF53B}"/>
            </c:ext>
          </c:extLst>
        </c:ser>
        <c:ser>
          <c:idx val="1"/>
          <c:order val="1"/>
          <c:tx>
            <c:strRef>
              <c:f>'Realkredit finansiering (2)'!$D$27</c:f>
              <c:strCache>
                <c:ptCount val="1"/>
                <c:pt idx="0">
                  <c:v>Bruttoydelse pr. måned (gnsn)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'Realkredit finansiering (2)'!$E$1:$H$1</c:f>
              <c:strCache>
                <c:ptCount val="4"/>
                <c:pt idx="0">
                  <c:v>Fastforrentet med afdrag</c:v>
                </c:pt>
                <c:pt idx="1">
                  <c:v>Rentetilpasning med afdrag F5</c:v>
                </c:pt>
                <c:pt idx="2">
                  <c:v>Fastforrentet uden afdrag</c:v>
                </c:pt>
                <c:pt idx="3">
                  <c:v>Rentetilpasning uden afdrag F1</c:v>
                </c:pt>
              </c:strCache>
            </c:strRef>
          </c:cat>
          <c:val>
            <c:numRef>
              <c:f>'Realkredit finansiering (2)'!$E$27:$H$27</c:f>
              <c:numCache>
                <c:formatCode>_ * #,##0_ ;_ * \-#,##0_ ;_ * "-"??_ ;_ @_ </c:formatCode>
                <c:ptCount val="4"/>
                <c:pt idx="0">
                  <c:v>27283.147458773663</c:v>
                </c:pt>
                <c:pt idx="1">
                  <c:v>23661.651625935101</c:v>
                </c:pt>
                <c:pt idx="2">
                  <c:v>21228.998939236491</c:v>
                </c:pt>
                <c:pt idx="3">
                  <c:v>22455.185643845263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D1-3843-82F8-D8A07F1DF53B}"/>
            </c:ext>
          </c:extLst>
        </c:ser>
        <c:ser>
          <c:idx val="2"/>
          <c:order val="2"/>
          <c:tx>
            <c:strRef>
              <c:f>'Realkredit finansiering (2)'!$D$28</c:f>
              <c:strCache>
                <c:ptCount val="1"/>
                <c:pt idx="0">
                  <c:v>Nettoydelse pr. måned (gnsn)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'Realkredit finansiering (2)'!$E$1:$H$1</c:f>
              <c:strCache>
                <c:ptCount val="4"/>
                <c:pt idx="0">
                  <c:v>Fastforrentet med afdrag</c:v>
                </c:pt>
                <c:pt idx="1">
                  <c:v>Rentetilpasning med afdrag F5</c:v>
                </c:pt>
                <c:pt idx="2">
                  <c:v>Fastforrentet uden afdrag</c:v>
                </c:pt>
                <c:pt idx="3">
                  <c:v>Rentetilpasning uden afdrag F1</c:v>
                </c:pt>
              </c:strCache>
            </c:strRef>
          </c:cat>
          <c:val>
            <c:numRef>
              <c:f>'Realkredit finansiering (2)'!$E$28:$H$28</c:f>
              <c:numCache>
                <c:formatCode>_ * #,##0_ ;_ * \-#,##0_ ;_ * "-"??_ ;_ @_ </c:formatCode>
                <c:ptCount val="4"/>
                <c:pt idx="0">
                  <c:v>20690.874136315953</c:v>
                </c:pt>
                <c:pt idx="1">
                  <c:v>18885.432771638512</c:v>
                </c:pt>
                <c:pt idx="2">
                  <c:v>14152.665959490994</c:v>
                </c:pt>
                <c:pt idx="3">
                  <c:v>14970.123762563509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D1-3843-82F8-D8A07F1DF5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58534400"/>
        <c:axId val="191593792"/>
      </c:barChart>
      <c:catAx>
        <c:axId val="258534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1593792"/>
        <c:crosses val="autoZero"/>
        <c:auto val="1"/>
        <c:lblAlgn val="ctr"/>
        <c:lblOffset val="100"/>
        <c:noMultiLvlLbl val="0"/>
      </c:catAx>
      <c:valAx>
        <c:axId val="19159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58534400"/>
        <c:crossesAt val="1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25759684134311"/>
          <c:y val="0.20120099296561914"/>
          <c:w val="0.82239237811808952"/>
          <c:h val="0.4798437112167315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numFmt formatCode="_ * #,##0_ ;_ * \-#,##0_ ;_ * &quot;-&quot;??_ ;_ @_ 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'Rådighedsbeløb og gældsfaktor'!$D$4:$D$8</c:f>
              <c:strCache>
                <c:ptCount val="5"/>
                <c:pt idx="0">
                  <c:v>Rådighedsbeløb før køb af hus</c:v>
                </c:pt>
                <c:pt idx="1">
                  <c:v>Rådighedsbeløb fastforrrentet  MED afdrag</c:v>
                </c:pt>
                <c:pt idx="2">
                  <c:v>Rådighedsbeløb F5 MED afdrag</c:v>
                </c:pt>
                <c:pt idx="3">
                  <c:v>Rådighedsbeløb fastforrentet UDEN afdrag</c:v>
                </c:pt>
                <c:pt idx="4">
                  <c:v>Rådighedsbeløb F1 UDEN afdrag</c:v>
                </c:pt>
              </c:strCache>
            </c:strRef>
          </c:cat>
          <c:val>
            <c:numRef>
              <c:f>'Rådighedsbeløb og gældsfaktor'!$E$4:$E$8</c:f>
              <c:numCache>
                <c:formatCode>_ * #,##0_ ;_ * \-#,##0_ ;_ * "-"??_ ;_ @_ </c:formatCode>
                <c:ptCount val="5"/>
                <c:pt idx="0">
                  <c:v>38866.410600000025</c:v>
                </c:pt>
                <c:pt idx="1">
                  <c:v>32981.869797017403</c:v>
                </c:pt>
                <c:pt idx="2">
                  <c:v>34787.311161694844</c:v>
                </c:pt>
                <c:pt idx="3">
                  <c:v>39520.077973842366</c:v>
                </c:pt>
                <c:pt idx="4">
                  <c:v>38702.620170769849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3-644F-88A0-018D97B94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1039488"/>
        <c:axId val="265803968"/>
      </c:barChart>
      <c:catAx>
        <c:axId val="311039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19050"/>
        </c:spPr>
        <c:txPr>
          <a:bodyPr rot="0" vert="horz" anchor="t" anchorCtr="0"/>
          <a:lstStyle/>
          <a:p>
            <a:pPr>
              <a:defRPr sz="1200" b="1">
                <a:ln>
                  <a:noFill/>
                </a:ln>
                <a:solidFill>
                  <a:schemeClr val="tx1"/>
                </a:solidFill>
              </a:defRPr>
            </a:pPr>
            <a:endParaRPr lang="da-DK"/>
          </a:p>
        </c:txPr>
        <c:crossAx val="265803968"/>
        <c:crosses val="autoZero"/>
        <c:auto val="1"/>
        <c:lblAlgn val="ctr"/>
        <c:lblOffset val="100"/>
        <c:tickLblSkip val="1"/>
        <c:noMultiLvlLbl val="0"/>
      </c:catAx>
      <c:valAx>
        <c:axId val="265803968"/>
        <c:scaling>
          <c:orientation val="minMax"/>
        </c:scaling>
        <c:delete val="0"/>
        <c:axPos val="l"/>
        <c:majorGridlines/>
        <c:numFmt formatCode="_ * #,##0_ ;_ * \-#,##0_ ;_ * &quot;-&quot;??_ ;_ @_ 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da-DK"/>
          </a:p>
        </c:txPr>
        <c:crossAx val="311039488"/>
        <c:crosses val="autoZero"/>
        <c:crossBetween val="between"/>
      </c:valAx>
    </c:plotArea>
    <c:plotVisOnly val="1"/>
    <c:dispBlanksAs val="gap"/>
    <c:showDLblsOverMax val="0"/>
  </c:chart>
  <c:spPr>
    <a:ln w="25400"/>
    <a:effectLst>
      <a:glow rad="50800">
        <a:schemeClr val="tx1">
          <a:alpha val="40000"/>
        </a:schemeClr>
      </a:glow>
    </a:effectLst>
  </c:spPr>
  <c:printSettings>
    <c:headerFooter/>
    <c:pageMargins b="0.75" l="0.7" r="0.7" t="0.75" header="0.3" footer="0.3"/>
    <c:pageSetup/>
  </c:printSettings>
  <c:userShapes r:id="rId1"/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1917700</xdr:colOff>
      <xdr:row>34</xdr:row>
      <xdr:rowOff>127000</xdr:rowOff>
    </xdr:from>
    <xdr:to>
      <xdr:col>4</xdr:col>
      <xdr:colOff>749300</xdr:colOff>
      <xdr:row>36</xdr:row>
      <xdr:rowOff>152400</xdr:rowOff>
    </xdr:to>
    <xdr:cxnSp macro="">
      <xdr:nvCxnSpPr>
        <xdr:cNvPr id="2" name="Lige pilforbindelse 1">
          <a:extLst>
            <a:ext uri="{FF2B5EF4-FFF2-40B4-BE49-F238E27FC236}">
              <a16:creationId xmlns:a16="http://schemas.microsoft.com/office/drawing/2014/main" id="{A3B785EA-DBE5-3340-BC86-FC2629845021}"/>
            </a:ext>
          </a:extLst>
        </xdr:cNvPr>
        <xdr:cNvCxnSpPr/>
      </xdr:nvCxnSpPr>
      <xdr:spPr>
        <a:xfrm flipH="1">
          <a:off x="3289300" y="8051800"/>
          <a:ext cx="1752600" cy="48260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34</xdr:row>
      <xdr:rowOff>127000</xdr:rowOff>
    </xdr:from>
    <xdr:to>
      <xdr:col>8</xdr:col>
      <xdr:colOff>520700</xdr:colOff>
      <xdr:row>36</xdr:row>
      <xdr:rowOff>114300</xdr:rowOff>
    </xdr:to>
    <xdr:cxnSp macro="">
      <xdr:nvCxnSpPr>
        <xdr:cNvPr id="3" name="Lige pilforbindelse 2">
          <a:extLst>
            <a:ext uri="{FF2B5EF4-FFF2-40B4-BE49-F238E27FC236}">
              <a16:creationId xmlns:a16="http://schemas.microsoft.com/office/drawing/2014/main" id="{70E71883-528E-284F-AD18-B70BE062D83E}"/>
            </a:ext>
          </a:extLst>
        </xdr:cNvPr>
        <xdr:cNvCxnSpPr/>
      </xdr:nvCxnSpPr>
      <xdr:spPr>
        <a:xfrm>
          <a:off x="6959600" y="8051800"/>
          <a:ext cx="2324100" cy="44450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</xdr:colOff>
      <xdr:row>40</xdr:row>
      <xdr:rowOff>63500</xdr:rowOff>
    </xdr:from>
    <xdr:to>
      <xdr:col>3</xdr:col>
      <xdr:colOff>127000</xdr:colOff>
      <xdr:row>42</xdr:row>
      <xdr:rowOff>190500</xdr:rowOff>
    </xdr:to>
    <xdr:cxnSp macro="">
      <xdr:nvCxnSpPr>
        <xdr:cNvPr id="4" name="Lige pilforbindelse 3">
          <a:extLst>
            <a:ext uri="{FF2B5EF4-FFF2-40B4-BE49-F238E27FC236}">
              <a16:creationId xmlns:a16="http://schemas.microsoft.com/office/drawing/2014/main" id="{9549F636-2B5A-6349-8677-9D01884F9CE9}"/>
            </a:ext>
          </a:extLst>
        </xdr:cNvPr>
        <xdr:cNvCxnSpPr/>
      </xdr:nvCxnSpPr>
      <xdr:spPr>
        <a:xfrm>
          <a:off x="3632200" y="9385300"/>
          <a:ext cx="0" cy="584200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86311</xdr:colOff>
      <xdr:row>40</xdr:row>
      <xdr:rowOff>88900</xdr:rowOff>
    </xdr:from>
    <xdr:to>
      <xdr:col>8</xdr:col>
      <xdr:colOff>546100</xdr:colOff>
      <xdr:row>43</xdr:row>
      <xdr:rowOff>209611</xdr:rowOff>
    </xdr:to>
    <xdr:cxnSp macro="">
      <xdr:nvCxnSpPr>
        <xdr:cNvPr id="5" name="Lige pilforbindelse 4">
          <a:extLst>
            <a:ext uri="{FF2B5EF4-FFF2-40B4-BE49-F238E27FC236}">
              <a16:creationId xmlns:a16="http://schemas.microsoft.com/office/drawing/2014/main" id="{0747AB95-F795-A042-8014-4FC1C49E38BF}"/>
            </a:ext>
          </a:extLst>
        </xdr:cNvPr>
        <xdr:cNvCxnSpPr/>
      </xdr:nvCxnSpPr>
      <xdr:spPr>
        <a:xfrm flipV="1">
          <a:off x="7477711" y="9410700"/>
          <a:ext cx="1831389" cy="819211"/>
        </a:xfrm>
        <a:prstGeom prst="straightConnector1">
          <a:avLst/>
        </a:prstGeom>
        <a:ln w="412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10</xdr:row>
      <xdr:rowOff>4762</xdr:rowOff>
    </xdr:from>
    <xdr:to>
      <xdr:col>2</xdr:col>
      <xdr:colOff>2757488</xdr:colOff>
      <xdr:row>32</xdr:row>
      <xdr:rowOff>104775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F2E6A19-74E3-634F-B0CC-5229029B2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45720</xdr:rowOff>
    </xdr:from>
    <xdr:to>
      <xdr:col>5</xdr:col>
      <xdr:colOff>10160</xdr:colOff>
      <xdr:row>32</xdr:row>
      <xdr:rowOff>10159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9F75946-93F8-124F-8750-EA17F3AEA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14598</xdr:colOff>
      <xdr:row>34</xdr:row>
      <xdr:rowOff>28582</xdr:rowOff>
    </xdr:from>
    <xdr:to>
      <xdr:col>5</xdr:col>
      <xdr:colOff>25300</xdr:colOff>
      <xdr:row>47</xdr:row>
      <xdr:rowOff>3796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222433E6-053B-C04D-9F7B-A210A93FCD96}"/>
            </a:ext>
            <a:ext uri="{147F2762-F138-4A5C-976F-8EAC2B608ADB}">
              <a16:predDERef xmlns:a16="http://schemas.microsoft.com/office/drawing/2014/main" pre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798" y="7673982"/>
          <a:ext cx="7071902" cy="2502514"/>
        </a:xfrm>
        <a:prstGeom prst="rect">
          <a:avLst/>
        </a:prstGeom>
        <a:effectLst>
          <a:glow rad="50800">
            <a:schemeClr val="tx1"/>
          </a:glow>
        </a:effectLst>
      </xdr:spPr>
    </xdr:pic>
    <xdr:clientData/>
  </xdr:twoCellAnchor>
  <xdr:twoCellAnchor editAs="oneCell">
    <xdr:from>
      <xdr:col>6</xdr:col>
      <xdr:colOff>1277</xdr:colOff>
      <xdr:row>20</xdr:row>
      <xdr:rowOff>1</xdr:rowOff>
    </xdr:from>
    <xdr:to>
      <xdr:col>14</xdr:col>
      <xdr:colOff>1207107</xdr:colOff>
      <xdr:row>46</xdr:row>
      <xdr:rowOff>184746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7E41D754-FC23-9E45-B477-D9FDEB7458BF}"/>
            </a:ext>
            <a:ext uri="{147F2762-F138-4A5C-976F-8EAC2B608ADB}">
              <a16:predDERef xmlns:a16="http://schemas.microsoft.com/office/drawing/2014/main" pred="{2A64D700-833C-C74A-96C8-721061338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2177" y="4876801"/>
          <a:ext cx="6793830" cy="5290145"/>
        </a:xfrm>
        <a:prstGeom prst="rect">
          <a:avLst/>
        </a:prstGeom>
        <a:effectLst>
          <a:glow rad="50800">
            <a:schemeClr val="tx1"/>
          </a:glow>
        </a:effectLst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0.10744</cdr:y>
    </cdr:from>
    <cdr:to>
      <cdr:x>0.18898</cdr:x>
      <cdr:y>0.41963</cdr:y>
    </cdr:to>
    <cdr:sp macro="" textlink="">
      <cdr:nvSpPr>
        <cdr:cNvPr id="2" name="Tekstboks 1">
          <a:extLst xmlns:a="http://schemas.openxmlformats.org/drawingml/2006/main">
            <a:ext uri="{FF2B5EF4-FFF2-40B4-BE49-F238E27FC236}">
              <a16:creationId xmlns:a16="http://schemas.microsoft.com/office/drawing/2014/main" id="{E95D9289-6E8A-48D0-B0A3-FF442A1BA336}"/>
            </a:ext>
          </a:extLst>
        </cdr:cNvPr>
        <cdr:cNvSpPr txBox="1"/>
      </cdr:nvSpPr>
      <cdr:spPr>
        <a:xfrm xmlns:a="http://schemas.openxmlformats.org/drawingml/2006/main">
          <a:off x="0" y="471042"/>
          <a:ext cx="1336345" cy="136865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400" b="1">
              <a:solidFill>
                <a:sysClr val="windowText" lastClr="000000"/>
              </a:solidFill>
            </a:rPr>
            <a:t>kr</a:t>
          </a:r>
          <a:r>
            <a:rPr lang="da-DK" sz="1400">
              <a:solidFill>
                <a:sysClr val="windowText" lastClr="000000"/>
              </a:solidFill>
            </a:rPr>
            <a:t>.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7E6C-FE72-6F49-A23F-32C7AF0B7C54}">
  <sheetPr>
    <pageSetUpPr fitToPage="1"/>
  </sheetPr>
  <dimension ref="A1:AN393"/>
  <sheetViews>
    <sheetView tabSelected="1" zoomScaleNormal="100" workbookViewId="0">
      <selection activeCell="D11" sqref="D11"/>
    </sheetView>
  </sheetViews>
  <sheetFormatPr baseColWidth="10" defaultColWidth="8.83203125" defaultRowHeight="13"/>
  <cols>
    <col min="1" max="1" width="1.6640625" style="1" customWidth="1"/>
    <col min="2" max="2" width="51.83203125" style="4" customWidth="1"/>
    <col min="3" max="3" width="14" style="4" customWidth="1"/>
    <col min="4" max="4" width="14.5" style="3" customWidth="1"/>
    <col min="5" max="5" width="6.83203125" style="3" customWidth="1"/>
    <col min="6" max="6" width="37.5" style="3" customWidth="1"/>
    <col min="7" max="7" width="9.5" style="3" customWidth="1"/>
    <col min="8" max="8" width="12.1640625" style="3" customWidth="1"/>
    <col min="9" max="9" width="12.5" style="4" customWidth="1"/>
    <col min="10" max="10" width="13.5" style="4" customWidth="1"/>
    <col min="11" max="11" width="11.83203125" style="4" customWidth="1"/>
    <col min="12" max="12" width="14.5" style="4" customWidth="1"/>
    <col min="13" max="25" width="13.5" style="4" customWidth="1"/>
    <col min="26" max="27" width="11" style="4" customWidth="1"/>
    <col min="28" max="28" width="14.1640625" style="4" customWidth="1"/>
    <col min="29" max="40" width="11" style="4" customWidth="1"/>
    <col min="41" max="16384" width="8.83203125" style="4"/>
  </cols>
  <sheetData>
    <row r="1" spans="1:32" ht="19" thickBot="1">
      <c r="B1" s="2" t="s">
        <v>0</v>
      </c>
      <c r="C1" s="534" t="s">
        <v>1</v>
      </c>
      <c r="D1" s="534"/>
      <c r="F1" s="4"/>
      <c r="G1" s="4"/>
      <c r="H1" s="4"/>
    </row>
    <row r="2" spans="1:32" ht="14" thickBot="1">
      <c r="B2" s="5" t="s">
        <v>2</v>
      </c>
      <c r="C2" s="6" t="s">
        <v>3</v>
      </c>
      <c r="D2" s="7" t="s">
        <v>4</v>
      </c>
      <c r="F2" s="8"/>
      <c r="I2" s="532" t="str">
        <f>C2</f>
        <v>Alicia</v>
      </c>
      <c r="J2" s="533"/>
      <c r="K2" s="532" t="str">
        <f>D2</f>
        <v>Jacob</v>
      </c>
      <c r="L2" s="533"/>
    </row>
    <row r="3" spans="1:32">
      <c r="B3" s="9" t="s">
        <v>5</v>
      </c>
      <c r="C3" s="10">
        <v>0</v>
      </c>
      <c r="D3" s="11">
        <v>0</v>
      </c>
      <c r="F3" s="12"/>
      <c r="G3" s="13"/>
      <c r="H3" s="14"/>
      <c r="I3" s="535" t="s">
        <v>6</v>
      </c>
      <c r="J3" s="537" t="s">
        <v>7</v>
      </c>
      <c r="K3" s="535" t="s">
        <v>6</v>
      </c>
      <c r="L3" s="537" t="s">
        <v>7</v>
      </c>
    </row>
    <row r="4" spans="1:32" ht="14" thickBot="1">
      <c r="B4" s="15" t="s">
        <v>8</v>
      </c>
      <c r="C4" s="16">
        <v>0</v>
      </c>
      <c r="D4" s="17">
        <v>0</v>
      </c>
      <c r="F4" s="18" t="s">
        <v>9</v>
      </c>
      <c r="G4" s="19" t="s">
        <v>10</v>
      </c>
      <c r="H4" s="20" t="s">
        <v>11</v>
      </c>
      <c r="I4" s="536"/>
      <c r="J4" s="538"/>
      <c r="K4" s="536"/>
      <c r="L4" s="538"/>
    </row>
    <row r="5" spans="1:32">
      <c r="B5" s="15" t="s">
        <v>12</v>
      </c>
      <c r="C5" s="16">
        <v>42</v>
      </c>
      <c r="D5" s="16">
        <v>42</v>
      </c>
      <c r="F5" s="9" t="s">
        <v>13</v>
      </c>
      <c r="G5" s="21">
        <f>Bundskat</f>
        <v>0.1201</v>
      </c>
      <c r="H5" s="22">
        <f>Personfradrag</f>
        <v>51600</v>
      </c>
      <c r="I5" s="23">
        <f>IF($AC$28=1,($C$31+$AC$29),$C$77)-($H$5+$AB$41)</f>
        <v>622668</v>
      </c>
      <c r="J5" s="24">
        <f>+IF(I5&gt;0,G5*I5,0)</f>
        <v>74782.426800000001</v>
      </c>
      <c r="K5" s="25">
        <f>IF(AC28=1,(D31+AD29),$D$77)-H5</f>
        <v>454860</v>
      </c>
      <c r="L5" s="26">
        <f>+IF(K5&gt;0,K5*G5,0)</f>
        <v>54628.686000000002</v>
      </c>
    </row>
    <row r="6" spans="1:32">
      <c r="B6" s="15" t="s">
        <v>14</v>
      </c>
      <c r="C6" s="27" t="s">
        <v>15</v>
      </c>
      <c r="D6" s="28" t="s">
        <v>15</v>
      </c>
      <c r="F6" s="15" t="s">
        <v>16</v>
      </c>
      <c r="G6" s="29">
        <f>Topskat</f>
        <v>0.15</v>
      </c>
      <c r="H6" s="30">
        <f>TopSkatGranse</f>
        <v>611800</v>
      </c>
      <c r="I6" s="25">
        <f>MAX((C78-$H$6),0)</f>
        <v>62468</v>
      </c>
      <c r="J6" s="31">
        <f>G6*I6</f>
        <v>9370.1999999999989</v>
      </c>
      <c r="K6" s="25">
        <f>MAX((D77-$H$6),0)</f>
        <v>0</v>
      </c>
      <c r="L6" s="31">
        <f>G6*K6</f>
        <v>0</v>
      </c>
    </row>
    <row r="7" spans="1:32">
      <c r="B7" s="15" t="s">
        <v>17</v>
      </c>
      <c r="C7" s="16">
        <v>3600</v>
      </c>
      <c r="D7" s="17">
        <v>3600</v>
      </c>
      <c r="F7" s="15" t="s">
        <v>18</v>
      </c>
      <c r="G7" s="29">
        <f>Sundhedsbidrag</f>
        <v>0</v>
      </c>
      <c r="H7" s="30">
        <f>Personfradrag</f>
        <v>51600</v>
      </c>
      <c r="I7" s="25">
        <f>($C$45+AB29)-(H7+AB43)</f>
        <v>544512</v>
      </c>
      <c r="J7" s="31">
        <f>+IF(I7&gt;0,I7*G7,0)</f>
        <v>0</v>
      </c>
      <c r="K7" s="25">
        <f>($D$45-AB29)-H7</f>
        <v>376704</v>
      </c>
      <c r="L7" s="31">
        <f>+IF(K7&gt;0,G7*K7,0)</f>
        <v>0</v>
      </c>
    </row>
    <row r="8" spans="1:32">
      <c r="B8" s="15" t="s">
        <v>19</v>
      </c>
      <c r="C8" s="16">
        <v>6000</v>
      </c>
      <c r="D8" s="17">
        <v>6000</v>
      </c>
      <c r="F8" s="15" t="s">
        <v>20</v>
      </c>
      <c r="G8" s="29">
        <f>C13</f>
        <v>0.23499999999999999</v>
      </c>
      <c r="H8" s="30">
        <f>Personfradrag</f>
        <v>51600</v>
      </c>
      <c r="I8" s="25">
        <f>($C$45+AB29)-(H8+AB44)</f>
        <v>544512</v>
      </c>
      <c r="J8" s="31">
        <f>+IF(I8&gt;0,$C$13*I8,0)</f>
        <v>127960.31999999999</v>
      </c>
      <c r="K8" s="25">
        <f>($D$45-AB29)-H8</f>
        <v>376704</v>
      </c>
      <c r="L8" s="31">
        <f>+IF(K8&gt;0,$D$13*K8,0)</f>
        <v>88525.439999999988</v>
      </c>
    </row>
    <row r="9" spans="1:32" ht="14" thickBot="1">
      <c r="B9" s="32" t="s">
        <v>21</v>
      </c>
      <c r="C9" s="33">
        <v>19.8</v>
      </c>
      <c r="D9" s="34">
        <v>12</v>
      </c>
      <c r="F9" s="15" t="s">
        <v>22</v>
      </c>
      <c r="G9" s="29">
        <f>C14</f>
        <v>0</v>
      </c>
      <c r="H9" s="30">
        <f>Personfradrag</f>
        <v>51600</v>
      </c>
      <c r="I9" s="25">
        <f>($C$45+AB29)-(H9+AB45)</f>
        <v>544512</v>
      </c>
      <c r="J9" s="31">
        <f>+IF(I9&gt;0,$C$14*I9,0)</f>
        <v>0</v>
      </c>
      <c r="K9" s="25">
        <f>($D$45-AB29)-H9</f>
        <v>376704</v>
      </c>
      <c r="L9" s="31">
        <f>+IF(K9&gt;0,$D$14*K9,0)</f>
        <v>0</v>
      </c>
    </row>
    <row r="10" spans="1:32" ht="14" thickBot="1">
      <c r="B10" s="15" t="s">
        <v>23</v>
      </c>
      <c r="C10" s="16">
        <v>200</v>
      </c>
      <c r="D10" s="17">
        <v>200</v>
      </c>
      <c r="F10" s="35"/>
      <c r="G10" s="36"/>
      <c r="H10" s="37"/>
      <c r="I10" s="38"/>
      <c r="J10" s="39">
        <f>SUM(J5:J9)</f>
        <v>212112.94679999998</v>
      </c>
      <c r="K10" s="37"/>
      <c r="L10" s="39">
        <f>SUM(L5:L9)</f>
        <v>143154.12599999999</v>
      </c>
    </row>
    <row r="11" spans="1:32">
      <c r="B11" s="15" t="s">
        <v>24</v>
      </c>
      <c r="C11" s="27" t="s">
        <v>25</v>
      </c>
      <c r="D11" s="28" t="s">
        <v>25</v>
      </c>
      <c r="F11" s="25"/>
      <c r="I11" s="40"/>
      <c r="J11" s="41"/>
      <c r="K11" s="42"/>
      <c r="L11" s="43"/>
    </row>
    <row r="12" spans="1:32" ht="14" thickBot="1">
      <c r="B12" s="44" t="s">
        <v>26</v>
      </c>
      <c r="C12" s="27" t="s">
        <v>27</v>
      </c>
      <c r="D12" s="28" t="str">
        <f>C12</f>
        <v>København</v>
      </c>
      <c r="F12" s="45" t="s">
        <v>28</v>
      </c>
      <c r="G12" s="29"/>
      <c r="I12" s="25"/>
      <c r="J12" s="46">
        <f>IF(AA29&gt;=0,0,IF(AA29&gt;=GranseNegKIPar,TillagNegKI*AA29,TillagNegKI*GranseNegKIPar))</f>
        <v>0</v>
      </c>
      <c r="K12" s="3"/>
      <c r="L12" s="26"/>
    </row>
    <row r="13" spans="1:32">
      <c r="B13" s="15" t="s">
        <v>29</v>
      </c>
      <c r="C13" s="47">
        <f>VLOOKUP($C$12,Skattesatser!$B$6:$E$103,2)/100</f>
        <v>0.23499999999999999</v>
      </c>
      <c r="D13" s="47">
        <f>VLOOKUP($D$12,Skattesatser!$B$6:$E$103,2)/100</f>
        <v>0.23499999999999999</v>
      </c>
      <c r="F13" s="48" t="s">
        <v>30</v>
      </c>
      <c r="G13" s="4"/>
      <c r="I13" s="49">
        <f>IF($C$81&gt;SkraatSkatteloftPI,$C$81-SkraatSkatteloftPI,0)</f>
        <v>0</v>
      </c>
      <c r="J13" s="46">
        <f>-I13*C83</f>
        <v>0</v>
      </c>
      <c r="K13" s="50">
        <f>IF($D$81&gt;SkraatSkatteloftPI,$D$81-SkraatSkatteloftPI,0)</f>
        <v>0</v>
      </c>
      <c r="L13" s="46">
        <f>-K13*D83</f>
        <v>0</v>
      </c>
    </row>
    <row r="14" spans="1:32" s="53" customFormat="1">
      <c r="A14" s="51"/>
      <c r="B14" s="15" t="s">
        <v>31</v>
      </c>
      <c r="C14" s="52">
        <f>IF(C11="ja",VLOOKUP($C$12,Skattesatser!$B$6:$E$103,3)/100,0)</f>
        <v>0</v>
      </c>
      <c r="D14" s="52">
        <f>IF(D11="ja",VLOOKUP($C$12,Skattesatser!$B$6:$E$103,3)/100,0)</f>
        <v>0</v>
      </c>
      <c r="F14" s="48" t="s">
        <v>32</v>
      </c>
      <c r="G14" s="4"/>
      <c r="H14" s="3"/>
      <c r="I14" s="49">
        <f>IF($C$81&gt;SkraatSkatteloftKI,$C$81-SkraatSkatteloftKI,0)</f>
        <v>8.5100000000000009E-2</v>
      </c>
      <c r="J14" s="46">
        <f>-I14*C84</f>
        <v>0</v>
      </c>
      <c r="K14" s="3"/>
      <c r="L14" s="26"/>
    </row>
    <row r="15" spans="1:32" s="53" customFormat="1" ht="14" thickBot="1">
      <c r="A15" s="51"/>
      <c r="B15" s="15" t="s">
        <v>33</v>
      </c>
      <c r="C15" s="54">
        <f>VLOOKUP($C$12,Skattesatser!$B$6:$E$103,4)/1000</f>
        <v>5.0999999999999995E-3</v>
      </c>
      <c r="D15" s="55"/>
      <c r="F15" s="48"/>
      <c r="G15" s="4"/>
      <c r="H15" s="3"/>
      <c r="I15" s="56"/>
      <c r="J15" s="31">
        <f>SUM(J10:J14)</f>
        <v>212112.94679999998</v>
      </c>
      <c r="K15" s="3"/>
      <c r="L15" s="31">
        <f>SUM(L10:L14)</f>
        <v>143154.12599999999</v>
      </c>
    </row>
    <row r="16" spans="1:32" s="53" customFormat="1" ht="14" thickBot="1">
      <c r="A16" s="51"/>
      <c r="B16" s="57" t="s">
        <v>34</v>
      </c>
      <c r="C16" s="16">
        <v>0</v>
      </c>
      <c r="D16" s="58"/>
      <c r="F16" s="45"/>
      <c r="G16" s="59"/>
      <c r="H16" s="3"/>
      <c r="I16" s="56"/>
      <c r="J16" s="26"/>
      <c r="K16" s="3"/>
      <c r="L16" s="60"/>
      <c r="AF16" s="4"/>
    </row>
    <row r="17" spans="1:32" s="53" customFormat="1">
      <c r="A17" s="51"/>
      <c r="B17" s="48" t="s">
        <v>35</v>
      </c>
      <c r="C17" s="16">
        <v>0</v>
      </c>
      <c r="D17" s="58"/>
      <c r="F17" s="61"/>
      <c r="G17" s="62"/>
      <c r="H17" s="62"/>
      <c r="I17" s="63"/>
      <c r="J17" s="24"/>
      <c r="K17" s="63"/>
      <c r="L17" s="24"/>
      <c r="AF17" s="4"/>
    </row>
    <row r="18" spans="1:32" s="53" customFormat="1" ht="14" thickBot="1">
      <c r="A18" s="51"/>
      <c r="B18" s="64" t="s">
        <v>36</v>
      </c>
      <c r="C18" s="65">
        <v>0</v>
      </c>
      <c r="D18" s="66"/>
      <c r="F18" s="45" t="s">
        <v>37</v>
      </c>
      <c r="I18" s="67"/>
      <c r="J18" s="31">
        <f>J15+C27</f>
        <v>270744.94679999998</v>
      </c>
      <c r="K18" s="67"/>
      <c r="L18" s="31">
        <f>L15+D27</f>
        <v>187194.12599999999</v>
      </c>
      <c r="AF18" s="4"/>
    </row>
    <row r="19" spans="1:32" s="69" customFormat="1" ht="14" thickBot="1">
      <c r="A19" s="68"/>
      <c r="F19" s="70" t="s">
        <v>38</v>
      </c>
      <c r="I19" s="71"/>
      <c r="J19" s="31">
        <f>+F71/2</f>
        <v>0</v>
      </c>
      <c r="K19" s="71"/>
      <c r="L19" s="31">
        <f>J19</f>
        <v>0</v>
      </c>
      <c r="AF19" s="4"/>
    </row>
    <row r="20" spans="1:32" s="69" customFormat="1">
      <c r="A20" s="68"/>
      <c r="B20" s="72" t="s">
        <v>39</v>
      </c>
      <c r="C20" s="73">
        <v>768000</v>
      </c>
      <c r="D20" s="74">
        <v>576000</v>
      </c>
      <c r="E20" s="75"/>
      <c r="F20" s="45" t="s">
        <v>40</v>
      </c>
      <c r="I20" s="71"/>
      <c r="J20" s="31">
        <f>F72/2</f>
        <v>0</v>
      </c>
      <c r="K20" s="71"/>
      <c r="L20" s="31">
        <f>J20</f>
        <v>0</v>
      </c>
      <c r="AB20" s="4"/>
      <c r="AC20" s="4"/>
      <c r="AD20" s="4"/>
      <c r="AE20" s="4"/>
      <c r="AF20" s="4"/>
    </row>
    <row r="21" spans="1:32" s="69" customFormat="1">
      <c r="A21" s="68"/>
      <c r="B21" s="45" t="s">
        <v>41</v>
      </c>
      <c r="C21" s="76">
        <v>0.05</v>
      </c>
      <c r="D21" s="77">
        <v>0.05</v>
      </c>
      <c r="E21" s="75"/>
      <c r="F21" s="45" t="s">
        <v>42</v>
      </c>
      <c r="I21" s="71"/>
      <c r="J21" s="31">
        <f>-C18/2</f>
        <v>0</v>
      </c>
      <c r="K21" s="71"/>
      <c r="L21" s="31">
        <f>J21</f>
        <v>0</v>
      </c>
      <c r="AB21" s="4"/>
      <c r="AC21" s="4"/>
      <c r="AD21" s="4"/>
      <c r="AE21" s="4"/>
      <c r="AF21" s="4"/>
    </row>
    <row r="22" spans="1:32" ht="14" thickBot="1">
      <c r="B22" s="45" t="s">
        <v>43</v>
      </c>
      <c r="C22" s="78">
        <f>C21*C20</f>
        <v>38400</v>
      </c>
      <c r="D22" s="79">
        <f>D21*D20</f>
        <v>28800</v>
      </c>
      <c r="F22" s="45"/>
      <c r="G22" s="69"/>
      <c r="H22" s="69"/>
      <c r="I22" s="71"/>
      <c r="J22" s="31"/>
      <c r="K22" s="71"/>
      <c r="L22" s="31"/>
    </row>
    <row r="23" spans="1:32" ht="17" thickBot="1">
      <c r="B23" s="45" t="s">
        <v>44</v>
      </c>
      <c r="C23" s="80">
        <v>0</v>
      </c>
      <c r="D23" s="81">
        <v>0</v>
      </c>
      <c r="F23" s="82" t="s">
        <v>45</v>
      </c>
      <c r="G23" s="83"/>
      <c r="H23" s="83"/>
      <c r="I23" s="84"/>
      <c r="J23" s="85">
        <f>SUM(J18:J22)</f>
        <v>270744.94679999998</v>
      </c>
      <c r="K23" s="84"/>
      <c r="L23" s="85">
        <f>SUM(L18:L22)</f>
        <v>187194.12599999999</v>
      </c>
      <c r="M23" s="3"/>
    </row>
    <row r="24" spans="1:32" ht="14" thickBot="1">
      <c r="B24" s="86" t="s">
        <v>46</v>
      </c>
      <c r="C24" s="87">
        <f>IF(C6="ja",FriTelefon,0)</f>
        <v>3300</v>
      </c>
      <c r="D24" s="88">
        <f>IF(D6="ja",FriTelefon,0)</f>
        <v>3300</v>
      </c>
    </row>
    <row r="25" spans="1:32" s="69" customFormat="1" ht="15" thickBot="1">
      <c r="A25" s="89"/>
      <c r="B25" s="90" t="s">
        <v>47</v>
      </c>
      <c r="C25" s="91">
        <f>C20-C22+C23+C24</f>
        <v>732900</v>
      </c>
      <c r="D25" s="91">
        <f>D20-D22+D23+D24</f>
        <v>550500</v>
      </c>
      <c r="E25" s="75"/>
      <c r="F25" s="3"/>
      <c r="G25" s="3"/>
      <c r="H25" s="3"/>
      <c r="I25" s="4"/>
      <c r="J25" s="4"/>
      <c r="K25" s="4"/>
      <c r="L25" s="4"/>
    </row>
    <row r="26" spans="1:32" ht="15.75" customHeight="1" thickTop="1">
      <c r="A26" s="51"/>
      <c r="B26" s="92"/>
      <c r="C26" s="93"/>
      <c r="D26" s="94"/>
      <c r="F26" s="526" t="s">
        <v>48</v>
      </c>
      <c r="G26" s="527"/>
      <c r="H26" s="528"/>
      <c r="I26" s="532" t="str">
        <f>C2</f>
        <v>Alicia</v>
      </c>
      <c r="J26" s="533"/>
      <c r="K26" s="532" t="str">
        <f>D2</f>
        <v>Jacob</v>
      </c>
      <c r="L26" s="533"/>
      <c r="AB26" s="95" t="s">
        <v>49</v>
      </c>
      <c r="AC26" s="4" t="s">
        <v>50</v>
      </c>
    </row>
    <row r="27" spans="1:32" ht="14" thickBot="1">
      <c r="A27" s="51"/>
      <c r="B27" s="92" t="s">
        <v>51</v>
      </c>
      <c r="C27" s="96">
        <f>ArbBidrag*C25</f>
        <v>58632</v>
      </c>
      <c r="D27" s="96">
        <f>ArbBidrag*D25</f>
        <v>44040</v>
      </c>
      <c r="F27" s="529"/>
      <c r="G27" s="530"/>
      <c r="H27" s="531"/>
      <c r="I27" s="97" t="s">
        <v>52</v>
      </c>
      <c r="J27" s="98" t="s">
        <v>53</v>
      </c>
      <c r="K27" s="97" t="s">
        <v>52</v>
      </c>
      <c r="L27" s="98" t="s">
        <v>53</v>
      </c>
      <c r="AB27" s="99" t="s">
        <v>54</v>
      </c>
      <c r="AC27" s="4" t="s">
        <v>55</v>
      </c>
      <c r="AD27" s="4" t="s">
        <v>56</v>
      </c>
    </row>
    <row r="28" spans="1:32" ht="17" thickBot="1">
      <c r="A28" s="51"/>
      <c r="B28" s="45" t="s">
        <v>57</v>
      </c>
      <c r="C28" s="16">
        <v>0</v>
      </c>
      <c r="D28" s="17">
        <v>0</v>
      </c>
      <c r="F28" s="100" t="s">
        <v>58</v>
      </c>
      <c r="G28" s="101"/>
      <c r="H28" s="102"/>
      <c r="I28" s="23">
        <f>C20+C23+C28</f>
        <v>768000</v>
      </c>
      <c r="J28" s="102">
        <f>I28/12</f>
        <v>64000</v>
      </c>
      <c r="K28" s="23">
        <f>D20+D23+D28</f>
        <v>576000</v>
      </c>
      <c r="L28" s="102">
        <f>K28/12</f>
        <v>48000</v>
      </c>
      <c r="AB28" s="99" t="s">
        <v>59</v>
      </c>
      <c r="AC28" s="4">
        <f>IF(AA29&lt;0,0,IF((C35+0.00000001)*(D35+0.0000001)&lt;0,1,0))</f>
        <v>0</v>
      </c>
    </row>
    <row r="29" spans="1:32" ht="17" thickBot="1">
      <c r="A29" s="51"/>
      <c r="B29" s="45" t="s">
        <v>60</v>
      </c>
      <c r="C29" s="96">
        <f>IF(C3&gt;RatepensionMax,RatepensionMax,C3)</f>
        <v>0</v>
      </c>
      <c r="D29" s="96">
        <f>IF(D3&gt;RatepensionMax,RatepensionMax,D3)</f>
        <v>0</v>
      </c>
      <c r="F29" s="103" t="s">
        <v>61</v>
      </c>
      <c r="H29" s="26"/>
      <c r="I29" s="25">
        <f>C22</f>
        <v>38400</v>
      </c>
      <c r="J29" s="26">
        <f>I29/12</f>
        <v>3200</v>
      </c>
      <c r="K29" s="25">
        <f>D22</f>
        <v>28800</v>
      </c>
      <c r="L29" s="26">
        <f>K29/12</f>
        <v>2400</v>
      </c>
      <c r="AA29" s="104">
        <f>SUM(C35:D35)</f>
        <v>0</v>
      </c>
      <c r="AB29" s="105">
        <f>IF(D45&lt;0,IF(D31-D43&lt;0,D35,D35+D31-D43),0)</f>
        <v>0</v>
      </c>
      <c r="AC29" s="4">
        <f>IF(AC28=1,C35+D35,0)</f>
        <v>0</v>
      </c>
      <c r="AD29" s="4">
        <f>IF(AC28=1,0,D35)</f>
        <v>0</v>
      </c>
    </row>
    <row r="30" spans="1:32" ht="17" thickBot="1">
      <c r="A30" s="51"/>
      <c r="B30" s="45" t="s">
        <v>62</v>
      </c>
      <c r="C30" s="96">
        <f>+C4</f>
        <v>0</v>
      </c>
      <c r="D30" s="26">
        <f>+D4</f>
        <v>0</v>
      </c>
      <c r="F30" s="103" t="s">
        <v>63</v>
      </c>
      <c r="H30" s="26"/>
      <c r="I30" s="25">
        <f>J23</f>
        <v>270744.94679999998</v>
      </c>
      <c r="J30" s="26">
        <f>I30/12</f>
        <v>22562.078899999997</v>
      </c>
      <c r="K30" s="25">
        <f>L23</f>
        <v>187194.12599999999</v>
      </c>
      <c r="L30" s="26">
        <f>K30/12</f>
        <v>15599.510499999999</v>
      </c>
      <c r="M30" s="3"/>
      <c r="N30" s="106"/>
    </row>
    <row r="31" spans="1:32" ht="17" thickBot="1">
      <c r="A31" s="51"/>
      <c r="B31" s="90" t="s">
        <v>64</v>
      </c>
      <c r="C31" s="107">
        <f>C25-C27+C28-C29-C30</f>
        <v>674268</v>
      </c>
      <c r="D31" s="107">
        <f>D25-D27+D28-D29-D30</f>
        <v>506460</v>
      </c>
      <c r="F31" s="108" t="s">
        <v>48</v>
      </c>
      <c r="G31" s="83"/>
      <c r="H31" s="109"/>
      <c r="I31" s="110">
        <f>I28-I29-I30</f>
        <v>458855.05320000002</v>
      </c>
      <c r="J31" s="111">
        <f>I31/12</f>
        <v>38237.9211</v>
      </c>
      <c r="K31" s="110">
        <f>K28-K29-K30</f>
        <v>360005.87400000001</v>
      </c>
      <c r="L31" s="111">
        <f>K31/12</f>
        <v>30000.4895</v>
      </c>
      <c r="Z31" s="3"/>
    </row>
    <row r="32" spans="1:32" ht="14" thickTop="1">
      <c r="A32" s="51"/>
      <c r="B32" s="45"/>
      <c r="C32" s="15"/>
      <c r="D32" s="43"/>
      <c r="Z32" s="3"/>
    </row>
    <row r="33" spans="1:28">
      <c r="B33" s="45" t="s">
        <v>65</v>
      </c>
      <c r="C33" s="16">
        <v>0</v>
      </c>
      <c r="D33" s="17">
        <v>0</v>
      </c>
      <c r="H33" s="112"/>
    </row>
    <row r="34" spans="1:28" ht="14" thickBot="1">
      <c r="B34" s="113" t="s">
        <v>66</v>
      </c>
      <c r="C34" s="16">
        <v>0</v>
      </c>
      <c r="D34" s="17">
        <v>0</v>
      </c>
    </row>
    <row r="35" spans="1:28" ht="15" thickBot="1">
      <c r="B35" s="90" t="s">
        <v>67</v>
      </c>
      <c r="C35" s="107">
        <f>+C33-C34</f>
        <v>0</v>
      </c>
      <c r="D35" s="114">
        <f>+D33-D34</f>
        <v>0</v>
      </c>
    </row>
    <row r="36" spans="1:28" ht="14" thickTop="1">
      <c r="B36" s="92"/>
      <c r="C36" s="115"/>
      <c r="D36" s="116"/>
    </row>
    <row r="37" spans="1:28" s="69" customFormat="1" ht="14" thickBot="1">
      <c r="A37" s="68"/>
      <c r="B37" s="70" t="s">
        <v>68</v>
      </c>
      <c r="C37" s="96">
        <f>MIN(+(C25+C22*3)*BFradragProc,BFradragMax)</f>
        <v>55600</v>
      </c>
      <c r="D37" s="96">
        <f>MIN(+(D25+D22*3)*BFradragProc,BFradragMax)</f>
        <v>55600</v>
      </c>
      <c r="E37" s="117"/>
      <c r="F37" s="117"/>
      <c r="H37" s="11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8">
      <c r="B38" s="70" t="s">
        <v>69</v>
      </c>
      <c r="C38" s="96">
        <f>MAX(0,MIN(+($C$25+C22*3-Jfradraggranse)*Jfradragproc,JfradragMax))</f>
        <v>2900</v>
      </c>
      <c r="D38" s="96">
        <f>MAX(0,MIN(+($D$25+D22*3-Jfradraggranse)*Jfradragproc,JfradragMax))</f>
        <v>2900</v>
      </c>
      <c r="AB38" s="95" t="s">
        <v>49</v>
      </c>
    </row>
    <row r="39" spans="1:28" ht="14.25" customHeight="1">
      <c r="B39" s="70" t="s">
        <v>70</v>
      </c>
      <c r="C39" s="96">
        <f>IF(C5&lt;=52,MIN(+(C3+C4+C22*3)*EPENfradragProc,EPENfradragMax),MIN(+(C3+C4+C22*3)*EPENSeniorProc,EPENSeniorMax))</f>
        <v>10056</v>
      </c>
      <c r="D39" s="96">
        <f>IF(D5&lt;=52,MIN(+(D3+D4+D22*3)*EPENfradragProc,EPENfradragMax),MIN(+(D3+D4+D22*3)*EPENSeniorProc,EPENSeniorMax))</f>
        <v>10056</v>
      </c>
      <c r="AB39" s="99" t="s">
        <v>71</v>
      </c>
    </row>
    <row r="40" spans="1:28">
      <c r="B40" s="70" t="s">
        <v>72</v>
      </c>
      <c r="C40" s="96">
        <f>IF(C7&gt;FagforeningMax,FagforeningMax,C7)+C8</f>
        <v>9600</v>
      </c>
      <c r="D40" s="96">
        <f>IF(D7&gt;FagforeningMax,FagforeningMax,D7)+D8</f>
        <v>9600</v>
      </c>
      <c r="AB40" s="99" t="s">
        <v>59</v>
      </c>
    </row>
    <row r="41" spans="1:28" ht="16">
      <c r="B41" s="70" t="s">
        <v>73</v>
      </c>
      <c r="C41" s="96">
        <f>+$H$56</f>
        <v>0</v>
      </c>
      <c r="D41" s="96">
        <f>H65</f>
        <v>0</v>
      </c>
      <c r="AB41" s="118">
        <f>IF(D77&gt;H5,0,H5-D77)</f>
        <v>0</v>
      </c>
    </row>
    <row r="42" spans="1:28" ht="14" thickBot="1">
      <c r="B42" s="70" t="s">
        <v>74</v>
      </c>
      <c r="C42" s="16">
        <v>0</v>
      </c>
      <c r="D42" s="17">
        <v>0</v>
      </c>
      <c r="AB42" s="119"/>
    </row>
    <row r="43" spans="1:28" ht="17" thickBot="1">
      <c r="B43" s="90" t="s">
        <v>75</v>
      </c>
      <c r="C43" s="107">
        <f>SUM(C37:C42)</f>
        <v>78156</v>
      </c>
      <c r="D43" s="114">
        <f>SUM(D37:D42)</f>
        <v>78156</v>
      </c>
      <c r="AB43" s="118">
        <f>IF($D$45&lt;0,H7,IF($D$45&gt;H7,0,H7-$D$45))</f>
        <v>0</v>
      </c>
    </row>
    <row r="44" spans="1:28" ht="18" thickTop="1" thickBot="1">
      <c r="B44" s="120"/>
      <c r="C44" s="121"/>
      <c r="D44" s="31"/>
      <c r="AB44" s="118">
        <f>IF($D$45&lt;0,H8,IF($D$45&gt;H8,0,H8-$D$45))</f>
        <v>0</v>
      </c>
    </row>
    <row r="45" spans="1:28" ht="17" thickBot="1">
      <c r="B45" s="122" t="s">
        <v>76</v>
      </c>
      <c r="C45" s="123">
        <f>+C31+C35-C43</f>
        <v>596112</v>
      </c>
      <c r="D45" s="124">
        <f>+D31+D35-D43</f>
        <v>428304</v>
      </c>
      <c r="AB45" s="105">
        <f>IF($D$45&lt;0,H9,IF($D$45&gt;H9,0,H9-$D$45))</f>
        <v>0</v>
      </c>
    </row>
    <row r="49" spans="1:40" ht="14" thickBot="1"/>
    <row r="50" spans="1:40" ht="14" thickBot="1">
      <c r="B50" s="125" t="s">
        <v>77</v>
      </c>
      <c r="D50" s="126"/>
    </row>
    <row r="51" spans="1:40" ht="14" thickBot="1">
      <c r="D51" s="126"/>
    </row>
    <row r="52" spans="1:40" ht="14" thickBot="1">
      <c r="B52" s="127" t="s">
        <v>78</v>
      </c>
      <c r="D52" s="126"/>
    </row>
    <row r="53" spans="1:40">
      <c r="B53" s="12"/>
      <c r="C53" s="128" t="s">
        <v>79</v>
      </c>
      <c r="D53" s="128" t="s">
        <v>80</v>
      </c>
      <c r="E53" s="129" t="s">
        <v>81</v>
      </c>
      <c r="F53" s="130" t="s">
        <v>82</v>
      </c>
      <c r="G53" s="130" t="s">
        <v>83</v>
      </c>
      <c r="H53" s="131" t="s">
        <v>84</v>
      </c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3"/>
      <c r="AA53" s="3" t="s">
        <v>85</v>
      </c>
    </row>
    <row r="54" spans="1:40">
      <c r="B54" s="132" t="s">
        <v>86</v>
      </c>
      <c r="C54" s="133">
        <f>BeFradragHojSats</f>
        <v>2.23</v>
      </c>
      <c r="D54" s="134">
        <f>C10</f>
        <v>200</v>
      </c>
      <c r="E54" s="135">
        <f>C9</f>
        <v>19.8</v>
      </c>
      <c r="F54" s="134">
        <f>BeFradragKmMin</f>
        <v>24</v>
      </c>
      <c r="G54" s="136">
        <f>IF(E54&gt;F54,MIN(E54,BeFradragKmMax)-F54,0)</f>
        <v>0</v>
      </c>
      <c r="H54" s="137">
        <f>+(D54*G54)*C54</f>
        <v>0</v>
      </c>
      <c r="I54" s="3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3"/>
    </row>
    <row r="55" spans="1:40">
      <c r="B55" s="132" t="s">
        <v>87</v>
      </c>
      <c r="C55" s="133">
        <f>BeFradragLavSats</f>
        <v>1.1200000000000001</v>
      </c>
      <c r="D55" s="134">
        <f>C10</f>
        <v>200</v>
      </c>
      <c r="E55" s="135">
        <f>MAX(E54-BeFradragKmMax,0)</f>
        <v>0</v>
      </c>
      <c r="F55" s="134"/>
      <c r="G55" s="136">
        <f>MAX(E55,0)</f>
        <v>0</v>
      </c>
      <c r="H55" s="137">
        <f>+(D55*G55)*C55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1:40">
      <c r="B56" s="138" t="s">
        <v>88</v>
      </c>
      <c r="C56" s="133"/>
      <c r="D56" s="139"/>
      <c r="E56" s="139"/>
      <c r="F56" s="134"/>
      <c r="G56" s="139"/>
      <c r="H56" s="137">
        <f>SUM(H54:H55)</f>
        <v>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>
      <c r="B57" s="132"/>
      <c r="C57" s="133"/>
      <c r="D57" s="139"/>
      <c r="E57" s="139"/>
      <c r="F57" s="134"/>
      <c r="G57" s="139"/>
      <c r="H57" s="13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>
      <c r="B58" s="138" t="s">
        <v>89</v>
      </c>
      <c r="C58" s="133"/>
      <c r="D58" s="139"/>
      <c r="E58" s="139"/>
      <c r="F58" s="134"/>
      <c r="G58" s="139"/>
      <c r="H58" s="13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s="146" customFormat="1" ht="17" thickBot="1">
      <c r="A59" s="140"/>
      <c r="B59" s="141"/>
      <c r="C59" s="142"/>
      <c r="D59" s="143"/>
      <c r="E59" s="143"/>
      <c r="F59" s="144"/>
      <c r="G59" s="143"/>
      <c r="H59" s="145"/>
      <c r="I59" s="4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</row>
    <row r="60" spans="1:40" s="146" customFormat="1" ht="17" thickBot="1">
      <c r="A60" s="140"/>
      <c r="B60" s="4"/>
      <c r="C60" s="148"/>
      <c r="D60" s="149"/>
      <c r="E60" s="3"/>
      <c r="F60" s="149"/>
      <c r="G60" s="3"/>
      <c r="H60" s="3"/>
      <c r="I60" s="4"/>
      <c r="J60" s="150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</row>
    <row r="61" spans="1:40" s="146" customFormat="1" ht="17" thickBot="1">
      <c r="A61" s="140"/>
      <c r="B61" s="127" t="s">
        <v>90</v>
      </c>
      <c r="C61" s="4"/>
      <c r="D61" s="126"/>
      <c r="E61" s="3"/>
      <c r="F61" s="3"/>
      <c r="G61" s="3"/>
      <c r="H61" s="3"/>
      <c r="I61" s="147"/>
      <c r="J61" s="150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</row>
    <row r="62" spans="1:40" s="146" customFormat="1" ht="16">
      <c r="A62" s="140"/>
      <c r="B62" s="12"/>
      <c r="C62" s="128" t="s">
        <v>79</v>
      </c>
      <c r="D62" s="128" t="s">
        <v>80</v>
      </c>
      <c r="E62" s="129" t="s">
        <v>81</v>
      </c>
      <c r="F62" s="130" t="s">
        <v>82</v>
      </c>
      <c r="G62" s="130" t="s">
        <v>83</v>
      </c>
      <c r="H62" s="131" t="s">
        <v>84</v>
      </c>
      <c r="I62" s="147"/>
      <c r="J62" s="150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</row>
    <row r="63" spans="1:40" s="146" customFormat="1" ht="16">
      <c r="A63" s="140"/>
      <c r="B63" s="132" t="s">
        <v>86</v>
      </c>
      <c r="C63" s="133">
        <f>C54</f>
        <v>2.23</v>
      </c>
      <c r="D63" s="134">
        <f>D10</f>
        <v>200</v>
      </c>
      <c r="E63" s="135">
        <f>D9</f>
        <v>12</v>
      </c>
      <c r="F63" s="134">
        <f>BeFradragKmMin</f>
        <v>24</v>
      </c>
      <c r="G63" s="136">
        <f>IF(E63&gt;F63,MIN(E63,BeFradragKmMax)-F63,0)</f>
        <v>0</v>
      </c>
      <c r="H63" s="137">
        <f>+(D63*G63)*C63</f>
        <v>0</v>
      </c>
      <c r="I63" s="147"/>
      <c r="J63" s="150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</row>
    <row r="64" spans="1:40" s="146" customFormat="1" ht="16">
      <c r="A64" s="140"/>
      <c r="B64" s="132" t="s">
        <v>87</v>
      </c>
      <c r="C64" s="133">
        <f>C55</f>
        <v>1.1200000000000001</v>
      </c>
      <c r="D64" s="134">
        <f>D10</f>
        <v>200</v>
      </c>
      <c r="E64" s="135">
        <f>MAX(E63-BeFradragKmMax,0)</f>
        <v>0</v>
      </c>
      <c r="F64" s="134"/>
      <c r="G64" s="136">
        <f>MAX(E64,0)</f>
        <v>0</v>
      </c>
      <c r="H64" s="137">
        <f>+(D64*G64)*C64</f>
        <v>0</v>
      </c>
      <c r="I64" s="147"/>
      <c r="J64" s="150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</row>
    <row r="65" spans="1:40" s="146" customFormat="1" ht="16">
      <c r="A65" s="140"/>
      <c r="B65" s="138" t="s">
        <v>88</v>
      </c>
      <c r="C65" s="133"/>
      <c r="D65" s="139"/>
      <c r="E65" s="139"/>
      <c r="F65" s="134"/>
      <c r="G65" s="139"/>
      <c r="H65" s="137">
        <f>SUM(H63:H64)</f>
        <v>0</v>
      </c>
      <c r="I65" s="147"/>
      <c r="J65" s="150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</row>
    <row r="66" spans="1:40" ht="16">
      <c r="B66" s="132"/>
      <c r="C66" s="133"/>
      <c r="D66" s="139"/>
      <c r="E66" s="139"/>
      <c r="F66" s="134"/>
      <c r="G66" s="139"/>
      <c r="H66" s="137"/>
      <c r="I66" s="3"/>
      <c r="J66" s="3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1:40">
      <c r="B67" s="138" t="s">
        <v>89</v>
      </c>
      <c r="C67" s="133"/>
      <c r="D67" s="139"/>
      <c r="E67" s="139"/>
      <c r="F67" s="134"/>
      <c r="G67" s="139"/>
      <c r="H67" s="13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1:40" ht="14" thickBot="1">
      <c r="B68" s="141"/>
      <c r="C68" s="142"/>
      <c r="D68" s="143"/>
      <c r="E68" s="143"/>
      <c r="F68" s="144"/>
      <c r="G68" s="143"/>
      <c r="H68" s="14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1:40" ht="14" thickBot="1">
      <c r="C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1:40">
      <c r="B70" s="152" t="s">
        <v>91</v>
      </c>
      <c r="C70" s="153" t="s">
        <v>92</v>
      </c>
      <c r="D70" s="153" t="s">
        <v>93</v>
      </c>
      <c r="E70" s="153" t="s">
        <v>94</v>
      </c>
      <c r="F70" s="154" t="s">
        <v>95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1:40">
      <c r="B71" s="132" t="s">
        <v>38</v>
      </c>
      <c r="C71" s="155">
        <f>EjVSkatMin</f>
        <v>5.1000000000000004E-3</v>
      </c>
      <c r="D71" s="155">
        <f>EjVSkatMax-C71</f>
        <v>8.8999999999999999E-3</v>
      </c>
      <c r="E71" s="156">
        <f>C16</f>
        <v>0</v>
      </c>
      <c r="F71" s="157">
        <f>IF(E71&lt;Skattesatser!H14,C71*E71*Forsigtighed,C71*E71*Forsigtighed+(E71-Skattesatser!H14)*D71*Forsigtighed)</f>
        <v>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1:40" ht="14" thickBot="1">
      <c r="B72" s="158" t="s">
        <v>40</v>
      </c>
      <c r="C72" s="159">
        <f>C15</f>
        <v>5.0999999999999995E-3</v>
      </c>
      <c r="D72" s="159"/>
      <c r="E72" s="160">
        <f>C17</f>
        <v>0</v>
      </c>
      <c r="F72" s="161">
        <f>E72*C72*Forsigtighed</f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1:40">
      <c r="C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1:40" ht="14" thickBot="1"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1:40" ht="14" thickBot="1">
      <c r="B75" s="162" t="s">
        <v>96</v>
      </c>
      <c r="C75" s="127" t="s">
        <v>97</v>
      </c>
      <c r="D75" s="163" t="s">
        <v>98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1:40">
      <c r="B76" s="164" t="s">
        <v>99</v>
      </c>
      <c r="C76" s="165">
        <f>+C31</f>
        <v>674268</v>
      </c>
      <c r="D76" s="166">
        <f>+D31</f>
        <v>506460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40">
      <c r="B77" s="167" t="s">
        <v>100</v>
      </c>
      <c r="C77" s="168">
        <f>MAX(C35+C31,C31)</f>
        <v>674268</v>
      </c>
      <c r="D77" s="137">
        <f>MAX(D35+D31,D31)</f>
        <v>506460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1:40">
      <c r="B78" s="167" t="s">
        <v>101</v>
      </c>
      <c r="C78" s="168">
        <f>C76+C80</f>
        <v>674268</v>
      </c>
      <c r="D78" s="169"/>
      <c r="I78" s="170"/>
    </row>
    <row r="79" spans="1:40">
      <c r="B79" s="167" t="s">
        <v>102</v>
      </c>
      <c r="C79" s="168">
        <f>MAX(C35,0)</f>
        <v>0</v>
      </c>
      <c r="D79" s="137">
        <f>D35</f>
        <v>0</v>
      </c>
    </row>
    <row r="80" spans="1:40">
      <c r="B80" s="167" t="s">
        <v>103</v>
      </c>
      <c r="C80" s="168">
        <f>IF((C35+D35)&gt;KItilTopskatPar,C79+D79-KItilTopskatPar,0)</f>
        <v>0</v>
      </c>
      <c r="D80" s="169"/>
    </row>
    <row r="81" spans="2:4">
      <c r="B81" s="132" t="s">
        <v>104</v>
      </c>
      <c r="C81" s="171">
        <f>SUM(G5:G8)</f>
        <v>0.50509999999999999</v>
      </c>
      <c r="D81" s="172">
        <f>SUM(G5:G8)</f>
        <v>0.50509999999999999</v>
      </c>
    </row>
    <row r="82" spans="2:4">
      <c r="B82" s="167" t="s">
        <v>105</v>
      </c>
      <c r="C82" s="168">
        <f>IF(C78&gt;TopSkatGranse,C78-TopSkatGranse,0)</f>
        <v>62468</v>
      </c>
      <c r="D82" s="137">
        <f>IF(D76&gt;Skattesatser!H35,D76-Skattesatser!H35,0)</f>
        <v>0</v>
      </c>
    </row>
    <row r="83" spans="2:4">
      <c r="B83" s="173" t="s">
        <v>106</v>
      </c>
      <c r="C83" s="168">
        <f>IF(C76&gt;TopSkatGranse,C76-TopSkatGranse,0)</f>
        <v>62468</v>
      </c>
      <c r="D83" s="137">
        <f>IF(D76&gt;TopSkatGranse,D76-TopSkatGranse,0)</f>
        <v>0</v>
      </c>
    </row>
    <row r="84" spans="2:4" ht="14" thickBot="1">
      <c r="B84" s="174" t="s">
        <v>107</v>
      </c>
      <c r="C84" s="175">
        <f>C82-C83</f>
        <v>0</v>
      </c>
      <c r="D84" s="176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</sheetData>
  <mergeCells count="10">
    <mergeCell ref="F26:H27"/>
    <mergeCell ref="I26:J26"/>
    <mergeCell ref="K26:L26"/>
    <mergeCell ref="C1:D1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31AC6A-B024-5745-B324-F1FB9DF25A63}">
          <x14:formula1>
            <xm:f>Skattesatser!$B$6:$B$103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3827-7189-C44E-9926-0037B66302E2}">
  <sheetPr>
    <pageSetUpPr fitToPage="1"/>
  </sheetPr>
  <dimension ref="A1:IT160"/>
  <sheetViews>
    <sheetView showGridLines="0" zoomScaleNormal="100" workbookViewId="0">
      <selection activeCell="N88" sqref="N88"/>
    </sheetView>
  </sheetViews>
  <sheetFormatPr baseColWidth="10" defaultColWidth="8.83203125" defaultRowHeight="13"/>
  <cols>
    <col min="1" max="1" width="28" style="210" customWidth="1"/>
    <col min="2" max="2" width="8.33203125" style="210" customWidth="1"/>
    <col min="3" max="3" width="9" style="210" customWidth="1"/>
    <col min="4" max="4" width="9.83203125" style="210" customWidth="1"/>
    <col min="5" max="5" width="10.83203125" style="210" customWidth="1"/>
    <col min="6" max="6" width="8.83203125" style="210" customWidth="1"/>
    <col min="7" max="7" width="8.1640625" style="210" customWidth="1"/>
    <col min="8" max="8" width="10.5" style="210" customWidth="1"/>
    <col min="9" max="9" width="8.33203125" style="210" customWidth="1"/>
    <col min="10" max="10" width="11.5" style="210" customWidth="1"/>
    <col min="11" max="11" width="8.83203125" style="210" customWidth="1"/>
    <col min="12" max="12" width="8.6640625" style="210" customWidth="1"/>
    <col min="13" max="13" width="8.83203125" style="210" customWidth="1"/>
    <col min="14" max="14" width="12.6640625" style="324" customWidth="1"/>
    <col min="15" max="16" width="8.83203125" style="203"/>
    <col min="17" max="17" width="27.83203125" style="203" customWidth="1"/>
    <col min="18" max="18" width="8.83203125" style="203"/>
    <col min="19" max="19" width="12.1640625" style="203" customWidth="1"/>
    <col min="20" max="20" width="20" style="203" customWidth="1"/>
    <col min="21" max="33" width="8.83203125" style="203"/>
    <col min="34" max="34" width="8.83203125" style="209"/>
    <col min="35" max="256" width="8.83203125" style="210"/>
    <col min="257" max="257" width="28" style="210" customWidth="1"/>
    <col min="258" max="258" width="8.33203125" style="210" customWidth="1"/>
    <col min="259" max="259" width="9" style="210" customWidth="1"/>
    <col min="260" max="260" width="9.83203125" style="210" customWidth="1"/>
    <col min="261" max="261" width="10.83203125" style="210" customWidth="1"/>
    <col min="262" max="262" width="8.83203125" style="210" customWidth="1"/>
    <col min="263" max="263" width="8.1640625" style="210" customWidth="1"/>
    <col min="264" max="264" width="10.5" style="210" customWidth="1"/>
    <col min="265" max="265" width="8.33203125" style="210" customWidth="1"/>
    <col min="266" max="266" width="8.5" style="210" customWidth="1"/>
    <col min="267" max="267" width="8.83203125" style="210" customWidth="1"/>
    <col min="268" max="268" width="8.6640625" style="210" customWidth="1"/>
    <col min="269" max="269" width="8.83203125" style="210" customWidth="1"/>
    <col min="270" max="270" width="12.6640625" style="210" customWidth="1"/>
    <col min="271" max="512" width="8.83203125" style="210"/>
    <col min="513" max="513" width="28" style="210" customWidth="1"/>
    <col min="514" max="514" width="8.33203125" style="210" customWidth="1"/>
    <col min="515" max="515" width="9" style="210" customWidth="1"/>
    <col min="516" max="516" width="9.83203125" style="210" customWidth="1"/>
    <col min="517" max="517" width="10.83203125" style="210" customWidth="1"/>
    <col min="518" max="518" width="8.83203125" style="210" customWidth="1"/>
    <col min="519" max="519" width="8.1640625" style="210" customWidth="1"/>
    <col min="520" max="520" width="10.5" style="210" customWidth="1"/>
    <col min="521" max="521" width="8.33203125" style="210" customWidth="1"/>
    <col min="522" max="522" width="8.5" style="210" customWidth="1"/>
    <col min="523" max="523" width="8.83203125" style="210" customWidth="1"/>
    <col min="524" max="524" width="8.6640625" style="210" customWidth="1"/>
    <col min="525" max="525" width="8.83203125" style="210" customWidth="1"/>
    <col min="526" max="526" width="12.6640625" style="210" customWidth="1"/>
    <col min="527" max="768" width="8.83203125" style="210"/>
    <col min="769" max="769" width="28" style="210" customWidth="1"/>
    <col min="770" max="770" width="8.33203125" style="210" customWidth="1"/>
    <col min="771" max="771" width="9" style="210" customWidth="1"/>
    <col min="772" max="772" width="9.83203125" style="210" customWidth="1"/>
    <col min="773" max="773" width="10.83203125" style="210" customWidth="1"/>
    <col min="774" max="774" width="8.83203125" style="210" customWidth="1"/>
    <col min="775" max="775" width="8.1640625" style="210" customWidth="1"/>
    <col min="776" max="776" width="10.5" style="210" customWidth="1"/>
    <col min="777" max="777" width="8.33203125" style="210" customWidth="1"/>
    <col min="778" max="778" width="8.5" style="210" customWidth="1"/>
    <col min="779" max="779" width="8.83203125" style="210" customWidth="1"/>
    <col min="780" max="780" width="8.6640625" style="210" customWidth="1"/>
    <col min="781" max="781" width="8.83203125" style="210" customWidth="1"/>
    <col min="782" max="782" width="12.6640625" style="210" customWidth="1"/>
    <col min="783" max="1024" width="8.83203125" style="210"/>
    <col min="1025" max="1025" width="28" style="210" customWidth="1"/>
    <col min="1026" max="1026" width="8.33203125" style="210" customWidth="1"/>
    <col min="1027" max="1027" width="9" style="210" customWidth="1"/>
    <col min="1028" max="1028" width="9.83203125" style="210" customWidth="1"/>
    <col min="1029" max="1029" width="10.83203125" style="210" customWidth="1"/>
    <col min="1030" max="1030" width="8.83203125" style="210" customWidth="1"/>
    <col min="1031" max="1031" width="8.1640625" style="210" customWidth="1"/>
    <col min="1032" max="1032" width="10.5" style="210" customWidth="1"/>
    <col min="1033" max="1033" width="8.33203125" style="210" customWidth="1"/>
    <col min="1034" max="1034" width="8.5" style="210" customWidth="1"/>
    <col min="1035" max="1035" width="8.83203125" style="210" customWidth="1"/>
    <col min="1036" max="1036" width="8.6640625" style="210" customWidth="1"/>
    <col min="1037" max="1037" width="8.83203125" style="210" customWidth="1"/>
    <col min="1038" max="1038" width="12.6640625" style="210" customWidth="1"/>
    <col min="1039" max="1280" width="8.83203125" style="210"/>
    <col min="1281" max="1281" width="28" style="210" customWidth="1"/>
    <col min="1282" max="1282" width="8.33203125" style="210" customWidth="1"/>
    <col min="1283" max="1283" width="9" style="210" customWidth="1"/>
    <col min="1284" max="1284" width="9.83203125" style="210" customWidth="1"/>
    <col min="1285" max="1285" width="10.83203125" style="210" customWidth="1"/>
    <col min="1286" max="1286" width="8.83203125" style="210" customWidth="1"/>
    <col min="1287" max="1287" width="8.1640625" style="210" customWidth="1"/>
    <col min="1288" max="1288" width="10.5" style="210" customWidth="1"/>
    <col min="1289" max="1289" width="8.33203125" style="210" customWidth="1"/>
    <col min="1290" max="1290" width="8.5" style="210" customWidth="1"/>
    <col min="1291" max="1291" width="8.83203125" style="210" customWidth="1"/>
    <col min="1292" max="1292" width="8.6640625" style="210" customWidth="1"/>
    <col min="1293" max="1293" width="8.83203125" style="210" customWidth="1"/>
    <col min="1294" max="1294" width="12.6640625" style="210" customWidth="1"/>
    <col min="1295" max="1536" width="8.83203125" style="210"/>
    <col min="1537" max="1537" width="28" style="210" customWidth="1"/>
    <col min="1538" max="1538" width="8.33203125" style="210" customWidth="1"/>
    <col min="1539" max="1539" width="9" style="210" customWidth="1"/>
    <col min="1540" max="1540" width="9.83203125" style="210" customWidth="1"/>
    <col min="1541" max="1541" width="10.83203125" style="210" customWidth="1"/>
    <col min="1542" max="1542" width="8.83203125" style="210" customWidth="1"/>
    <col min="1543" max="1543" width="8.1640625" style="210" customWidth="1"/>
    <col min="1544" max="1544" width="10.5" style="210" customWidth="1"/>
    <col min="1545" max="1545" width="8.33203125" style="210" customWidth="1"/>
    <col min="1546" max="1546" width="8.5" style="210" customWidth="1"/>
    <col min="1547" max="1547" width="8.83203125" style="210" customWidth="1"/>
    <col min="1548" max="1548" width="8.6640625" style="210" customWidth="1"/>
    <col min="1549" max="1549" width="8.83203125" style="210" customWidth="1"/>
    <col min="1550" max="1550" width="12.6640625" style="210" customWidth="1"/>
    <col min="1551" max="1792" width="8.83203125" style="210"/>
    <col min="1793" max="1793" width="28" style="210" customWidth="1"/>
    <col min="1794" max="1794" width="8.33203125" style="210" customWidth="1"/>
    <col min="1795" max="1795" width="9" style="210" customWidth="1"/>
    <col min="1796" max="1796" width="9.83203125" style="210" customWidth="1"/>
    <col min="1797" max="1797" width="10.83203125" style="210" customWidth="1"/>
    <col min="1798" max="1798" width="8.83203125" style="210" customWidth="1"/>
    <col min="1799" max="1799" width="8.1640625" style="210" customWidth="1"/>
    <col min="1800" max="1800" width="10.5" style="210" customWidth="1"/>
    <col min="1801" max="1801" width="8.33203125" style="210" customWidth="1"/>
    <col min="1802" max="1802" width="8.5" style="210" customWidth="1"/>
    <col min="1803" max="1803" width="8.83203125" style="210" customWidth="1"/>
    <col min="1804" max="1804" width="8.6640625" style="210" customWidth="1"/>
    <col min="1805" max="1805" width="8.83203125" style="210" customWidth="1"/>
    <col min="1806" max="1806" width="12.6640625" style="210" customWidth="1"/>
    <col min="1807" max="2048" width="8.83203125" style="210"/>
    <col min="2049" max="2049" width="28" style="210" customWidth="1"/>
    <col min="2050" max="2050" width="8.33203125" style="210" customWidth="1"/>
    <col min="2051" max="2051" width="9" style="210" customWidth="1"/>
    <col min="2052" max="2052" width="9.83203125" style="210" customWidth="1"/>
    <col min="2053" max="2053" width="10.83203125" style="210" customWidth="1"/>
    <col min="2054" max="2054" width="8.83203125" style="210" customWidth="1"/>
    <col min="2055" max="2055" width="8.1640625" style="210" customWidth="1"/>
    <col min="2056" max="2056" width="10.5" style="210" customWidth="1"/>
    <col min="2057" max="2057" width="8.33203125" style="210" customWidth="1"/>
    <col min="2058" max="2058" width="8.5" style="210" customWidth="1"/>
    <col min="2059" max="2059" width="8.83203125" style="210" customWidth="1"/>
    <col min="2060" max="2060" width="8.6640625" style="210" customWidth="1"/>
    <col min="2061" max="2061" width="8.83203125" style="210" customWidth="1"/>
    <col min="2062" max="2062" width="12.6640625" style="210" customWidth="1"/>
    <col min="2063" max="2304" width="8.83203125" style="210"/>
    <col min="2305" max="2305" width="28" style="210" customWidth="1"/>
    <col min="2306" max="2306" width="8.33203125" style="210" customWidth="1"/>
    <col min="2307" max="2307" width="9" style="210" customWidth="1"/>
    <col min="2308" max="2308" width="9.83203125" style="210" customWidth="1"/>
    <col min="2309" max="2309" width="10.83203125" style="210" customWidth="1"/>
    <col min="2310" max="2310" width="8.83203125" style="210" customWidth="1"/>
    <col min="2311" max="2311" width="8.1640625" style="210" customWidth="1"/>
    <col min="2312" max="2312" width="10.5" style="210" customWidth="1"/>
    <col min="2313" max="2313" width="8.33203125" style="210" customWidth="1"/>
    <col min="2314" max="2314" width="8.5" style="210" customWidth="1"/>
    <col min="2315" max="2315" width="8.83203125" style="210" customWidth="1"/>
    <col min="2316" max="2316" width="8.6640625" style="210" customWidth="1"/>
    <col min="2317" max="2317" width="8.83203125" style="210" customWidth="1"/>
    <col min="2318" max="2318" width="12.6640625" style="210" customWidth="1"/>
    <col min="2319" max="2560" width="8.83203125" style="210"/>
    <col min="2561" max="2561" width="28" style="210" customWidth="1"/>
    <col min="2562" max="2562" width="8.33203125" style="210" customWidth="1"/>
    <col min="2563" max="2563" width="9" style="210" customWidth="1"/>
    <col min="2564" max="2564" width="9.83203125" style="210" customWidth="1"/>
    <col min="2565" max="2565" width="10.83203125" style="210" customWidth="1"/>
    <col min="2566" max="2566" width="8.83203125" style="210" customWidth="1"/>
    <col min="2567" max="2567" width="8.1640625" style="210" customWidth="1"/>
    <col min="2568" max="2568" width="10.5" style="210" customWidth="1"/>
    <col min="2569" max="2569" width="8.33203125" style="210" customWidth="1"/>
    <col min="2570" max="2570" width="8.5" style="210" customWidth="1"/>
    <col min="2571" max="2571" width="8.83203125" style="210" customWidth="1"/>
    <col min="2572" max="2572" width="8.6640625" style="210" customWidth="1"/>
    <col min="2573" max="2573" width="8.83203125" style="210" customWidth="1"/>
    <col min="2574" max="2574" width="12.6640625" style="210" customWidth="1"/>
    <col min="2575" max="2816" width="8.83203125" style="210"/>
    <col min="2817" max="2817" width="28" style="210" customWidth="1"/>
    <col min="2818" max="2818" width="8.33203125" style="210" customWidth="1"/>
    <col min="2819" max="2819" width="9" style="210" customWidth="1"/>
    <col min="2820" max="2820" width="9.83203125" style="210" customWidth="1"/>
    <col min="2821" max="2821" width="10.83203125" style="210" customWidth="1"/>
    <col min="2822" max="2822" width="8.83203125" style="210" customWidth="1"/>
    <col min="2823" max="2823" width="8.1640625" style="210" customWidth="1"/>
    <col min="2824" max="2824" width="10.5" style="210" customWidth="1"/>
    <col min="2825" max="2825" width="8.33203125" style="210" customWidth="1"/>
    <col min="2826" max="2826" width="8.5" style="210" customWidth="1"/>
    <col min="2827" max="2827" width="8.83203125" style="210" customWidth="1"/>
    <col min="2828" max="2828" width="8.6640625" style="210" customWidth="1"/>
    <col min="2829" max="2829" width="8.83203125" style="210" customWidth="1"/>
    <col min="2830" max="2830" width="12.6640625" style="210" customWidth="1"/>
    <col min="2831" max="3072" width="8.83203125" style="210"/>
    <col min="3073" max="3073" width="28" style="210" customWidth="1"/>
    <col min="3074" max="3074" width="8.33203125" style="210" customWidth="1"/>
    <col min="3075" max="3075" width="9" style="210" customWidth="1"/>
    <col min="3076" max="3076" width="9.83203125" style="210" customWidth="1"/>
    <col min="3077" max="3077" width="10.83203125" style="210" customWidth="1"/>
    <col min="3078" max="3078" width="8.83203125" style="210" customWidth="1"/>
    <col min="3079" max="3079" width="8.1640625" style="210" customWidth="1"/>
    <col min="3080" max="3080" width="10.5" style="210" customWidth="1"/>
    <col min="3081" max="3081" width="8.33203125" style="210" customWidth="1"/>
    <col min="3082" max="3082" width="8.5" style="210" customWidth="1"/>
    <col min="3083" max="3083" width="8.83203125" style="210" customWidth="1"/>
    <col min="3084" max="3084" width="8.6640625" style="210" customWidth="1"/>
    <col min="3085" max="3085" width="8.83203125" style="210" customWidth="1"/>
    <col min="3086" max="3086" width="12.6640625" style="210" customWidth="1"/>
    <col min="3087" max="3328" width="8.83203125" style="210"/>
    <col min="3329" max="3329" width="28" style="210" customWidth="1"/>
    <col min="3330" max="3330" width="8.33203125" style="210" customWidth="1"/>
    <col min="3331" max="3331" width="9" style="210" customWidth="1"/>
    <col min="3332" max="3332" width="9.83203125" style="210" customWidth="1"/>
    <col min="3333" max="3333" width="10.83203125" style="210" customWidth="1"/>
    <col min="3334" max="3334" width="8.83203125" style="210" customWidth="1"/>
    <col min="3335" max="3335" width="8.1640625" style="210" customWidth="1"/>
    <col min="3336" max="3336" width="10.5" style="210" customWidth="1"/>
    <col min="3337" max="3337" width="8.33203125" style="210" customWidth="1"/>
    <col min="3338" max="3338" width="8.5" style="210" customWidth="1"/>
    <col min="3339" max="3339" width="8.83203125" style="210" customWidth="1"/>
    <col min="3340" max="3340" width="8.6640625" style="210" customWidth="1"/>
    <col min="3341" max="3341" width="8.83203125" style="210" customWidth="1"/>
    <col min="3342" max="3342" width="12.6640625" style="210" customWidth="1"/>
    <col min="3343" max="3584" width="8.83203125" style="210"/>
    <col min="3585" max="3585" width="28" style="210" customWidth="1"/>
    <col min="3586" max="3586" width="8.33203125" style="210" customWidth="1"/>
    <col min="3587" max="3587" width="9" style="210" customWidth="1"/>
    <col min="3588" max="3588" width="9.83203125" style="210" customWidth="1"/>
    <col min="3589" max="3589" width="10.83203125" style="210" customWidth="1"/>
    <col min="3590" max="3590" width="8.83203125" style="210" customWidth="1"/>
    <col min="3591" max="3591" width="8.1640625" style="210" customWidth="1"/>
    <col min="3592" max="3592" width="10.5" style="210" customWidth="1"/>
    <col min="3593" max="3593" width="8.33203125" style="210" customWidth="1"/>
    <col min="3594" max="3594" width="8.5" style="210" customWidth="1"/>
    <col min="3595" max="3595" width="8.83203125" style="210" customWidth="1"/>
    <col min="3596" max="3596" width="8.6640625" style="210" customWidth="1"/>
    <col min="3597" max="3597" width="8.83203125" style="210" customWidth="1"/>
    <col min="3598" max="3598" width="12.6640625" style="210" customWidth="1"/>
    <col min="3599" max="3840" width="8.83203125" style="210"/>
    <col min="3841" max="3841" width="28" style="210" customWidth="1"/>
    <col min="3842" max="3842" width="8.33203125" style="210" customWidth="1"/>
    <col min="3843" max="3843" width="9" style="210" customWidth="1"/>
    <col min="3844" max="3844" width="9.83203125" style="210" customWidth="1"/>
    <col min="3845" max="3845" width="10.83203125" style="210" customWidth="1"/>
    <col min="3846" max="3846" width="8.83203125" style="210" customWidth="1"/>
    <col min="3847" max="3847" width="8.1640625" style="210" customWidth="1"/>
    <col min="3848" max="3848" width="10.5" style="210" customWidth="1"/>
    <col min="3849" max="3849" width="8.33203125" style="210" customWidth="1"/>
    <col min="3850" max="3850" width="8.5" style="210" customWidth="1"/>
    <col min="3851" max="3851" width="8.83203125" style="210" customWidth="1"/>
    <col min="3852" max="3852" width="8.6640625" style="210" customWidth="1"/>
    <col min="3853" max="3853" width="8.83203125" style="210" customWidth="1"/>
    <col min="3854" max="3854" width="12.6640625" style="210" customWidth="1"/>
    <col min="3855" max="4096" width="8.83203125" style="210"/>
    <col min="4097" max="4097" width="28" style="210" customWidth="1"/>
    <col min="4098" max="4098" width="8.33203125" style="210" customWidth="1"/>
    <col min="4099" max="4099" width="9" style="210" customWidth="1"/>
    <col min="4100" max="4100" width="9.83203125" style="210" customWidth="1"/>
    <col min="4101" max="4101" width="10.83203125" style="210" customWidth="1"/>
    <col min="4102" max="4102" width="8.83203125" style="210" customWidth="1"/>
    <col min="4103" max="4103" width="8.1640625" style="210" customWidth="1"/>
    <col min="4104" max="4104" width="10.5" style="210" customWidth="1"/>
    <col min="4105" max="4105" width="8.33203125" style="210" customWidth="1"/>
    <col min="4106" max="4106" width="8.5" style="210" customWidth="1"/>
    <col min="4107" max="4107" width="8.83203125" style="210" customWidth="1"/>
    <col min="4108" max="4108" width="8.6640625" style="210" customWidth="1"/>
    <col min="4109" max="4109" width="8.83203125" style="210" customWidth="1"/>
    <col min="4110" max="4110" width="12.6640625" style="210" customWidth="1"/>
    <col min="4111" max="4352" width="8.83203125" style="210"/>
    <col min="4353" max="4353" width="28" style="210" customWidth="1"/>
    <col min="4354" max="4354" width="8.33203125" style="210" customWidth="1"/>
    <col min="4355" max="4355" width="9" style="210" customWidth="1"/>
    <col min="4356" max="4356" width="9.83203125" style="210" customWidth="1"/>
    <col min="4357" max="4357" width="10.83203125" style="210" customWidth="1"/>
    <col min="4358" max="4358" width="8.83203125" style="210" customWidth="1"/>
    <col min="4359" max="4359" width="8.1640625" style="210" customWidth="1"/>
    <col min="4360" max="4360" width="10.5" style="210" customWidth="1"/>
    <col min="4361" max="4361" width="8.33203125" style="210" customWidth="1"/>
    <col min="4362" max="4362" width="8.5" style="210" customWidth="1"/>
    <col min="4363" max="4363" width="8.83203125" style="210" customWidth="1"/>
    <col min="4364" max="4364" width="8.6640625" style="210" customWidth="1"/>
    <col min="4365" max="4365" width="8.83203125" style="210" customWidth="1"/>
    <col min="4366" max="4366" width="12.6640625" style="210" customWidth="1"/>
    <col min="4367" max="4608" width="8.83203125" style="210"/>
    <col min="4609" max="4609" width="28" style="210" customWidth="1"/>
    <col min="4610" max="4610" width="8.33203125" style="210" customWidth="1"/>
    <col min="4611" max="4611" width="9" style="210" customWidth="1"/>
    <col min="4612" max="4612" width="9.83203125" style="210" customWidth="1"/>
    <col min="4613" max="4613" width="10.83203125" style="210" customWidth="1"/>
    <col min="4614" max="4614" width="8.83203125" style="210" customWidth="1"/>
    <col min="4615" max="4615" width="8.1640625" style="210" customWidth="1"/>
    <col min="4616" max="4616" width="10.5" style="210" customWidth="1"/>
    <col min="4617" max="4617" width="8.33203125" style="210" customWidth="1"/>
    <col min="4618" max="4618" width="8.5" style="210" customWidth="1"/>
    <col min="4619" max="4619" width="8.83203125" style="210" customWidth="1"/>
    <col min="4620" max="4620" width="8.6640625" style="210" customWidth="1"/>
    <col min="4621" max="4621" width="8.83203125" style="210" customWidth="1"/>
    <col min="4622" max="4622" width="12.6640625" style="210" customWidth="1"/>
    <col min="4623" max="4864" width="8.83203125" style="210"/>
    <col min="4865" max="4865" width="28" style="210" customWidth="1"/>
    <col min="4866" max="4866" width="8.33203125" style="210" customWidth="1"/>
    <col min="4867" max="4867" width="9" style="210" customWidth="1"/>
    <col min="4868" max="4868" width="9.83203125" style="210" customWidth="1"/>
    <col min="4869" max="4869" width="10.83203125" style="210" customWidth="1"/>
    <col min="4870" max="4870" width="8.83203125" style="210" customWidth="1"/>
    <col min="4871" max="4871" width="8.1640625" style="210" customWidth="1"/>
    <col min="4872" max="4872" width="10.5" style="210" customWidth="1"/>
    <col min="4873" max="4873" width="8.33203125" style="210" customWidth="1"/>
    <col min="4874" max="4874" width="8.5" style="210" customWidth="1"/>
    <col min="4875" max="4875" width="8.83203125" style="210" customWidth="1"/>
    <col min="4876" max="4876" width="8.6640625" style="210" customWidth="1"/>
    <col min="4877" max="4877" width="8.83203125" style="210" customWidth="1"/>
    <col min="4878" max="4878" width="12.6640625" style="210" customWidth="1"/>
    <col min="4879" max="5120" width="8.83203125" style="210"/>
    <col min="5121" max="5121" width="28" style="210" customWidth="1"/>
    <col min="5122" max="5122" width="8.33203125" style="210" customWidth="1"/>
    <col min="5123" max="5123" width="9" style="210" customWidth="1"/>
    <col min="5124" max="5124" width="9.83203125" style="210" customWidth="1"/>
    <col min="5125" max="5125" width="10.83203125" style="210" customWidth="1"/>
    <col min="5126" max="5126" width="8.83203125" style="210" customWidth="1"/>
    <col min="5127" max="5127" width="8.1640625" style="210" customWidth="1"/>
    <col min="5128" max="5128" width="10.5" style="210" customWidth="1"/>
    <col min="5129" max="5129" width="8.33203125" style="210" customWidth="1"/>
    <col min="5130" max="5130" width="8.5" style="210" customWidth="1"/>
    <col min="5131" max="5131" width="8.83203125" style="210" customWidth="1"/>
    <col min="5132" max="5132" width="8.6640625" style="210" customWidth="1"/>
    <col min="5133" max="5133" width="8.83203125" style="210" customWidth="1"/>
    <col min="5134" max="5134" width="12.6640625" style="210" customWidth="1"/>
    <col min="5135" max="5376" width="8.83203125" style="210"/>
    <col min="5377" max="5377" width="28" style="210" customWidth="1"/>
    <col min="5378" max="5378" width="8.33203125" style="210" customWidth="1"/>
    <col min="5379" max="5379" width="9" style="210" customWidth="1"/>
    <col min="5380" max="5380" width="9.83203125" style="210" customWidth="1"/>
    <col min="5381" max="5381" width="10.83203125" style="210" customWidth="1"/>
    <col min="5382" max="5382" width="8.83203125" style="210" customWidth="1"/>
    <col min="5383" max="5383" width="8.1640625" style="210" customWidth="1"/>
    <col min="5384" max="5384" width="10.5" style="210" customWidth="1"/>
    <col min="5385" max="5385" width="8.33203125" style="210" customWidth="1"/>
    <col min="5386" max="5386" width="8.5" style="210" customWidth="1"/>
    <col min="5387" max="5387" width="8.83203125" style="210" customWidth="1"/>
    <col min="5388" max="5388" width="8.6640625" style="210" customWidth="1"/>
    <col min="5389" max="5389" width="8.83203125" style="210" customWidth="1"/>
    <col min="5390" max="5390" width="12.6640625" style="210" customWidth="1"/>
    <col min="5391" max="5632" width="8.83203125" style="210"/>
    <col min="5633" max="5633" width="28" style="210" customWidth="1"/>
    <col min="5634" max="5634" width="8.33203125" style="210" customWidth="1"/>
    <col min="5635" max="5635" width="9" style="210" customWidth="1"/>
    <col min="5636" max="5636" width="9.83203125" style="210" customWidth="1"/>
    <col min="5637" max="5637" width="10.83203125" style="210" customWidth="1"/>
    <col min="5638" max="5638" width="8.83203125" style="210" customWidth="1"/>
    <col min="5639" max="5639" width="8.1640625" style="210" customWidth="1"/>
    <col min="5640" max="5640" width="10.5" style="210" customWidth="1"/>
    <col min="5641" max="5641" width="8.33203125" style="210" customWidth="1"/>
    <col min="5642" max="5642" width="8.5" style="210" customWidth="1"/>
    <col min="5643" max="5643" width="8.83203125" style="210" customWidth="1"/>
    <col min="5644" max="5644" width="8.6640625" style="210" customWidth="1"/>
    <col min="5645" max="5645" width="8.83203125" style="210" customWidth="1"/>
    <col min="5646" max="5646" width="12.6640625" style="210" customWidth="1"/>
    <col min="5647" max="5888" width="8.83203125" style="210"/>
    <col min="5889" max="5889" width="28" style="210" customWidth="1"/>
    <col min="5890" max="5890" width="8.33203125" style="210" customWidth="1"/>
    <col min="5891" max="5891" width="9" style="210" customWidth="1"/>
    <col min="5892" max="5892" width="9.83203125" style="210" customWidth="1"/>
    <col min="5893" max="5893" width="10.83203125" style="210" customWidth="1"/>
    <col min="5894" max="5894" width="8.83203125" style="210" customWidth="1"/>
    <col min="5895" max="5895" width="8.1640625" style="210" customWidth="1"/>
    <col min="5896" max="5896" width="10.5" style="210" customWidth="1"/>
    <col min="5897" max="5897" width="8.33203125" style="210" customWidth="1"/>
    <col min="5898" max="5898" width="8.5" style="210" customWidth="1"/>
    <col min="5899" max="5899" width="8.83203125" style="210" customWidth="1"/>
    <col min="5900" max="5900" width="8.6640625" style="210" customWidth="1"/>
    <col min="5901" max="5901" width="8.83203125" style="210" customWidth="1"/>
    <col min="5902" max="5902" width="12.6640625" style="210" customWidth="1"/>
    <col min="5903" max="6144" width="8.83203125" style="210"/>
    <col min="6145" max="6145" width="28" style="210" customWidth="1"/>
    <col min="6146" max="6146" width="8.33203125" style="210" customWidth="1"/>
    <col min="6147" max="6147" width="9" style="210" customWidth="1"/>
    <col min="6148" max="6148" width="9.83203125" style="210" customWidth="1"/>
    <col min="6149" max="6149" width="10.83203125" style="210" customWidth="1"/>
    <col min="6150" max="6150" width="8.83203125" style="210" customWidth="1"/>
    <col min="6151" max="6151" width="8.1640625" style="210" customWidth="1"/>
    <col min="6152" max="6152" width="10.5" style="210" customWidth="1"/>
    <col min="6153" max="6153" width="8.33203125" style="210" customWidth="1"/>
    <col min="6154" max="6154" width="8.5" style="210" customWidth="1"/>
    <col min="6155" max="6155" width="8.83203125" style="210" customWidth="1"/>
    <col min="6156" max="6156" width="8.6640625" style="210" customWidth="1"/>
    <col min="6157" max="6157" width="8.83203125" style="210" customWidth="1"/>
    <col min="6158" max="6158" width="12.6640625" style="210" customWidth="1"/>
    <col min="6159" max="6400" width="8.83203125" style="210"/>
    <col min="6401" max="6401" width="28" style="210" customWidth="1"/>
    <col min="6402" max="6402" width="8.33203125" style="210" customWidth="1"/>
    <col min="6403" max="6403" width="9" style="210" customWidth="1"/>
    <col min="6404" max="6404" width="9.83203125" style="210" customWidth="1"/>
    <col min="6405" max="6405" width="10.83203125" style="210" customWidth="1"/>
    <col min="6406" max="6406" width="8.83203125" style="210" customWidth="1"/>
    <col min="6407" max="6407" width="8.1640625" style="210" customWidth="1"/>
    <col min="6408" max="6408" width="10.5" style="210" customWidth="1"/>
    <col min="6409" max="6409" width="8.33203125" style="210" customWidth="1"/>
    <col min="6410" max="6410" width="8.5" style="210" customWidth="1"/>
    <col min="6411" max="6411" width="8.83203125" style="210" customWidth="1"/>
    <col min="6412" max="6412" width="8.6640625" style="210" customWidth="1"/>
    <col min="6413" max="6413" width="8.83203125" style="210" customWidth="1"/>
    <col min="6414" max="6414" width="12.6640625" style="210" customWidth="1"/>
    <col min="6415" max="6656" width="8.83203125" style="210"/>
    <col min="6657" max="6657" width="28" style="210" customWidth="1"/>
    <col min="6658" max="6658" width="8.33203125" style="210" customWidth="1"/>
    <col min="6659" max="6659" width="9" style="210" customWidth="1"/>
    <col min="6660" max="6660" width="9.83203125" style="210" customWidth="1"/>
    <col min="6661" max="6661" width="10.83203125" style="210" customWidth="1"/>
    <col min="6662" max="6662" width="8.83203125" style="210" customWidth="1"/>
    <col min="6663" max="6663" width="8.1640625" style="210" customWidth="1"/>
    <col min="6664" max="6664" width="10.5" style="210" customWidth="1"/>
    <col min="6665" max="6665" width="8.33203125" style="210" customWidth="1"/>
    <col min="6666" max="6666" width="8.5" style="210" customWidth="1"/>
    <col min="6667" max="6667" width="8.83203125" style="210" customWidth="1"/>
    <col min="6668" max="6668" width="8.6640625" style="210" customWidth="1"/>
    <col min="6669" max="6669" width="8.83203125" style="210" customWidth="1"/>
    <col min="6670" max="6670" width="12.6640625" style="210" customWidth="1"/>
    <col min="6671" max="6912" width="8.83203125" style="210"/>
    <col min="6913" max="6913" width="28" style="210" customWidth="1"/>
    <col min="6914" max="6914" width="8.33203125" style="210" customWidth="1"/>
    <col min="6915" max="6915" width="9" style="210" customWidth="1"/>
    <col min="6916" max="6916" width="9.83203125" style="210" customWidth="1"/>
    <col min="6917" max="6917" width="10.83203125" style="210" customWidth="1"/>
    <col min="6918" max="6918" width="8.83203125" style="210" customWidth="1"/>
    <col min="6919" max="6919" width="8.1640625" style="210" customWidth="1"/>
    <col min="6920" max="6920" width="10.5" style="210" customWidth="1"/>
    <col min="6921" max="6921" width="8.33203125" style="210" customWidth="1"/>
    <col min="6922" max="6922" width="8.5" style="210" customWidth="1"/>
    <col min="6923" max="6923" width="8.83203125" style="210" customWidth="1"/>
    <col min="6924" max="6924" width="8.6640625" style="210" customWidth="1"/>
    <col min="6925" max="6925" width="8.83203125" style="210" customWidth="1"/>
    <col min="6926" max="6926" width="12.6640625" style="210" customWidth="1"/>
    <col min="6927" max="7168" width="8.83203125" style="210"/>
    <col min="7169" max="7169" width="28" style="210" customWidth="1"/>
    <col min="7170" max="7170" width="8.33203125" style="210" customWidth="1"/>
    <col min="7171" max="7171" width="9" style="210" customWidth="1"/>
    <col min="7172" max="7172" width="9.83203125" style="210" customWidth="1"/>
    <col min="7173" max="7173" width="10.83203125" style="210" customWidth="1"/>
    <col min="7174" max="7174" width="8.83203125" style="210" customWidth="1"/>
    <col min="7175" max="7175" width="8.1640625" style="210" customWidth="1"/>
    <col min="7176" max="7176" width="10.5" style="210" customWidth="1"/>
    <col min="7177" max="7177" width="8.33203125" style="210" customWidth="1"/>
    <col min="7178" max="7178" width="8.5" style="210" customWidth="1"/>
    <col min="7179" max="7179" width="8.83203125" style="210" customWidth="1"/>
    <col min="7180" max="7180" width="8.6640625" style="210" customWidth="1"/>
    <col min="7181" max="7181" width="8.83203125" style="210" customWidth="1"/>
    <col min="7182" max="7182" width="12.6640625" style="210" customWidth="1"/>
    <col min="7183" max="7424" width="8.83203125" style="210"/>
    <col min="7425" max="7425" width="28" style="210" customWidth="1"/>
    <col min="7426" max="7426" width="8.33203125" style="210" customWidth="1"/>
    <col min="7427" max="7427" width="9" style="210" customWidth="1"/>
    <col min="7428" max="7428" width="9.83203125" style="210" customWidth="1"/>
    <col min="7429" max="7429" width="10.83203125" style="210" customWidth="1"/>
    <col min="7430" max="7430" width="8.83203125" style="210" customWidth="1"/>
    <col min="7431" max="7431" width="8.1640625" style="210" customWidth="1"/>
    <col min="7432" max="7432" width="10.5" style="210" customWidth="1"/>
    <col min="7433" max="7433" width="8.33203125" style="210" customWidth="1"/>
    <col min="7434" max="7434" width="8.5" style="210" customWidth="1"/>
    <col min="7435" max="7435" width="8.83203125" style="210" customWidth="1"/>
    <col min="7436" max="7436" width="8.6640625" style="210" customWidth="1"/>
    <col min="7437" max="7437" width="8.83203125" style="210" customWidth="1"/>
    <col min="7438" max="7438" width="12.6640625" style="210" customWidth="1"/>
    <col min="7439" max="7680" width="8.83203125" style="210"/>
    <col min="7681" max="7681" width="28" style="210" customWidth="1"/>
    <col min="7682" max="7682" width="8.33203125" style="210" customWidth="1"/>
    <col min="7683" max="7683" width="9" style="210" customWidth="1"/>
    <col min="7684" max="7684" width="9.83203125" style="210" customWidth="1"/>
    <col min="7685" max="7685" width="10.83203125" style="210" customWidth="1"/>
    <col min="7686" max="7686" width="8.83203125" style="210" customWidth="1"/>
    <col min="7687" max="7687" width="8.1640625" style="210" customWidth="1"/>
    <col min="7688" max="7688" width="10.5" style="210" customWidth="1"/>
    <col min="7689" max="7689" width="8.33203125" style="210" customWidth="1"/>
    <col min="7690" max="7690" width="8.5" style="210" customWidth="1"/>
    <col min="7691" max="7691" width="8.83203125" style="210" customWidth="1"/>
    <col min="7692" max="7692" width="8.6640625" style="210" customWidth="1"/>
    <col min="7693" max="7693" width="8.83203125" style="210" customWidth="1"/>
    <col min="7694" max="7694" width="12.6640625" style="210" customWidth="1"/>
    <col min="7695" max="7936" width="8.83203125" style="210"/>
    <col min="7937" max="7937" width="28" style="210" customWidth="1"/>
    <col min="7938" max="7938" width="8.33203125" style="210" customWidth="1"/>
    <col min="7939" max="7939" width="9" style="210" customWidth="1"/>
    <col min="7940" max="7940" width="9.83203125" style="210" customWidth="1"/>
    <col min="7941" max="7941" width="10.83203125" style="210" customWidth="1"/>
    <col min="7942" max="7942" width="8.83203125" style="210" customWidth="1"/>
    <col min="7943" max="7943" width="8.1640625" style="210" customWidth="1"/>
    <col min="7944" max="7944" width="10.5" style="210" customWidth="1"/>
    <col min="7945" max="7945" width="8.33203125" style="210" customWidth="1"/>
    <col min="7946" max="7946" width="8.5" style="210" customWidth="1"/>
    <col min="7947" max="7947" width="8.83203125" style="210" customWidth="1"/>
    <col min="7948" max="7948" width="8.6640625" style="210" customWidth="1"/>
    <col min="7949" max="7949" width="8.83203125" style="210" customWidth="1"/>
    <col min="7950" max="7950" width="12.6640625" style="210" customWidth="1"/>
    <col min="7951" max="8192" width="8.83203125" style="210"/>
    <col min="8193" max="8193" width="28" style="210" customWidth="1"/>
    <col min="8194" max="8194" width="8.33203125" style="210" customWidth="1"/>
    <col min="8195" max="8195" width="9" style="210" customWidth="1"/>
    <col min="8196" max="8196" width="9.83203125" style="210" customWidth="1"/>
    <col min="8197" max="8197" width="10.83203125" style="210" customWidth="1"/>
    <col min="8198" max="8198" width="8.83203125" style="210" customWidth="1"/>
    <col min="8199" max="8199" width="8.1640625" style="210" customWidth="1"/>
    <col min="8200" max="8200" width="10.5" style="210" customWidth="1"/>
    <col min="8201" max="8201" width="8.33203125" style="210" customWidth="1"/>
    <col min="8202" max="8202" width="8.5" style="210" customWidth="1"/>
    <col min="8203" max="8203" width="8.83203125" style="210" customWidth="1"/>
    <col min="8204" max="8204" width="8.6640625" style="210" customWidth="1"/>
    <col min="8205" max="8205" width="8.83203125" style="210" customWidth="1"/>
    <col min="8206" max="8206" width="12.6640625" style="210" customWidth="1"/>
    <col min="8207" max="8448" width="8.83203125" style="210"/>
    <col min="8449" max="8449" width="28" style="210" customWidth="1"/>
    <col min="8450" max="8450" width="8.33203125" style="210" customWidth="1"/>
    <col min="8451" max="8451" width="9" style="210" customWidth="1"/>
    <col min="8452" max="8452" width="9.83203125" style="210" customWidth="1"/>
    <col min="8453" max="8453" width="10.83203125" style="210" customWidth="1"/>
    <col min="8454" max="8454" width="8.83203125" style="210" customWidth="1"/>
    <col min="8455" max="8455" width="8.1640625" style="210" customWidth="1"/>
    <col min="8456" max="8456" width="10.5" style="210" customWidth="1"/>
    <col min="8457" max="8457" width="8.33203125" style="210" customWidth="1"/>
    <col min="8458" max="8458" width="8.5" style="210" customWidth="1"/>
    <col min="8459" max="8459" width="8.83203125" style="210" customWidth="1"/>
    <col min="8460" max="8460" width="8.6640625" style="210" customWidth="1"/>
    <col min="8461" max="8461" width="8.83203125" style="210" customWidth="1"/>
    <col min="8462" max="8462" width="12.6640625" style="210" customWidth="1"/>
    <col min="8463" max="8704" width="8.83203125" style="210"/>
    <col min="8705" max="8705" width="28" style="210" customWidth="1"/>
    <col min="8706" max="8706" width="8.33203125" style="210" customWidth="1"/>
    <col min="8707" max="8707" width="9" style="210" customWidth="1"/>
    <col min="8708" max="8708" width="9.83203125" style="210" customWidth="1"/>
    <col min="8709" max="8709" width="10.83203125" style="210" customWidth="1"/>
    <col min="8710" max="8710" width="8.83203125" style="210" customWidth="1"/>
    <col min="8711" max="8711" width="8.1640625" style="210" customWidth="1"/>
    <col min="8712" max="8712" width="10.5" style="210" customWidth="1"/>
    <col min="8713" max="8713" width="8.33203125" style="210" customWidth="1"/>
    <col min="8714" max="8714" width="8.5" style="210" customWidth="1"/>
    <col min="8715" max="8715" width="8.83203125" style="210" customWidth="1"/>
    <col min="8716" max="8716" width="8.6640625" style="210" customWidth="1"/>
    <col min="8717" max="8717" width="8.83203125" style="210" customWidth="1"/>
    <col min="8718" max="8718" width="12.6640625" style="210" customWidth="1"/>
    <col min="8719" max="8960" width="8.83203125" style="210"/>
    <col min="8961" max="8961" width="28" style="210" customWidth="1"/>
    <col min="8962" max="8962" width="8.33203125" style="210" customWidth="1"/>
    <col min="8963" max="8963" width="9" style="210" customWidth="1"/>
    <col min="8964" max="8964" width="9.83203125" style="210" customWidth="1"/>
    <col min="8965" max="8965" width="10.83203125" style="210" customWidth="1"/>
    <col min="8966" max="8966" width="8.83203125" style="210" customWidth="1"/>
    <col min="8967" max="8967" width="8.1640625" style="210" customWidth="1"/>
    <col min="8968" max="8968" width="10.5" style="210" customWidth="1"/>
    <col min="8969" max="8969" width="8.33203125" style="210" customWidth="1"/>
    <col min="8970" max="8970" width="8.5" style="210" customWidth="1"/>
    <col min="8971" max="8971" width="8.83203125" style="210" customWidth="1"/>
    <col min="8972" max="8972" width="8.6640625" style="210" customWidth="1"/>
    <col min="8973" max="8973" width="8.83203125" style="210" customWidth="1"/>
    <col min="8974" max="8974" width="12.6640625" style="210" customWidth="1"/>
    <col min="8975" max="9216" width="8.83203125" style="210"/>
    <col min="9217" max="9217" width="28" style="210" customWidth="1"/>
    <col min="9218" max="9218" width="8.33203125" style="210" customWidth="1"/>
    <col min="9219" max="9219" width="9" style="210" customWidth="1"/>
    <col min="9220" max="9220" width="9.83203125" style="210" customWidth="1"/>
    <col min="9221" max="9221" width="10.83203125" style="210" customWidth="1"/>
    <col min="9222" max="9222" width="8.83203125" style="210" customWidth="1"/>
    <col min="9223" max="9223" width="8.1640625" style="210" customWidth="1"/>
    <col min="9224" max="9224" width="10.5" style="210" customWidth="1"/>
    <col min="9225" max="9225" width="8.33203125" style="210" customWidth="1"/>
    <col min="9226" max="9226" width="8.5" style="210" customWidth="1"/>
    <col min="9227" max="9227" width="8.83203125" style="210" customWidth="1"/>
    <col min="9228" max="9228" width="8.6640625" style="210" customWidth="1"/>
    <col min="9229" max="9229" width="8.83203125" style="210" customWidth="1"/>
    <col min="9230" max="9230" width="12.6640625" style="210" customWidth="1"/>
    <col min="9231" max="9472" width="8.83203125" style="210"/>
    <col min="9473" max="9473" width="28" style="210" customWidth="1"/>
    <col min="9474" max="9474" width="8.33203125" style="210" customWidth="1"/>
    <col min="9475" max="9475" width="9" style="210" customWidth="1"/>
    <col min="9476" max="9476" width="9.83203125" style="210" customWidth="1"/>
    <col min="9477" max="9477" width="10.83203125" style="210" customWidth="1"/>
    <col min="9478" max="9478" width="8.83203125" style="210" customWidth="1"/>
    <col min="9479" max="9479" width="8.1640625" style="210" customWidth="1"/>
    <col min="9480" max="9480" width="10.5" style="210" customWidth="1"/>
    <col min="9481" max="9481" width="8.33203125" style="210" customWidth="1"/>
    <col min="9482" max="9482" width="8.5" style="210" customWidth="1"/>
    <col min="9483" max="9483" width="8.83203125" style="210" customWidth="1"/>
    <col min="9484" max="9484" width="8.6640625" style="210" customWidth="1"/>
    <col min="9485" max="9485" width="8.83203125" style="210" customWidth="1"/>
    <col min="9486" max="9486" width="12.6640625" style="210" customWidth="1"/>
    <col min="9487" max="9728" width="8.83203125" style="210"/>
    <col min="9729" max="9729" width="28" style="210" customWidth="1"/>
    <col min="9730" max="9730" width="8.33203125" style="210" customWidth="1"/>
    <col min="9731" max="9731" width="9" style="210" customWidth="1"/>
    <col min="9732" max="9732" width="9.83203125" style="210" customWidth="1"/>
    <col min="9733" max="9733" width="10.83203125" style="210" customWidth="1"/>
    <col min="9734" max="9734" width="8.83203125" style="210" customWidth="1"/>
    <col min="9735" max="9735" width="8.1640625" style="210" customWidth="1"/>
    <col min="9736" max="9736" width="10.5" style="210" customWidth="1"/>
    <col min="9737" max="9737" width="8.33203125" style="210" customWidth="1"/>
    <col min="9738" max="9738" width="8.5" style="210" customWidth="1"/>
    <col min="9739" max="9739" width="8.83203125" style="210" customWidth="1"/>
    <col min="9740" max="9740" width="8.6640625" style="210" customWidth="1"/>
    <col min="9741" max="9741" width="8.83203125" style="210" customWidth="1"/>
    <col min="9742" max="9742" width="12.6640625" style="210" customWidth="1"/>
    <col min="9743" max="9984" width="8.83203125" style="210"/>
    <col min="9985" max="9985" width="28" style="210" customWidth="1"/>
    <col min="9986" max="9986" width="8.33203125" style="210" customWidth="1"/>
    <col min="9987" max="9987" width="9" style="210" customWidth="1"/>
    <col min="9988" max="9988" width="9.83203125" style="210" customWidth="1"/>
    <col min="9989" max="9989" width="10.83203125" style="210" customWidth="1"/>
    <col min="9990" max="9990" width="8.83203125" style="210" customWidth="1"/>
    <col min="9991" max="9991" width="8.1640625" style="210" customWidth="1"/>
    <col min="9992" max="9992" width="10.5" style="210" customWidth="1"/>
    <col min="9993" max="9993" width="8.33203125" style="210" customWidth="1"/>
    <col min="9994" max="9994" width="8.5" style="210" customWidth="1"/>
    <col min="9995" max="9995" width="8.83203125" style="210" customWidth="1"/>
    <col min="9996" max="9996" width="8.6640625" style="210" customWidth="1"/>
    <col min="9997" max="9997" width="8.83203125" style="210" customWidth="1"/>
    <col min="9998" max="9998" width="12.6640625" style="210" customWidth="1"/>
    <col min="9999" max="10240" width="8.83203125" style="210"/>
    <col min="10241" max="10241" width="28" style="210" customWidth="1"/>
    <col min="10242" max="10242" width="8.33203125" style="210" customWidth="1"/>
    <col min="10243" max="10243" width="9" style="210" customWidth="1"/>
    <col min="10244" max="10244" width="9.83203125" style="210" customWidth="1"/>
    <col min="10245" max="10245" width="10.83203125" style="210" customWidth="1"/>
    <col min="10246" max="10246" width="8.83203125" style="210" customWidth="1"/>
    <col min="10247" max="10247" width="8.1640625" style="210" customWidth="1"/>
    <col min="10248" max="10248" width="10.5" style="210" customWidth="1"/>
    <col min="10249" max="10249" width="8.33203125" style="210" customWidth="1"/>
    <col min="10250" max="10250" width="8.5" style="210" customWidth="1"/>
    <col min="10251" max="10251" width="8.83203125" style="210" customWidth="1"/>
    <col min="10252" max="10252" width="8.6640625" style="210" customWidth="1"/>
    <col min="10253" max="10253" width="8.83203125" style="210" customWidth="1"/>
    <col min="10254" max="10254" width="12.6640625" style="210" customWidth="1"/>
    <col min="10255" max="10496" width="8.83203125" style="210"/>
    <col min="10497" max="10497" width="28" style="210" customWidth="1"/>
    <col min="10498" max="10498" width="8.33203125" style="210" customWidth="1"/>
    <col min="10499" max="10499" width="9" style="210" customWidth="1"/>
    <col min="10500" max="10500" width="9.83203125" style="210" customWidth="1"/>
    <col min="10501" max="10501" width="10.83203125" style="210" customWidth="1"/>
    <col min="10502" max="10502" width="8.83203125" style="210" customWidth="1"/>
    <col min="10503" max="10503" width="8.1640625" style="210" customWidth="1"/>
    <col min="10504" max="10504" width="10.5" style="210" customWidth="1"/>
    <col min="10505" max="10505" width="8.33203125" style="210" customWidth="1"/>
    <col min="10506" max="10506" width="8.5" style="210" customWidth="1"/>
    <col min="10507" max="10507" width="8.83203125" style="210" customWidth="1"/>
    <col min="10508" max="10508" width="8.6640625" style="210" customWidth="1"/>
    <col min="10509" max="10509" width="8.83203125" style="210" customWidth="1"/>
    <col min="10510" max="10510" width="12.6640625" style="210" customWidth="1"/>
    <col min="10511" max="10752" width="8.83203125" style="210"/>
    <col min="10753" max="10753" width="28" style="210" customWidth="1"/>
    <col min="10754" max="10754" width="8.33203125" style="210" customWidth="1"/>
    <col min="10755" max="10755" width="9" style="210" customWidth="1"/>
    <col min="10756" max="10756" width="9.83203125" style="210" customWidth="1"/>
    <col min="10757" max="10757" width="10.83203125" style="210" customWidth="1"/>
    <col min="10758" max="10758" width="8.83203125" style="210" customWidth="1"/>
    <col min="10759" max="10759" width="8.1640625" style="210" customWidth="1"/>
    <col min="10760" max="10760" width="10.5" style="210" customWidth="1"/>
    <col min="10761" max="10761" width="8.33203125" style="210" customWidth="1"/>
    <col min="10762" max="10762" width="8.5" style="210" customWidth="1"/>
    <col min="10763" max="10763" width="8.83203125" style="210" customWidth="1"/>
    <col min="10764" max="10764" width="8.6640625" style="210" customWidth="1"/>
    <col min="10765" max="10765" width="8.83203125" style="210" customWidth="1"/>
    <col min="10766" max="10766" width="12.6640625" style="210" customWidth="1"/>
    <col min="10767" max="11008" width="8.83203125" style="210"/>
    <col min="11009" max="11009" width="28" style="210" customWidth="1"/>
    <col min="11010" max="11010" width="8.33203125" style="210" customWidth="1"/>
    <col min="11011" max="11011" width="9" style="210" customWidth="1"/>
    <col min="11012" max="11012" width="9.83203125" style="210" customWidth="1"/>
    <col min="11013" max="11013" width="10.83203125" style="210" customWidth="1"/>
    <col min="11014" max="11014" width="8.83203125" style="210" customWidth="1"/>
    <col min="11015" max="11015" width="8.1640625" style="210" customWidth="1"/>
    <col min="11016" max="11016" width="10.5" style="210" customWidth="1"/>
    <col min="11017" max="11017" width="8.33203125" style="210" customWidth="1"/>
    <col min="11018" max="11018" width="8.5" style="210" customWidth="1"/>
    <col min="11019" max="11019" width="8.83203125" style="210" customWidth="1"/>
    <col min="11020" max="11020" width="8.6640625" style="210" customWidth="1"/>
    <col min="11021" max="11021" width="8.83203125" style="210" customWidth="1"/>
    <col min="11022" max="11022" width="12.6640625" style="210" customWidth="1"/>
    <col min="11023" max="11264" width="8.83203125" style="210"/>
    <col min="11265" max="11265" width="28" style="210" customWidth="1"/>
    <col min="11266" max="11266" width="8.33203125" style="210" customWidth="1"/>
    <col min="11267" max="11267" width="9" style="210" customWidth="1"/>
    <col min="11268" max="11268" width="9.83203125" style="210" customWidth="1"/>
    <col min="11269" max="11269" width="10.83203125" style="210" customWidth="1"/>
    <col min="11270" max="11270" width="8.83203125" style="210" customWidth="1"/>
    <col min="11271" max="11271" width="8.1640625" style="210" customWidth="1"/>
    <col min="11272" max="11272" width="10.5" style="210" customWidth="1"/>
    <col min="11273" max="11273" width="8.33203125" style="210" customWidth="1"/>
    <col min="11274" max="11274" width="8.5" style="210" customWidth="1"/>
    <col min="11275" max="11275" width="8.83203125" style="210" customWidth="1"/>
    <col min="11276" max="11276" width="8.6640625" style="210" customWidth="1"/>
    <col min="11277" max="11277" width="8.83203125" style="210" customWidth="1"/>
    <col min="11278" max="11278" width="12.6640625" style="210" customWidth="1"/>
    <col min="11279" max="11520" width="8.83203125" style="210"/>
    <col min="11521" max="11521" width="28" style="210" customWidth="1"/>
    <col min="11522" max="11522" width="8.33203125" style="210" customWidth="1"/>
    <col min="11523" max="11523" width="9" style="210" customWidth="1"/>
    <col min="11524" max="11524" width="9.83203125" style="210" customWidth="1"/>
    <col min="11525" max="11525" width="10.83203125" style="210" customWidth="1"/>
    <col min="11526" max="11526" width="8.83203125" style="210" customWidth="1"/>
    <col min="11527" max="11527" width="8.1640625" style="210" customWidth="1"/>
    <col min="11528" max="11528" width="10.5" style="210" customWidth="1"/>
    <col min="11529" max="11529" width="8.33203125" style="210" customWidth="1"/>
    <col min="11530" max="11530" width="8.5" style="210" customWidth="1"/>
    <col min="11531" max="11531" width="8.83203125" style="210" customWidth="1"/>
    <col min="11532" max="11532" width="8.6640625" style="210" customWidth="1"/>
    <col min="11533" max="11533" width="8.83203125" style="210" customWidth="1"/>
    <col min="11534" max="11534" width="12.6640625" style="210" customWidth="1"/>
    <col min="11535" max="11776" width="8.83203125" style="210"/>
    <col min="11777" max="11777" width="28" style="210" customWidth="1"/>
    <col min="11778" max="11778" width="8.33203125" style="210" customWidth="1"/>
    <col min="11779" max="11779" width="9" style="210" customWidth="1"/>
    <col min="11780" max="11780" width="9.83203125" style="210" customWidth="1"/>
    <col min="11781" max="11781" width="10.83203125" style="210" customWidth="1"/>
    <col min="11782" max="11782" width="8.83203125" style="210" customWidth="1"/>
    <col min="11783" max="11783" width="8.1640625" style="210" customWidth="1"/>
    <col min="11784" max="11784" width="10.5" style="210" customWidth="1"/>
    <col min="11785" max="11785" width="8.33203125" style="210" customWidth="1"/>
    <col min="11786" max="11786" width="8.5" style="210" customWidth="1"/>
    <col min="11787" max="11787" width="8.83203125" style="210" customWidth="1"/>
    <col min="11788" max="11788" width="8.6640625" style="210" customWidth="1"/>
    <col min="11789" max="11789" width="8.83203125" style="210" customWidth="1"/>
    <col min="11790" max="11790" width="12.6640625" style="210" customWidth="1"/>
    <col min="11791" max="12032" width="8.83203125" style="210"/>
    <col min="12033" max="12033" width="28" style="210" customWidth="1"/>
    <col min="12034" max="12034" width="8.33203125" style="210" customWidth="1"/>
    <col min="12035" max="12035" width="9" style="210" customWidth="1"/>
    <col min="12036" max="12036" width="9.83203125" style="210" customWidth="1"/>
    <col min="12037" max="12037" width="10.83203125" style="210" customWidth="1"/>
    <col min="12038" max="12038" width="8.83203125" style="210" customWidth="1"/>
    <col min="12039" max="12039" width="8.1640625" style="210" customWidth="1"/>
    <col min="12040" max="12040" width="10.5" style="210" customWidth="1"/>
    <col min="12041" max="12041" width="8.33203125" style="210" customWidth="1"/>
    <col min="12042" max="12042" width="8.5" style="210" customWidth="1"/>
    <col min="12043" max="12043" width="8.83203125" style="210" customWidth="1"/>
    <col min="12044" max="12044" width="8.6640625" style="210" customWidth="1"/>
    <col min="12045" max="12045" width="8.83203125" style="210" customWidth="1"/>
    <col min="12046" max="12046" width="12.6640625" style="210" customWidth="1"/>
    <col min="12047" max="12288" width="8.83203125" style="210"/>
    <col min="12289" max="12289" width="28" style="210" customWidth="1"/>
    <col min="12290" max="12290" width="8.33203125" style="210" customWidth="1"/>
    <col min="12291" max="12291" width="9" style="210" customWidth="1"/>
    <col min="12292" max="12292" width="9.83203125" style="210" customWidth="1"/>
    <col min="12293" max="12293" width="10.83203125" style="210" customWidth="1"/>
    <col min="12294" max="12294" width="8.83203125" style="210" customWidth="1"/>
    <col min="12295" max="12295" width="8.1640625" style="210" customWidth="1"/>
    <col min="12296" max="12296" width="10.5" style="210" customWidth="1"/>
    <col min="12297" max="12297" width="8.33203125" style="210" customWidth="1"/>
    <col min="12298" max="12298" width="8.5" style="210" customWidth="1"/>
    <col min="12299" max="12299" width="8.83203125" style="210" customWidth="1"/>
    <col min="12300" max="12300" width="8.6640625" style="210" customWidth="1"/>
    <col min="12301" max="12301" width="8.83203125" style="210" customWidth="1"/>
    <col min="12302" max="12302" width="12.6640625" style="210" customWidth="1"/>
    <col min="12303" max="12544" width="8.83203125" style="210"/>
    <col min="12545" max="12545" width="28" style="210" customWidth="1"/>
    <col min="12546" max="12546" width="8.33203125" style="210" customWidth="1"/>
    <col min="12547" max="12547" width="9" style="210" customWidth="1"/>
    <col min="12548" max="12548" width="9.83203125" style="210" customWidth="1"/>
    <col min="12549" max="12549" width="10.83203125" style="210" customWidth="1"/>
    <col min="12550" max="12550" width="8.83203125" style="210" customWidth="1"/>
    <col min="12551" max="12551" width="8.1640625" style="210" customWidth="1"/>
    <col min="12552" max="12552" width="10.5" style="210" customWidth="1"/>
    <col min="12553" max="12553" width="8.33203125" style="210" customWidth="1"/>
    <col min="12554" max="12554" width="8.5" style="210" customWidth="1"/>
    <col min="12555" max="12555" width="8.83203125" style="210" customWidth="1"/>
    <col min="12556" max="12556" width="8.6640625" style="210" customWidth="1"/>
    <col min="12557" max="12557" width="8.83203125" style="210" customWidth="1"/>
    <col min="12558" max="12558" width="12.6640625" style="210" customWidth="1"/>
    <col min="12559" max="12800" width="8.83203125" style="210"/>
    <col min="12801" max="12801" width="28" style="210" customWidth="1"/>
    <col min="12802" max="12802" width="8.33203125" style="210" customWidth="1"/>
    <col min="12803" max="12803" width="9" style="210" customWidth="1"/>
    <col min="12804" max="12804" width="9.83203125" style="210" customWidth="1"/>
    <col min="12805" max="12805" width="10.83203125" style="210" customWidth="1"/>
    <col min="12806" max="12806" width="8.83203125" style="210" customWidth="1"/>
    <col min="12807" max="12807" width="8.1640625" style="210" customWidth="1"/>
    <col min="12808" max="12808" width="10.5" style="210" customWidth="1"/>
    <col min="12809" max="12809" width="8.33203125" style="210" customWidth="1"/>
    <col min="12810" max="12810" width="8.5" style="210" customWidth="1"/>
    <col min="12811" max="12811" width="8.83203125" style="210" customWidth="1"/>
    <col min="12812" max="12812" width="8.6640625" style="210" customWidth="1"/>
    <col min="12813" max="12813" width="8.83203125" style="210" customWidth="1"/>
    <col min="12814" max="12814" width="12.6640625" style="210" customWidth="1"/>
    <col min="12815" max="13056" width="8.83203125" style="210"/>
    <col min="13057" max="13057" width="28" style="210" customWidth="1"/>
    <col min="13058" max="13058" width="8.33203125" style="210" customWidth="1"/>
    <col min="13059" max="13059" width="9" style="210" customWidth="1"/>
    <col min="13060" max="13060" width="9.83203125" style="210" customWidth="1"/>
    <col min="13061" max="13061" width="10.83203125" style="210" customWidth="1"/>
    <col min="13062" max="13062" width="8.83203125" style="210" customWidth="1"/>
    <col min="13063" max="13063" width="8.1640625" style="210" customWidth="1"/>
    <col min="13064" max="13064" width="10.5" style="210" customWidth="1"/>
    <col min="13065" max="13065" width="8.33203125" style="210" customWidth="1"/>
    <col min="13066" max="13066" width="8.5" style="210" customWidth="1"/>
    <col min="13067" max="13067" width="8.83203125" style="210" customWidth="1"/>
    <col min="13068" max="13068" width="8.6640625" style="210" customWidth="1"/>
    <col min="13069" max="13069" width="8.83203125" style="210" customWidth="1"/>
    <col min="13070" max="13070" width="12.6640625" style="210" customWidth="1"/>
    <col min="13071" max="13312" width="8.83203125" style="210"/>
    <col min="13313" max="13313" width="28" style="210" customWidth="1"/>
    <col min="13314" max="13314" width="8.33203125" style="210" customWidth="1"/>
    <col min="13315" max="13315" width="9" style="210" customWidth="1"/>
    <col min="13316" max="13316" width="9.83203125" style="210" customWidth="1"/>
    <col min="13317" max="13317" width="10.83203125" style="210" customWidth="1"/>
    <col min="13318" max="13318" width="8.83203125" style="210" customWidth="1"/>
    <col min="13319" max="13319" width="8.1640625" style="210" customWidth="1"/>
    <col min="13320" max="13320" width="10.5" style="210" customWidth="1"/>
    <col min="13321" max="13321" width="8.33203125" style="210" customWidth="1"/>
    <col min="13322" max="13322" width="8.5" style="210" customWidth="1"/>
    <col min="13323" max="13323" width="8.83203125" style="210" customWidth="1"/>
    <col min="13324" max="13324" width="8.6640625" style="210" customWidth="1"/>
    <col min="13325" max="13325" width="8.83203125" style="210" customWidth="1"/>
    <col min="13326" max="13326" width="12.6640625" style="210" customWidth="1"/>
    <col min="13327" max="13568" width="8.83203125" style="210"/>
    <col min="13569" max="13569" width="28" style="210" customWidth="1"/>
    <col min="13570" max="13570" width="8.33203125" style="210" customWidth="1"/>
    <col min="13571" max="13571" width="9" style="210" customWidth="1"/>
    <col min="13572" max="13572" width="9.83203125" style="210" customWidth="1"/>
    <col min="13573" max="13573" width="10.83203125" style="210" customWidth="1"/>
    <col min="13574" max="13574" width="8.83203125" style="210" customWidth="1"/>
    <col min="13575" max="13575" width="8.1640625" style="210" customWidth="1"/>
    <col min="13576" max="13576" width="10.5" style="210" customWidth="1"/>
    <col min="13577" max="13577" width="8.33203125" style="210" customWidth="1"/>
    <col min="13578" max="13578" width="8.5" style="210" customWidth="1"/>
    <col min="13579" max="13579" width="8.83203125" style="210" customWidth="1"/>
    <col min="13580" max="13580" width="8.6640625" style="210" customWidth="1"/>
    <col min="13581" max="13581" width="8.83203125" style="210" customWidth="1"/>
    <col min="13582" max="13582" width="12.6640625" style="210" customWidth="1"/>
    <col min="13583" max="13824" width="8.83203125" style="210"/>
    <col min="13825" max="13825" width="28" style="210" customWidth="1"/>
    <col min="13826" max="13826" width="8.33203125" style="210" customWidth="1"/>
    <col min="13827" max="13827" width="9" style="210" customWidth="1"/>
    <col min="13828" max="13828" width="9.83203125" style="210" customWidth="1"/>
    <col min="13829" max="13829" width="10.83203125" style="210" customWidth="1"/>
    <col min="13830" max="13830" width="8.83203125" style="210" customWidth="1"/>
    <col min="13831" max="13831" width="8.1640625" style="210" customWidth="1"/>
    <col min="13832" max="13832" width="10.5" style="210" customWidth="1"/>
    <col min="13833" max="13833" width="8.33203125" style="210" customWidth="1"/>
    <col min="13834" max="13834" width="8.5" style="210" customWidth="1"/>
    <col min="13835" max="13835" width="8.83203125" style="210" customWidth="1"/>
    <col min="13836" max="13836" width="8.6640625" style="210" customWidth="1"/>
    <col min="13837" max="13837" width="8.83203125" style="210" customWidth="1"/>
    <col min="13838" max="13838" width="12.6640625" style="210" customWidth="1"/>
    <col min="13839" max="14080" width="8.83203125" style="210"/>
    <col min="14081" max="14081" width="28" style="210" customWidth="1"/>
    <col min="14082" max="14082" width="8.33203125" style="210" customWidth="1"/>
    <col min="14083" max="14083" width="9" style="210" customWidth="1"/>
    <col min="14084" max="14084" width="9.83203125" style="210" customWidth="1"/>
    <col min="14085" max="14085" width="10.83203125" style="210" customWidth="1"/>
    <col min="14086" max="14086" width="8.83203125" style="210" customWidth="1"/>
    <col min="14087" max="14087" width="8.1640625" style="210" customWidth="1"/>
    <col min="14088" max="14088" width="10.5" style="210" customWidth="1"/>
    <col min="14089" max="14089" width="8.33203125" style="210" customWidth="1"/>
    <col min="14090" max="14090" width="8.5" style="210" customWidth="1"/>
    <col min="14091" max="14091" width="8.83203125" style="210" customWidth="1"/>
    <col min="14092" max="14092" width="8.6640625" style="210" customWidth="1"/>
    <col min="14093" max="14093" width="8.83203125" style="210" customWidth="1"/>
    <col min="14094" max="14094" width="12.6640625" style="210" customWidth="1"/>
    <col min="14095" max="14336" width="8.83203125" style="210"/>
    <col min="14337" max="14337" width="28" style="210" customWidth="1"/>
    <col min="14338" max="14338" width="8.33203125" style="210" customWidth="1"/>
    <col min="14339" max="14339" width="9" style="210" customWidth="1"/>
    <col min="14340" max="14340" width="9.83203125" style="210" customWidth="1"/>
    <col min="14341" max="14341" width="10.83203125" style="210" customWidth="1"/>
    <col min="14342" max="14342" width="8.83203125" style="210" customWidth="1"/>
    <col min="14343" max="14343" width="8.1640625" style="210" customWidth="1"/>
    <col min="14344" max="14344" width="10.5" style="210" customWidth="1"/>
    <col min="14345" max="14345" width="8.33203125" style="210" customWidth="1"/>
    <col min="14346" max="14346" width="8.5" style="210" customWidth="1"/>
    <col min="14347" max="14347" width="8.83203125" style="210" customWidth="1"/>
    <col min="14348" max="14348" width="8.6640625" style="210" customWidth="1"/>
    <col min="14349" max="14349" width="8.83203125" style="210" customWidth="1"/>
    <col min="14350" max="14350" width="12.6640625" style="210" customWidth="1"/>
    <col min="14351" max="14592" width="8.83203125" style="210"/>
    <col min="14593" max="14593" width="28" style="210" customWidth="1"/>
    <col min="14594" max="14594" width="8.33203125" style="210" customWidth="1"/>
    <col min="14595" max="14595" width="9" style="210" customWidth="1"/>
    <col min="14596" max="14596" width="9.83203125" style="210" customWidth="1"/>
    <col min="14597" max="14597" width="10.83203125" style="210" customWidth="1"/>
    <col min="14598" max="14598" width="8.83203125" style="210" customWidth="1"/>
    <col min="14599" max="14599" width="8.1640625" style="210" customWidth="1"/>
    <col min="14600" max="14600" width="10.5" style="210" customWidth="1"/>
    <col min="14601" max="14601" width="8.33203125" style="210" customWidth="1"/>
    <col min="14602" max="14602" width="8.5" style="210" customWidth="1"/>
    <col min="14603" max="14603" width="8.83203125" style="210" customWidth="1"/>
    <col min="14604" max="14604" width="8.6640625" style="210" customWidth="1"/>
    <col min="14605" max="14605" width="8.83203125" style="210" customWidth="1"/>
    <col min="14606" max="14606" width="12.6640625" style="210" customWidth="1"/>
    <col min="14607" max="14848" width="8.83203125" style="210"/>
    <col min="14849" max="14849" width="28" style="210" customWidth="1"/>
    <col min="14850" max="14850" width="8.33203125" style="210" customWidth="1"/>
    <col min="14851" max="14851" width="9" style="210" customWidth="1"/>
    <col min="14852" max="14852" width="9.83203125" style="210" customWidth="1"/>
    <col min="14853" max="14853" width="10.83203125" style="210" customWidth="1"/>
    <col min="14854" max="14854" width="8.83203125" style="210" customWidth="1"/>
    <col min="14855" max="14855" width="8.1640625" style="210" customWidth="1"/>
    <col min="14856" max="14856" width="10.5" style="210" customWidth="1"/>
    <col min="14857" max="14857" width="8.33203125" style="210" customWidth="1"/>
    <col min="14858" max="14858" width="8.5" style="210" customWidth="1"/>
    <col min="14859" max="14859" width="8.83203125" style="210" customWidth="1"/>
    <col min="14860" max="14860" width="8.6640625" style="210" customWidth="1"/>
    <col min="14861" max="14861" width="8.83203125" style="210" customWidth="1"/>
    <col min="14862" max="14862" width="12.6640625" style="210" customWidth="1"/>
    <col min="14863" max="15104" width="8.83203125" style="210"/>
    <col min="15105" max="15105" width="28" style="210" customWidth="1"/>
    <col min="15106" max="15106" width="8.33203125" style="210" customWidth="1"/>
    <col min="15107" max="15107" width="9" style="210" customWidth="1"/>
    <col min="15108" max="15108" width="9.83203125" style="210" customWidth="1"/>
    <col min="15109" max="15109" width="10.83203125" style="210" customWidth="1"/>
    <col min="15110" max="15110" width="8.83203125" style="210" customWidth="1"/>
    <col min="15111" max="15111" width="8.1640625" style="210" customWidth="1"/>
    <col min="15112" max="15112" width="10.5" style="210" customWidth="1"/>
    <col min="15113" max="15113" width="8.33203125" style="210" customWidth="1"/>
    <col min="15114" max="15114" width="8.5" style="210" customWidth="1"/>
    <col min="15115" max="15115" width="8.83203125" style="210" customWidth="1"/>
    <col min="15116" max="15116" width="8.6640625" style="210" customWidth="1"/>
    <col min="15117" max="15117" width="8.83203125" style="210" customWidth="1"/>
    <col min="15118" max="15118" width="12.6640625" style="210" customWidth="1"/>
    <col min="15119" max="15360" width="8.83203125" style="210"/>
    <col min="15361" max="15361" width="28" style="210" customWidth="1"/>
    <col min="15362" max="15362" width="8.33203125" style="210" customWidth="1"/>
    <col min="15363" max="15363" width="9" style="210" customWidth="1"/>
    <col min="15364" max="15364" width="9.83203125" style="210" customWidth="1"/>
    <col min="15365" max="15365" width="10.83203125" style="210" customWidth="1"/>
    <col min="15366" max="15366" width="8.83203125" style="210" customWidth="1"/>
    <col min="15367" max="15367" width="8.1640625" style="210" customWidth="1"/>
    <col min="15368" max="15368" width="10.5" style="210" customWidth="1"/>
    <col min="15369" max="15369" width="8.33203125" style="210" customWidth="1"/>
    <col min="15370" max="15370" width="8.5" style="210" customWidth="1"/>
    <col min="15371" max="15371" width="8.83203125" style="210" customWidth="1"/>
    <col min="15372" max="15372" width="8.6640625" style="210" customWidth="1"/>
    <col min="15373" max="15373" width="8.83203125" style="210" customWidth="1"/>
    <col min="15374" max="15374" width="12.6640625" style="210" customWidth="1"/>
    <col min="15375" max="15616" width="8.83203125" style="210"/>
    <col min="15617" max="15617" width="28" style="210" customWidth="1"/>
    <col min="15618" max="15618" width="8.33203125" style="210" customWidth="1"/>
    <col min="15619" max="15619" width="9" style="210" customWidth="1"/>
    <col min="15620" max="15620" width="9.83203125" style="210" customWidth="1"/>
    <col min="15621" max="15621" width="10.83203125" style="210" customWidth="1"/>
    <col min="15622" max="15622" width="8.83203125" style="210" customWidth="1"/>
    <col min="15623" max="15623" width="8.1640625" style="210" customWidth="1"/>
    <col min="15624" max="15624" width="10.5" style="210" customWidth="1"/>
    <col min="15625" max="15625" width="8.33203125" style="210" customWidth="1"/>
    <col min="15626" max="15626" width="8.5" style="210" customWidth="1"/>
    <col min="15627" max="15627" width="8.83203125" style="210" customWidth="1"/>
    <col min="15628" max="15628" width="8.6640625" style="210" customWidth="1"/>
    <col min="15629" max="15629" width="8.83203125" style="210" customWidth="1"/>
    <col min="15630" max="15630" width="12.6640625" style="210" customWidth="1"/>
    <col min="15631" max="15872" width="8.83203125" style="210"/>
    <col min="15873" max="15873" width="28" style="210" customWidth="1"/>
    <col min="15874" max="15874" width="8.33203125" style="210" customWidth="1"/>
    <col min="15875" max="15875" width="9" style="210" customWidth="1"/>
    <col min="15876" max="15876" width="9.83203125" style="210" customWidth="1"/>
    <col min="15877" max="15877" width="10.83203125" style="210" customWidth="1"/>
    <col min="15878" max="15878" width="8.83203125" style="210" customWidth="1"/>
    <col min="15879" max="15879" width="8.1640625" style="210" customWidth="1"/>
    <col min="15880" max="15880" width="10.5" style="210" customWidth="1"/>
    <col min="15881" max="15881" width="8.33203125" style="210" customWidth="1"/>
    <col min="15882" max="15882" width="8.5" style="210" customWidth="1"/>
    <col min="15883" max="15883" width="8.83203125" style="210" customWidth="1"/>
    <col min="15884" max="15884" width="8.6640625" style="210" customWidth="1"/>
    <col min="15885" max="15885" width="8.83203125" style="210" customWidth="1"/>
    <col min="15886" max="15886" width="12.6640625" style="210" customWidth="1"/>
    <col min="15887" max="16128" width="8.83203125" style="210"/>
    <col min="16129" max="16129" width="28" style="210" customWidth="1"/>
    <col min="16130" max="16130" width="8.33203125" style="210" customWidth="1"/>
    <col min="16131" max="16131" width="9" style="210" customWidth="1"/>
    <col min="16132" max="16132" width="9.83203125" style="210" customWidth="1"/>
    <col min="16133" max="16133" width="10.83203125" style="210" customWidth="1"/>
    <col min="16134" max="16134" width="8.83203125" style="210" customWidth="1"/>
    <col min="16135" max="16135" width="8.1640625" style="210" customWidth="1"/>
    <col min="16136" max="16136" width="10.5" style="210" customWidth="1"/>
    <col min="16137" max="16137" width="8.33203125" style="210" customWidth="1"/>
    <col min="16138" max="16138" width="8.5" style="210" customWidth="1"/>
    <col min="16139" max="16139" width="8.83203125" style="210" customWidth="1"/>
    <col min="16140" max="16140" width="8.6640625" style="210" customWidth="1"/>
    <col min="16141" max="16141" width="8.83203125" style="210" customWidth="1"/>
    <col min="16142" max="16142" width="12.6640625" style="210" customWidth="1"/>
    <col min="16143" max="16384" width="8.83203125" style="210"/>
  </cols>
  <sheetData>
    <row r="1" spans="1:254" s="202" customFormat="1" ht="20">
      <c r="A1" s="200" t="s">
        <v>108</v>
      </c>
      <c r="B1" s="200"/>
      <c r="C1" s="200"/>
      <c r="D1" s="200"/>
      <c r="E1" s="200"/>
      <c r="F1" s="201" t="s">
        <v>109</v>
      </c>
      <c r="G1" s="200"/>
      <c r="H1" s="200"/>
      <c r="I1" s="200"/>
      <c r="J1" s="200"/>
      <c r="K1" s="200"/>
      <c r="L1" s="200"/>
      <c r="M1" s="200"/>
      <c r="N1" s="200"/>
    </row>
    <row r="2" spans="1:254" s="204" customFormat="1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</row>
    <row r="3" spans="1:254" ht="16">
      <c r="A3" s="205" t="s">
        <v>110</v>
      </c>
      <c r="B3" s="206" t="s">
        <v>111</v>
      </c>
      <c r="C3" s="207" t="s">
        <v>112</v>
      </c>
      <c r="D3" s="207" t="s">
        <v>113</v>
      </c>
      <c r="E3" s="207" t="s">
        <v>114</v>
      </c>
      <c r="F3" s="207" t="s">
        <v>115</v>
      </c>
      <c r="G3" s="207" t="s">
        <v>116</v>
      </c>
      <c r="H3" s="207" t="s">
        <v>117</v>
      </c>
      <c r="I3" s="207" t="s">
        <v>118</v>
      </c>
      <c r="J3" s="207" t="s">
        <v>119</v>
      </c>
      <c r="K3" s="207" t="s">
        <v>120</v>
      </c>
      <c r="L3" s="207" t="s">
        <v>121</v>
      </c>
      <c r="M3" s="207" t="s">
        <v>122</v>
      </c>
      <c r="N3" s="208" t="s">
        <v>123</v>
      </c>
    </row>
    <row r="4" spans="1:254">
      <c r="A4" s="211" t="s">
        <v>124</v>
      </c>
      <c r="B4" s="212">
        <f>Ægtepar!J31</f>
        <v>38237.9211</v>
      </c>
      <c r="C4" s="213">
        <f t="shared" ref="C4:M5" si="0">B4</f>
        <v>38237.9211</v>
      </c>
      <c r="D4" s="213">
        <f t="shared" si="0"/>
        <v>38237.9211</v>
      </c>
      <c r="E4" s="213">
        <f t="shared" si="0"/>
        <v>38237.9211</v>
      </c>
      <c r="F4" s="213">
        <f t="shared" si="0"/>
        <v>38237.9211</v>
      </c>
      <c r="G4" s="213">
        <f t="shared" si="0"/>
        <v>38237.9211</v>
      </c>
      <c r="H4" s="213">
        <f t="shared" si="0"/>
        <v>38237.9211</v>
      </c>
      <c r="I4" s="213">
        <f t="shared" si="0"/>
        <v>38237.9211</v>
      </c>
      <c r="J4" s="213">
        <f t="shared" si="0"/>
        <v>38237.9211</v>
      </c>
      <c r="K4" s="213">
        <f t="shared" si="0"/>
        <v>38237.9211</v>
      </c>
      <c r="L4" s="213">
        <f t="shared" si="0"/>
        <v>38237.9211</v>
      </c>
      <c r="M4" s="213">
        <f t="shared" si="0"/>
        <v>38237.9211</v>
      </c>
      <c r="N4" s="214">
        <f t="shared" ref="N4:N10" si="1">SUM(B4:M4)</f>
        <v>458855.05319999991</v>
      </c>
    </row>
    <row r="5" spans="1:254">
      <c r="A5" s="211" t="s">
        <v>125</v>
      </c>
      <c r="B5" s="215">
        <f>Ægtepar!L31</f>
        <v>30000.4895</v>
      </c>
      <c r="C5" s="215">
        <f t="shared" si="0"/>
        <v>30000.4895</v>
      </c>
      <c r="D5" s="215">
        <f t="shared" si="0"/>
        <v>30000.4895</v>
      </c>
      <c r="E5" s="215">
        <f t="shared" si="0"/>
        <v>30000.4895</v>
      </c>
      <c r="F5" s="215">
        <f t="shared" si="0"/>
        <v>30000.4895</v>
      </c>
      <c r="G5" s="215">
        <f t="shared" si="0"/>
        <v>30000.4895</v>
      </c>
      <c r="H5" s="215">
        <f t="shared" si="0"/>
        <v>30000.4895</v>
      </c>
      <c r="I5" s="215">
        <f t="shared" si="0"/>
        <v>30000.4895</v>
      </c>
      <c r="J5" s="215">
        <f t="shared" si="0"/>
        <v>30000.4895</v>
      </c>
      <c r="K5" s="215">
        <f t="shared" si="0"/>
        <v>30000.4895</v>
      </c>
      <c r="L5" s="215">
        <f t="shared" si="0"/>
        <v>30000.4895</v>
      </c>
      <c r="M5" s="215">
        <f t="shared" si="0"/>
        <v>30000.4895</v>
      </c>
      <c r="N5" s="216">
        <f t="shared" si="1"/>
        <v>360005.87400000007</v>
      </c>
    </row>
    <row r="6" spans="1:254">
      <c r="A6" s="211" t="s">
        <v>126</v>
      </c>
      <c r="B6" s="212">
        <v>0</v>
      </c>
      <c r="C6" s="213">
        <v>0</v>
      </c>
      <c r="D6" s="213">
        <v>0</v>
      </c>
      <c r="E6" s="213">
        <v>0</v>
      </c>
      <c r="F6" s="213">
        <v>0</v>
      </c>
      <c r="G6" s="213">
        <v>0</v>
      </c>
      <c r="H6" s="213">
        <v>0</v>
      </c>
      <c r="I6" s="213">
        <v>0</v>
      </c>
      <c r="J6" s="213">
        <v>0</v>
      </c>
      <c r="K6" s="213">
        <v>0</v>
      </c>
      <c r="L6" s="213">
        <v>0</v>
      </c>
      <c r="M6" s="213">
        <v>0</v>
      </c>
      <c r="N6" s="214">
        <f t="shared" si="1"/>
        <v>0</v>
      </c>
    </row>
    <row r="7" spans="1:254">
      <c r="A7" s="211" t="s">
        <v>127</v>
      </c>
      <c r="B7" s="215">
        <f>2*3192</f>
        <v>6384</v>
      </c>
      <c r="C7" s="215"/>
      <c r="D7" s="215"/>
      <c r="E7" s="215">
        <f>B7</f>
        <v>6384</v>
      </c>
      <c r="F7" s="215"/>
      <c r="G7" s="215"/>
      <c r="H7" s="215">
        <f>E7</f>
        <v>6384</v>
      </c>
      <c r="I7" s="215"/>
      <c r="J7" s="215"/>
      <c r="K7" s="215">
        <f>H7</f>
        <v>6384</v>
      </c>
      <c r="L7" s="215">
        <v>0</v>
      </c>
      <c r="M7" s="215">
        <f t="shared" ref="M7" si="2">L7</f>
        <v>0</v>
      </c>
      <c r="N7" s="216">
        <f t="shared" si="1"/>
        <v>25536</v>
      </c>
    </row>
    <row r="8" spans="1:254">
      <c r="A8" s="211" t="s">
        <v>128</v>
      </c>
      <c r="B8" s="212">
        <v>0</v>
      </c>
      <c r="C8" s="213">
        <v>0</v>
      </c>
      <c r="D8" s="213">
        <v>0</v>
      </c>
      <c r="E8" s="213">
        <v>0</v>
      </c>
      <c r="F8" s="213">
        <v>0</v>
      </c>
      <c r="G8" s="213">
        <v>0</v>
      </c>
      <c r="H8" s="213">
        <v>0</v>
      </c>
      <c r="I8" s="213">
        <v>0</v>
      </c>
      <c r="J8" s="213">
        <v>0</v>
      </c>
      <c r="K8" s="213">
        <v>0</v>
      </c>
      <c r="L8" s="213">
        <v>0</v>
      </c>
      <c r="M8" s="213">
        <v>0</v>
      </c>
      <c r="N8" s="214">
        <f t="shared" si="1"/>
        <v>0</v>
      </c>
    </row>
    <row r="9" spans="1:254">
      <c r="A9" s="211" t="s">
        <v>129</v>
      </c>
      <c r="B9" s="215">
        <v>0</v>
      </c>
      <c r="C9" s="215">
        <v>0</v>
      </c>
      <c r="D9" s="215">
        <v>0</v>
      </c>
      <c r="E9" s="215">
        <v>0</v>
      </c>
      <c r="F9" s="215">
        <v>0</v>
      </c>
      <c r="G9" s="215">
        <v>0</v>
      </c>
      <c r="H9" s="215">
        <v>0</v>
      </c>
      <c r="I9" s="215">
        <v>0</v>
      </c>
      <c r="J9" s="215">
        <v>0</v>
      </c>
      <c r="K9" s="215">
        <v>0</v>
      </c>
      <c r="L9" s="215">
        <v>0</v>
      </c>
      <c r="M9" s="215">
        <v>0</v>
      </c>
      <c r="N9" s="216">
        <f t="shared" si="1"/>
        <v>0</v>
      </c>
    </row>
    <row r="10" spans="1:254" s="223" customFormat="1" ht="16">
      <c r="A10" s="217" t="s">
        <v>130</v>
      </c>
      <c r="B10" s="218">
        <f t="shared" ref="B10:M10" si="3">SUM(B4:B9)</f>
        <v>74622.410600000003</v>
      </c>
      <c r="C10" s="219">
        <f t="shared" si="3"/>
        <v>68238.410600000003</v>
      </c>
      <c r="D10" s="219">
        <f t="shared" si="3"/>
        <v>68238.410600000003</v>
      </c>
      <c r="E10" s="219">
        <f t="shared" si="3"/>
        <v>74622.410600000003</v>
      </c>
      <c r="F10" s="219">
        <f t="shared" si="3"/>
        <v>68238.410600000003</v>
      </c>
      <c r="G10" s="219">
        <f t="shared" si="3"/>
        <v>68238.410600000003</v>
      </c>
      <c r="H10" s="219">
        <f t="shared" si="3"/>
        <v>74622.410600000003</v>
      </c>
      <c r="I10" s="219">
        <f t="shared" si="3"/>
        <v>68238.410600000003</v>
      </c>
      <c r="J10" s="219">
        <f t="shared" si="3"/>
        <v>68238.410600000003</v>
      </c>
      <c r="K10" s="219">
        <f t="shared" si="3"/>
        <v>74622.410600000003</v>
      </c>
      <c r="L10" s="219">
        <f t="shared" si="3"/>
        <v>68238.410600000003</v>
      </c>
      <c r="M10" s="219">
        <f t="shared" si="3"/>
        <v>68238.410600000003</v>
      </c>
      <c r="N10" s="220">
        <f t="shared" si="1"/>
        <v>844396.92720000027</v>
      </c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2"/>
    </row>
    <row r="11" spans="1:254" s="227" customFormat="1" ht="12">
      <c r="A11" s="224"/>
      <c r="B11" s="225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6"/>
      <c r="AH11" s="228"/>
      <c r="AI11" s="228"/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8"/>
      <c r="AX11" s="228"/>
      <c r="AY11" s="228"/>
      <c r="AZ11" s="228"/>
      <c r="BA11" s="228"/>
      <c r="BB11" s="228"/>
      <c r="BC11" s="228"/>
      <c r="BD11" s="228"/>
      <c r="BE11" s="228"/>
      <c r="BF11" s="228"/>
      <c r="BG11" s="228"/>
      <c r="BH11" s="228"/>
      <c r="BI11" s="228"/>
      <c r="BJ11" s="228"/>
      <c r="BK11" s="228"/>
      <c r="BL11" s="228"/>
      <c r="BM11" s="228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  <c r="CL11" s="228"/>
      <c r="CM11" s="228"/>
      <c r="CN11" s="228"/>
      <c r="CO11" s="228"/>
      <c r="CP11" s="228"/>
      <c r="CQ11" s="228"/>
      <c r="CR11" s="228"/>
      <c r="CS11" s="228"/>
      <c r="CT11" s="228"/>
      <c r="CU11" s="228"/>
      <c r="CV11" s="228"/>
      <c r="CW11" s="228"/>
      <c r="CX11" s="228"/>
      <c r="CY11" s="228"/>
      <c r="CZ11" s="228"/>
      <c r="DA11" s="228"/>
      <c r="DB11" s="228"/>
      <c r="DC11" s="228"/>
      <c r="DD11" s="228"/>
      <c r="DE11" s="228"/>
      <c r="DF11" s="228"/>
      <c r="DG11" s="228"/>
      <c r="DH11" s="228"/>
      <c r="DI11" s="228"/>
      <c r="DJ11" s="228"/>
      <c r="DK11" s="228"/>
      <c r="DL11" s="228"/>
      <c r="DM11" s="228"/>
      <c r="DN11" s="228"/>
      <c r="DO11" s="228"/>
      <c r="DP11" s="228"/>
      <c r="DQ11" s="228"/>
      <c r="DR11" s="228"/>
      <c r="DS11" s="228"/>
      <c r="DT11" s="228"/>
      <c r="DU11" s="228"/>
      <c r="DV11" s="228"/>
      <c r="DW11" s="228"/>
      <c r="DX11" s="228"/>
      <c r="DY11" s="228"/>
      <c r="DZ11" s="228"/>
      <c r="EA11" s="228"/>
      <c r="EB11" s="228"/>
      <c r="EC11" s="228"/>
      <c r="ED11" s="228"/>
      <c r="EE11" s="228"/>
      <c r="EF11" s="228"/>
      <c r="EG11" s="228"/>
      <c r="EH11" s="228"/>
      <c r="EI11" s="228"/>
      <c r="EJ11" s="228"/>
      <c r="EK11" s="228"/>
      <c r="EL11" s="228"/>
      <c r="EM11" s="228"/>
      <c r="EN11" s="228"/>
      <c r="EO11" s="228"/>
      <c r="EP11" s="228"/>
      <c r="EQ11" s="228"/>
      <c r="ER11" s="228"/>
      <c r="ES11" s="228"/>
      <c r="ET11" s="228"/>
      <c r="EU11" s="228"/>
      <c r="EV11" s="228"/>
      <c r="EW11" s="228"/>
      <c r="EX11" s="228"/>
      <c r="EY11" s="228"/>
      <c r="EZ11" s="228"/>
      <c r="FA11" s="228"/>
      <c r="FB11" s="228"/>
      <c r="FC11" s="228"/>
      <c r="FD11" s="228"/>
      <c r="FE11" s="228"/>
      <c r="FF11" s="228"/>
      <c r="FG11" s="228"/>
      <c r="FH11" s="228"/>
      <c r="FI11" s="228"/>
      <c r="FJ11" s="228"/>
      <c r="FK11" s="228"/>
      <c r="FL11" s="228"/>
      <c r="FM11" s="228"/>
      <c r="FN11" s="228"/>
      <c r="FO11" s="228"/>
      <c r="FP11" s="228"/>
      <c r="FQ11" s="228"/>
      <c r="FR11" s="228"/>
      <c r="FS11" s="228"/>
      <c r="FT11" s="228"/>
      <c r="FU11" s="228"/>
      <c r="FV11" s="228"/>
      <c r="FW11" s="228"/>
      <c r="FX11" s="228"/>
      <c r="FY11" s="228"/>
      <c r="FZ11" s="228"/>
      <c r="GA11" s="228"/>
      <c r="GB11" s="228"/>
      <c r="GC11" s="228"/>
      <c r="GD11" s="228"/>
      <c r="GE11" s="228"/>
      <c r="GF11" s="228"/>
      <c r="GG11" s="228"/>
      <c r="GH11" s="228"/>
      <c r="GI11" s="228"/>
      <c r="GJ11" s="228"/>
      <c r="GK11" s="228"/>
      <c r="GL11" s="228"/>
      <c r="GM11" s="228"/>
      <c r="GN11" s="228"/>
      <c r="GO11" s="228"/>
      <c r="GP11" s="228"/>
      <c r="GQ11" s="228"/>
      <c r="GR11" s="228"/>
      <c r="GS11" s="228"/>
      <c r="GT11" s="228"/>
      <c r="GU11" s="228"/>
      <c r="GV11" s="228"/>
      <c r="GW11" s="228"/>
      <c r="GX11" s="228"/>
      <c r="GY11" s="228"/>
      <c r="GZ11" s="228"/>
      <c r="HA11" s="228"/>
      <c r="HB11" s="228"/>
      <c r="HC11" s="228"/>
      <c r="HD11" s="228"/>
      <c r="HE11" s="228"/>
      <c r="HF11" s="228"/>
      <c r="HG11" s="228"/>
      <c r="HH11" s="228"/>
      <c r="HI11" s="228"/>
      <c r="HJ11" s="228"/>
      <c r="HK11" s="228"/>
      <c r="HL11" s="228"/>
      <c r="HM11" s="228"/>
      <c r="HN11" s="228"/>
      <c r="HO11" s="228"/>
      <c r="HP11" s="228"/>
      <c r="HQ11" s="228"/>
      <c r="HR11" s="228"/>
      <c r="HS11" s="228"/>
      <c r="HT11" s="228"/>
      <c r="HU11" s="228"/>
      <c r="HV11" s="228"/>
      <c r="HW11" s="228"/>
      <c r="HX11" s="228"/>
      <c r="HY11" s="228"/>
      <c r="HZ11" s="228"/>
      <c r="IA11" s="228"/>
      <c r="IB11" s="228"/>
      <c r="IC11" s="228"/>
      <c r="ID11" s="228"/>
      <c r="IE11" s="228"/>
      <c r="IF11" s="228"/>
      <c r="IG11" s="228"/>
      <c r="IH11" s="228"/>
      <c r="II11" s="228"/>
      <c r="IJ11" s="228"/>
      <c r="IK11" s="228"/>
      <c r="IL11" s="228"/>
      <c r="IM11" s="228"/>
      <c r="IN11" s="228"/>
      <c r="IO11" s="228"/>
      <c r="IP11" s="228"/>
      <c r="IQ11" s="228"/>
      <c r="IR11" s="228"/>
      <c r="IS11" s="228"/>
      <c r="IT11" s="228"/>
    </row>
    <row r="12" spans="1:254" s="203" customFormat="1">
      <c r="A12" s="229"/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1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32"/>
      <c r="CQ12" s="232"/>
      <c r="CR12" s="232"/>
      <c r="CS12" s="232"/>
      <c r="CT12" s="232"/>
      <c r="CU12" s="232"/>
      <c r="CV12" s="232"/>
      <c r="CW12" s="232"/>
      <c r="CX12" s="232"/>
      <c r="CY12" s="232"/>
      <c r="CZ12" s="232"/>
      <c r="DA12" s="232"/>
      <c r="DB12" s="232"/>
      <c r="DC12" s="232"/>
      <c r="DD12" s="232"/>
      <c r="DE12" s="232"/>
      <c r="DF12" s="232"/>
      <c r="DG12" s="232"/>
      <c r="DH12" s="232"/>
      <c r="DI12" s="232"/>
      <c r="DJ12" s="232"/>
      <c r="DK12" s="232"/>
      <c r="DL12" s="232"/>
      <c r="DM12" s="232"/>
      <c r="DN12" s="232"/>
      <c r="DO12" s="232"/>
      <c r="DP12" s="232"/>
      <c r="DQ12" s="232"/>
      <c r="DR12" s="232"/>
      <c r="DS12" s="232"/>
      <c r="DT12" s="232"/>
      <c r="DU12" s="232"/>
      <c r="DV12" s="232"/>
      <c r="DW12" s="232"/>
      <c r="DX12" s="232"/>
      <c r="DY12" s="232"/>
      <c r="DZ12" s="232"/>
      <c r="EA12" s="232"/>
      <c r="EB12" s="232"/>
      <c r="EC12" s="232"/>
      <c r="ED12" s="232"/>
      <c r="EE12" s="232"/>
      <c r="EF12" s="232"/>
      <c r="EG12" s="232"/>
      <c r="EH12" s="232"/>
      <c r="EI12" s="232"/>
      <c r="EJ12" s="232"/>
      <c r="EK12" s="232"/>
      <c r="EL12" s="232"/>
      <c r="EM12" s="232"/>
      <c r="EN12" s="232"/>
      <c r="EO12" s="232"/>
      <c r="EP12" s="232"/>
      <c r="EQ12" s="232"/>
      <c r="ER12" s="232"/>
      <c r="ES12" s="232"/>
      <c r="ET12" s="232"/>
      <c r="EU12" s="232"/>
      <c r="EV12" s="232"/>
      <c r="EW12" s="232"/>
      <c r="EX12" s="232"/>
      <c r="EY12" s="232"/>
      <c r="EZ12" s="232"/>
      <c r="FA12" s="232"/>
      <c r="FB12" s="232"/>
      <c r="FC12" s="232"/>
      <c r="FD12" s="232"/>
      <c r="FE12" s="232"/>
      <c r="FF12" s="232"/>
      <c r="FG12" s="232"/>
      <c r="FH12" s="232"/>
      <c r="FI12" s="232"/>
      <c r="FJ12" s="232"/>
      <c r="FK12" s="232"/>
      <c r="FL12" s="232"/>
      <c r="FM12" s="232"/>
      <c r="FN12" s="232"/>
      <c r="FO12" s="232"/>
      <c r="FP12" s="232"/>
      <c r="FQ12" s="232"/>
      <c r="FR12" s="232"/>
      <c r="FS12" s="232"/>
      <c r="FT12" s="232"/>
      <c r="FU12" s="232"/>
      <c r="FV12" s="232"/>
      <c r="FW12" s="232"/>
      <c r="FX12" s="232"/>
      <c r="FY12" s="232"/>
      <c r="FZ12" s="232"/>
      <c r="GA12" s="232"/>
      <c r="GB12" s="232"/>
      <c r="GC12" s="232"/>
      <c r="GD12" s="232"/>
      <c r="GE12" s="232"/>
      <c r="GF12" s="232"/>
      <c r="GG12" s="232"/>
      <c r="GH12" s="232"/>
      <c r="GI12" s="232"/>
      <c r="GJ12" s="232"/>
      <c r="GK12" s="232"/>
      <c r="GL12" s="232"/>
      <c r="GM12" s="232"/>
      <c r="GN12" s="232"/>
      <c r="GO12" s="232"/>
      <c r="GP12" s="232"/>
      <c r="GQ12" s="232"/>
      <c r="GR12" s="232"/>
      <c r="GS12" s="232"/>
      <c r="GT12" s="232"/>
      <c r="GU12" s="232"/>
      <c r="GV12" s="232"/>
      <c r="GW12" s="232"/>
      <c r="GX12" s="232"/>
      <c r="GY12" s="232"/>
      <c r="GZ12" s="232"/>
      <c r="HA12" s="232"/>
      <c r="HB12" s="232"/>
      <c r="HC12" s="232"/>
      <c r="HD12" s="232"/>
      <c r="HE12" s="232"/>
      <c r="HF12" s="232"/>
      <c r="HG12" s="232"/>
      <c r="HH12" s="232"/>
      <c r="HI12" s="232"/>
      <c r="HJ12" s="232"/>
      <c r="HK12" s="232"/>
      <c r="HL12" s="232"/>
      <c r="HM12" s="232"/>
      <c r="HN12" s="232"/>
      <c r="HO12" s="232"/>
      <c r="HP12" s="232"/>
      <c r="HQ12" s="232"/>
      <c r="HR12" s="232"/>
      <c r="HS12" s="232"/>
      <c r="HT12" s="232"/>
      <c r="HU12" s="232"/>
      <c r="HV12" s="232"/>
      <c r="HW12" s="232"/>
      <c r="HX12" s="232"/>
      <c r="HY12" s="232"/>
      <c r="HZ12" s="232"/>
      <c r="IA12" s="232"/>
      <c r="IB12" s="232"/>
      <c r="IC12" s="232"/>
      <c r="ID12" s="232"/>
      <c r="IE12" s="232"/>
      <c r="IF12" s="232"/>
      <c r="IG12" s="232"/>
      <c r="IH12" s="232"/>
      <c r="II12" s="232"/>
      <c r="IJ12" s="232"/>
      <c r="IK12" s="232"/>
      <c r="IL12" s="232"/>
      <c r="IM12" s="232"/>
      <c r="IN12" s="232"/>
      <c r="IO12" s="232"/>
      <c r="IP12" s="232"/>
      <c r="IQ12" s="232"/>
      <c r="IR12" s="232"/>
      <c r="IS12" s="232"/>
      <c r="IT12" s="232"/>
    </row>
    <row r="13" spans="1:254" s="237" customFormat="1" ht="16">
      <c r="A13" s="233" t="s">
        <v>131</v>
      </c>
      <c r="B13" s="234" t="s">
        <v>111</v>
      </c>
      <c r="C13" s="235" t="s">
        <v>112</v>
      </c>
      <c r="D13" s="235" t="s">
        <v>113</v>
      </c>
      <c r="E13" s="235" t="s">
        <v>114</v>
      </c>
      <c r="F13" s="235" t="s">
        <v>115</v>
      </c>
      <c r="G13" s="235" t="s">
        <v>116</v>
      </c>
      <c r="H13" s="235" t="s">
        <v>117</v>
      </c>
      <c r="I13" s="235" t="s">
        <v>118</v>
      </c>
      <c r="J13" s="235" t="s">
        <v>119</v>
      </c>
      <c r="K13" s="235" t="s">
        <v>120</v>
      </c>
      <c r="L13" s="235" t="s">
        <v>121</v>
      </c>
      <c r="M13" s="235" t="s">
        <v>122</v>
      </c>
      <c r="N13" s="236" t="s">
        <v>123</v>
      </c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  <c r="BX13" s="238"/>
      <c r="BY13" s="238"/>
      <c r="BZ13" s="238"/>
      <c r="CA13" s="238"/>
      <c r="CB13" s="238"/>
      <c r="CC13" s="238"/>
      <c r="CD13" s="238"/>
      <c r="CE13" s="238"/>
      <c r="CF13" s="238"/>
      <c r="CG13" s="238"/>
      <c r="CH13" s="238"/>
      <c r="CI13" s="238"/>
      <c r="CJ13" s="238"/>
      <c r="CK13" s="238"/>
      <c r="CL13" s="238"/>
      <c r="CM13" s="238"/>
      <c r="CN13" s="238"/>
      <c r="CO13" s="238"/>
      <c r="CP13" s="238"/>
      <c r="CQ13" s="238"/>
      <c r="CR13" s="238"/>
      <c r="CS13" s="238"/>
      <c r="CT13" s="238"/>
      <c r="CU13" s="238"/>
      <c r="CV13" s="238"/>
      <c r="CW13" s="238"/>
      <c r="CX13" s="238"/>
      <c r="CY13" s="238"/>
      <c r="CZ13" s="238"/>
      <c r="DA13" s="238"/>
      <c r="DB13" s="238"/>
      <c r="DC13" s="238"/>
      <c r="DD13" s="238"/>
      <c r="DE13" s="238"/>
      <c r="DF13" s="238"/>
      <c r="DG13" s="238"/>
      <c r="DH13" s="238"/>
      <c r="DI13" s="238"/>
      <c r="DJ13" s="238"/>
      <c r="DK13" s="238"/>
      <c r="DL13" s="238"/>
      <c r="DM13" s="238"/>
      <c r="DN13" s="238"/>
      <c r="DO13" s="238"/>
      <c r="DP13" s="238"/>
      <c r="DQ13" s="238"/>
      <c r="DR13" s="238"/>
      <c r="DS13" s="238"/>
      <c r="DT13" s="238"/>
      <c r="DU13" s="238"/>
      <c r="DV13" s="238"/>
      <c r="DW13" s="238"/>
      <c r="DX13" s="238"/>
      <c r="DY13" s="238"/>
      <c r="DZ13" s="238"/>
      <c r="EA13" s="238"/>
      <c r="EB13" s="238"/>
      <c r="EC13" s="238"/>
      <c r="ED13" s="238"/>
      <c r="EE13" s="238"/>
      <c r="EF13" s="238"/>
      <c r="EG13" s="238"/>
      <c r="EH13" s="238"/>
      <c r="EI13" s="238"/>
      <c r="EJ13" s="238"/>
      <c r="EK13" s="238"/>
      <c r="EL13" s="238"/>
      <c r="EM13" s="238"/>
      <c r="EN13" s="238"/>
      <c r="EO13" s="238"/>
      <c r="EP13" s="238"/>
      <c r="EQ13" s="238"/>
      <c r="ER13" s="238"/>
      <c r="ES13" s="238"/>
      <c r="ET13" s="238"/>
      <c r="EU13" s="238"/>
      <c r="EV13" s="238"/>
      <c r="EW13" s="238"/>
      <c r="EX13" s="238"/>
      <c r="EY13" s="238"/>
      <c r="EZ13" s="238"/>
      <c r="FA13" s="238"/>
      <c r="FB13" s="238"/>
      <c r="FC13" s="238"/>
      <c r="FD13" s="238"/>
      <c r="FE13" s="238"/>
      <c r="FF13" s="238"/>
      <c r="FG13" s="238"/>
      <c r="FH13" s="238"/>
      <c r="FI13" s="238"/>
      <c r="FJ13" s="238"/>
      <c r="FK13" s="238"/>
      <c r="FL13" s="238"/>
      <c r="FM13" s="238"/>
      <c r="FN13" s="238"/>
      <c r="FO13" s="238"/>
      <c r="FP13" s="238"/>
      <c r="FQ13" s="238"/>
      <c r="FR13" s="238"/>
      <c r="FS13" s="238"/>
      <c r="FT13" s="238"/>
      <c r="FU13" s="238"/>
      <c r="FV13" s="238"/>
      <c r="FW13" s="238"/>
      <c r="FX13" s="238"/>
      <c r="FY13" s="238"/>
      <c r="FZ13" s="238"/>
      <c r="GA13" s="238"/>
      <c r="GB13" s="238"/>
      <c r="GC13" s="238"/>
      <c r="GD13" s="238"/>
      <c r="GE13" s="238"/>
      <c r="GF13" s="238"/>
      <c r="GG13" s="238"/>
      <c r="GH13" s="238"/>
      <c r="GI13" s="238"/>
      <c r="GJ13" s="238"/>
      <c r="GK13" s="238"/>
      <c r="GL13" s="238"/>
      <c r="GM13" s="238"/>
      <c r="GN13" s="238"/>
      <c r="GO13" s="238"/>
      <c r="GP13" s="238"/>
      <c r="GQ13" s="238"/>
      <c r="GR13" s="238"/>
      <c r="GS13" s="238"/>
      <c r="GT13" s="238"/>
      <c r="GU13" s="238"/>
      <c r="GV13" s="238"/>
      <c r="GW13" s="238"/>
      <c r="GX13" s="238"/>
      <c r="GY13" s="238"/>
      <c r="GZ13" s="238"/>
      <c r="HA13" s="238"/>
      <c r="HB13" s="238"/>
      <c r="HC13" s="238"/>
      <c r="HD13" s="238"/>
      <c r="HE13" s="238"/>
      <c r="HF13" s="238"/>
      <c r="HG13" s="238"/>
      <c r="HH13" s="238"/>
      <c r="HI13" s="238"/>
      <c r="HJ13" s="238"/>
      <c r="HK13" s="238"/>
      <c r="HL13" s="238"/>
      <c r="HM13" s="238"/>
      <c r="HN13" s="238"/>
      <c r="HO13" s="238"/>
      <c r="HP13" s="238"/>
      <c r="HQ13" s="238"/>
      <c r="HR13" s="238"/>
      <c r="HS13" s="238"/>
      <c r="HT13" s="238"/>
      <c r="HU13" s="238"/>
      <c r="HV13" s="238"/>
      <c r="HW13" s="238"/>
      <c r="HX13" s="238"/>
      <c r="HY13" s="238"/>
      <c r="HZ13" s="238"/>
      <c r="IA13" s="238"/>
      <c r="IB13" s="238"/>
      <c r="IC13" s="238"/>
      <c r="ID13" s="238"/>
      <c r="IE13" s="238"/>
      <c r="IF13" s="238"/>
      <c r="IG13" s="238"/>
      <c r="IH13" s="238"/>
      <c r="II13" s="238"/>
      <c r="IJ13" s="238"/>
      <c r="IK13" s="238"/>
      <c r="IL13" s="238"/>
      <c r="IM13" s="238"/>
      <c r="IN13" s="238"/>
      <c r="IO13" s="238"/>
      <c r="IP13" s="238"/>
      <c r="IQ13" s="238"/>
      <c r="IR13" s="238"/>
      <c r="IS13" s="238"/>
      <c r="IT13" s="238"/>
    </row>
    <row r="14" spans="1:254">
      <c r="A14" s="239" t="s">
        <v>132</v>
      </c>
      <c r="B14" s="240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1"/>
    </row>
    <row r="15" spans="1:254">
      <c r="A15" s="242" t="s">
        <v>133</v>
      </c>
      <c r="B15" s="212">
        <v>18500</v>
      </c>
      <c r="C15" s="213">
        <f t="shared" ref="C15:M16" si="4">B15</f>
        <v>18500</v>
      </c>
      <c r="D15" s="213">
        <f t="shared" si="4"/>
        <v>18500</v>
      </c>
      <c r="E15" s="213">
        <f t="shared" si="4"/>
        <v>18500</v>
      </c>
      <c r="F15" s="213">
        <f t="shared" si="4"/>
        <v>18500</v>
      </c>
      <c r="G15" s="213">
        <f t="shared" si="4"/>
        <v>18500</v>
      </c>
      <c r="H15" s="213">
        <f t="shared" si="4"/>
        <v>18500</v>
      </c>
      <c r="I15" s="213">
        <f t="shared" si="4"/>
        <v>18500</v>
      </c>
      <c r="J15" s="213">
        <f t="shared" si="4"/>
        <v>18500</v>
      </c>
      <c r="K15" s="213">
        <f t="shared" si="4"/>
        <v>18500</v>
      </c>
      <c r="L15" s="213">
        <f t="shared" si="4"/>
        <v>18500</v>
      </c>
      <c r="M15" s="213">
        <f t="shared" si="4"/>
        <v>18500</v>
      </c>
      <c r="N15" s="243">
        <f t="shared" ref="N15:N26" si="5">SUM(B15:M15)</f>
        <v>222000</v>
      </c>
      <c r="O15" s="203" t="s">
        <v>134</v>
      </c>
    </row>
    <row r="16" spans="1:254">
      <c r="A16" s="242" t="s">
        <v>135</v>
      </c>
      <c r="B16" s="215">
        <v>0</v>
      </c>
      <c r="C16" s="215">
        <f t="shared" si="4"/>
        <v>0</v>
      </c>
      <c r="D16" s="215">
        <f t="shared" si="4"/>
        <v>0</v>
      </c>
      <c r="E16" s="215">
        <f t="shared" si="4"/>
        <v>0</v>
      </c>
      <c r="F16" s="215">
        <f t="shared" si="4"/>
        <v>0</v>
      </c>
      <c r="G16" s="215">
        <f t="shared" si="4"/>
        <v>0</v>
      </c>
      <c r="H16" s="215">
        <f t="shared" si="4"/>
        <v>0</v>
      </c>
      <c r="I16" s="215">
        <f t="shared" si="4"/>
        <v>0</v>
      </c>
      <c r="J16" s="215">
        <f t="shared" si="4"/>
        <v>0</v>
      </c>
      <c r="K16" s="215">
        <f t="shared" si="4"/>
        <v>0</v>
      </c>
      <c r="L16" s="215">
        <f t="shared" si="4"/>
        <v>0</v>
      </c>
      <c r="M16" s="215">
        <f t="shared" si="4"/>
        <v>0</v>
      </c>
      <c r="N16" s="244">
        <f t="shared" si="5"/>
        <v>0</v>
      </c>
    </row>
    <row r="17" spans="1:34">
      <c r="A17" s="242" t="s">
        <v>136</v>
      </c>
      <c r="B17" s="212" t="s">
        <v>85</v>
      </c>
      <c r="C17" s="213">
        <v>0</v>
      </c>
      <c r="D17" s="213">
        <v>0</v>
      </c>
      <c r="E17" s="213">
        <v>0</v>
      </c>
      <c r="F17" s="213">
        <v>0</v>
      </c>
      <c r="G17" s="213">
        <v>0</v>
      </c>
      <c r="H17" s="213">
        <v>0</v>
      </c>
      <c r="I17" s="213">
        <v>0</v>
      </c>
      <c r="J17" s="213">
        <v>0</v>
      </c>
      <c r="K17" s="213">
        <v>0</v>
      </c>
      <c r="L17" s="213">
        <v>0</v>
      </c>
      <c r="M17" s="213">
        <v>0</v>
      </c>
      <c r="N17" s="243">
        <f t="shared" si="5"/>
        <v>0</v>
      </c>
    </row>
    <row r="18" spans="1:34">
      <c r="A18" s="242" t="s">
        <v>137</v>
      </c>
      <c r="B18" s="215">
        <v>0</v>
      </c>
      <c r="C18" s="215">
        <f>B18</f>
        <v>0</v>
      </c>
      <c r="D18" s="215">
        <f t="shared" ref="D18:M18" si="6">C18</f>
        <v>0</v>
      </c>
      <c r="E18" s="215">
        <f t="shared" si="6"/>
        <v>0</v>
      </c>
      <c r="F18" s="215">
        <f t="shared" si="6"/>
        <v>0</v>
      </c>
      <c r="G18" s="215">
        <f t="shared" si="6"/>
        <v>0</v>
      </c>
      <c r="H18" s="215">
        <f t="shared" si="6"/>
        <v>0</v>
      </c>
      <c r="I18" s="215">
        <f t="shared" si="6"/>
        <v>0</v>
      </c>
      <c r="J18" s="215">
        <f t="shared" si="6"/>
        <v>0</v>
      </c>
      <c r="K18" s="215">
        <f t="shared" si="6"/>
        <v>0</v>
      </c>
      <c r="L18" s="215">
        <f t="shared" si="6"/>
        <v>0</v>
      </c>
      <c r="M18" s="215">
        <f t="shared" si="6"/>
        <v>0</v>
      </c>
      <c r="N18" s="244"/>
    </row>
    <row r="19" spans="1:34">
      <c r="A19" s="242" t="s">
        <v>138</v>
      </c>
      <c r="B19" s="212">
        <v>1000</v>
      </c>
      <c r="C19" s="213">
        <v>0</v>
      </c>
      <c r="D19" s="213">
        <v>0</v>
      </c>
      <c r="E19" s="213">
        <f>B19</f>
        <v>1000</v>
      </c>
      <c r="F19" s="213">
        <v>0</v>
      </c>
      <c r="G19" s="213">
        <v>0</v>
      </c>
      <c r="H19" s="213">
        <f>E19</f>
        <v>1000</v>
      </c>
      <c r="I19" s="213">
        <v>0</v>
      </c>
      <c r="J19" s="213">
        <v>0</v>
      </c>
      <c r="K19" s="213">
        <f>H19</f>
        <v>1000</v>
      </c>
      <c r="L19" s="213">
        <v>0</v>
      </c>
      <c r="M19" s="213">
        <v>0</v>
      </c>
      <c r="N19" s="243">
        <f t="shared" si="5"/>
        <v>4000</v>
      </c>
    </row>
    <row r="20" spans="1:34">
      <c r="A20" s="242" t="s">
        <v>139</v>
      </c>
      <c r="B20" s="215">
        <v>0</v>
      </c>
      <c r="C20" s="215">
        <f>B20</f>
        <v>0</v>
      </c>
      <c r="D20" s="215">
        <f t="shared" ref="D20:M20" si="7">C20</f>
        <v>0</v>
      </c>
      <c r="E20" s="215">
        <f t="shared" si="7"/>
        <v>0</v>
      </c>
      <c r="F20" s="215">
        <f t="shared" si="7"/>
        <v>0</v>
      </c>
      <c r="G20" s="215">
        <f t="shared" si="7"/>
        <v>0</v>
      </c>
      <c r="H20" s="215">
        <f t="shared" si="7"/>
        <v>0</v>
      </c>
      <c r="I20" s="215">
        <f t="shared" si="7"/>
        <v>0</v>
      </c>
      <c r="J20" s="215">
        <f t="shared" si="7"/>
        <v>0</v>
      </c>
      <c r="K20" s="215">
        <f t="shared" si="7"/>
        <v>0</v>
      </c>
      <c r="L20" s="215">
        <f t="shared" si="7"/>
        <v>0</v>
      </c>
      <c r="M20" s="215">
        <f t="shared" si="7"/>
        <v>0</v>
      </c>
      <c r="N20" s="244">
        <f t="shared" si="5"/>
        <v>0</v>
      </c>
    </row>
    <row r="21" spans="1:34">
      <c r="A21" s="242" t="s">
        <v>91</v>
      </c>
      <c r="B21" s="212" t="s">
        <v>85</v>
      </c>
      <c r="C21" s="213">
        <v>0</v>
      </c>
      <c r="D21" s="213">
        <v>0</v>
      </c>
      <c r="E21" s="213">
        <v>0</v>
      </c>
      <c r="F21" s="213">
        <v>0</v>
      </c>
      <c r="G21" s="213">
        <v>0</v>
      </c>
      <c r="H21" s="213" t="str">
        <f>B21</f>
        <v xml:space="preserve"> </v>
      </c>
      <c r="I21" s="213">
        <v>0</v>
      </c>
      <c r="J21" s="213">
        <v>0</v>
      </c>
      <c r="K21" s="213">
        <v>0</v>
      </c>
      <c r="L21" s="213">
        <v>0</v>
      </c>
      <c r="M21" s="213">
        <v>0</v>
      </c>
      <c r="N21" s="245">
        <f t="shared" si="5"/>
        <v>0</v>
      </c>
    </row>
    <row r="22" spans="1:34">
      <c r="A22" s="242" t="s">
        <v>140</v>
      </c>
      <c r="B22" s="215" t="s">
        <v>85</v>
      </c>
      <c r="C22" s="215" t="str">
        <f t="shared" ref="C22:M22" si="8">B22</f>
        <v xml:space="preserve"> </v>
      </c>
      <c r="D22" s="215" t="str">
        <f t="shared" si="8"/>
        <v xml:space="preserve"> </v>
      </c>
      <c r="E22" s="215" t="str">
        <f t="shared" si="8"/>
        <v xml:space="preserve"> </v>
      </c>
      <c r="F22" s="215" t="str">
        <f t="shared" si="8"/>
        <v xml:space="preserve"> </v>
      </c>
      <c r="G22" s="215" t="str">
        <f t="shared" si="8"/>
        <v xml:space="preserve"> </v>
      </c>
      <c r="H22" s="215" t="str">
        <f t="shared" si="8"/>
        <v xml:space="preserve"> </v>
      </c>
      <c r="I22" s="215" t="str">
        <f t="shared" si="8"/>
        <v xml:space="preserve"> </v>
      </c>
      <c r="J22" s="215" t="str">
        <f t="shared" si="8"/>
        <v xml:space="preserve"> </v>
      </c>
      <c r="K22" s="215" t="str">
        <f t="shared" si="8"/>
        <v xml:space="preserve"> </v>
      </c>
      <c r="L22" s="215" t="str">
        <f t="shared" si="8"/>
        <v xml:space="preserve"> </v>
      </c>
      <c r="M22" s="215" t="str">
        <f t="shared" si="8"/>
        <v xml:space="preserve"> </v>
      </c>
      <c r="N22" s="246">
        <f t="shared" si="5"/>
        <v>0</v>
      </c>
    </row>
    <row r="23" spans="1:34">
      <c r="A23" s="242" t="s">
        <v>141</v>
      </c>
      <c r="B23" s="212" t="s">
        <v>85</v>
      </c>
      <c r="C23" s="213">
        <v>0</v>
      </c>
      <c r="D23" s="213">
        <v>0</v>
      </c>
      <c r="E23" s="213">
        <v>0</v>
      </c>
      <c r="F23" s="213">
        <v>0</v>
      </c>
      <c r="G23" s="213">
        <v>0</v>
      </c>
      <c r="H23" s="213">
        <v>0</v>
      </c>
      <c r="I23" s="213">
        <v>0</v>
      </c>
      <c r="J23" s="213">
        <v>0</v>
      </c>
      <c r="K23" s="213">
        <v>0</v>
      </c>
      <c r="L23" s="213">
        <v>0</v>
      </c>
      <c r="M23" s="213">
        <v>0</v>
      </c>
      <c r="N23" s="245">
        <f t="shared" si="5"/>
        <v>0</v>
      </c>
    </row>
    <row r="24" spans="1:34">
      <c r="A24" s="242" t="s">
        <v>142</v>
      </c>
      <c r="B24" s="215">
        <v>0</v>
      </c>
      <c r="C24" s="215">
        <f>B24</f>
        <v>0</v>
      </c>
      <c r="D24" s="215">
        <f t="shared" ref="D24:M24" si="9">C24</f>
        <v>0</v>
      </c>
      <c r="E24" s="215">
        <f t="shared" si="9"/>
        <v>0</v>
      </c>
      <c r="F24" s="215">
        <f t="shared" si="9"/>
        <v>0</v>
      </c>
      <c r="G24" s="215">
        <f t="shared" si="9"/>
        <v>0</v>
      </c>
      <c r="H24" s="215">
        <f t="shared" si="9"/>
        <v>0</v>
      </c>
      <c r="I24" s="215">
        <f t="shared" si="9"/>
        <v>0</v>
      </c>
      <c r="J24" s="215">
        <f t="shared" si="9"/>
        <v>0</v>
      </c>
      <c r="K24" s="215">
        <f t="shared" si="9"/>
        <v>0</v>
      </c>
      <c r="L24" s="215">
        <f t="shared" si="9"/>
        <v>0</v>
      </c>
      <c r="M24" s="215">
        <f t="shared" si="9"/>
        <v>0</v>
      </c>
      <c r="N24" s="246">
        <f t="shared" si="5"/>
        <v>0</v>
      </c>
      <c r="O24" s="247"/>
    </row>
    <row r="25" spans="1:34">
      <c r="A25" s="242" t="s">
        <v>143</v>
      </c>
      <c r="B25" s="212" t="s">
        <v>85</v>
      </c>
      <c r="C25" s="213">
        <v>0</v>
      </c>
      <c r="D25" s="213">
        <v>0</v>
      </c>
      <c r="E25" s="213">
        <v>0</v>
      </c>
      <c r="F25" s="213">
        <v>0</v>
      </c>
      <c r="G25" s="213">
        <v>0</v>
      </c>
      <c r="H25" s="213">
        <v>0</v>
      </c>
      <c r="I25" s="213">
        <v>0</v>
      </c>
      <c r="J25" s="213">
        <v>0</v>
      </c>
      <c r="K25" s="213">
        <v>0</v>
      </c>
      <c r="L25" s="213">
        <v>0</v>
      </c>
      <c r="M25" s="213">
        <v>0</v>
      </c>
      <c r="N25" s="245">
        <f t="shared" si="5"/>
        <v>0</v>
      </c>
    </row>
    <row r="26" spans="1:34">
      <c r="A26" s="242" t="s">
        <v>144</v>
      </c>
      <c r="B26" s="215">
        <v>0</v>
      </c>
      <c r="C26" s="215">
        <f>B26</f>
        <v>0</v>
      </c>
      <c r="D26" s="215">
        <f t="shared" ref="D26:M26" si="10">C26</f>
        <v>0</v>
      </c>
      <c r="E26" s="215">
        <f t="shared" si="10"/>
        <v>0</v>
      </c>
      <c r="F26" s="215">
        <f t="shared" si="10"/>
        <v>0</v>
      </c>
      <c r="G26" s="215">
        <f t="shared" si="10"/>
        <v>0</v>
      </c>
      <c r="H26" s="215">
        <f t="shared" si="10"/>
        <v>0</v>
      </c>
      <c r="I26" s="215">
        <f t="shared" si="10"/>
        <v>0</v>
      </c>
      <c r="J26" s="215">
        <f t="shared" si="10"/>
        <v>0</v>
      </c>
      <c r="K26" s="215">
        <f t="shared" si="10"/>
        <v>0</v>
      </c>
      <c r="L26" s="215">
        <f t="shared" si="10"/>
        <v>0</v>
      </c>
      <c r="M26" s="215">
        <f t="shared" si="10"/>
        <v>0</v>
      </c>
      <c r="N26" s="246">
        <f t="shared" si="5"/>
        <v>0</v>
      </c>
    </row>
    <row r="27" spans="1:34" s="223" customFormat="1">
      <c r="A27" s="239" t="s">
        <v>145</v>
      </c>
      <c r="B27" s="248">
        <f t="shared" ref="B27:N27" si="11">SUM(B15:B26)</f>
        <v>19500</v>
      </c>
      <c r="C27" s="249">
        <f t="shared" si="11"/>
        <v>18500</v>
      </c>
      <c r="D27" s="249">
        <f t="shared" si="11"/>
        <v>18500</v>
      </c>
      <c r="E27" s="249">
        <f t="shared" si="11"/>
        <v>19500</v>
      </c>
      <c r="F27" s="249">
        <f t="shared" si="11"/>
        <v>18500</v>
      </c>
      <c r="G27" s="249">
        <f t="shared" si="11"/>
        <v>18500</v>
      </c>
      <c r="H27" s="249">
        <f t="shared" si="11"/>
        <v>19500</v>
      </c>
      <c r="I27" s="249">
        <f t="shared" si="11"/>
        <v>18500</v>
      </c>
      <c r="J27" s="249">
        <f t="shared" si="11"/>
        <v>18500</v>
      </c>
      <c r="K27" s="249">
        <f t="shared" si="11"/>
        <v>19500</v>
      </c>
      <c r="L27" s="249">
        <f t="shared" si="11"/>
        <v>18500</v>
      </c>
      <c r="M27" s="249">
        <f t="shared" si="11"/>
        <v>18500</v>
      </c>
      <c r="N27" s="250">
        <f t="shared" si="11"/>
        <v>226000</v>
      </c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2"/>
    </row>
    <row r="28" spans="1:34" s="255" customFormat="1" ht="12">
      <c r="A28" s="251"/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3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54"/>
    </row>
    <row r="29" spans="1:34">
      <c r="A29" s="239" t="s">
        <v>146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56"/>
    </row>
    <row r="30" spans="1:34">
      <c r="A30" s="242" t="s">
        <v>147</v>
      </c>
      <c r="B30" s="257">
        <v>8000</v>
      </c>
      <c r="C30" s="258">
        <v>0</v>
      </c>
      <c r="D30" s="258">
        <v>0</v>
      </c>
      <c r="E30" s="258">
        <v>0</v>
      </c>
      <c r="F30" s="258">
        <v>0</v>
      </c>
      <c r="G30" s="258">
        <v>0</v>
      </c>
      <c r="H30" s="258">
        <v>0</v>
      </c>
      <c r="I30" s="258">
        <v>0</v>
      </c>
      <c r="J30" s="258">
        <v>0</v>
      </c>
      <c r="K30" s="258">
        <v>0</v>
      </c>
      <c r="L30" s="258">
        <v>0</v>
      </c>
      <c r="M30" s="258">
        <v>0</v>
      </c>
      <c r="N30" s="259">
        <f t="shared" ref="N30:N36" si="12">SUM(B30:M30)</f>
        <v>8000</v>
      </c>
    </row>
    <row r="31" spans="1:34">
      <c r="A31" s="242" t="s">
        <v>148</v>
      </c>
      <c r="B31" s="260">
        <v>800</v>
      </c>
      <c r="C31" s="260">
        <v>0</v>
      </c>
      <c r="D31" s="260">
        <v>0</v>
      </c>
      <c r="E31" s="260">
        <v>0</v>
      </c>
      <c r="F31" s="260">
        <v>0</v>
      </c>
      <c r="G31" s="260">
        <v>0</v>
      </c>
      <c r="H31" s="260">
        <v>0</v>
      </c>
      <c r="I31" s="260">
        <v>0</v>
      </c>
      <c r="J31" s="260">
        <v>0</v>
      </c>
      <c r="K31" s="260">
        <v>0</v>
      </c>
      <c r="L31" s="260">
        <v>0</v>
      </c>
      <c r="M31" s="260">
        <v>0</v>
      </c>
      <c r="N31" s="261">
        <f t="shared" si="12"/>
        <v>800</v>
      </c>
    </row>
    <row r="32" spans="1:34">
      <c r="A32" s="242" t="s">
        <v>149</v>
      </c>
      <c r="B32" s="262">
        <v>700</v>
      </c>
      <c r="C32" s="263">
        <f t="shared" ref="C32:M32" si="13">B32</f>
        <v>700</v>
      </c>
      <c r="D32" s="263">
        <f t="shared" si="13"/>
        <v>700</v>
      </c>
      <c r="E32" s="263">
        <f t="shared" si="13"/>
        <v>700</v>
      </c>
      <c r="F32" s="263">
        <f t="shared" si="13"/>
        <v>700</v>
      </c>
      <c r="G32" s="263">
        <f t="shared" si="13"/>
        <v>700</v>
      </c>
      <c r="H32" s="263">
        <f t="shared" si="13"/>
        <v>700</v>
      </c>
      <c r="I32" s="263">
        <f t="shared" si="13"/>
        <v>700</v>
      </c>
      <c r="J32" s="263">
        <f t="shared" si="13"/>
        <v>700</v>
      </c>
      <c r="K32" s="263">
        <f t="shared" si="13"/>
        <v>700</v>
      </c>
      <c r="L32" s="263">
        <f t="shared" si="13"/>
        <v>700</v>
      </c>
      <c r="M32" s="263">
        <f t="shared" si="13"/>
        <v>700</v>
      </c>
      <c r="N32" s="250">
        <f t="shared" si="12"/>
        <v>8400</v>
      </c>
    </row>
    <row r="33" spans="1:34">
      <c r="A33" s="242" t="s">
        <v>150</v>
      </c>
      <c r="B33" s="264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46">
        <f t="shared" si="12"/>
        <v>0</v>
      </c>
    </row>
    <row r="34" spans="1:34">
      <c r="A34" s="242" t="s">
        <v>151</v>
      </c>
      <c r="B34" s="262">
        <v>0</v>
      </c>
      <c r="C34" s="263">
        <f t="shared" ref="C34:M34" si="14">B34</f>
        <v>0</v>
      </c>
      <c r="D34" s="263">
        <f t="shared" si="14"/>
        <v>0</v>
      </c>
      <c r="E34" s="263">
        <f t="shared" si="14"/>
        <v>0</v>
      </c>
      <c r="F34" s="263">
        <f t="shared" si="14"/>
        <v>0</v>
      </c>
      <c r="G34" s="263">
        <f t="shared" si="14"/>
        <v>0</v>
      </c>
      <c r="H34" s="263">
        <f t="shared" si="14"/>
        <v>0</v>
      </c>
      <c r="I34" s="263">
        <f t="shared" si="14"/>
        <v>0</v>
      </c>
      <c r="J34" s="263">
        <f t="shared" si="14"/>
        <v>0</v>
      </c>
      <c r="K34" s="263">
        <f t="shared" si="14"/>
        <v>0</v>
      </c>
      <c r="L34" s="263">
        <f t="shared" si="14"/>
        <v>0</v>
      </c>
      <c r="M34" s="263">
        <f t="shared" si="14"/>
        <v>0</v>
      </c>
      <c r="N34" s="250">
        <f t="shared" si="12"/>
        <v>0</v>
      </c>
    </row>
    <row r="35" spans="1:34">
      <c r="A35" s="242" t="s">
        <v>152</v>
      </c>
      <c r="B35" s="264">
        <v>500</v>
      </c>
      <c r="C35" s="264">
        <v>500</v>
      </c>
      <c r="D35" s="264">
        <v>500</v>
      </c>
      <c r="E35" s="264">
        <v>500</v>
      </c>
      <c r="F35" s="264">
        <v>500</v>
      </c>
      <c r="G35" s="264">
        <v>500</v>
      </c>
      <c r="H35" s="264">
        <v>500</v>
      </c>
      <c r="I35" s="264">
        <v>500</v>
      </c>
      <c r="J35" s="264">
        <v>500</v>
      </c>
      <c r="K35" s="264">
        <v>500</v>
      </c>
      <c r="L35" s="264">
        <v>500</v>
      </c>
      <c r="M35" s="264">
        <v>500</v>
      </c>
      <c r="N35" s="246">
        <f t="shared" si="12"/>
        <v>6000</v>
      </c>
    </row>
    <row r="36" spans="1:34" s="223" customFormat="1">
      <c r="A36" s="239" t="s">
        <v>153</v>
      </c>
      <c r="B36" s="248">
        <f t="shared" ref="B36:M36" si="15">SUM(B30:B35)</f>
        <v>10000</v>
      </c>
      <c r="C36" s="249">
        <f t="shared" si="15"/>
        <v>1200</v>
      </c>
      <c r="D36" s="249">
        <f t="shared" si="15"/>
        <v>1200</v>
      </c>
      <c r="E36" s="249">
        <f t="shared" si="15"/>
        <v>1200</v>
      </c>
      <c r="F36" s="249">
        <f t="shared" si="15"/>
        <v>1200</v>
      </c>
      <c r="G36" s="249">
        <f t="shared" si="15"/>
        <v>1200</v>
      </c>
      <c r="H36" s="249">
        <f t="shared" si="15"/>
        <v>1200</v>
      </c>
      <c r="I36" s="249">
        <f t="shared" si="15"/>
        <v>1200</v>
      </c>
      <c r="J36" s="249">
        <f t="shared" si="15"/>
        <v>1200</v>
      </c>
      <c r="K36" s="249">
        <f t="shared" si="15"/>
        <v>1200</v>
      </c>
      <c r="L36" s="249">
        <f t="shared" si="15"/>
        <v>1200</v>
      </c>
      <c r="M36" s="249">
        <f t="shared" si="15"/>
        <v>1200</v>
      </c>
      <c r="N36" s="250">
        <f t="shared" si="12"/>
        <v>23200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2"/>
    </row>
    <row r="37" spans="1:34" s="255" customFormat="1" ht="12">
      <c r="A37" s="251"/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3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54"/>
    </row>
    <row r="38" spans="1:34">
      <c r="A38" s="239" t="s">
        <v>154</v>
      </c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56"/>
    </row>
    <row r="39" spans="1:34">
      <c r="A39" s="242" t="s">
        <v>155</v>
      </c>
      <c r="B39" s="262">
        <v>0</v>
      </c>
      <c r="C39" s="263">
        <f t="shared" ref="C39:M39" si="16">B39</f>
        <v>0</v>
      </c>
      <c r="D39" s="263">
        <f t="shared" si="16"/>
        <v>0</v>
      </c>
      <c r="E39" s="263">
        <f t="shared" si="16"/>
        <v>0</v>
      </c>
      <c r="F39" s="263">
        <f t="shared" si="16"/>
        <v>0</v>
      </c>
      <c r="G39" s="263">
        <f t="shared" si="16"/>
        <v>0</v>
      </c>
      <c r="H39" s="263">
        <f t="shared" si="16"/>
        <v>0</v>
      </c>
      <c r="I39" s="263">
        <f t="shared" si="16"/>
        <v>0</v>
      </c>
      <c r="J39" s="263">
        <f t="shared" si="16"/>
        <v>0</v>
      </c>
      <c r="K39" s="263">
        <f t="shared" si="16"/>
        <v>0</v>
      </c>
      <c r="L39" s="263">
        <f t="shared" si="16"/>
        <v>0</v>
      </c>
      <c r="M39" s="263">
        <f t="shared" si="16"/>
        <v>0</v>
      </c>
      <c r="N39" s="250">
        <f>SUM(B39:M39)</f>
        <v>0</v>
      </c>
      <c r="O39" s="247"/>
    </row>
    <row r="40" spans="1:34">
      <c r="A40" s="242" t="s">
        <v>129</v>
      </c>
      <c r="B40" s="264">
        <v>0</v>
      </c>
      <c r="C40" s="215">
        <v>0</v>
      </c>
      <c r="D40" s="215">
        <v>0</v>
      </c>
      <c r="E40" s="215">
        <v>0</v>
      </c>
      <c r="F40" s="215">
        <v>0</v>
      </c>
      <c r="G40" s="215">
        <v>0</v>
      </c>
      <c r="H40" s="215">
        <v>0</v>
      </c>
      <c r="I40" s="215">
        <v>0</v>
      </c>
      <c r="J40" s="215">
        <v>0</v>
      </c>
      <c r="K40" s="215">
        <v>0</v>
      </c>
      <c r="L40" s="215">
        <v>0</v>
      </c>
      <c r="M40" s="215">
        <v>0</v>
      </c>
      <c r="N40" s="246">
        <f>SUM(B40:M40)</f>
        <v>0</v>
      </c>
    </row>
    <row r="41" spans="1:34" s="223" customFormat="1">
      <c r="A41" s="239" t="s">
        <v>156</v>
      </c>
      <c r="B41" s="248">
        <f t="shared" ref="B41:M41" si="17">SUM(B39:B40)</f>
        <v>0</v>
      </c>
      <c r="C41" s="249">
        <f t="shared" si="17"/>
        <v>0</v>
      </c>
      <c r="D41" s="249">
        <f t="shared" si="17"/>
        <v>0</v>
      </c>
      <c r="E41" s="249">
        <f t="shared" si="17"/>
        <v>0</v>
      </c>
      <c r="F41" s="249">
        <f t="shared" si="17"/>
        <v>0</v>
      </c>
      <c r="G41" s="249">
        <f t="shared" si="17"/>
        <v>0</v>
      </c>
      <c r="H41" s="249">
        <f t="shared" si="17"/>
        <v>0</v>
      </c>
      <c r="I41" s="249">
        <f t="shared" si="17"/>
        <v>0</v>
      </c>
      <c r="J41" s="249">
        <f t="shared" si="17"/>
        <v>0</v>
      </c>
      <c r="K41" s="249">
        <f t="shared" si="17"/>
        <v>0</v>
      </c>
      <c r="L41" s="249">
        <f t="shared" si="17"/>
        <v>0</v>
      </c>
      <c r="M41" s="249">
        <f t="shared" si="17"/>
        <v>0</v>
      </c>
      <c r="N41" s="250">
        <f>SUM(B41:M41)</f>
        <v>0</v>
      </c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2"/>
    </row>
    <row r="42" spans="1:34" s="255" customFormat="1" ht="12">
      <c r="A42" s="251"/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3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54"/>
    </row>
    <row r="43" spans="1:34">
      <c r="A43" s="239" t="s">
        <v>157</v>
      </c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56"/>
    </row>
    <row r="44" spans="1:34">
      <c r="A44" s="242" t="s">
        <v>158</v>
      </c>
      <c r="B44" s="212">
        <v>0</v>
      </c>
      <c r="C44" s="213">
        <f t="shared" ref="C44:M48" si="18">B44</f>
        <v>0</v>
      </c>
      <c r="D44" s="213">
        <f t="shared" si="18"/>
        <v>0</v>
      </c>
      <c r="E44" s="213">
        <f t="shared" si="18"/>
        <v>0</v>
      </c>
      <c r="F44" s="213">
        <f t="shared" si="18"/>
        <v>0</v>
      </c>
      <c r="G44" s="213">
        <f t="shared" si="18"/>
        <v>0</v>
      </c>
      <c r="H44" s="213">
        <f t="shared" si="18"/>
        <v>0</v>
      </c>
      <c r="I44" s="213">
        <f t="shared" si="18"/>
        <v>0</v>
      </c>
      <c r="J44" s="213">
        <f t="shared" si="18"/>
        <v>0</v>
      </c>
      <c r="K44" s="213">
        <f t="shared" si="18"/>
        <v>0</v>
      </c>
      <c r="L44" s="213">
        <f t="shared" si="18"/>
        <v>0</v>
      </c>
      <c r="M44" s="213">
        <f t="shared" si="18"/>
        <v>0</v>
      </c>
      <c r="N44" s="245">
        <f t="shared" ref="N44:N48" si="19">SUM(B44:M44)</f>
        <v>0</v>
      </c>
    </row>
    <row r="45" spans="1:34">
      <c r="A45" s="242" t="s">
        <v>159</v>
      </c>
      <c r="B45" s="215">
        <v>0</v>
      </c>
      <c r="C45" s="215">
        <f t="shared" si="18"/>
        <v>0</v>
      </c>
      <c r="D45" s="215">
        <f t="shared" si="18"/>
        <v>0</v>
      </c>
      <c r="E45" s="215">
        <f t="shared" si="18"/>
        <v>0</v>
      </c>
      <c r="F45" s="215">
        <f t="shared" si="18"/>
        <v>0</v>
      </c>
      <c r="G45" s="215">
        <f t="shared" si="18"/>
        <v>0</v>
      </c>
      <c r="H45" s="215">
        <f t="shared" si="18"/>
        <v>0</v>
      </c>
      <c r="I45" s="215">
        <f t="shared" si="18"/>
        <v>0</v>
      </c>
      <c r="J45" s="215">
        <f t="shared" si="18"/>
        <v>0</v>
      </c>
      <c r="K45" s="215">
        <f t="shared" si="18"/>
        <v>0</v>
      </c>
      <c r="L45" s="215">
        <f t="shared" si="18"/>
        <v>0</v>
      </c>
      <c r="M45" s="215">
        <f t="shared" si="18"/>
        <v>0</v>
      </c>
      <c r="N45" s="246">
        <f t="shared" si="19"/>
        <v>0</v>
      </c>
      <c r="O45" s="247"/>
    </row>
    <row r="46" spans="1:34">
      <c r="A46" s="242" t="s">
        <v>160</v>
      </c>
      <c r="B46" s="212">
        <v>250</v>
      </c>
      <c r="C46" s="213">
        <f t="shared" si="18"/>
        <v>250</v>
      </c>
      <c r="D46" s="213">
        <f t="shared" si="18"/>
        <v>250</v>
      </c>
      <c r="E46" s="213">
        <f t="shared" si="18"/>
        <v>250</v>
      </c>
      <c r="F46" s="213">
        <f t="shared" si="18"/>
        <v>250</v>
      </c>
      <c r="G46" s="213">
        <f t="shared" si="18"/>
        <v>250</v>
      </c>
      <c r="H46" s="213">
        <f t="shared" si="18"/>
        <v>250</v>
      </c>
      <c r="I46" s="213">
        <f t="shared" si="18"/>
        <v>250</v>
      </c>
      <c r="J46" s="213">
        <f t="shared" si="18"/>
        <v>250</v>
      </c>
      <c r="K46" s="213">
        <f t="shared" si="18"/>
        <v>250</v>
      </c>
      <c r="L46" s="213">
        <f t="shared" si="18"/>
        <v>250</v>
      </c>
      <c r="M46" s="213">
        <f t="shared" si="18"/>
        <v>250</v>
      </c>
      <c r="N46" s="245">
        <f t="shared" si="19"/>
        <v>3000</v>
      </c>
    </row>
    <row r="47" spans="1:34">
      <c r="A47" s="242" t="s">
        <v>161</v>
      </c>
      <c r="B47" s="215">
        <v>300</v>
      </c>
      <c r="C47" s="215">
        <f t="shared" si="18"/>
        <v>300</v>
      </c>
      <c r="D47" s="215">
        <f t="shared" si="18"/>
        <v>300</v>
      </c>
      <c r="E47" s="215">
        <f t="shared" si="18"/>
        <v>300</v>
      </c>
      <c r="F47" s="215">
        <f t="shared" si="18"/>
        <v>300</v>
      </c>
      <c r="G47" s="215">
        <f t="shared" si="18"/>
        <v>300</v>
      </c>
      <c r="H47" s="215">
        <f t="shared" si="18"/>
        <v>300</v>
      </c>
      <c r="I47" s="215">
        <f t="shared" si="18"/>
        <v>300</v>
      </c>
      <c r="J47" s="215">
        <f t="shared" si="18"/>
        <v>300</v>
      </c>
      <c r="K47" s="215">
        <f t="shared" si="18"/>
        <v>300</v>
      </c>
      <c r="L47" s="215">
        <f t="shared" si="18"/>
        <v>300</v>
      </c>
      <c r="M47" s="215">
        <f t="shared" si="18"/>
        <v>300</v>
      </c>
      <c r="N47" s="244">
        <f t="shared" si="19"/>
        <v>3600</v>
      </c>
    </row>
    <row r="48" spans="1:34">
      <c r="A48" s="242" t="s">
        <v>162</v>
      </c>
      <c r="B48" s="215">
        <v>0</v>
      </c>
      <c r="C48" s="215">
        <f>B48</f>
        <v>0</v>
      </c>
      <c r="D48" s="215">
        <f t="shared" si="18"/>
        <v>0</v>
      </c>
      <c r="E48" s="215">
        <f t="shared" si="18"/>
        <v>0</v>
      </c>
      <c r="F48" s="215">
        <f t="shared" si="18"/>
        <v>0</v>
      </c>
      <c r="G48" s="215">
        <f t="shared" si="18"/>
        <v>0</v>
      </c>
      <c r="H48" s="215">
        <f t="shared" si="18"/>
        <v>0</v>
      </c>
      <c r="I48" s="215">
        <f t="shared" si="18"/>
        <v>0</v>
      </c>
      <c r="J48" s="215">
        <f t="shared" si="18"/>
        <v>0</v>
      </c>
      <c r="K48" s="215">
        <f t="shared" si="18"/>
        <v>0</v>
      </c>
      <c r="L48" s="215">
        <f t="shared" si="18"/>
        <v>0</v>
      </c>
      <c r="M48" s="215">
        <f t="shared" si="18"/>
        <v>0</v>
      </c>
      <c r="N48" s="244">
        <f t="shared" si="19"/>
        <v>0</v>
      </c>
    </row>
    <row r="49" spans="1:34" s="223" customFormat="1">
      <c r="A49" s="239" t="s">
        <v>163</v>
      </c>
      <c r="B49" s="248">
        <f t="shared" ref="B49:N49" si="20">SUM(B44:B48)</f>
        <v>550</v>
      </c>
      <c r="C49" s="249">
        <f t="shared" si="20"/>
        <v>550</v>
      </c>
      <c r="D49" s="249">
        <f t="shared" si="20"/>
        <v>550</v>
      </c>
      <c r="E49" s="249">
        <f t="shared" si="20"/>
        <v>550</v>
      </c>
      <c r="F49" s="249">
        <f t="shared" si="20"/>
        <v>550</v>
      </c>
      <c r="G49" s="249">
        <f t="shared" si="20"/>
        <v>550</v>
      </c>
      <c r="H49" s="249">
        <f t="shared" si="20"/>
        <v>550</v>
      </c>
      <c r="I49" s="249">
        <f t="shared" si="20"/>
        <v>550</v>
      </c>
      <c r="J49" s="249">
        <f t="shared" si="20"/>
        <v>550</v>
      </c>
      <c r="K49" s="249">
        <f t="shared" si="20"/>
        <v>550</v>
      </c>
      <c r="L49" s="249">
        <f t="shared" si="20"/>
        <v>550</v>
      </c>
      <c r="M49" s="249">
        <f t="shared" si="20"/>
        <v>550</v>
      </c>
      <c r="N49" s="250">
        <f t="shared" si="20"/>
        <v>6600</v>
      </c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2"/>
    </row>
    <row r="50" spans="1:34" s="255" customFormat="1" ht="12">
      <c r="A50" s="251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3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54"/>
    </row>
    <row r="51" spans="1:34">
      <c r="A51" s="239" t="s">
        <v>164</v>
      </c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56"/>
    </row>
    <row r="52" spans="1:34">
      <c r="A52" s="242" t="s">
        <v>165</v>
      </c>
      <c r="B52" s="265">
        <v>1500</v>
      </c>
      <c r="C52" s="266" t="s">
        <v>85</v>
      </c>
      <c r="D52" s="266" t="s">
        <v>85</v>
      </c>
      <c r="E52" s="266">
        <f>B52</f>
        <v>1500</v>
      </c>
      <c r="F52" s="266" t="s">
        <v>85</v>
      </c>
      <c r="G52" s="266" t="s">
        <v>85</v>
      </c>
      <c r="H52" s="266">
        <f>E52</f>
        <v>1500</v>
      </c>
      <c r="I52" s="266" t="s">
        <v>85</v>
      </c>
      <c r="J52" s="266" t="s">
        <v>85</v>
      </c>
      <c r="K52" s="266">
        <f>H52</f>
        <v>1500</v>
      </c>
      <c r="L52" s="266" t="s">
        <v>85</v>
      </c>
      <c r="M52" s="266" t="s">
        <v>85</v>
      </c>
      <c r="N52" s="245">
        <f t="shared" ref="N52:N60" si="21">SUM(B52:M52)</f>
        <v>6000</v>
      </c>
    </row>
    <row r="53" spans="1:34">
      <c r="A53" s="242" t="s">
        <v>166</v>
      </c>
      <c r="B53" s="267">
        <v>1500</v>
      </c>
      <c r="C53" s="267" t="s">
        <v>85</v>
      </c>
      <c r="D53" s="267" t="str">
        <f t="shared" ref="C53:M56" si="22">C53</f>
        <v xml:space="preserve"> </v>
      </c>
      <c r="E53" s="267">
        <f>B53</f>
        <v>1500</v>
      </c>
      <c r="F53" s="267" t="s">
        <v>85</v>
      </c>
      <c r="G53" s="267" t="s">
        <v>85</v>
      </c>
      <c r="H53" s="267">
        <f>E53</f>
        <v>1500</v>
      </c>
      <c r="I53" s="267" t="s">
        <v>85</v>
      </c>
      <c r="J53" s="267" t="s">
        <v>85</v>
      </c>
      <c r="K53" s="267">
        <f>H53</f>
        <v>1500</v>
      </c>
      <c r="L53" s="267" t="s">
        <v>85</v>
      </c>
      <c r="M53" s="267" t="s">
        <v>85</v>
      </c>
      <c r="N53" s="246">
        <f t="shared" si="21"/>
        <v>6000</v>
      </c>
    </row>
    <row r="54" spans="1:34">
      <c r="A54" s="242" t="s">
        <v>167</v>
      </c>
      <c r="B54" s="265">
        <v>300</v>
      </c>
      <c r="C54" s="266">
        <f t="shared" si="22"/>
        <v>300</v>
      </c>
      <c r="D54" s="266">
        <f t="shared" si="22"/>
        <v>300</v>
      </c>
      <c r="E54" s="266">
        <f t="shared" si="22"/>
        <v>300</v>
      </c>
      <c r="F54" s="266">
        <f t="shared" si="22"/>
        <v>300</v>
      </c>
      <c r="G54" s="266">
        <f t="shared" si="22"/>
        <v>300</v>
      </c>
      <c r="H54" s="266">
        <f t="shared" si="22"/>
        <v>300</v>
      </c>
      <c r="I54" s="266">
        <f t="shared" si="22"/>
        <v>300</v>
      </c>
      <c r="J54" s="266">
        <f t="shared" si="22"/>
        <v>300</v>
      </c>
      <c r="K54" s="266">
        <f t="shared" si="22"/>
        <v>300</v>
      </c>
      <c r="L54" s="266">
        <f t="shared" si="22"/>
        <v>300</v>
      </c>
      <c r="M54" s="266">
        <f t="shared" si="22"/>
        <v>300</v>
      </c>
      <c r="N54" s="245">
        <f t="shared" si="21"/>
        <v>3600</v>
      </c>
    </row>
    <row r="55" spans="1:34">
      <c r="A55" s="242" t="s">
        <v>168</v>
      </c>
      <c r="B55" s="267">
        <v>300</v>
      </c>
      <c r="C55" s="267">
        <f t="shared" si="22"/>
        <v>300</v>
      </c>
      <c r="D55" s="267">
        <f t="shared" si="22"/>
        <v>300</v>
      </c>
      <c r="E55" s="267">
        <f t="shared" si="22"/>
        <v>300</v>
      </c>
      <c r="F55" s="267">
        <f t="shared" si="22"/>
        <v>300</v>
      </c>
      <c r="G55" s="267">
        <f t="shared" si="22"/>
        <v>300</v>
      </c>
      <c r="H55" s="267">
        <f t="shared" si="22"/>
        <v>300</v>
      </c>
      <c r="I55" s="267">
        <f t="shared" si="22"/>
        <v>300</v>
      </c>
      <c r="J55" s="267">
        <f t="shared" si="22"/>
        <v>300</v>
      </c>
      <c r="K55" s="267">
        <f t="shared" si="22"/>
        <v>300</v>
      </c>
      <c r="L55" s="267">
        <f t="shared" si="22"/>
        <v>300</v>
      </c>
      <c r="M55" s="267">
        <f t="shared" si="22"/>
        <v>300</v>
      </c>
      <c r="N55" s="246">
        <f t="shared" si="21"/>
        <v>3600</v>
      </c>
      <c r="O55" s="203" t="s">
        <v>85</v>
      </c>
    </row>
    <row r="56" spans="1:34">
      <c r="A56" s="242" t="s">
        <v>169</v>
      </c>
      <c r="B56" s="265">
        <v>3000</v>
      </c>
      <c r="C56" s="266" t="s">
        <v>85</v>
      </c>
      <c r="D56" s="266" t="str">
        <f t="shared" si="22"/>
        <v xml:space="preserve"> </v>
      </c>
      <c r="E56" s="266" t="str">
        <f t="shared" si="22"/>
        <v xml:space="preserve"> </v>
      </c>
      <c r="F56" s="266" t="str">
        <f t="shared" si="22"/>
        <v xml:space="preserve"> </v>
      </c>
      <c r="G56" s="266" t="str">
        <f t="shared" si="22"/>
        <v xml:space="preserve"> </v>
      </c>
      <c r="H56" s="266" t="str">
        <f t="shared" si="22"/>
        <v xml:space="preserve"> </v>
      </c>
      <c r="I56" s="266" t="str">
        <f t="shared" si="22"/>
        <v xml:space="preserve"> </v>
      </c>
      <c r="J56" s="266" t="str">
        <f t="shared" si="22"/>
        <v xml:space="preserve"> </v>
      </c>
      <c r="K56" s="266" t="str">
        <f t="shared" si="22"/>
        <v xml:space="preserve"> </v>
      </c>
      <c r="L56" s="266" t="str">
        <f t="shared" si="22"/>
        <v xml:space="preserve"> </v>
      </c>
      <c r="M56" s="266" t="str">
        <f t="shared" si="22"/>
        <v xml:space="preserve"> </v>
      </c>
      <c r="N56" s="245">
        <f t="shared" si="21"/>
        <v>3000</v>
      </c>
    </row>
    <row r="57" spans="1:34">
      <c r="A57" s="242" t="s">
        <v>170</v>
      </c>
      <c r="B57" s="267">
        <v>4000</v>
      </c>
      <c r="C57" s="267">
        <v>0</v>
      </c>
      <c r="D57" s="267">
        <v>0</v>
      </c>
      <c r="E57" s="267">
        <v>0</v>
      </c>
      <c r="F57" s="267">
        <v>0</v>
      </c>
      <c r="G57" s="267">
        <v>0</v>
      </c>
      <c r="H57" s="267">
        <v>0</v>
      </c>
      <c r="I57" s="267">
        <v>0</v>
      </c>
      <c r="J57" s="267">
        <v>0</v>
      </c>
      <c r="K57" s="267">
        <v>0</v>
      </c>
      <c r="L57" s="267">
        <v>0</v>
      </c>
      <c r="M57" s="267">
        <v>0</v>
      </c>
      <c r="N57" s="246">
        <f t="shared" si="21"/>
        <v>4000</v>
      </c>
    </row>
    <row r="58" spans="1:34">
      <c r="A58" s="242" t="s">
        <v>171</v>
      </c>
      <c r="B58" s="265">
        <v>0</v>
      </c>
      <c r="C58" s="266">
        <v>0</v>
      </c>
      <c r="D58" s="266">
        <v>0</v>
      </c>
      <c r="E58" s="266">
        <v>0</v>
      </c>
      <c r="F58" s="266">
        <v>0</v>
      </c>
      <c r="G58" s="266">
        <v>0</v>
      </c>
      <c r="H58" s="266">
        <v>0</v>
      </c>
      <c r="I58" s="266">
        <v>0</v>
      </c>
      <c r="J58" s="266">
        <v>0</v>
      </c>
      <c r="K58" s="266">
        <v>0</v>
      </c>
      <c r="L58" s="266">
        <v>0</v>
      </c>
      <c r="M58" s="266">
        <v>0</v>
      </c>
      <c r="N58" s="245">
        <f t="shared" si="21"/>
        <v>0</v>
      </c>
    </row>
    <row r="59" spans="1:34">
      <c r="A59" s="242" t="s">
        <v>172</v>
      </c>
      <c r="B59" s="267">
        <v>0</v>
      </c>
      <c r="C59" s="267">
        <f t="shared" ref="C59:M59" si="23">B59</f>
        <v>0</v>
      </c>
      <c r="D59" s="267">
        <f t="shared" si="23"/>
        <v>0</v>
      </c>
      <c r="E59" s="267">
        <f t="shared" si="23"/>
        <v>0</v>
      </c>
      <c r="F59" s="267">
        <f t="shared" si="23"/>
        <v>0</v>
      </c>
      <c r="G59" s="267">
        <f t="shared" si="23"/>
        <v>0</v>
      </c>
      <c r="H59" s="267">
        <f t="shared" si="23"/>
        <v>0</v>
      </c>
      <c r="I59" s="267">
        <f t="shared" si="23"/>
        <v>0</v>
      </c>
      <c r="J59" s="267">
        <f t="shared" si="23"/>
        <v>0</v>
      </c>
      <c r="K59" s="267">
        <f t="shared" si="23"/>
        <v>0</v>
      </c>
      <c r="L59" s="267">
        <f t="shared" si="23"/>
        <v>0</v>
      </c>
      <c r="M59" s="267">
        <f t="shared" si="23"/>
        <v>0</v>
      </c>
      <c r="N59" s="246">
        <f t="shared" si="21"/>
        <v>0</v>
      </c>
    </row>
    <row r="60" spans="1:34">
      <c r="A60" s="242" t="s">
        <v>129</v>
      </c>
      <c r="B60" s="212">
        <v>0</v>
      </c>
      <c r="C60" s="266">
        <v>0</v>
      </c>
      <c r="D60" s="266">
        <v>0</v>
      </c>
      <c r="E60" s="266">
        <v>0</v>
      </c>
      <c r="F60" s="266">
        <v>0</v>
      </c>
      <c r="G60" s="266">
        <v>0</v>
      </c>
      <c r="H60" s="266">
        <v>0</v>
      </c>
      <c r="I60" s="266">
        <v>0</v>
      </c>
      <c r="J60" s="266">
        <v>0</v>
      </c>
      <c r="K60" s="266">
        <v>0</v>
      </c>
      <c r="L60" s="266">
        <v>0</v>
      </c>
      <c r="M60" s="266">
        <v>0</v>
      </c>
      <c r="N60" s="245">
        <f t="shared" si="21"/>
        <v>0</v>
      </c>
    </row>
    <row r="61" spans="1:34" s="223" customFormat="1">
      <c r="A61" s="239" t="s">
        <v>173</v>
      </c>
      <c r="B61" s="268">
        <f t="shared" ref="B61:N61" si="24">SUM(B52:B60)</f>
        <v>10600</v>
      </c>
      <c r="C61" s="268">
        <f t="shared" si="24"/>
        <v>600</v>
      </c>
      <c r="D61" s="268">
        <f t="shared" si="24"/>
        <v>600</v>
      </c>
      <c r="E61" s="268">
        <f t="shared" si="24"/>
        <v>3600</v>
      </c>
      <c r="F61" s="268">
        <f t="shared" si="24"/>
        <v>600</v>
      </c>
      <c r="G61" s="268">
        <f t="shared" si="24"/>
        <v>600</v>
      </c>
      <c r="H61" s="268">
        <f t="shared" si="24"/>
        <v>3600</v>
      </c>
      <c r="I61" s="268">
        <f t="shared" si="24"/>
        <v>600</v>
      </c>
      <c r="J61" s="268">
        <f t="shared" si="24"/>
        <v>600</v>
      </c>
      <c r="K61" s="268">
        <f t="shared" si="24"/>
        <v>3600</v>
      </c>
      <c r="L61" s="268">
        <f t="shared" si="24"/>
        <v>600</v>
      </c>
      <c r="M61" s="268">
        <f t="shared" si="24"/>
        <v>600</v>
      </c>
      <c r="N61" s="246">
        <f t="shared" si="24"/>
        <v>26200</v>
      </c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2"/>
    </row>
    <row r="62" spans="1:34" s="255" customFormat="1" ht="12">
      <c r="A62" s="251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3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  <c r="AB62" s="227"/>
      <c r="AC62" s="227"/>
      <c r="AD62" s="227"/>
      <c r="AE62" s="227"/>
      <c r="AF62" s="227"/>
      <c r="AG62" s="227"/>
      <c r="AH62" s="254"/>
    </row>
    <row r="63" spans="1:34">
      <c r="A63" s="239" t="s">
        <v>174</v>
      </c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56"/>
    </row>
    <row r="64" spans="1:34">
      <c r="A64" s="242" t="s">
        <v>175</v>
      </c>
      <c r="B64" s="212">
        <v>500</v>
      </c>
      <c r="C64" s="213">
        <f t="shared" ref="C64:M66" si="25">B64</f>
        <v>500</v>
      </c>
      <c r="D64" s="213">
        <f t="shared" si="25"/>
        <v>500</v>
      </c>
      <c r="E64" s="213">
        <f t="shared" si="25"/>
        <v>500</v>
      </c>
      <c r="F64" s="213">
        <f t="shared" si="25"/>
        <v>500</v>
      </c>
      <c r="G64" s="213">
        <f t="shared" si="25"/>
        <v>500</v>
      </c>
      <c r="H64" s="213">
        <f t="shared" si="25"/>
        <v>500</v>
      </c>
      <c r="I64" s="213">
        <f t="shared" si="25"/>
        <v>500</v>
      </c>
      <c r="J64" s="213">
        <f t="shared" si="25"/>
        <v>500</v>
      </c>
      <c r="K64" s="213">
        <f t="shared" si="25"/>
        <v>500</v>
      </c>
      <c r="L64" s="213">
        <f t="shared" si="25"/>
        <v>500</v>
      </c>
      <c r="M64" s="213">
        <f t="shared" si="25"/>
        <v>500</v>
      </c>
      <c r="N64" s="245">
        <f>SUM(B64:M64)</f>
        <v>6000</v>
      </c>
    </row>
    <row r="65" spans="1:34">
      <c r="A65" s="242" t="s">
        <v>176</v>
      </c>
      <c r="B65" s="215">
        <v>0</v>
      </c>
      <c r="C65" s="215">
        <f t="shared" si="25"/>
        <v>0</v>
      </c>
      <c r="D65" s="215">
        <f t="shared" si="25"/>
        <v>0</v>
      </c>
      <c r="E65" s="215">
        <f t="shared" si="25"/>
        <v>0</v>
      </c>
      <c r="F65" s="215">
        <f t="shared" si="25"/>
        <v>0</v>
      </c>
      <c r="G65" s="215">
        <f t="shared" si="25"/>
        <v>0</v>
      </c>
      <c r="H65" s="215">
        <f t="shared" si="25"/>
        <v>0</v>
      </c>
      <c r="I65" s="215">
        <f t="shared" si="25"/>
        <v>0</v>
      </c>
      <c r="J65" s="215">
        <f t="shared" si="25"/>
        <v>0</v>
      </c>
      <c r="K65" s="215">
        <f t="shared" si="25"/>
        <v>0</v>
      </c>
      <c r="L65" s="215">
        <f t="shared" si="25"/>
        <v>0</v>
      </c>
      <c r="M65" s="215">
        <f t="shared" si="25"/>
        <v>0</v>
      </c>
      <c r="N65" s="246">
        <f>SUM(B65:M65)</f>
        <v>0</v>
      </c>
    </row>
    <row r="66" spans="1:34">
      <c r="A66" s="242" t="s">
        <v>177</v>
      </c>
      <c r="B66" s="212">
        <v>0</v>
      </c>
      <c r="C66" s="213">
        <f t="shared" si="25"/>
        <v>0</v>
      </c>
      <c r="D66" s="213">
        <f t="shared" si="25"/>
        <v>0</v>
      </c>
      <c r="E66" s="213">
        <f t="shared" si="25"/>
        <v>0</v>
      </c>
      <c r="F66" s="213">
        <f t="shared" si="25"/>
        <v>0</v>
      </c>
      <c r="G66" s="213">
        <f t="shared" si="25"/>
        <v>0</v>
      </c>
      <c r="H66" s="213">
        <f t="shared" si="25"/>
        <v>0</v>
      </c>
      <c r="I66" s="213">
        <f t="shared" si="25"/>
        <v>0</v>
      </c>
      <c r="J66" s="213">
        <f t="shared" si="25"/>
        <v>0</v>
      </c>
      <c r="K66" s="213">
        <f t="shared" si="25"/>
        <v>0</v>
      </c>
      <c r="L66" s="213">
        <f t="shared" si="25"/>
        <v>0</v>
      </c>
      <c r="M66" s="213">
        <f t="shared" si="25"/>
        <v>0</v>
      </c>
      <c r="N66" s="245">
        <f>SUM(B66:M66)</f>
        <v>0</v>
      </c>
    </row>
    <row r="67" spans="1:34">
      <c r="A67" s="242" t="s">
        <v>178</v>
      </c>
      <c r="B67" s="215">
        <v>0</v>
      </c>
      <c r="C67" s="215">
        <v>0</v>
      </c>
      <c r="D67" s="215">
        <v>0</v>
      </c>
      <c r="E67" s="215">
        <v>0</v>
      </c>
      <c r="F67" s="215">
        <v>0</v>
      </c>
      <c r="G67" s="215">
        <v>0</v>
      </c>
      <c r="H67" s="215">
        <v>0</v>
      </c>
      <c r="I67" s="215">
        <v>0</v>
      </c>
      <c r="J67" s="215">
        <v>0</v>
      </c>
      <c r="K67" s="215">
        <v>0</v>
      </c>
      <c r="L67" s="215">
        <v>0</v>
      </c>
      <c r="M67" s="215">
        <v>0</v>
      </c>
      <c r="N67" s="246">
        <f>SUM(B67:M67)</f>
        <v>0</v>
      </c>
    </row>
    <row r="68" spans="1:34">
      <c r="A68" s="242" t="s">
        <v>129</v>
      </c>
      <c r="B68" s="212">
        <v>0</v>
      </c>
      <c r="C68" s="213">
        <v>0</v>
      </c>
      <c r="D68" s="213">
        <v>0</v>
      </c>
      <c r="E68" s="213">
        <v>0</v>
      </c>
      <c r="F68" s="213">
        <v>0</v>
      </c>
      <c r="G68" s="213">
        <v>0</v>
      </c>
      <c r="H68" s="213">
        <v>0</v>
      </c>
      <c r="I68" s="213">
        <v>0</v>
      </c>
      <c r="J68" s="213">
        <v>0</v>
      </c>
      <c r="K68" s="213">
        <v>0</v>
      </c>
      <c r="L68" s="213">
        <v>0</v>
      </c>
      <c r="M68" s="213">
        <v>0</v>
      </c>
      <c r="N68" s="245">
        <f>SUM(B68:M68)</f>
        <v>0</v>
      </c>
    </row>
    <row r="69" spans="1:34">
      <c r="A69" s="239" t="s">
        <v>179</v>
      </c>
      <c r="B69" s="268">
        <f t="shared" ref="B69:N69" si="26">SUM(B64:B68)</f>
        <v>500</v>
      </c>
      <c r="C69" s="268">
        <f t="shared" si="26"/>
        <v>500</v>
      </c>
      <c r="D69" s="268">
        <f t="shared" si="26"/>
        <v>500</v>
      </c>
      <c r="E69" s="268">
        <f t="shared" si="26"/>
        <v>500</v>
      </c>
      <c r="F69" s="268">
        <f t="shared" si="26"/>
        <v>500</v>
      </c>
      <c r="G69" s="268">
        <f t="shared" si="26"/>
        <v>500</v>
      </c>
      <c r="H69" s="268">
        <f t="shared" si="26"/>
        <v>500</v>
      </c>
      <c r="I69" s="268">
        <f t="shared" si="26"/>
        <v>500</v>
      </c>
      <c r="J69" s="268">
        <f t="shared" si="26"/>
        <v>500</v>
      </c>
      <c r="K69" s="268">
        <f t="shared" si="26"/>
        <v>500</v>
      </c>
      <c r="L69" s="268">
        <f t="shared" si="26"/>
        <v>500</v>
      </c>
      <c r="M69" s="268">
        <f t="shared" si="26"/>
        <v>500</v>
      </c>
      <c r="N69" s="246">
        <f t="shared" si="26"/>
        <v>6000</v>
      </c>
    </row>
    <row r="70" spans="1:34" s="271" customFormat="1" ht="12">
      <c r="A70" s="251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3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  <c r="AA70" s="269"/>
      <c r="AB70" s="269"/>
      <c r="AC70" s="269"/>
      <c r="AD70" s="269"/>
      <c r="AE70" s="269"/>
      <c r="AF70" s="269"/>
      <c r="AG70" s="269"/>
      <c r="AH70" s="270"/>
    </row>
    <row r="71" spans="1:34" hidden="1">
      <c r="A71" s="239" t="s">
        <v>180</v>
      </c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56"/>
    </row>
    <row r="72" spans="1:34" hidden="1">
      <c r="A72" s="242" t="s">
        <v>129</v>
      </c>
      <c r="B72" s="212">
        <v>0</v>
      </c>
      <c r="C72" s="213">
        <v>0</v>
      </c>
      <c r="D72" s="213">
        <v>0</v>
      </c>
      <c r="E72" s="213">
        <v>0</v>
      </c>
      <c r="F72" s="213">
        <v>0</v>
      </c>
      <c r="G72" s="213">
        <v>0</v>
      </c>
      <c r="H72" s="213">
        <v>0</v>
      </c>
      <c r="I72" s="213">
        <v>0</v>
      </c>
      <c r="J72" s="213">
        <v>0</v>
      </c>
      <c r="K72" s="213">
        <v>0</v>
      </c>
      <c r="L72" s="213">
        <v>0</v>
      </c>
      <c r="M72" s="213">
        <v>0</v>
      </c>
      <c r="N72" s="245">
        <f>SUM(B72:M72)</f>
        <v>0</v>
      </c>
    </row>
    <row r="73" spans="1:34" hidden="1">
      <c r="A73" s="242" t="s">
        <v>129</v>
      </c>
      <c r="B73" s="215">
        <v>0</v>
      </c>
      <c r="C73" s="215">
        <v>0</v>
      </c>
      <c r="D73" s="215">
        <v>0</v>
      </c>
      <c r="E73" s="215">
        <v>0</v>
      </c>
      <c r="F73" s="215">
        <v>0</v>
      </c>
      <c r="G73" s="215">
        <v>0</v>
      </c>
      <c r="H73" s="215">
        <v>0</v>
      </c>
      <c r="I73" s="215">
        <v>0</v>
      </c>
      <c r="J73" s="215">
        <v>0</v>
      </c>
      <c r="K73" s="215">
        <v>0</v>
      </c>
      <c r="L73" s="215">
        <v>0</v>
      </c>
      <c r="M73" s="215">
        <v>0</v>
      </c>
      <c r="N73" s="246">
        <f>SUM(B73:M73)</f>
        <v>0</v>
      </c>
    </row>
    <row r="74" spans="1:34" hidden="1">
      <c r="A74" s="239" t="s">
        <v>181</v>
      </c>
      <c r="B74" s="218">
        <f t="shared" ref="B74:N74" si="27">SUM(B72:B73)</f>
        <v>0</v>
      </c>
      <c r="C74" s="219">
        <f t="shared" si="27"/>
        <v>0</v>
      </c>
      <c r="D74" s="219">
        <f t="shared" si="27"/>
        <v>0</v>
      </c>
      <c r="E74" s="219">
        <f t="shared" si="27"/>
        <v>0</v>
      </c>
      <c r="F74" s="219">
        <f t="shared" si="27"/>
        <v>0</v>
      </c>
      <c r="G74" s="219">
        <f t="shared" si="27"/>
        <v>0</v>
      </c>
      <c r="H74" s="219">
        <f t="shared" si="27"/>
        <v>0</v>
      </c>
      <c r="I74" s="219">
        <f t="shared" si="27"/>
        <v>0</v>
      </c>
      <c r="J74" s="219">
        <f t="shared" si="27"/>
        <v>0</v>
      </c>
      <c r="K74" s="219">
        <f t="shared" si="27"/>
        <v>0</v>
      </c>
      <c r="L74" s="219">
        <f t="shared" si="27"/>
        <v>0</v>
      </c>
      <c r="M74" s="219">
        <f t="shared" si="27"/>
        <v>0</v>
      </c>
      <c r="N74" s="272">
        <f t="shared" si="27"/>
        <v>0</v>
      </c>
    </row>
    <row r="75" spans="1:34" s="271" customFormat="1" ht="12">
      <c r="A75" s="251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4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  <c r="AB75" s="269"/>
      <c r="AC75" s="269"/>
      <c r="AD75" s="269"/>
      <c r="AE75" s="269"/>
      <c r="AF75" s="269"/>
      <c r="AG75" s="269"/>
      <c r="AH75" s="270"/>
    </row>
    <row r="76" spans="1:34">
      <c r="A76" s="239" t="s">
        <v>129</v>
      </c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56"/>
    </row>
    <row r="77" spans="1:34">
      <c r="A77" s="242" t="s">
        <v>182</v>
      </c>
      <c r="B77" s="212"/>
      <c r="C77" s="213">
        <f>B77</f>
        <v>0</v>
      </c>
      <c r="D77" s="213">
        <f t="shared" ref="D77:M77" si="28">C77</f>
        <v>0</v>
      </c>
      <c r="E77" s="213">
        <f t="shared" si="28"/>
        <v>0</v>
      </c>
      <c r="F77" s="213">
        <f t="shared" si="28"/>
        <v>0</v>
      </c>
      <c r="G77" s="213">
        <f t="shared" si="28"/>
        <v>0</v>
      </c>
      <c r="H77" s="213">
        <f t="shared" si="28"/>
        <v>0</v>
      </c>
      <c r="I77" s="213">
        <f t="shared" si="28"/>
        <v>0</v>
      </c>
      <c r="J77" s="213">
        <f t="shared" si="28"/>
        <v>0</v>
      </c>
      <c r="K77" s="213">
        <f t="shared" si="28"/>
        <v>0</v>
      </c>
      <c r="L77" s="213">
        <f t="shared" si="28"/>
        <v>0</v>
      </c>
      <c r="M77" s="213">
        <f t="shared" si="28"/>
        <v>0</v>
      </c>
      <c r="N77" s="245">
        <f>SUM(B77:M77)</f>
        <v>0</v>
      </c>
    </row>
    <row r="78" spans="1:34">
      <c r="A78" s="242" t="s">
        <v>183</v>
      </c>
      <c r="B78" s="215">
        <v>1500</v>
      </c>
      <c r="C78" s="215">
        <v>1500</v>
      </c>
      <c r="D78" s="215">
        <v>1500</v>
      </c>
      <c r="E78" s="215">
        <v>1500</v>
      </c>
      <c r="F78" s="215">
        <v>1500</v>
      </c>
      <c r="G78" s="215">
        <v>1500</v>
      </c>
      <c r="H78" s="215">
        <v>1500</v>
      </c>
      <c r="I78" s="215">
        <v>1500</v>
      </c>
      <c r="J78" s="215">
        <v>1500</v>
      </c>
      <c r="K78" s="215">
        <v>1500</v>
      </c>
      <c r="L78" s="215">
        <v>1500</v>
      </c>
      <c r="M78" s="215">
        <v>1500</v>
      </c>
      <c r="N78" s="246">
        <f>SUM(B78:M78)</f>
        <v>18000</v>
      </c>
    </row>
    <row r="79" spans="1:34">
      <c r="A79" s="242" t="s">
        <v>184</v>
      </c>
      <c r="B79" s="212">
        <v>6000</v>
      </c>
      <c r="C79" s="212">
        <v>6000</v>
      </c>
      <c r="D79" s="212">
        <v>6000</v>
      </c>
      <c r="E79" s="212">
        <v>6000</v>
      </c>
      <c r="F79" s="212">
        <v>6000</v>
      </c>
      <c r="G79" s="212">
        <v>6000</v>
      </c>
      <c r="H79" s="212">
        <v>6000</v>
      </c>
      <c r="I79" s="212">
        <v>6000</v>
      </c>
      <c r="J79" s="212">
        <v>6000</v>
      </c>
      <c r="K79" s="212">
        <v>6000</v>
      </c>
      <c r="L79" s="212">
        <v>6000</v>
      </c>
      <c r="M79" s="212">
        <v>6000</v>
      </c>
      <c r="N79" s="245">
        <f>SUM(B79:M79)</f>
        <v>72000</v>
      </c>
    </row>
    <row r="80" spans="1:34" s="223" customFormat="1">
      <c r="A80" s="239" t="s">
        <v>185</v>
      </c>
      <c r="B80" s="268">
        <f t="shared" ref="B80:N80" si="29">SUM(B77:B79)</f>
        <v>7500</v>
      </c>
      <c r="C80" s="268">
        <f t="shared" si="29"/>
        <v>7500</v>
      </c>
      <c r="D80" s="268">
        <f t="shared" si="29"/>
        <v>7500</v>
      </c>
      <c r="E80" s="268">
        <f t="shared" si="29"/>
        <v>7500</v>
      </c>
      <c r="F80" s="268">
        <f t="shared" si="29"/>
        <v>7500</v>
      </c>
      <c r="G80" s="268">
        <f t="shared" si="29"/>
        <v>7500</v>
      </c>
      <c r="H80" s="268">
        <f t="shared" si="29"/>
        <v>7500</v>
      </c>
      <c r="I80" s="268">
        <f t="shared" si="29"/>
        <v>7500</v>
      </c>
      <c r="J80" s="268">
        <f t="shared" si="29"/>
        <v>7500</v>
      </c>
      <c r="K80" s="268">
        <f t="shared" si="29"/>
        <v>7500</v>
      </c>
      <c r="L80" s="268">
        <f t="shared" si="29"/>
        <v>7500</v>
      </c>
      <c r="M80" s="268">
        <f t="shared" si="29"/>
        <v>7500</v>
      </c>
      <c r="N80" s="246">
        <f t="shared" si="29"/>
        <v>90000</v>
      </c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2"/>
    </row>
    <row r="81" spans="1:40" s="271" customFormat="1" ht="12">
      <c r="A81" s="275"/>
      <c r="B81" s="276"/>
      <c r="C81" s="276"/>
      <c r="D81" s="276"/>
      <c r="E81" s="276"/>
      <c r="F81" s="276"/>
      <c r="G81" s="276"/>
      <c r="H81" s="276"/>
      <c r="I81" s="276"/>
      <c r="J81" s="276"/>
      <c r="K81" s="276"/>
      <c r="L81" s="276"/>
      <c r="M81" s="276"/>
      <c r="N81" s="277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  <c r="AA81" s="269"/>
      <c r="AB81" s="269"/>
      <c r="AC81" s="269"/>
      <c r="AD81" s="269"/>
      <c r="AE81" s="269"/>
      <c r="AF81" s="269"/>
      <c r="AG81" s="269"/>
      <c r="AH81" s="270"/>
    </row>
    <row r="82" spans="1:40" ht="16">
      <c r="A82" s="278" t="s">
        <v>186</v>
      </c>
      <c r="B82" s="279">
        <f t="shared" ref="B82:N82" si="30">B27+B36+B41+B49+B61+B69+B74+B80</f>
        <v>48650</v>
      </c>
      <c r="C82" s="280">
        <f t="shared" si="30"/>
        <v>28850</v>
      </c>
      <c r="D82" s="280">
        <f t="shared" si="30"/>
        <v>28850</v>
      </c>
      <c r="E82" s="280">
        <f t="shared" si="30"/>
        <v>32850</v>
      </c>
      <c r="F82" s="280">
        <f t="shared" si="30"/>
        <v>28850</v>
      </c>
      <c r="G82" s="280">
        <f t="shared" si="30"/>
        <v>28850</v>
      </c>
      <c r="H82" s="280">
        <f t="shared" si="30"/>
        <v>32850</v>
      </c>
      <c r="I82" s="280">
        <f t="shared" si="30"/>
        <v>28850</v>
      </c>
      <c r="J82" s="280">
        <f t="shared" si="30"/>
        <v>28850</v>
      </c>
      <c r="K82" s="280">
        <f t="shared" si="30"/>
        <v>32850</v>
      </c>
      <c r="L82" s="280">
        <f t="shared" si="30"/>
        <v>28850</v>
      </c>
      <c r="M82" s="280">
        <f t="shared" si="30"/>
        <v>28850</v>
      </c>
      <c r="N82" s="281">
        <f t="shared" si="30"/>
        <v>378000</v>
      </c>
    </row>
    <row r="83" spans="1:40" s="271" customFormat="1" ht="1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4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  <c r="AA83" s="269"/>
      <c r="AB83" s="269"/>
      <c r="AC83" s="269"/>
      <c r="AD83" s="269"/>
      <c r="AE83" s="269"/>
      <c r="AF83" s="269"/>
      <c r="AG83" s="269"/>
      <c r="AH83" s="270"/>
    </row>
    <row r="84" spans="1:40" ht="14.25" customHeight="1">
      <c r="A84" s="285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</row>
    <row r="85" spans="1:40" ht="16">
      <c r="A85" s="287" t="s">
        <v>187</v>
      </c>
      <c r="B85" s="288" t="str">
        <f t="shared" ref="B85:N85" si="31">B3</f>
        <v>jan</v>
      </c>
      <c r="C85" s="289" t="str">
        <f t="shared" si="31"/>
        <v>feb</v>
      </c>
      <c r="D85" s="289" t="str">
        <f t="shared" si="31"/>
        <v>mar</v>
      </c>
      <c r="E85" s="289" t="str">
        <f t="shared" si="31"/>
        <v>apr</v>
      </c>
      <c r="F85" s="289" t="str">
        <f t="shared" si="31"/>
        <v>maj</v>
      </c>
      <c r="G85" s="289" t="str">
        <f t="shared" si="31"/>
        <v xml:space="preserve">juni </v>
      </c>
      <c r="H85" s="289" t="str">
        <f t="shared" si="31"/>
        <v>juli</v>
      </c>
      <c r="I85" s="289" t="str">
        <f t="shared" si="31"/>
        <v>aug</v>
      </c>
      <c r="J85" s="289" t="str">
        <f t="shared" si="31"/>
        <v>sept</v>
      </c>
      <c r="K85" s="289" t="str">
        <f t="shared" si="31"/>
        <v>okt</v>
      </c>
      <c r="L85" s="289" t="str">
        <f t="shared" si="31"/>
        <v>nov</v>
      </c>
      <c r="M85" s="289" t="str">
        <f t="shared" si="31"/>
        <v>dec</v>
      </c>
      <c r="N85" s="290" t="str">
        <f t="shared" si="31"/>
        <v>TOTAL</v>
      </c>
    </row>
    <row r="86" spans="1:40">
      <c r="A86" s="291" t="s">
        <v>188</v>
      </c>
      <c r="B86" s="292">
        <f t="shared" ref="B86:N86" si="32">SUM(B10-B82)</f>
        <v>25972.410600000003</v>
      </c>
      <c r="C86" s="293">
        <f t="shared" si="32"/>
        <v>39388.410600000003</v>
      </c>
      <c r="D86" s="293">
        <f t="shared" si="32"/>
        <v>39388.410600000003</v>
      </c>
      <c r="E86" s="293">
        <f t="shared" si="32"/>
        <v>41772.410600000003</v>
      </c>
      <c r="F86" s="293">
        <f t="shared" si="32"/>
        <v>39388.410600000003</v>
      </c>
      <c r="G86" s="293">
        <f t="shared" si="32"/>
        <v>39388.410600000003</v>
      </c>
      <c r="H86" s="293">
        <f t="shared" si="32"/>
        <v>41772.410600000003</v>
      </c>
      <c r="I86" s="293">
        <f t="shared" si="32"/>
        <v>39388.410600000003</v>
      </c>
      <c r="J86" s="293">
        <f t="shared" si="32"/>
        <v>39388.410600000003</v>
      </c>
      <c r="K86" s="293">
        <f t="shared" si="32"/>
        <v>41772.410600000003</v>
      </c>
      <c r="L86" s="293">
        <f t="shared" si="32"/>
        <v>39388.410600000003</v>
      </c>
      <c r="M86" s="293">
        <f t="shared" si="32"/>
        <v>39388.410600000003</v>
      </c>
      <c r="N86" s="294">
        <f t="shared" si="32"/>
        <v>466396.92720000027</v>
      </c>
    </row>
    <row r="87" spans="1:40">
      <c r="A87" s="295" t="s">
        <v>189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7">
        <f>N86</f>
        <v>466396.92720000027</v>
      </c>
    </row>
    <row r="88" spans="1:40" ht="16">
      <c r="A88" s="295" t="s">
        <v>190</v>
      </c>
      <c r="B88" s="298">
        <f t="shared" ref="B88:M88" si="33">B86</f>
        <v>25972.410600000003</v>
      </c>
      <c r="C88" s="299">
        <f t="shared" si="33"/>
        <v>39388.410600000003</v>
      </c>
      <c r="D88" s="299">
        <f t="shared" si="33"/>
        <v>39388.410600000003</v>
      </c>
      <c r="E88" s="299">
        <f t="shared" si="33"/>
        <v>41772.410600000003</v>
      </c>
      <c r="F88" s="299">
        <f t="shared" si="33"/>
        <v>39388.410600000003</v>
      </c>
      <c r="G88" s="299">
        <f t="shared" si="33"/>
        <v>39388.410600000003</v>
      </c>
      <c r="H88" s="299">
        <f t="shared" si="33"/>
        <v>41772.410600000003</v>
      </c>
      <c r="I88" s="299">
        <f t="shared" si="33"/>
        <v>39388.410600000003</v>
      </c>
      <c r="J88" s="299">
        <f t="shared" si="33"/>
        <v>39388.410600000003</v>
      </c>
      <c r="K88" s="299">
        <f t="shared" si="33"/>
        <v>41772.410600000003</v>
      </c>
      <c r="L88" s="299">
        <f t="shared" si="33"/>
        <v>39388.410600000003</v>
      </c>
      <c r="M88" s="299">
        <f t="shared" si="33"/>
        <v>39388.410600000003</v>
      </c>
      <c r="N88" s="300">
        <f>N87/12</f>
        <v>38866.410600000025</v>
      </c>
    </row>
    <row r="89" spans="1:40" s="203" customFormat="1">
      <c r="A89" s="301"/>
      <c r="B89" s="302"/>
      <c r="C89" s="302"/>
      <c r="D89" s="302"/>
      <c r="E89" s="302"/>
      <c r="F89" s="302"/>
      <c r="G89" s="302"/>
      <c r="H89" s="302"/>
      <c r="I89" s="302"/>
      <c r="J89" s="302"/>
      <c r="K89" s="302"/>
      <c r="L89" s="302"/>
      <c r="M89" s="302"/>
      <c r="N89" s="303"/>
    </row>
    <row r="90" spans="1:40" s="203" customFormat="1">
      <c r="N90" s="221"/>
    </row>
    <row r="91" spans="1:40" ht="15">
      <c r="A91" s="203"/>
      <c r="B91" s="203"/>
      <c r="C91" s="203"/>
      <c r="D91" s="203"/>
      <c r="E91" s="203"/>
      <c r="F91" s="203"/>
      <c r="G91" s="203"/>
      <c r="H91" s="203"/>
      <c r="I91" s="203"/>
      <c r="J91" s="304"/>
      <c r="K91" s="305"/>
      <c r="L91" s="304"/>
      <c r="M91" s="304"/>
      <c r="N91" s="304"/>
      <c r="O91" s="306"/>
    </row>
    <row r="92" spans="1:40" ht="15">
      <c r="A92" s="307"/>
      <c r="B92" s="307"/>
      <c r="C92" s="307"/>
      <c r="D92" s="307"/>
      <c r="E92" s="307"/>
      <c r="F92" s="539"/>
      <c r="G92" s="539"/>
      <c r="H92" s="539"/>
      <c r="I92" s="307"/>
      <c r="J92" s="304"/>
      <c r="K92" s="305"/>
      <c r="L92" s="304"/>
      <c r="M92" s="304"/>
      <c r="N92" s="304"/>
      <c r="O92" s="306"/>
    </row>
    <row r="93" spans="1:40">
      <c r="A93" s="304"/>
      <c r="B93" s="540"/>
      <c r="C93" s="540"/>
      <c r="D93" s="540"/>
      <c r="E93" s="540"/>
      <c r="F93" s="540"/>
      <c r="G93" s="540"/>
      <c r="H93" s="308"/>
      <c r="I93" s="307"/>
      <c r="J93" s="305"/>
      <c r="K93" s="309"/>
      <c r="L93" s="309"/>
      <c r="M93" s="309"/>
      <c r="N93" s="310"/>
      <c r="O93" s="309"/>
      <c r="P93" s="309"/>
    </row>
    <row r="94" spans="1:40">
      <c r="A94" s="304"/>
      <c r="B94" s="541"/>
      <c r="C94" s="541"/>
      <c r="D94" s="541"/>
      <c r="E94" s="541"/>
      <c r="F94" s="541"/>
      <c r="G94" s="541"/>
      <c r="H94" s="311"/>
      <c r="I94" s="307"/>
      <c r="J94" s="305"/>
      <c r="K94" s="309"/>
      <c r="L94" s="309"/>
      <c r="M94" s="309"/>
      <c r="N94" s="310"/>
      <c r="O94" s="310"/>
      <c r="P94" s="310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  <c r="AM94" s="221"/>
      <c r="AN94" s="221"/>
    </row>
    <row r="95" spans="1:40">
      <c r="A95" s="307"/>
      <c r="B95" s="307"/>
      <c r="C95" s="307"/>
      <c r="D95" s="307"/>
      <c r="E95" s="307"/>
      <c r="F95" s="307"/>
      <c r="G95" s="307"/>
      <c r="H95" s="307"/>
      <c r="I95" s="307"/>
      <c r="J95" s="312"/>
      <c r="K95" s="313"/>
      <c r="L95" s="309"/>
      <c r="M95" s="309"/>
      <c r="N95" s="310"/>
      <c r="O95" s="310"/>
      <c r="P95" s="310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/>
    </row>
    <row r="96" spans="1:40">
      <c r="A96" s="314"/>
      <c r="B96" s="314"/>
      <c r="C96" s="314"/>
      <c r="D96" s="314"/>
      <c r="E96" s="314"/>
      <c r="F96" s="314"/>
      <c r="G96" s="314"/>
      <c r="H96" s="314"/>
      <c r="I96" s="314"/>
      <c r="J96" s="313"/>
      <c r="K96" s="313"/>
      <c r="L96" s="309"/>
      <c r="M96" s="309"/>
      <c r="N96" s="310"/>
      <c r="O96" s="310"/>
      <c r="P96" s="310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  <c r="AM96" s="221"/>
      <c r="AN96" s="221"/>
    </row>
    <row r="97" spans="1:40">
      <c r="A97" s="203"/>
      <c r="B97" s="203"/>
      <c r="C97" s="203"/>
      <c r="D97" s="203"/>
      <c r="E97" s="203"/>
      <c r="F97" s="315"/>
      <c r="G97" s="315"/>
      <c r="H97" s="315"/>
      <c r="I97" s="315"/>
      <c r="J97" s="305"/>
      <c r="K97" s="313"/>
      <c r="L97" s="309"/>
      <c r="M97" s="309"/>
      <c r="N97" s="310"/>
      <c r="O97" s="310"/>
      <c r="P97" s="310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/>
    </row>
    <row r="98" spans="1:40">
      <c r="A98" s="203"/>
      <c r="B98" s="203"/>
      <c r="C98" s="203"/>
      <c r="D98" s="203"/>
      <c r="E98" s="203"/>
      <c r="F98" s="315"/>
      <c r="G98" s="315"/>
      <c r="H98" s="315"/>
      <c r="I98" s="315"/>
      <c r="J98" s="313"/>
      <c r="K98" s="313"/>
      <c r="L98" s="309"/>
      <c r="M98" s="309"/>
      <c r="N98" s="310"/>
      <c r="O98" s="310"/>
      <c r="Q98" s="221"/>
      <c r="R98" s="310"/>
      <c r="U98" s="221"/>
      <c r="V98" s="221"/>
      <c r="W98" s="221"/>
      <c r="X98" s="221"/>
      <c r="Y98" s="221"/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  <c r="AM98" s="221"/>
      <c r="AN98" s="221"/>
    </row>
    <row r="99" spans="1:40">
      <c r="A99" s="203"/>
      <c r="B99" s="203"/>
      <c r="C99" s="203"/>
      <c r="D99" s="203"/>
      <c r="E99" s="203"/>
      <c r="F99" s="315"/>
      <c r="G99" s="315"/>
      <c r="H99" s="315"/>
      <c r="I99" s="315"/>
      <c r="J99" s="305"/>
      <c r="K99" s="313"/>
      <c r="L99" s="309"/>
      <c r="M99" s="309"/>
      <c r="N99" s="310"/>
      <c r="O99" s="310"/>
      <c r="Q99" s="305"/>
      <c r="R99" s="310"/>
      <c r="U99" s="221"/>
      <c r="V99" s="221"/>
      <c r="W99" s="221"/>
      <c r="X99" s="221"/>
      <c r="Y99" s="221"/>
      <c r="Z99" s="221"/>
      <c r="AA99" s="221"/>
      <c r="AB99" s="221"/>
      <c r="AC99" s="221"/>
      <c r="AD99" s="221"/>
      <c r="AE99" s="221"/>
      <c r="AF99" s="221"/>
      <c r="AG99" s="221"/>
      <c r="AH99" s="221"/>
      <c r="AI99" s="221"/>
      <c r="AJ99" s="221"/>
      <c r="AK99" s="221"/>
      <c r="AL99" s="221"/>
      <c r="AM99" s="221"/>
      <c r="AN99" s="221"/>
    </row>
    <row r="100" spans="1:40">
      <c r="A100" s="203"/>
      <c r="B100" s="203"/>
      <c r="C100" s="203"/>
      <c r="D100" s="203"/>
      <c r="E100" s="203"/>
      <c r="F100" s="315"/>
      <c r="G100" s="315"/>
      <c r="H100" s="315"/>
      <c r="I100" s="315"/>
      <c r="J100" s="316"/>
      <c r="K100" s="313"/>
      <c r="L100" s="309"/>
      <c r="M100" s="309"/>
      <c r="N100" s="310"/>
      <c r="O100" s="310"/>
      <c r="Q100" s="316"/>
      <c r="R100" s="310"/>
      <c r="U100" s="221"/>
      <c r="V100" s="221"/>
      <c r="W100" s="221"/>
      <c r="X100" s="221"/>
      <c r="Y100" s="221"/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/>
    </row>
    <row r="101" spans="1:40">
      <c r="A101" s="203"/>
      <c r="B101" s="203"/>
      <c r="C101" s="203"/>
      <c r="D101" s="203"/>
      <c r="E101" s="203"/>
      <c r="F101" s="315"/>
      <c r="G101" s="315"/>
      <c r="H101" s="315"/>
      <c r="I101" s="315"/>
      <c r="J101" s="316"/>
      <c r="K101" s="313"/>
      <c r="L101" s="309"/>
      <c r="M101" s="309"/>
      <c r="N101" s="310"/>
      <c r="O101" s="310"/>
      <c r="Q101" s="316"/>
      <c r="R101" s="310"/>
      <c r="U101" s="221"/>
      <c r="V101" s="221"/>
      <c r="W101" s="221"/>
      <c r="X101" s="221"/>
      <c r="Y101" s="221"/>
      <c r="Z101" s="221"/>
      <c r="AA101" s="221"/>
      <c r="AB101" s="221"/>
      <c r="AC101" s="221"/>
      <c r="AD101" s="221"/>
      <c r="AE101" s="221"/>
      <c r="AF101" s="221"/>
      <c r="AG101" s="221"/>
      <c r="AH101" s="221"/>
      <c r="AI101" s="221"/>
      <c r="AJ101" s="221"/>
      <c r="AK101" s="221"/>
      <c r="AL101" s="221"/>
      <c r="AM101" s="221"/>
      <c r="AN101" s="221"/>
    </row>
    <row r="102" spans="1:40">
      <c r="A102" s="203"/>
      <c r="B102" s="203"/>
      <c r="C102" s="203"/>
      <c r="D102" s="203"/>
      <c r="E102" s="203"/>
      <c r="F102" s="315"/>
      <c r="G102" s="315"/>
      <c r="H102" s="315"/>
      <c r="I102" s="315"/>
      <c r="J102" s="316"/>
      <c r="K102" s="313"/>
      <c r="L102" s="309"/>
      <c r="M102" s="309"/>
      <c r="N102" s="310"/>
      <c r="O102" s="310"/>
      <c r="Q102" s="316"/>
      <c r="R102" s="310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21"/>
      <c r="AG102" s="221"/>
      <c r="AH102" s="221"/>
      <c r="AI102" s="221"/>
      <c r="AJ102" s="221"/>
      <c r="AK102" s="221"/>
      <c r="AL102" s="221"/>
      <c r="AM102" s="221"/>
      <c r="AN102" s="221"/>
    </row>
    <row r="103" spans="1:40">
      <c r="A103" s="203"/>
      <c r="B103" s="203"/>
      <c r="C103" s="203"/>
      <c r="D103" s="203"/>
      <c r="E103" s="203"/>
      <c r="F103" s="315"/>
      <c r="G103" s="315"/>
      <c r="H103" s="315"/>
      <c r="I103" s="315"/>
      <c r="J103" s="313"/>
      <c r="K103" s="313"/>
      <c r="L103" s="309"/>
      <c r="M103" s="309"/>
      <c r="N103" s="310"/>
      <c r="O103" s="310"/>
      <c r="P103" s="310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  <c r="AM103" s="221"/>
      <c r="AN103" s="221"/>
    </row>
    <row r="104" spans="1:40">
      <c r="A104" s="203"/>
      <c r="B104" s="203"/>
      <c r="C104" s="203"/>
      <c r="D104" s="203"/>
      <c r="E104" s="203"/>
      <c r="F104" s="315"/>
      <c r="G104" s="315"/>
      <c r="H104" s="315"/>
      <c r="I104" s="315"/>
      <c r="J104" s="313"/>
      <c r="K104" s="313"/>
      <c r="L104" s="309"/>
      <c r="M104" s="309"/>
      <c r="N104" s="310"/>
      <c r="O104" s="310"/>
      <c r="P104" s="310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  <c r="AB104" s="221"/>
      <c r="AC104" s="221"/>
      <c r="AD104" s="221"/>
      <c r="AE104" s="221"/>
      <c r="AF104" s="221"/>
      <c r="AG104" s="221"/>
      <c r="AH104" s="221"/>
      <c r="AI104" s="221"/>
      <c r="AJ104" s="221"/>
      <c r="AK104" s="221"/>
      <c r="AL104" s="221"/>
      <c r="AM104" s="221"/>
      <c r="AN104" s="221"/>
    </row>
    <row r="105" spans="1:40">
      <c r="A105" s="203"/>
      <c r="B105" s="203"/>
      <c r="C105" s="203"/>
      <c r="D105" s="203"/>
      <c r="E105" s="203"/>
      <c r="F105" s="315"/>
      <c r="G105" s="315"/>
      <c r="H105" s="315"/>
      <c r="I105" s="315"/>
      <c r="J105" s="305"/>
      <c r="K105" s="313"/>
      <c r="L105" s="309"/>
      <c r="M105" s="309"/>
      <c r="N105" s="310"/>
      <c r="O105" s="310"/>
      <c r="P105" s="310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1"/>
      <c r="AG105" s="221"/>
      <c r="AH105" s="221"/>
      <c r="AI105" s="221"/>
      <c r="AJ105" s="221"/>
      <c r="AK105" s="221"/>
      <c r="AL105" s="221"/>
      <c r="AM105" s="221"/>
      <c r="AN105" s="221"/>
    </row>
    <row r="106" spans="1:40">
      <c r="A106" s="203"/>
      <c r="B106" s="203"/>
      <c r="C106" s="203"/>
      <c r="D106" s="203"/>
      <c r="E106" s="203"/>
      <c r="F106" s="317"/>
      <c r="G106" s="315"/>
      <c r="H106" s="315"/>
      <c r="I106" s="315"/>
      <c r="J106" s="305"/>
      <c r="K106" s="313"/>
      <c r="L106" s="309"/>
      <c r="M106" s="309"/>
      <c r="N106" s="310"/>
      <c r="O106" s="310"/>
      <c r="P106" s="310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21"/>
      <c r="AG106" s="221"/>
      <c r="AH106" s="221"/>
      <c r="AI106" s="221"/>
      <c r="AJ106" s="221"/>
      <c r="AK106" s="221"/>
      <c r="AL106" s="221"/>
      <c r="AM106" s="221"/>
      <c r="AN106" s="221"/>
    </row>
    <row r="107" spans="1:40">
      <c r="A107" s="203"/>
      <c r="B107" s="203"/>
      <c r="C107" s="203"/>
      <c r="D107" s="203"/>
      <c r="E107" s="203"/>
      <c r="F107" s="317"/>
      <c r="G107" s="315"/>
      <c r="H107" s="315"/>
      <c r="I107" s="315"/>
      <c r="J107" s="305"/>
      <c r="K107" s="313"/>
      <c r="L107" s="309"/>
      <c r="M107" s="309"/>
      <c r="N107" s="310"/>
      <c r="O107" s="310"/>
      <c r="P107" s="310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  <c r="AB107" s="221"/>
      <c r="AC107" s="221"/>
      <c r="AD107" s="221"/>
      <c r="AE107" s="221"/>
      <c r="AF107" s="221"/>
      <c r="AG107" s="221"/>
      <c r="AH107" s="221"/>
      <c r="AI107" s="221"/>
      <c r="AJ107" s="221"/>
      <c r="AK107" s="221"/>
      <c r="AL107" s="221"/>
      <c r="AM107" s="221"/>
      <c r="AN107" s="221"/>
    </row>
    <row r="108" spans="1:40" ht="16">
      <c r="A108" s="203"/>
      <c r="B108" s="203"/>
      <c r="C108" s="203"/>
      <c r="D108" s="203"/>
      <c r="E108" s="203"/>
      <c r="F108" s="318"/>
      <c r="G108" s="318"/>
      <c r="H108" s="318"/>
      <c r="I108" s="318"/>
      <c r="J108" s="319"/>
      <c r="K108" s="313"/>
      <c r="L108" s="309"/>
      <c r="M108" s="309"/>
      <c r="N108" s="310"/>
      <c r="O108" s="310"/>
      <c r="P108" s="310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  <c r="AM108" s="221"/>
      <c r="AN108" s="221"/>
    </row>
    <row r="109" spans="1:40">
      <c r="A109" s="203"/>
      <c r="B109" s="203"/>
      <c r="C109" s="203"/>
      <c r="D109" s="203"/>
      <c r="E109" s="203"/>
      <c r="F109" s="203"/>
      <c r="G109" s="203"/>
      <c r="H109" s="203"/>
      <c r="I109" s="203"/>
      <c r="J109" s="305"/>
      <c r="K109" s="309"/>
      <c r="L109" s="309"/>
      <c r="M109" s="309"/>
      <c r="N109" s="310"/>
      <c r="O109" s="310"/>
      <c r="P109" s="310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I109" s="221"/>
      <c r="AJ109" s="221"/>
      <c r="AK109" s="221"/>
      <c r="AL109" s="221"/>
      <c r="AM109" s="221"/>
      <c r="AN109" s="221"/>
    </row>
    <row r="110" spans="1:40">
      <c r="A110" s="203"/>
      <c r="B110" s="203"/>
      <c r="C110" s="203"/>
      <c r="D110" s="203"/>
      <c r="E110" s="203"/>
      <c r="F110" s="203"/>
      <c r="G110" s="203"/>
      <c r="H110" s="203"/>
      <c r="I110" s="203"/>
      <c r="J110" s="320"/>
      <c r="K110" s="309"/>
      <c r="L110" s="309"/>
      <c r="M110" s="309"/>
      <c r="N110" s="310"/>
      <c r="O110" s="310"/>
      <c r="P110" s="310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  <c r="AB110" s="221"/>
      <c r="AC110" s="221"/>
      <c r="AD110" s="221"/>
      <c r="AE110" s="221"/>
      <c r="AF110" s="221"/>
      <c r="AG110" s="221"/>
      <c r="AH110" s="221"/>
      <c r="AI110" s="221"/>
      <c r="AJ110" s="221"/>
      <c r="AK110" s="221"/>
      <c r="AL110" s="221"/>
      <c r="AM110" s="221"/>
      <c r="AN110" s="221"/>
    </row>
    <row r="111" spans="1:40">
      <c r="A111" s="203"/>
      <c r="B111" s="203"/>
      <c r="C111" s="203"/>
      <c r="D111" s="203"/>
      <c r="E111" s="203"/>
      <c r="F111" s="203"/>
      <c r="G111" s="203"/>
      <c r="H111" s="203"/>
      <c r="I111" s="203"/>
      <c r="J111" s="305"/>
      <c r="K111" s="309"/>
      <c r="L111" s="309"/>
      <c r="M111" s="309"/>
      <c r="N111" s="310"/>
      <c r="O111" s="310"/>
      <c r="P111" s="310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  <c r="AB111" s="221"/>
      <c r="AC111" s="221"/>
      <c r="AD111" s="221"/>
      <c r="AE111" s="221"/>
      <c r="AF111" s="221"/>
      <c r="AG111" s="221"/>
      <c r="AH111" s="221"/>
      <c r="AI111" s="221"/>
      <c r="AJ111" s="221"/>
      <c r="AK111" s="221"/>
      <c r="AL111" s="221"/>
      <c r="AM111" s="221"/>
      <c r="AN111" s="221"/>
    </row>
    <row r="112" spans="1:40">
      <c r="A112" s="203"/>
      <c r="B112" s="203"/>
      <c r="C112" s="203"/>
      <c r="D112" s="203"/>
      <c r="E112" s="203"/>
      <c r="F112" s="203"/>
      <c r="G112" s="203"/>
      <c r="H112" s="203"/>
      <c r="I112" s="203"/>
      <c r="J112" s="305"/>
      <c r="K112" s="309"/>
      <c r="L112" s="309"/>
      <c r="M112" s="309"/>
      <c r="N112" s="310"/>
      <c r="O112" s="310"/>
      <c r="P112" s="310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  <c r="AM112" s="221"/>
      <c r="AN112" s="221"/>
    </row>
    <row r="113" spans="1:40">
      <c r="A113" s="203"/>
      <c r="B113" s="203"/>
      <c r="C113" s="203"/>
      <c r="D113" s="203"/>
      <c r="E113" s="203"/>
      <c r="F113" s="203"/>
      <c r="G113" s="203"/>
      <c r="H113" s="203"/>
      <c r="I113" s="203"/>
      <c r="J113" s="309"/>
      <c r="K113" s="309"/>
      <c r="L113" s="309"/>
      <c r="M113" s="309"/>
      <c r="N113" s="310"/>
      <c r="O113" s="310"/>
      <c r="P113" s="310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</row>
    <row r="114" spans="1:40">
      <c r="A114" s="203"/>
      <c r="B114" s="203"/>
      <c r="C114" s="203"/>
      <c r="D114" s="203"/>
      <c r="E114" s="203"/>
      <c r="F114" s="203"/>
      <c r="G114" s="203"/>
      <c r="H114" s="203"/>
      <c r="I114" s="203"/>
      <c r="J114" s="321"/>
      <c r="K114" s="309"/>
      <c r="L114" s="309"/>
      <c r="M114" s="309"/>
      <c r="N114" s="310"/>
      <c r="O114" s="310"/>
      <c r="P114" s="310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  <c r="AM114" s="221"/>
      <c r="AN114" s="221"/>
    </row>
    <row r="115" spans="1:40">
      <c r="A115" s="203"/>
      <c r="B115" s="203"/>
      <c r="C115" s="203"/>
      <c r="D115" s="203"/>
      <c r="E115" s="203"/>
      <c r="F115" s="203"/>
      <c r="G115" s="203"/>
      <c r="H115" s="203"/>
      <c r="I115" s="203"/>
      <c r="J115" s="321"/>
      <c r="K115" s="309"/>
      <c r="L115" s="309"/>
      <c r="M115" s="309"/>
      <c r="N115" s="310"/>
      <c r="O115" s="310"/>
      <c r="P115" s="310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  <c r="AM115" s="221"/>
      <c r="AN115" s="221"/>
    </row>
    <row r="116" spans="1:40">
      <c r="A116" s="203"/>
      <c r="B116" s="203"/>
      <c r="C116" s="203"/>
      <c r="D116" s="203"/>
      <c r="E116" s="203"/>
      <c r="F116" s="203"/>
      <c r="G116" s="203"/>
      <c r="H116" s="203"/>
      <c r="I116" s="203"/>
      <c r="J116" s="321"/>
      <c r="K116" s="203"/>
      <c r="L116" s="203"/>
      <c r="M116" s="203"/>
      <c r="N116" s="221"/>
      <c r="O116" s="221"/>
      <c r="P116" s="221"/>
      <c r="Q116" s="221"/>
      <c r="R116" s="322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  <c r="AM116" s="221"/>
      <c r="AN116" s="221"/>
    </row>
    <row r="117" spans="1:40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1"/>
      <c r="AJ117" s="221"/>
      <c r="AK117" s="221"/>
      <c r="AL117" s="221"/>
      <c r="AM117" s="221"/>
      <c r="AN117" s="221"/>
    </row>
    <row r="118" spans="1:40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  <c r="AM118" s="221"/>
      <c r="AN118" s="221"/>
    </row>
    <row r="119" spans="1:40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  <c r="AK119" s="221"/>
      <c r="AL119" s="221"/>
      <c r="AM119" s="221"/>
      <c r="AN119" s="221"/>
    </row>
    <row r="120" spans="1:40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</row>
    <row r="121" spans="1:40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  <c r="AK121" s="221"/>
      <c r="AL121" s="221"/>
      <c r="AM121" s="221"/>
      <c r="AN121" s="221"/>
    </row>
    <row r="122" spans="1:40" ht="18">
      <c r="A122" s="203"/>
      <c r="B122" s="203"/>
      <c r="C122" s="203"/>
      <c r="D122" s="203"/>
      <c r="E122" s="203"/>
      <c r="F122" s="203"/>
      <c r="G122" s="203"/>
      <c r="H122" s="203"/>
      <c r="I122" s="203"/>
      <c r="J122" s="323"/>
      <c r="K122" s="203"/>
      <c r="L122" s="203"/>
      <c r="M122" s="203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  <c r="AM122" s="221"/>
      <c r="AN122" s="221"/>
    </row>
    <row r="123" spans="1:40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  <c r="AB123" s="221"/>
      <c r="AC123" s="221"/>
      <c r="AD123" s="221"/>
      <c r="AE123" s="221"/>
      <c r="AF123" s="221"/>
      <c r="AG123" s="221"/>
      <c r="AH123" s="221"/>
      <c r="AI123" s="221"/>
      <c r="AJ123" s="221"/>
      <c r="AK123" s="221"/>
      <c r="AL123" s="221"/>
      <c r="AM123" s="221"/>
      <c r="AN123" s="221"/>
    </row>
    <row r="124" spans="1:40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  <c r="AM124" s="221"/>
      <c r="AN124" s="221"/>
    </row>
    <row r="125" spans="1:40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  <c r="AB125" s="221"/>
      <c r="AC125" s="221"/>
      <c r="AD125" s="221"/>
      <c r="AE125" s="221"/>
      <c r="AF125" s="221"/>
      <c r="AG125" s="221"/>
      <c r="AH125" s="221"/>
      <c r="AI125" s="221"/>
      <c r="AJ125" s="221"/>
      <c r="AK125" s="221"/>
      <c r="AL125" s="221"/>
      <c r="AM125" s="221"/>
      <c r="AN125" s="221"/>
    </row>
    <row r="126" spans="1:40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  <c r="AB126" s="221"/>
      <c r="AC126" s="221"/>
      <c r="AD126" s="221"/>
      <c r="AE126" s="221"/>
      <c r="AF126" s="221"/>
      <c r="AG126" s="221"/>
      <c r="AH126" s="221"/>
      <c r="AI126" s="221"/>
      <c r="AJ126" s="221"/>
      <c r="AK126" s="221"/>
      <c r="AL126" s="221"/>
      <c r="AM126" s="221"/>
      <c r="AN126" s="221"/>
    </row>
    <row r="127" spans="1:40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  <c r="AM127" s="221"/>
      <c r="AN127" s="221"/>
    </row>
    <row r="128" spans="1:40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  <c r="AK128" s="221"/>
      <c r="AL128" s="221"/>
      <c r="AM128" s="221"/>
      <c r="AN128" s="221"/>
    </row>
    <row r="129" spans="1:34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21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  <c r="AG129" s="210"/>
      <c r="AH129" s="210"/>
    </row>
    <row r="130" spans="1:34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21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/>
      <c r="AE130" s="210"/>
      <c r="AF130" s="210"/>
      <c r="AG130" s="210"/>
      <c r="AH130" s="210"/>
    </row>
    <row r="131" spans="1:34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21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  <c r="AH131" s="210"/>
    </row>
    <row r="132" spans="1:34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21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  <c r="AH132" s="210"/>
    </row>
    <row r="133" spans="1:34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21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/>
      <c r="AG133" s="210"/>
      <c r="AH133" s="210"/>
    </row>
    <row r="134" spans="1:34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21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/>
      <c r="AE134" s="210"/>
      <c r="AF134" s="210"/>
      <c r="AG134" s="210"/>
      <c r="AH134" s="210"/>
    </row>
    <row r="135" spans="1:34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21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/>
      <c r="AG135" s="210"/>
      <c r="AH135" s="210"/>
    </row>
    <row r="136" spans="1:34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21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  <c r="AG136" s="210"/>
      <c r="AH136" s="210"/>
    </row>
    <row r="137" spans="1:34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21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/>
      <c r="AG137" s="210"/>
      <c r="AH137" s="210"/>
    </row>
    <row r="138" spans="1:34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21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  <c r="AG138" s="210"/>
      <c r="AH138" s="210"/>
    </row>
    <row r="139" spans="1:34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21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/>
      <c r="AG139" s="210"/>
      <c r="AH139" s="210"/>
    </row>
    <row r="140" spans="1:34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21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/>
      <c r="AE140" s="210"/>
      <c r="AF140" s="210"/>
      <c r="AG140" s="210"/>
      <c r="AH140" s="210"/>
    </row>
    <row r="141" spans="1:34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21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  <c r="AG141" s="210"/>
      <c r="AH141" s="210"/>
    </row>
    <row r="142" spans="1:34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21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/>
      <c r="AE142" s="210"/>
      <c r="AF142" s="210"/>
      <c r="AG142" s="210"/>
      <c r="AH142" s="210"/>
    </row>
    <row r="143" spans="1:34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21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/>
      <c r="AG143" s="210"/>
      <c r="AH143" s="210"/>
    </row>
    <row r="144" spans="1:34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21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/>
      <c r="AE144" s="210"/>
      <c r="AF144" s="210"/>
      <c r="AG144" s="210"/>
      <c r="AH144" s="210"/>
    </row>
    <row r="145" spans="1:34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21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  <c r="AH145" s="210"/>
    </row>
    <row r="146" spans="1:34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21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  <c r="AG146" s="210"/>
      <c r="AH146" s="210"/>
    </row>
    <row r="147" spans="1:34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21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  <c r="AH147" s="210"/>
    </row>
    <row r="148" spans="1:34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21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/>
      <c r="AE148" s="210"/>
      <c r="AF148" s="210"/>
      <c r="AG148" s="210"/>
      <c r="AH148" s="210"/>
    </row>
    <row r="149" spans="1:34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21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/>
      <c r="AG149" s="210"/>
      <c r="AH149" s="210"/>
    </row>
    <row r="150" spans="1:34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21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/>
      <c r="AE150" s="210"/>
      <c r="AF150" s="210"/>
      <c r="AG150" s="210"/>
      <c r="AH150" s="210"/>
    </row>
    <row r="151" spans="1:34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21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/>
      <c r="AE151" s="210"/>
      <c r="AF151" s="210"/>
      <c r="AG151" s="210"/>
      <c r="AH151" s="210"/>
    </row>
    <row r="152" spans="1:34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21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  <c r="AD152" s="210"/>
      <c r="AE152" s="210"/>
      <c r="AF152" s="210"/>
      <c r="AG152" s="210"/>
      <c r="AH152" s="210"/>
    </row>
    <row r="153" spans="1:34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21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/>
      <c r="AE153" s="210"/>
      <c r="AF153" s="210"/>
      <c r="AG153" s="210"/>
      <c r="AH153" s="210"/>
    </row>
    <row r="154" spans="1:34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21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0"/>
      <c r="AE154" s="210"/>
      <c r="AF154" s="210"/>
      <c r="AG154" s="210"/>
      <c r="AH154" s="210"/>
    </row>
    <row r="155" spans="1:34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21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/>
      <c r="AG155" s="210"/>
      <c r="AH155" s="210"/>
    </row>
    <row r="156" spans="1:34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21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/>
      <c r="AE156" s="210"/>
      <c r="AF156" s="210"/>
      <c r="AG156" s="210"/>
      <c r="AH156" s="210"/>
    </row>
    <row r="157" spans="1:34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21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  <c r="AG157" s="210"/>
      <c r="AH157" s="210"/>
    </row>
    <row r="158" spans="1:34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21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0"/>
      <c r="AE158" s="210"/>
      <c r="AF158" s="210"/>
      <c r="AG158" s="210"/>
      <c r="AH158" s="210"/>
    </row>
    <row r="159" spans="1:34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21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/>
      <c r="AG159" s="210"/>
      <c r="AH159" s="210"/>
    </row>
    <row r="160" spans="1:34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21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0"/>
      <c r="AE160" s="210"/>
      <c r="AF160" s="210"/>
      <c r="AG160" s="210"/>
      <c r="AH160" s="210"/>
    </row>
  </sheetData>
  <mergeCells count="7">
    <mergeCell ref="F92:H92"/>
    <mergeCell ref="B93:C93"/>
    <mergeCell ref="D93:E93"/>
    <mergeCell ref="F93:G93"/>
    <mergeCell ref="B94:C94"/>
    <mergeCell ref="D94:E94"/>
    <mergeCell ref="F94:G94"/>
  </mergeCells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49" orientation="landscape" cellComments="atEnd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B596-CCC3-3B49-8AE4-FD7C62B3FD66}">
  <dimension ref="A2:O57"/>
  <sheetViews>
    <sheetView zoomScale="93" workbookViewId="0">
      <selection activeCell="E9" sqref="E9"/>
    </sheetView>
  </sheetViews>
  <sheetFormatPr baseColWidth="10" defaultColWidth="9" defaultRowHeight="18"/>
  <cols>
    <col min="1" max="2" width="9" style="343"/>
    <col min="3" max="3" width="28" style="343" customWidth="1"/>
    <col min="4" max="4" width="10.33203125" style="343" customWidth="1"/>
    <col min="5" max="5" width="26.5" style="344" customWidth="1"/>
    <col min="6" max="6" width="14.1640625" style="343" customWidth="1"/>
    <col min="7" max="8" width="9" style="343"/>
    <col min="9" max="9" width="21.6640625" style="343" customWidth="1"/>
    <col min="10" max="10" width="9" style="343"/>
    <col min="11" max="11" width="17.83203125" style="343" customWidth="1"/>
    <col min="12" max="14" width="9" style="343"/>
    <col min="15" max="15" width="10.6640625" style="343" customWidth="1"/>
    <col min="16" max="16384" width="9" style="343"/>
  </cols>
  <sheetData>
    <row r="2" spans="1:12" ht="20">
      <c r="A2" s="342" t="s">
        <v>191</v>
      </c>
      <c r="G2" s="342" t="s">
        <v>192</v>
      </c>
    </row>
    <row r="5" spans="1:12" ht="19" thickBot="1">
      <c r="A5" s="345" t="s">
        <v>193</v>
      </c>
      <c r="B5" s="346"/>
      <c r="C5" s="346"/>
      <c r="D5" s="347" t="s">
        <v>194</v>
      </c>
      <c r="E5" s="348">
        <v>6995000</v>
      </c>
      <c r="G5" s="345" t="s">
        <v>195</v>
      </c>
      <c r="H5" s="346"/>
      <c r="I5" s="346"/>
      <c r="J5" s="347" t="s">
        <v>194</v>
      </c>
      <c r="K5" s="349">
        <f>E5</f>
        <v>6995000</v>
      </c>
    </row>
    <row r="6" spans="1:12" ht="19" thickBot="1"/>
    <row r="7" spans="1:12">
      <c r="A7" s="350"/>
      <c r="B7" s="351"/>
      <c r="C7" s="351"/>
      <c r="D7" s="351"/>
      <c r="E7" s="352"/>
      <c r="G7" s="353" t="s">
        <v>196</v>
      </c>
      <c r="H7" s="354"/>
      <c r="I7" s="354"/>
      <c r="J7" s="354"/>
      <c r="K7" s="355"/>
    </row>
    <row r="8" spans="1:12">
      <c r="A8" s="356" t="s">
        <v>197</v>
      </c>
      <c r="B8" s="357"/>
      <c r="C8" s="358"/>
      <c r="D8" s="359" t="s">
        <v>194</v>
      </c>
      <c r="E8" s="360">
        <v>5016423.9281804888</v>
      </c>
      <c r="F8" s="361">
        <f>E8/E5</f>
        <v>0.71714423562265739</v>
      </c>
      <c r="G8" s="362"/>
      <c r="K8" s="363"/>
    </row>
    <row r="9" spans="1:12">
      <c r="A9" s="356" t="s">
        <v>198</v>
      </c>
      <c r="B9" s="357"/>
      <c r="C9" s="358"/>
      <c r="D9" s="359" t="s">
        <v>194</v>
      </c>
      <c r="E9" s="360">
        <v>2150000</v>
      </c>
      <c r="F9" s="364"/>
      <c r="G9" s="357" t="s">
        <v>199</v>
      </c>
      <c r="H9" s="358"/>
      <c r="I9" s="358"/>
      <c r="J9" s="359" t="s">
        <v>194</v>
      </c>
      <c r="K9" s="365">
        <f>'Realkredit finansiering (2)'!E7</f>
        <v>4920570.0000000009</v>
      </c>
      <c r="L9" s="366" t="s">
        <v>200</v>
      </c>
    </row>
    <row r="10" spans="1:12">
      <c r="A10" s="356" t="s">
        <v>201</v>
      </c>
      <c r="B10" s="357"/>
      <c r="C10" s="358"/>
      <c r="D10" s="359"/>
      <c r="E10" s="367"/>
      <c r="F10" s="364"/>
      <c r="G10" s="357" t="s">
        <v>202</v>
      </c>
      <c r="H10" s="358"/>
      <c r="I10" s="358"/>
      <c r="J10" s="359" t="s">
        <v>194</v>
      </c>
      <c r="K10" s="365">
        <f>IF(K18&gt;0,'Banklån (2)'!D16,0)</f>
        <v>0</v>
      </c>
      <c r="L10" s="366" t="s">
        <v>203</v>
      </c>
    </row>
    <row r="11" spans="1:12">
      <c r="A11" s="356"/>
      <c r="B11" s="368" t="s">
        <v>204</v>
      </c>
      <c r="C11" s="358"/>
      <c r="D11" s="359"/>
      <c r="E11" s="367">
        <f>0.6%*E5+1850</f>
        <v>43820</v>
      </c>
      <c r="F11" s="364"/>
      <c r="G11" s="357" t="s">
        <v>205</v>
      </c>
      <c r="H11" s="358"/>
      <c r="I11" s="358"/>
      <c r="J11" s="359" t="s">
        <v>194</v>
      </c>
      <c r="K11" s="365">
        <f>E15</f>
        <v>2074430</v>
      </c>
      <c r="L11" s="369"/>
    </row>
    <row r="12" spans="1:12">
      <c r="A12" s="370"/>
      <c r="B12" s="368" t="s">
        <v>206</v>
      </c>
      <c r="E12" s="371">
        <v>5000</v>
      </c>
      <c r="F12" s="372"/>
      <c r="G12" s="357"/>
      <c r="H12" s="358"/>
      <c r="I12" s="358"/>
      <c r="J12" s="359"/>
      <c r="K12" s="365"/>
      <c r="L12" s="369"/>
    </row>
    <row r="13" spans="1:12" ht="19" thickBot="1">
      <c r="A13" s="370"/>
      <c r="B13" s="368" t="s">
        <v>207</v>
      </c>
      <c r="D13" s="373"/>
      <c r="E13" s="360">
        <v>6750</v>
      </c>
      <c r="F13" s="372"/>
      <c r="G13" s="374" t="s">
        <v>95</v>
      </c>
      <c r="H13" s="375"/>
      <c r="I13" s="375"/>
      <c r="J13" s="376" t="s">
        <v>194</v>
      </c>
      <c r="K13" s="377">
        <f>K9+K10+K11</f>
        <v>6995000.0000000009</v>
      </c>
    </row>
    <row r="14" spans="1:12">
      <c r="A14" s="370"/>
      <c r="B14" s="358" t="s">
        <v>208</v>
      </c>
      <c r="D14" s="373"/>
      <c r="E14" s="378">
        <v>20000</v>
      </c>
      <c r="F14" s="372"/>
    </row>
    <row r="15" spans="1:12" ht="19" thickBot="1">
      <c r="A15" s="356" t="s">
        <v>209</v>
      </c>
      <c r="B15" s="358"/>
      <c r="D15" s="373"/>
      <c r="E15" s="371">
        <f>E9-E11-E12-E13-E14</f>
        <v>2074430</v>
      </c>
      <c r="F15" s="361">
        <f>E15/E5</f>
        <v>0.29655897069335241</v>
      </c>
    </row>
    <row r="16" spans="1:12" ht="19" thickBot="1">
      <c r="A16" s="370"/>
      <c r="B16" s="358"/>
      <c r="D16" s="373"/>
      <c r="E16" s="379"/>
      <c r="F16" s="372"/>
      <c r="G16" s="380" t="s">
        <v>210</v>
      </c>
      <c r="H16" s="381"/>
      <c r="I16" s="381"/>
      <c r="J16" s="382" t="s">
        <v>194</v>
      </c>
      <c r="K16" s="383">
        <f>K13-K5</f>
        <v>0</v>
      </c>
      <c r="L16" s="384" t="s">
        <v>211</v>
      </c>
    </row>
    <row r="17" spans="1:12" ht="19" thickBot="1">
      <c r="A17" s="385" t="s">
        <v>212</v>
      </c>
      <c r="B17" s="386"/>
      <c r="C17" s="387"/>
      <c r="D17" s="388" t="s">
        <v>194</v>
      </c>
      <c r="E17" s="389">
        <f>E5-E8-E15</f>
        <v>-95853.928180488758</v>
      </c>
      <c r="F17" s="390">
        <f>E17/E5</f>
        <v>-1.370320631600983E-2</v>
      </c>
    </row>
    <row r="18" spans="1:12" ht="19" thickBot="1">
      <c r="F18" s="361">
        <f>F8+F15+F17</f>
        <v>1</v>
      </c>
      <c r="G18" s="391" t="s">
        <v>213</v>
      </c>
      <c r="H18" s="392"/>
      <c r="I18" s="392"/>
      <c r="J18" s="381"/>
      <c r="K18" s="393"/>
    </row>
    <row r="19" spans="1:12" ht="19" thickBot="1">
      <c r="G19" s="358"/>
      <c r="H19" s="358"/>
      <c r="I19" s="358"/>
      <c r="J19" s="359"/>
      <c r="K19" s="394"/>
    </row>
    <row r="20" spans="1:12">
      <c r="A20" s="353" t="s">
        <v>214</v>
      </c>
      <c r="B20" s="354"/>
      <c r="C20" s="354"/>
      <c r="D20" s="354"/>
      <c r="E20" s="395"/>
      <c r="G20" s="368"/>
      <c r="H20" s="358"/>
      <c r="I20" s="358"/>
      <c r="J20" s="359"/>
      <c r="K20" s="394"/>
    </row>
    <row r="21" spans="1:12">
      <c r="A21" s="362"/>
      <c r="E21" s="396"/>
      <c r="G21" s="470" t="s">
        <v>215</v>
      </c>
      <c r="H21" s="470"/>
      <c r="I21" s="470"/>
      <c r="J21" s="471"/>
      <c r="K21" s="394"/>
    </row>
    <row r="22" spans="1:12">
      <c r="A22" s="397" t="s">
        <v>216</v>
      </c>
      <c r="B22" s="358"/>
      <c r="C22" s="358"/>
      <c r="D22" s="359" t="s">
        <v>194</v>
      </c>
      <c r="E22" s="365">
        <f>'Realkredit finansiering (2)'!B9</f>
        <v>95853.928180488234</v>
      </c>
      <c r="K22" s="344"/>
    </row>
    <row r="23" spans="1:12">
      <c r="A23" s="397" t="s">
        <v>217</v>
      </c>
      <c r="B23" s="358"/>
      <c r="C23" s="358"/>
      <c r="D23" s="359" t="s">
        <v>194</v>
      </c>
      <c r="E23" s="398">
        <f>IF(K18&gt;0,'Banklån (2)'!D14,0)</f>
        <v>0</v>
      </c>
      <c r="G23" s="399"/>
      <c r="K23" s="400"/>
      <c r="L23" s="384"/>
    </row>
    <row r="24" spans="1:12">
      <c r="A24" s="362"/>
      <c r="E24" s="396"/>
      <c r="G24" s="368"/>
      <c r="H24" s="358"/>
      <c r="I24" s="358"/>
      <c r="J24" s="359"/>
      <c r="K24" s="394"/>
    </row>
    <row r="25" spans="1:12" ht="19" thickBot="1">
      <c r="A25" s="374" t="s">
        <v>218</v>
      </c>
      <c r="B25" s="375"/>
      <c r="C25" s="375"/>
      <c r="D25" s="375"/>
      <c r="E25" s="377">
        <f>E22+E23</f>
        <v>95853.928180488234</v>
      </c>
      <c r="G25" s="358"/>
      <c r="H25" s="358"/>
      <c r="I25" s="358"/>
      <c r="J25" s="359"/>
      <c r="K25" s="394"/>
    </row>
    <row r="26" spans="1:12">
      <c r="A26" s="368"/>
      <c r="B26" s="358"/>
      <c r="C26" s="358"/>
      <c r="D26" s="358"/>
      <c r="E26" s="394"/>
      <c r="K26" s="344"/>
    </row>
    <row r="27" spans="1:12">
      <c r="A27" s="368"/>
      <c r="B27" s="358"/>
      <c r="C27" s="358"/>
      <c r="D27" s="359"/>
      <c r="E27" s="394"/>
      <c r="G27" s="399"/>
      <c r="K27" s="400"/>
      <c r="L27" s="401"/>
    </row>
    <row r="28" spans="1:12">
      <c r="A28" s="402" t="s">
        <v>219</v>
      </c>
      <c r="G28" s="399"/>
      <c r="K28" s="400"/>
      <c r="L28" s="403"/>
    </row>
    <row r="29" spans="1:12" ht="19" thickBot="1"/>
    <row r="30" spans="1:12">
      <c r="A30" s="404" t="s">
        <v>220</v>
      </c>
      <c r="B30" s="405"/>
      <c r="C30" s="405"/>
      <c r="D30" s="405"/>
      <c r="E30" s="406"/>
      <c r="F30" s="405"/>
      <c r="G30" s="405"/>
      <c r="H30" s="405"/>
      <c r="I30" s="407"/>
      <c r="L30" s="408"/>
    </row>
    <row r="31" spans="1:12">
      <c r="A31" s="370" t="s">
        <v>221</v>
      </c>
      <c r="I31" s="409"/>
      <c r="L31" s="408"/>
    </row>
    <row r="32" spans="1:12">
      <c r="A32" s="370" t="s">
        <v>222</v>
      </c>
      <c r="B32" s="358"/>
      <c r="C32" s="358"/>
      <c r="D32" s="410"/>
      <c r="E32" s="411"/>
      <c r="I32" s="409"/>
      <c r="L32" s="408"/>
    </row>
    <row r="33" spans="1:15">
      <c r="A33" s="370" t="s">
        <v>223</v>
      </c>
      <c r="E33" s="400"/>
      <c r="I33" s="409"/>
    </row>
    <row r="34" spans="1:15" ht="19" thickBot="1">
      <c r="A34" s="412" t="s">
        <v>224</v>
      </c>
      <c r="B34" s="387"/>
      <c r="C34" s="387"/>
      <c r="D34" s="387"/>
      <c r="E34" s="413"/>
      <c r="F34" s="387"/>
      <c r="G34" s="387"/>
      <c r="H34" s="387"/>
      <c r="I34" s="414"/>
      <c r="K34" s="344"/>
    </row>
    <row r="35" spans="1:15">
      <c r="K35" s="344"/>
    </row>
    <row r="36" spans="1:15">
      <c r="A36" s="399"/>
      <c r="D36" s="373"/>
      <c r="E36" s="400"/>
      <c r="I36" s="344"/>
      <c r="K36" s="344"/>
    </row>
    <row r="37" spans="1:15" ht="19" thickBot="1">
      <c r="A37" s="358"/>
      <c r="B37" s="358"/>
      <c r="C37" s="358"/>
      <c r="D37" s="410"/>
      <c r="E37" s="411"/>
      <c r="K37" s="344"/>
    </row>
    <row r="38" spans="1:15">
      <c r="A38" s="415" t="s">
        <v>225</v>
      </c>
      <c r="B38" s="405"/>
      <c r="C38" s="405"/>
      <c r="D38" s="405"/>
      <c r="E38" s="416"/>
      <c r="F38" s="407"/>
      <c r="H38" s="417" t="s">
        <v>226</v>
      </c>
      <c r="I38" s="405"/>
      <c r="J38" s="405"/>
      <c r="K38" s="406"/>
      <c r="L38" s="405"/>
      <c r="M38" s="405"/>
      <c r="N38" s="405"/>
      <c r="O38" s="407"/>
    </row>
    <row r="39" spans="1:15">
      <c r="A39" s="370" t="s">
        <v>227</v>
      </c>
      <c r="F39" s="409"/>
      <c r="H39" s="370" t="s">
        <v>228</v>
      </c>
      <c r="K39" s="344"/>
      <c r="O39" s="409"/>
    </row>
    <row r="40" spans="1:15" ht="19" thickBot="1">
      <c r="A40" s="412" t="s">
        <v>229</v>
      </c>
      <c r="B40" s="387"/>
      <c r="C40" s="387"/>
      <c r="D40" s="387"/>
      <c r="E40" s="413"/>
      <c r="F40" s="414"/>
      <c r="H40" s="412" t="s">
        <v>230</v>
      </c>
      <c r="I40" s="387"/>
      <c r="J40" s="387"/>
      <c r="K40" s="387"/>
      <c r="L40" s="387"/>
      <c r="M40" s="387"/>
      <c r="N40" s="387"/>
      <c r="O40" s="414"/>
    </row>
    <row r="41" spans="1:15">
      <c r="A41" s="399"/>
      <c r="D41" s="373"/>
      <c r="E41" s="400"/>
    </row>
    <row r="43" spans="1:15" ht="19" thickBot="1">
      <c r="E43" s="399"/>
      <c r="I43" s="344"/>
    </row>
    <row r="44" spans="1:15">
      <c r="A44" s="415" t="s">
        <v>231</v>
      </c>
      <c r="B44" s="405"/>
      <c r="C44" s="405"/>
      <c r="D44" s="405"/>
      <c r="E44" s="416"/>
      <c r="F44" s="407"/>
      <c r="I44" s="344"/>
    </row>
    <row r="45" spans="1:15" ht="19" thickBot="1">
      <c r="A45" s="412" t="s">
        <v>232</v>
      </c>
      <c r="B45" s="387"/>
      <c r="C45" s="387"/>
      <c r="D45" s="387"/>
      <c r="E45" s="413"/>
      <c r="F45" s="414"/>
      <c r="I45" s="344"/>
    </row>
    <row r="46" spans="1:15">
      <c r="G46" s="358"/>
      <c r="H46" s="410"/>
      <c r="I46" s="411"/>
    </row>
    <row r="47" spans="1:15">
      <c r="E47" s="399"/>
      <c r="I47" s="400"/>
    </row>
    <row r="48" spans="1:15">
      <c r="E48" s="343"/>
      <c r="I48" s="344"/>
    </row>
    <row r="49" spans="1:9">
      <c r="E49" s="343"/>
      <c r="I49" s="344"/>
    </row>
    <row r="50" spans="1:9">
      <c r="A50" s="399"/>
      <c r="H50" s="373"/>
      <c r="I50" s="400"/>
    </row>
    <row r="53" spans="1:9">
      <c r="A53" s="358"/>
      <c r="B53" s="358"/>
      <c r="C53" s="358"/>
      <c r="D53" s="410"/>
      <c r="E53" s="411"/>
    </row>
    <row r="54" spans="1:9">
      <c r="A54" s="399"/>
      <c r="E54" s="400"/>
    </row>
    <row r="57" spans="1:9">
      <c r="A57" s="399"/>
      <c r="D57" s="373"/>
      <c r="E57" s="40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DEF9-1AED-594A-8E0B-8F469596D1BA}">
  <sheetPr>
    <pageSetUpPr fitToPage="1"/>
  </sheetPr>
  <dimension ref="B4:H25"/>
  <sheetViews>
    <sheetView zoomScale="125" workbookViewId="0">
      <selection activeCell="D6" sqref="D6"/>
    </sheetView>
  </sheetViews>
  <sheetFormatPr baseColWidth="10" defaultColWidth="9.1640625" defaultRowHeight="15"/>
  <cols>
    <col min="1" max="1" width="9.1640625" style="418"/>
    <col min="2" max="2" width="38.6640625" style="418" customWidth="1"/>
    <col min="3" max="3" width="9.1640625" style="418"/>
    <col min="4" max="4" width="14" style="418" bestFit="1" customWidth="1"/>
    <col min="5" max="6" width="9.1640625" style="418"/>
    <col min="7" max="7" width="12.33203125" style="418" bestFit="1" customWidth="1"/>
    <col min="8" max="16384" width="9.1640625" style="418"/>
  </cols>
  <sheetData>
    <row r="4" spans="2:8" ht="21">
      <c r="D4" s="419" t="s">
        <v>233</v>
      </c>
    </row>
    <row r="6" spans="2:8" ht="19">
      <c r="B6" s="420" t="s">
        <v>234</v>
      </c>
      <c r="C6" s="420"/>
      <c r="D6" s="421">
        <f>'Hvordan finansieres boligen'!K18</f>
        <v>0</v>
      </c>
      <c r="E6" s="420" t="s">
        <v>235</v>
      </c>
      <c r="F6" s="420"/>
      <c r="G6" s="420"/>
      <c r="H6" s="420"/>
    </row>
    <row r="7" spans="2:8" ht="19">
      <c r="B7" s="420" t="s">
        <v>236</v>
      </c>
      <c r="C7" s="420"/>
      <c r="D7" s="420">
        <v>30</v>
      </c>
      <c r="E7" s="420" t="s">
        <v>237</v>
      </c>
      <c r="F7" s="420"/>
      <c r="G7" s="420"/>
      <c r="H7" s="420"/>
    </row>
    <row r="8" spans="2:8" ht="19">
      <c r="B8" s="420" t="s">
        <v>238</v>
      </c>
      <c r="C8" s="420"/>
      <c r="D8" s="420">
        <v>12</v>
      </c>
      <c r="E8" s="420"/>
      <c r="F8" s="420"/>
      <c r="G8" s="420"/>
      <c r="H8" s="420"/>
    </row>
    <row r="9" spans="2:8" ht="19">
      <c r="B9" s="420" t="s">
        <v>239</v>
      </c>
      <c r="C9" s="420"/>
      <c r="D9" s="422">
        <v>0.05</v>
      </c>
      <c r="E9" s="420" t="s">
        <v>240</v>
      </c>
      <c r="F9" s="420"/>
      <c r="G9" s="420"/>
      <c r="H9" s="420"/>
    </row>
    <row r="10" spans="2:8" ht="19">
      <c r="B10" s="420"/>
      <c r="C10" s="420"/>
      <c r="D10" s="420"/>
      <c r="E10" s="420"/>
      <c r="F10" s="420"/>
      <c r="G10" s="420"/>
      <c r="H10" s="420"/>
    </row>
    <row r="11" spans="2:8" ht="19">
      <c r="B11" s="423" t="s">
        <v>241</v>
      </c>
      <c r="C11" s="420"/>
      <c r="D11" s="420"/>
      <c r="E11" s="420"/>
      <c r="F11" s="420"/>
      <c r="G11" s="420"/>
      <c r="H11" s="420"/>
    </row>
    <row r="12" spans="2:8" ht="19">
      <c r="B12" s="420" t="s">
        <v>242</v>
      </c>
      <c r="C12" s="420"/>
      <c r="D12" s="424">
        <f>1825+1.45%*D6</f>
        <v>1825</v>
      </c>
      <c r="E12" s="420"/>
      <c r="F12" s="420"/>
      <c r="G12" s="420"/>
      <c r="H12" s="420"/>
    </row>
    <row r="13" spans="2:8" ht="22">
      <c r="B13" s="420" t="s">
        <v>243</v>
      </c>
      <c r="C13" s="420"/>
      <c r="D13" s="425">
        <v>5690</v>
      </c>
      <c r="E13" s="420" t="s">
        <v>244</v>
      </c>
      <c r="F13" s="420"/>
      <c r="G13" s="420"/>
      <c r="H13" s="420"/>
    </row>
    <row r="14" spans="2:8" ht="19">
      <c r="B14" s="420" t="s">
        <v>245</v>
      </c>
      <c r="C14" s="420"/>
      <c r="D14" s="421">
        <f>D12+D13</f>
        <v>7515</v>
      </c>
      <c r="E14" s="420"/>
      <c r="F14" s="420"/>
      <c r="G14" s="420"/>
      <c r="H14" s="420"/>
    </row>
    <row r="15" spans="2:8" ht="19">
      <c r="B15" s="420"/>
      <c r="C15" s="420"/>
      <c r="D15" s="420"/>
      <c r="E15" s="420"/>
      <c r="F15" s="420"/>
      <c r="G15" s="420"/>
      <c r="H15" s="420"/>
    </row>
    <row r="16" spans="2:8" ht="19">
      <c r="B16" s="420" t="s">
        <v>246</v>
      </c>
      <c r="C16" s="420"/>
      <c r="D16" s="424">
        <f>D6-D14</f>
        <v>-7515</v>
      </c>
      <c r="E16" s="420"/>
      <c r="F16" s="420"/>
      <c r="G16" s="420"/>
      <c r="H16" s="420"/>
    </row>
    <row r="17" spans="2:8" ht="19">
      <c r="B17" s="420"/>
      <c r="C17" s="420"/>
      <c r="D17" s="420"/>
      <c r="E17" s="420"/>
      <c r="F17" s="420"/>
      <c r="G17" s="420"/>
      <c r="H17" s="420"/>
    </row>
    <row r="18" spans="2:8" ht="19">
      <c r="B18" s="420"/>
      <c r="C18" s="420"/>
      <c r="D18" s="420"/>
      <c r="E18" s="420"/>
      <c r="F18" s="420"/>
      <c r="G18" s="420"/>
      <c r="H18" s="420"/>
    </row>
    <row r="19" spans="2:8" ht="19">
      <c r="B19" s="420" t="s">
        <v>247</v>
      </c>
      <c r="C19" s="420"/>
      <c r="D19" s="426">
        <f>PMT(D9/D8,D7*D8,D6)</f>
        <v>0</v>
      </c>
      <c r="E19" s="420"/>
      <c r="F19" s="420"/>
      <c r="G19" s="420"/>
      <c r="H19" s="420"/>
    </row>
    <row r="20" spans="2:8" ht="19">
      <c r="B20" s="420" t="s">
        <v>248</v>
      </c>
      <c r="C20" s="420"/>
      <c r="D20" s="426" t="e">
        <f>-CUMIPMT(D9/D8,D8*D7,D6,1,D8,0)</f>
        <v>#NUM!</v>
      </c>
      <c r="E20" s="420"/>
      <c r="F20" s="420"/>
      <c r="G20" s="420"/>
      <c r="H20" s="420"/>
    </row>
    <row r="21" spans="2:8" ht="19">
      <c r="B21" s="420" t="s">
        <v>249</v>
      </c>
      <c r="C21" s="420"/>
      <c r="D21" s="426" t="e">
        <f>1/3*D20</f>
        <v>#NUM!</v>
      </c>
      <c r="E21" s="420"/>
      <c r="F21" s="420"/>
      <c r="G21" s="420"/>
      <c r="H21" s="420"/>
    </row>
    <row r="22" spans="2:8" ht="19">
      <c r="B22" s="427" t="s">
        <v>250</v>
      </c>
      <c r="C22" s="427"/>
      <c r="D22" s="428" t="e">
        <f>D19+(D21/D8)</f>
        <v>#NUM!</v>
      </c>
      <c r="E22" s="429" t="s">
        <v>251</v>
      </c>
      <c r="F22" s="420"/>
      <c r="G22" s="420"/>
      <c r="H22" s="420"/>
    </row>
    <row r="24" spans="2:8">
      <c r="B24" s="418" t="s">
        <v>252</v>
      </c>
      <c r="D24" s="430" t="e">
        <f>RATE(D7*D8,D19,D16)</f>
        <v>#NUM!</v>
      </c>
    </row>
    <row r="25" spans="2:8">
      <c r="B25" s="431" t="s">
        <v>253</v>
      </c>
      <c r="C25" s="431"/>
      <c r="D25" s="432" t="e">
        <f>(1+D24)^D8-1</f>
        <v>#NUM!</v>
      </c>
    </row>
  </sheetData>
  <pageMargins left="0.70866141732283472" right="0.70866141732283472" top="0.74803149606299213" bottom="0.74803149606299213" header="0.31496062992125984" footer="0.31496062992125984"/>
  <pageSetup paperSize="9" scale="2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E6E5-99D8-4745-83F6-0D741E7554A0}">
  <dimension ref="A1:V52"/>
  <sheetViews>
    <sheetView zoomScale="111" zoomScaleNormal="169" workbookViewId="0">
      <selection activeCell="E13" sqref="E13"/>
    </sheetView>
  </sheetViews>
  <sheetFormatPr baseColWidth="10" defaultColWidth="8.83203125" defaultRowHeight="15"/>
  <cols>
    <col min="1" max="1" width="41.83203125" style="306" customWidth="1"/>
    <col min="2" max="2" width="15.1640625" style="306" customWidth="1"/>
    <col min="3" max="3" width="37.5" style="306" customWidth="1"/>
    <col min="4" max="4" width="40.1640625" style="306" customWidth="1"/>
    <col min="5" max="5" width="14.5" style="306" bestFit="1" customWidth="1"/>
    <col min="6" max="6" width="15.33203125" style="306" customWidth="1"/>
    <col min="7" max="7" width="14.5" style="306" bestFit="1" customWidth="1"/>
    <col min="8" max="8" width="15.33203125" style="306" customWidth="1"/>
    <col min="9" max="9" width="14.5" style="306" customWidth="1"/>
    <col min="10" max="10" width="29.33203125" style="306" customWidth="1"/>
    <col min="11" max="12" width="13.5" style="306" customWidth="1"/>
    <col min="13" max="18" width="13.5" style="306" hidden="1" customWidth="1"/>
    <col min="19" max="19" width="8.83203125" style="306"/>
    <col min="20" max="20" width="26.1640625" style="306" customWidth="1"/>
    <col min="21" max="21" width="8.83203125" style="306"/>
    <col min="22" max="22" width="14.5" style="306" bestFit="1" customWidth="1"/>
    <col min="23" max="16384" width="8.83203125" style="306"/>
  </cols>
  <sheetData>
    <row r="1" spans="1:22" ht="30" customHeight="1">
      <c r="D1" s="542" t="s">
        <v>254</v>
      </c>
      <c r="E1" s="542" t="s">
        <v>255</v>
      </c>
      <c r="F1" s="542" t="s">
        <v>256</v>
      </c>
      <c r="G1" s="542" t="s">
        <v>257</v>
      </c>
      <c r="H1" s="542" t="s">
        <v>258</v>
      </c>
    </row>
    <row r="2" spans="1:22" ht="17" thickBot="1">
      <c r="A2" s="325" t="s">
        <v>259</v>
      </c>
      <c r="B2" s="332">
        <f>'Hvordan finansieres boligen'!E5</f>
        <v>6995000</v>
      </c>
      <c r="C2" s="433" t="s">
        <v>260</v>
      </c>
      <c r="D2" s="543"/>
      <c r="E2" s="543"/>
      <c r="F2" s="543"/>
      <c r="G2" s="543"/>
      <c r="H2" s="543"/>
      <c r="J2" s="434"/>
    </row>
    <row r="3" spans="1:22" ht="16">
      <c r="A3" s="325" t="s">
        <v>261</v>
      </c>
      <c r="B3" s="327">
        <f>'Hvordan finansieres boligen'!E8</f>
        <v>5016423.9281804888</v>
      </c>
      <c r="C3" s="435">
        <f>B3/B2</f>
        <v>0.71714423562265739</v>
      </c>
      <c r="D3" s="436" t="s">
        <v>262</v>
      </c>
      <c r="E3" s="437">
        <f>E5/E4*100</f>
        <v>5103177.9533880865</v>
      </c>
      <c r="F3" s="437">
        <f>F5/F4*100</f>
        <v>5016423.9281804888</v>
      </c>
      <c r="G3" s="437">
        <f>G5/G4*100</f>
        <v>5139778.6149390256</v>
      </c>
      <c r="H3" s="334">
        <f>H5/H4*100</f>
        <v>5016423.9281804888</v>
      </c>
      <c r="I3" s="326"/>
    </row>
    <row r="4" spans="1:22" ht="16">
      <c r="D4" s="438" t="s">
        <v>263</v>
      </c>
      <c r="E4" s="439">
        <v>98.3</v>
      </c>
      <c r="F4" s="440">
        <v>100</v>
      </c>
      <c r="G4" s="439">
        <v>97.6</v>
      </c>
      <c r="H4" s="441">
        <v>100</v>
      </c>
    </row>
    <row r="5" spans="1:22" ht="16">
      <c r="A5" s="325" t="s">
        <v>264</v>
      </c>
      <c r="D5" s="442" t="s">
        <v>265</v>
      </c>
      <c r="E5" s="437">
        <f>B3</f>
        <v>5016423.9281804888</v>
      </c>
      <c r="F5" s="443">
        <f>B3</f>
        <v>5016423.9281804888</v>
      </c>
      <c r="G5" s="443">
        <f>B3</f>
        <v>5016423.9281804888</v>
      </c>
      <c r="H5" s="444">
        <f>B3</f>
        <v>5016423.9281804888</v>
      </c>
      <c r="I5" s="333"/>
      <c r="T5" s="306" t="s">
        <v>85</v>
      </c>
      <c r="V5" s="326" t="s">
        <v>85</v>
      </c>
    </row>
    <row r="6" spans="1:22" ht="16">
      <c r="A6" s="306" t="s">
        <v>242</v>
      </c>
      <c r="B6" s="327">
        <f>1.45%*E3+1825</f>
        <v>75821.080324127252</v>
      </c>
      <c r="D6" s="445" t="s">
        <v>266</v>
      </c>
      <c r="E6" s="443">
        <f>B9</f>
        <v>95853.928180488234</v>
      </c>
      <c r="F6" s="443">
        <f>E6</f>
        <v>95853.928180488234</v>
      </c>
      <c r="G6" s="443">
        <f>F6</f>
        <v>95853.928180488234</v>
      </c>
      <c r="H6" s="444">
        <f>G6</f>
        <v>95853.928180488234</v>
      </c>
      <c r="I6" s="327"/>
    </row>
    <row r="7" spans="1:22" ht="16">
      <c r="A7" s="306" t="s">
        <v>267</v>
      </c>
      <c r="B7" s="332">
        <v>10000</v>
      </c>
      <c r="D7" s="442" t="s">
        <v>268</v>
      </c>
      <c r="E7" s="443">
        <f>E5-E6</f>
        <v>4920570.0000000009</v>
      </c>
      <c r="F7" s="437">
        <f>F5-F6</f>
        <v>4920570.0000000009</v>
      </c>
      <c r="G7" s="437">
        <f>G5-G6</f>
        <v>4920570.0000000009</v>
      </c>
      <c r="H7" s="334">
        <f>H5-H6</f>
        <v>4920570.0000000009</v>
      </c>
      <c r="I7" s="446"/>
      <c r="J7" s="447"/>
    </row>
    <row r="8" spans="1:22" ht="16">
      <c r="A8" s="306" t="s">
        <v>269</v>
      </c>
      <c r="B8" s="448">
        <f>0.2%*B3</f>
        <v>10032.847856360977</v>
      </c>
      <c r="D8" s="438"/>
      <c r="E8" s="438"/>
      <c r="F8" s="438"/>
      <c r="G8" s="438"/>
      <c r="H8" s="449"/>
    </row>
    <row r="9" spans="1:22" ht="16">
      <c r="A9" s="306" t="s">
        <v>95</v>
      </c>
      <c r="B9" s="450">
        <f>SUM(B6:B8)</f>
        <v>95853.928180488234</v>
      </c>
      <c r="D9" s="438" t="s">
        <v>270</v>
      </c>
      <c r="E9" s="451">
        <v>0.04</v>
      </c>
      <c r="F9" s="451">
        <v>2.5999999999999999E-2</v>
      </c>
      <c r="G9" s="335">
        <v>0.04</v>
      </c>
      <c r="H9" s="452">
        <v>3.9899999999999998E-2</v>
      </c>
      <c r="I9" s="336"/>
    </row>
    <row r="10" spans="1:22" ht="16">
      <c r="D10" s="438" t="s">
        <v>271</v>
      </c>
      <c r="E10" s="451">
        <v>6.8120000000000003E-3</v>
      </c>
      <c r="F10" s="451">
        <v>8.5640000000000004E-3</v>
      </c>
      <c r="G10" s="335">
        <f>E10+0.002752</f>
        <v>9.5639999999999996E-3</v>
      </c>
      <c r="H10" s="452">
        <f>0.011064+0.002752</f>
        <v>1.3815999999999998E-2</v>
      </c>
      <c r="I10" s="336"/>
    </row>
    <row r="11" spans="1:22" ht="16">
      <c r="D11" s="438" t="s">
        <v>272</v>
      </c>
      <c r="E11" s="453">
        <f>E10+E9</f>
        <v>4.6811999999999999E-2</v>
      </c>
      <c r="F11" s="453">
        <f>F10+F9</f>
        <v>3.4563999999999998E-2</v>
      </c>
      <c r="G11" s="337">
        <f>G10+G9</f>
        <v>4.9563999999999997E-2</v>
      </c>
      <c r="H11" s="454">
        <f>H10+H9</f>
        <v>5.3716E-2</v>
      </c>
      <c r="I11" s="336"/>
    </row>
    <row r="12" spans="1:22" ht="16">
      <c r="D12" s="438" t="s">
        <v>273</v>
      </c>
      <c r="E12" s="455">
        <v>30</v>
      </c>
      <c r="F12" s="455">
        <v>30</v>
      </c>
      <c r="G12" s="455">
        <v>30</v>
      </c>
      <c r="H12" s="456">
        <v>30</v>
      </c>
    </row>
    <row r="13" spans="1:22" ht="16">
      <c r="D13" s="438" t="s">
        <v>274</v>
      </c>
      <c r="E13" s="438">
        <v>4</v>
      </c>
      <c r="F13" s="438">
        <f>E13</f>
        <v>4</v>
      </c>
      <c r="G13" s="438">
        <f>F13</f>
        <v>4</v>
      </c>
      <c r="H13" s="449">
        <f>G13</f>
        <v>4</v>
      </c>
    </row>
    <row r="14" spans="1:22" ht="16">
      <c r="D14" s="438" t="s">
        <v>275</v>
      </c>
      <c r="E14" s="438">
        <f>E13*E12</f>
        <v>120</v>
      </c>
      <c r="F14" s="438">
        <f>F13*F12</f>
        <v>120</v>
      </c>
      <c r="G14" s="438">
        <f>G13*G12</f>
        <v>120</v>
      </c>
      <c r="H14" s="449">
        <f>H13*H12</f>
        <v>120</v>
      </c>
    </row>
    <row r="15" spans="1:22" ht="17" thickBot="1">
      <c r="D15" s="438"/>
      <c r="E15" s="438"/>
      <c r="F15" s="438"/>
      <c r="G15" s="438"/>
      <c r="H15" s="449"/>
      <c r="I15" s="336"/>
      <c r="K15" s="457"/>
    </row>
    <row r="16" spans="1:22" ht="16">
      <c r="D16" s="458" t="s">
        <v>276</v>
      </c>
      <c r="E16" s="459">
        <f>-PMT(E9/E13,E14,E3)</f>
        <v>73215.778083976344</v>
      </c>
      <c r="F16" s="459">
        <f>-PMT(F9/F13,F14,F5)</f>
        <v>60334.224510551401</v>
      </c>
      <c r="G16" s="459">
        <f>G3*G9/G13</f>
        <v>51397.78614939026</v>
      </c>
      <c r="H16" s="338">
        <f>H5*H9/H13</f>
        <v>50038.828683600375</v>
      </c>
      <c r="I16" s="326"/>
      <c r="K16" s="326"/>
    </row>
    <row r="17" spans="4:11" ht="16">
      <c r="D17" s="438" t="s">
        <v>277</v>
      </c>
      <c r="E17" s="437">
        <f>E16*E13</f>
        <v>292863.11233590537</v>
      </c>
      <c r="F17" s="437">
        <f>F16*F13</f>
        <v>241336.8980422056</v>
      </c>
      <c r="G17" s="437">
        <f>G16*G13</f>
        <v>205591.14459756104</v>
      </c>
      <c r="H17" s="334">
        <f>H16*H13</f>
        <v>200155.3147344015</v>
      </c>
      <c r="I17" s="326"/>
      <c r="J17" s="460"/>
      <c r="K17" s="326"/>
    </row>
    <row r="18" spans="4:11" ht="16">
      <c r="D18" s="438" t="s">
        <v>278</v>
      </c>
      <c r="E18" s="437">
        <f>E3*E10/E13+(E3+CUMPRINC(E9/E13,E14,E3,1,1,0))*E10/E13+(E3+CUMPRINC(E9/E13,E14,E3,1,2,0))*E10/E13+(E3+CUMPRINC(E9/E13,E14,E3,1,3,0))*E10/E13</f>
        <v>34534.657169378581</v>
      </c>
      <c r="F18" s="437">
        <f>'F5 (2)'!F4+'F5 (2)'!F5+'F5 (2)'!F6+'F5 (2)'!F7</f>
        <v>42602.921469015615</v>
      </c>
      <c r="G18" s="437">
        <f>G3*G10/G13*G13</f>
        <v>49156.842673276842</v>
      </c>
      <c r="H18" s="334">
        <f>H5*H10/H13*H13</f>
        <v>69306.912991741629</v>
      </c>
    </row>
    <row r="19" spans="4:11" ht="16">
      <c r="D19" s="438" t="s">
        <v>279</v>
      </c>
      <c r="E19" s="437">
        <f>SUM(E17:E18)</f>
        <v>327397.76950528397</v>
      </c>
      <c r="F19" s="437">
        <f>SUM(F17:F18)</f>
        <v>283939.8195112212</v>
      </c>
      <c r="G19" s="437">
        <f>SUM(G17:G18)</f>
        <v>254747.98727083788</v>
      </c>
      <c r="H19" s="334">
        <f>SUM(H17:H18)</f>
        <v>269462.22772614314</v>
      </c>
      <c r="I19" s="326"/>
      <c r="J19" s="460"/>
    </row>
    <row r="20" spans="4:11" ht="16">
      <c r="D20" s="438"/>
      <c r="E20" s="437"/>
      <c r="F20" s="437"/>
      <c r="G20" s="437"/>
      <c r="H20" s="334"/>
      <c r="J20" s="460"/>
    </row>
    <row r="21" spans="4:11" ht="16">
      <c r="D21" s="438" t="s">
        <v>280</v>
      </c>
      <c r="E21" s="437">
        <f>-CUMIPMT(E9/E13,E14,E3,1,E13,0)</f>
        <v>202787.1824390991</v>
      </c>
      <c r="F21" s="437">
        <f>'F5 (2)'!C4+'F5 (2)'!C5+'F5 (2)'!C6+'F5 (2)'!C7</f>
        <v>129340.95728566159</v>
      </c>
      <c r="G21" s="437">
        <f>G17</f>
        <v>205591.14459756104</v>
      </c>
      <c r="H21" s="334">
        <f>H17</f>
        <v>200155.3147344015</v>
      </c>
    </row>
    <row r="22" spans="4:11" ht="16">
      <c r="D22" s="438" t="s">
        <v>281</v>
      </c>
      <c r="E22" s="437">
        <f>-CUMPRINC(E9/E13,E14,E3,1,1*E13,0)</f>
        <v>90075.929896806279</v>
      </c>
      <c r="F22" s="437">
        <f>F17-F21</f>
        <v>111995.94075654402</v>
      </c>
      <c r="G22" s="437">
        <v>0</v>
      </c>
      <c r="H22" s="334">
        <v>0</v>
      </c>
      <c r="I22" s="326"/>
      <c r="J22" s="460"/>
    </row>
    <row r="23" spans="4:11" ht="16">
      <c r="D23" s="438"/>
      <c r="E23" s="437"/>
      <c r="F23" s="437"/>
      <c r="G23" s="437"/>
      <c r="H23" s="334"/>
    </row>
    <row r="24" spans="4:11" ht="16">
      <c r="D24" s="438" t="s">
        <v>282</v>
      </c>
      <c r="E24" s="437">
        <f>E19-1/3*(E18+E21)</f>
        <v>248290.48963579143</v>
      </c>
      <c r="F24" s="437">
        <f>F19-1/3*(F18+F21)</f>
        <v>226625.19325966213</v>
      </c>
      <c r="G24" s="437">
        <f>G19-1/3*(G18+G21)</f>
        <v>169831.99151389193</v>
      </c>
      <c r="H24" s="334">
        <f>H19-1/3*(H18+H21)</f>
        <v>179641.48515076211</v>
      </c>
      <c r="I24" s="326"/>
    </row>
    <row r="25" spans="4:11" ht="16">
      <c r="D25" s="461" t="s">
        <v>283</v>
      </c>
      <c r="E25" s="462">
        <f>E24/E13</f>
        <v>62072.622408947856</v>
      </c>
      <c r="F25" s="462">
        <f>F24/F13</f>
        <v>56656.298314915533</v>
      </c>
      <c r="G25" s="462">
        <f>G24/G13</f>
        <v>42457.997878472983</v>
      </c>
      <c r="H25" s="339">
        <f>H24/H13</f>
        <v>44910.371287690527</v>
      </c>
      <c r="I25" s="331"/>
      <c r="J25" s="328"/>
      <c r="K25" s="463"/>
    </row>
    <row r="26" spans="4:11" ht="16">
      <c r="D26" s="438"/>
      <c r="E26" s="437"/>
      <c r="F26" s="437"/>
      <c r="G26" s="437"/>
      <c r="H26" s="334"/>
    </row>
    <row r="27" spans="4:11" ht="16">
      <c r="D27" s="442" t="s">
        <v>284</v>
      </c>
      <c r="E27" s="462">
        <f>E19/12</f>
        <v>27283.147458773663</v>
      </c>
      <c r="F27" s="462">
        <f>F19/12</f>
        <v>23661.651625935101</v>
      </c>
      <c r="G27" s="462">
        <f>G19/12</f>
        <v>21228.998939236491</v>
      </c>
      <c r="H27" s="339">
        <f>H19/12</f>
        <v>22455.185643845263</v>
      </c>
      <c r="I27" s="464"/>
    </row>
    <row r="28" spans="4:11" ht="17" thickBot="1">
      <c r="D28" s="465" t="s">
        <v>285</v>
      </c>
      <c r="E28" s="466">
        <f>E24/12</f>
        <v>20690.874136315953</v>
      </c>
      <c r="F28" s="466">
        <f>F24/12</f>
        <v>18885.432771638512</v>
      </c>
      <c r="G28" s="466">
        <f>G24/12</f>
        <v>14152.665959490994</v>
      </c>
      <c r="H28" s="340">
        <f>H24/12</f>
        <v>14970.123762563509</v>
      </c>
      <c r="I28" s="464"/>
    </row>
    <row r="30" spans="4:11">
      <c r="E30" s="457"/>
      <c r="F30" s="457"/>
      <c r="G30" s="457"/>
      <c r="H30" s="457"/>
    </row>
    <row r="31" spans="4:11">
      <c r="E31" s="341"/>
      <c r="F31" s="341"/>
      <c r="G31" s="341"/>
      <c r="H31" s="341"/>
    </row>
    <row r="35" spans="5:8" ht="16">
      <c r="E35" s="336"/>
      <c r="F35" s="336"/>
      <c r="G35" s="336"/>
      <c r="H35" s="336"/>
    </row>
    <row r="36" spans="5:8">
      <c r="E36" s="341"/>
      <c r="F36" s="341"/>
      <c r="G36" s="341"/>
      <c r="H36" s="341"/>
    </row>
    <row r="49" spans="2:3">
      <c r="B49" s="306" t="s">
        <v>85</v>
      </c>
    </row>
    <row r="52" spans="2:3">
      <c r="C52" s="325"/>
    </row>
  </sheetData>
  <mergeCells count="5"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5A6DD-974E-E448-B746-67913C5C7569}">
  <dimension ref="A1:G124"/>
  <sheetViews>
    <sheetView zoomScale="125" workbookViewId="0">
      <selection activeCell="K18" sqref="K18"/>
    </sheetView>
  </sheetViews>
  <sheetFormatPr baseColWidth="10" defaultColWidth="8.83203125" defaultRowHeight="15"/>
  <cols>
    <col min="1" max="1" width="8.83203125" style="306"/>
    <col min="2" max="2" width="12" style="469" customWidth="1"/>
    <col min="3" max="3" width="20.33203125" style="306" customWidth="1"/>
    <col min="4" max="4" width="19.1640625" style="306" customWidth="1"/>
    <col min="5" max="5" width="10.6640625" style="306" customWidth="1"/>
    <col min="6" max="6" width="19.1640625" style="306" customWidth="1"/>
    <col min="7" max="7" width="11" style="306" customWidth="1"/>
    <col min="8" max="16384" width="8.83203125" style="306"/>
  </cols>
  <sheetData>
    <row r="1" spans="1:7">
      <c r="A1" s="546" t="s">
        <v>286</v>
      </c>
      <c r="B1" s="547" t="s">
        <v>287</v>
      </c>
      <c r="C1" s="547" t="s">
        <v>288</v>
      </c>
      <c r="D1" s="547" t="s">
        <v>289</v>
      </c>
      <c r="E1" s="547" t="s">
        <v>290</v>
      </c>
      <c r="F1" s="547" t="s">
        <v>291</v>
      </c>
      <c r="G1" s="544" t="s">
        <v>292</v>
      </c>
    </row>
    <row r="2" spans="1:7">
      <c r="A2" s="546"/>
      <c r="B2" s="547"/>
      <c r="C2" s="547"/>
      <c r="D2" s="547"/>
      <c r="E2" s="547"/>
      <c r="F2" s="547"/>
      <c r="G2" s="545"/>
    </row>
    <row r="3" spans="1:7">
      <c r="A3" s="329">
        <v>0</v>
      </c>
      <c r="B3" s="467">
        <f>'Realkredit finansiering (2)'!F5</f>
        <v>5016423.9281804888</v>
      </c>
      <c r="C3" s="467"/>
      <c r="D3" s="467"/>
      <c r="E3" s="467"/>
      <c r="F3" s="467"/>
      <c r="G3" s="468"/>
    </row>
    <row r="4" spans="1:7">
      <c r="A4" s="329">
        <v>1</v>
      </c>
      <c r="B4" s="467">
        <f t="shared" ref="B4:B67" si="0">B3-D4</f>
        <v>4988696.4592031101</v>
      </c>
      <c r="C4" s="330">
        <f>'Realkredit finansiering (2)'!$F$9/'Realkredit finansiering (2)'!$F$13*'F5 (2)'!B3</f>
        <v>32606.755533173175</v>
      </c>
      <c r="D4" s="330">
        <f t="shared" ref="D4:D67" si="1">E4-C4</f>
        <v>27727.468977378227</v>
      </c>
      <c r="E4" s="330">
        <f>'Realkredit finansiering (2)'!$F$16</f>
        <v>60334.224510551401</v>
      </c>
      <c r="F4" s="330">
        <f>'Realkredit finansiering (2)'!$F$10/'Realkredit finansiering (2)'!$F$13*'F5 (2)'!B3</f>
        <v>10740.163630234427</v>
      </c>
      <c r="G4" s="468">
        <f t="shared" ref="G4:G67" si="2">E4+F4</f>
        <v>71074.388140785828</v>
      </c>
    </row>
    <row r="5" spans="1:7">
      <c r="A5" s="329">
        <v>2</v>
      </c>
      <c r="B5" s="467">
        <f t="shared" si="0"/>
        <v>4960788.7616773788</v>
      </c>
      <c r="C5" s="330">
        <f>'Realkredit finansiering (2)'!$F$9/'Realkredit finansiering (2)'!$F$13*'F5 (2)'!B4</f>
        <v>32426.526984820215</v>
      </c>
      <c r="D5" s="330">
        <f t="shared" si="1"/>
        <v>27907.697525731186</v>
      </c>
      <c r="E5" s="330">
        <f>'Realkredit finansiering (2)'!$F$16</f>
        <v>60334.224510551401</v>
      </c>
      <c r="F5" s="330">
        <f>'Realkredit finansiering (2)'!$F$10/'Realkredit finansiering (2)'!$F$13*'F5 (2)'!B4</f>
        <v>10680.799119153859</v>
      </c>
      <c r="G5" s="468">
        <f t="shared" si="2"/>
        <v>71015.023629705262</v>
      </c>
    </row>
    <row r="6" spans="1:7">
      <c r="A6" s="329">
        <v>3</v>
      </c>
      <c r="B6" s="467">
        <f t="shared" si="0"/>
        <v>4932699.6641177302</v>
      </c>
      <c r="C6" s="330">
        <f>'Realkredit finansiering (2)'!$F$9/'Realkredit finansiering (2)'!$F$13*'F5 (2)'!B5</f>
        <v>32245.126950902959</v>
      </c>
      <c r="D6" s="330">
        <f t="shared" si="1"/>
        <v>28089.097559648442</v>
      </c>
      <c r="E6" s="330">
        <f>'Realkredit finansiering (2)'!$F$16</f>
        <v>60334.224510551401</v>
      </c>
      <c r="F6" s="330">
        <f>'Realkredit finansiering (2)'!$F$10/'Realkredit finansiering (2)'!$F$13*'F5 (2)'!B5</f>
        <v>10621.048738751269</v>
      </c>
      <c r="G6" s="468">
        <f t="shared" si="2"/>
        <v>70955.273249302671</v>
      </c>
    </row>
    <row r="7" spans="1:7">
      <c r="A7" s="329">
        <v>4</v>
      </c>
      <c r="B7" s="467">
        <f t="shared" si="0"/>
        <v>4904427.9874239443</v>
      </c>
      <c r="C7" s="330">
        <f>'Realkredit finansiering (2)'!$F$9/'Realkredit finansiering (2)'!$F$13*'F5 (2)'!B6</f>
        <v>32062.547816765244</v>
      </c>
      <c r="D7" s="330">
        <f t="shared" si="1"/>
        <v>28271.676693786158</v>
      </c>
      <c r="E7" s="330">
        <f>'Realkredit finansiering (2)'!$F$16</f>
        <v>60334.224510551401</v>
      </c>
      <c r="F7" s="330">
        <f>'Realkredit finansiering (2)'!$F$10/'Realkredit finansiering (2)'!$F$13*'F5 (2)'!B6</f>
        <v>10560.90998087606</v>
      </c>
      <c r="G7" s="468">
        <f t="shared" si="2"/>
        <v>70895.134491427467</v>
      </c>
    </row>
    <row r="8" spans="1:7">
      <c r="A8" s="329">
        <v>5</v>
      </c>
      <c r="B8" s="467">
        <f t="shared" si="0"/>
        <v>4875972.5448316485</v>
      </c>
      <c r="C8" s="330">
        <f>'Realkredit finansiering (2)'!$F$9/'Realkredit finansiering (2)'!$F$13*'F5 (2)'!B7</f>
        <v>31878.781918255638</v>
      </c>
      <c r="D8" s="330">
        <f t="shared" si="1"/>
        <v>28455.442592295763</v>
      </c>
      <c r="E8" s="330">
        <f>'Realkredit finansiering (2)'!$F$16</f>
        <v>60334.224510551401</v>
      </c>
      <c r="F8" s="330">
        <f>'Realkredit finansiering (2)'!$F$10/'Realkredit finansiering (2)'!$F$13*'F5 (2)'!B7</f>
        <v>10500.380321074665</v>
      </c>
      <c r="G8" s="468">
        <f t="shared" si="2"/>
        <v>70834.604831626071</v>
      </c>
    </row>
    <row r="9" spans="1:7">
      <c r="A9" s="329">
        <v>6</v>
      </c>
      <c r="B9" s="467">
        <f t="shared" si="0"/>
        <v>4847332.1418625023</v>
      </c>
      <c r="C9" s="330">
        <f>'Realkredit finansiering (2)'!$F$9/'Realkredit finansiering (2)'!$F$13*'F5 (2)'!B8</f>
        <v>31693.821541405712</v>
      </c>
      <c r="D9" s="330">
        <f t="shared" si="1"/>
        <v>28640.402969145689</v>
      </c>
      <c r="E9" s="330">
        <f>'Realkredit finansiering (2)'!$F$16</f>
        <v>60334.224510551401</v>
      </c>
      <c r="F9" s="330">
        <f>'Realkredit finansiering (2)'!$F$10/'Realkredit finansiering (2)'!$F$13*'F5 (2)'!B8</f>
        <v>10439.45721848456</v>
      </c>
      <c r="G9" s="468">
        <f t="shared" si="2"/>
        <v>70773.681729035961</v>
      </c>
    </row>
    <row r="10" spans="1:7">
      <c r="A10" s="329">
        <v>7</v>
      </c>
      <c r="B10" s="467">
        <f t="shared" si="0"/>
        <v>4818505.5762740569</v>
      </c>
      <c r="C10" s="330">
        <f>'Realkredit finansiering (2)'!$F$9/'Realkredit finansiering (2)'!$F$13*'F5 (2)'!B9</f>
        <v>31507.658922106264</v>
      </c>
      <c r="D10" s="330">
        <f t="shared" si="1"/>
        <v>28826.565588445137</v>
      </c>
      <c r="E10" s="330">
        <f>'Realkredit finansiering (2)'!$F$16</f>
        <v>60334.224510551401</v>
      </c>
      <c r="F10" s="330">
        <f>'Realkredit finansiering (2)'!$F$10/'Realkredit finansiering (2)'!$F$13*'F5 (2)'!B9</f>
        <v>10378.138115727617</v>
      </c>
      <c r="G10" s="468">
        <f t="shared" si="2"/>
        <v>70712.36262627902</v>
      </c>
    </row>
    <row r="11" spans="1:7">
      <c r="A11" s="329">
        <v>8</v>
      </c>
      <c r="B11" s="467">
        <f t="shared" si="0"/>
        <v>4789491.6380092865</v>
      </c>
      <c r="C11" s="330">
        <f>'Realkredit finansiering (2)'!$F$9/'Realkredit finansiering (2)'!$F$13*'F5 (2)'!B10</f>
        <v>31320.286245781368</v>
      </c>
      <c r="D11" s="330">
        <f t="shared" si="1"/>
        <v>29013.938264770033</v>
      </c>
      <c r="E11" s="330">
        <f>'Realkredit finansiering (2)'!$F$16</f>
        <v>60334.224510551401</v>
      </c>
      <c r="F11" s="330">
        <f>'Realkredit finansiering (2)'!$F$10/'Realkredit finansiering (2)'!$F$13*'F5 (2)'!B10</f>
        <v>10316.420438802756</v>
      </c>
      <c r="G11" s="468">
        <f t="shared" si="2"/>
        <v>70650.644949354159</v>
      </c>
    </row>
    <row r="12" spans="1:7">
      <c r="A12" s="329">
        <v>9</v>
      </c>
      <c r="B12" s="467">
        <f t="shared" si="0"/>
        <v>4760289.109145795</v>
      </c>
      <c r="C12" s="330">
        <f>'Realkredit finansiering (2)'!$F$9/'Realkredit finansiering (2)'!$F$13*'F5 (2)'!B11</f>
        <v>31131.695647060362</v>
      </c>
      <c r="D12" s="330">
        <f t="shared" si="1"/>
        <v>29202.528863491039</v>
      </c>
      <c r="E12" s="330">
        <f>'Realkredit finansiering (2)'!$F$16</f>
        <v>60334.224510551401</v>
      </c>
      <c r="F12" s="330">
        <f>'Realkredit finansiering (2)'!$F$10/'Realkredit finansiering (2)'!$F$13*'F5 (2)'!B11</f>
        <v>10254.301596977883</v>
      </c>
      <c r="G12" s="468">
        <f t="shared" si="2"/>
        <v>70588.52610752928</v>
      </c>
    </row>
    <row r="13" spans="1:7">
      <c r="A13" s="329">
        <v>10</v>
      </c>
      <c r="B13" s="467">
        <f t="shared" si="0"/>
        <v>4730896.7638446912</v>
      </c>
      <c r="C13" s="330">
        <f>'Realkredit finansiering (2)'!$F$9/'Realkredit finansiering (2)'!$F$13*'F5 (2)'!B12</f>
        <v>30941.879209447667</v>
      </c>
      <c r="D13" s="330">
        <f t="shared" si="1"/>
        <v>29392.345301103735</v>
      </c>
      <c r="E13" s="330">
        <f>'Realkredit finansiering (2)'!$F$16</f>
        <v>60334.224510551401</v>
      </c>
      <c r="F13" s="330">
        <f>'Realkredit finansiering (2)'!$F$10/'Realkredit finansiering (2)'!$F$13*'F5 (2)'!B12</f>
        <v>10191.778982681148</v>
      </c>
      <c r="G13" s="468">
        <f t="shared" si="2"/>
        <v>70526.003493232551</v>
      </c>
    </row>
    <row r="14" spans="1:7">
      <c r="A14" s="329">
        <v>11</v>
      </c>
      <c r="B14" s="467">
        <f t="shared" si="0"/>
        <v>4701313.3682991304</v>
      </c>
      <c r="C14" s="330">
        <f>'Realkredit finansiering (2)'!$F$9/'Realkredit finansiering (2)'!$F$13*'F5 (2)'!B13</f>
        <v>30750.828964990491</v>
      </c>
      <c r="D14" s="330">
        <f t="shared" si="1"/>
        <v>29583.39554556091</v>
      </c>
      <c r="E14" s="330">
        <f>'Realkredit finansiering (2)'!$F$16</f>
        <v>60334.224510551401</v>
      </c>
      <c r="F14" s="330">
        <f>'Realkredit finansiering (2)'!$F$10/'Realkredit finansiering (2)'!$F$13*'F5 (2)'!B13</f>
        <v>10128.849971391484</v>
      </c>
      <c r="G14" s="468">
        <f t="shared" si="2"/>
        <v>70463.07448194288</v>
      </c>
    </row>
    <row r="15" spans="1:7">
      <c r="A15" s="329">
        <v>12</v>
      </c>
      <c r="B15" s="467">
        <f t="shared" si="0"/>
        <v>4671537.6806825232</v>
      </c>
      <c r="C15" s="330">
        <f>'Realkredit finansiering (2)'!$F$9/'Realkredit finansiering (2)'!$F$13*'F5 (2)'!B14</f>
        <v>30558.536893944347</v>
      </c>
      <c r="D15" s="330">
        <f t="shared" si="1"/>
        <v>29775.687616607054</v>
      </c>
      <c r="E15" s="330">
        <f>'Realkredit finansiering (2)'!$F$16</f>
        <v>60334.224510551401</v>
      </c>
      <c r="F15" s="330">
        <f>'Realkredit finansiering (2)'!$F$10/'Realkredit finansiering (2)'!$F$13*'F5 (2)'!B14</f>
        <v>10065.511921528439</v>
      </c>
      <c r="G15" s="468">
        <f t="shared" si="2"/>
        <v>70399.736432079837</v>
      </c>
    </row>
    <row r="16" spans="1:7">
      <c r="A16" s="329">
        <v>13</v>
      </c>
      <c r="B16" s="467">
        <f t="shared" si="0"/>
        <v>4641568.4510964081</v>
      </c>
      <c r="C16" s="330">
        <f>'Realkredit finansiering (2)'!$F$9/'Realkredit finansiering (2)'!$F$13*'F5 (2)'!B15</f>
        <v>30364.9949244364</v>
      </c>
      <c r="D16" s="330">
        <f t="shared" si="1"/>
        <v>29969.229586115001</v>
      </c>
      <c r="E16" s="330">
        <f>'Realkredit finansiering (2)'!$F$16</f>
        <v>60334.224510551401</v>
      </c>
      <c r="F16" s="330">
        <f>'Realkredit finansiering (2)'!$F$10/'Realkredit finansiering (2)'!$F$13*'F5 (2)'!B15</f>
        <v>10001.762174341282</v>
      </c>
      <c r="G16" s="468">
        <f t="shared" si="2"/>
        <v>70335.986684892676</v>
      </c>
    </row>
    <row r="17" spans="1:7">
      <c r="A17" s="329">
        <v>14</v>
      </c>
      <c r="B17" s="467">
        <f t="shared" si="0"/>
        <v>4611404.4215179831</v>
      </c>
      <c r="C17" s="330">
        <f>'Realkredit finansiering (2)'!$F$9/'Realkredit finansiering (2)'!$F$13*'F5 (2)'!B16</f>
        <v>30170.194932126651</v>
      </c>
      <c r="D17" s="330">
        <f t="shared" si="1"/>
        <v>30164.02957842475</v>
      </c>
      <c r="E17" s="330">
        <f>'Realkredit finansiering (2)'!$F$16</f>
        <v>60334.224510551401</v>
      </c>
      <c r="F17" s="330">
        <f>'Realkredit finansiering (2)'!$F$10/'Realkredit finansiering (2)'!$F$13*'F5 (2)'!B16</f>
        <v>9937.5980537974101</v>
      </c>
      <c r="G17" s="468">
        <f t="shared" si="2"/>
        <v>70271.822564348811</v>
      </c>
    </row>
    <row r="18" spans="1:7">
      <c r="A18" s="329">
        <v>15</v>
      </c>
      <c r="B18" s="467">
        <f t="shared" si="0"/>
        <v>4581044.325747299</v>
      </c>
      <c r="C18" s="330">
        <f>'Realkredit finansiering (2)'!$F$9/'Realkredit finansiering (2)'!$F$13*'F5 (2)'!B17</f>
        <v>29974.12873986689</v>
      </c>
      <c r="D18" s="330">
        <f t="shared" si="1"/>
        <v>30360.095770684511</v>
      </c>
      <c r="E18" s="330">
        <f>'Realkredit finansiering (2)'!$F$16</f>
        <v>60334.224510551401</v>
      </c>
      <c r="F18" s="330">
        <f>'Realkredit finansiering (2)'!$F$10/'Realkredit finansiering (2)'!$F$13*'F5 (2)'!B17</f>
        <v>9873.0168664700032</v>
      </c>
      <c r="G18" s="468">
        <f t="shared" si="2"/>
        <v>70207.241377021404</v>
      </c>
    </row>
    <row r="19" spans="1:7">
      <c r="A19" s="329">
        <v>16</v>
      </c>
      <c r="B19" s="467">
        <f t="shared" si="0"/>
        <v>4550486.8893541051</v>
      </c>
      <c r="C19" s="330">
        <f>'Realkredit finansiering (2)'!$F$9/'Realkredit finansiering (2)'!$F$13*'F5 (2)'!B18</f>
        <v>29776.788117357442</v>
      </c>
      <c r="D19" s="330">
        <f t="shared" si="1"/>
        <v>30557.436393193959</v>
      </c>
      <c r="E19" s="330">
        <f>'Realkredit finansiering (2)'!$F$16</f>
        <v>60334.224510551401</v>
      </c>
      <c r="F19" s="330">
        <f>'Realkredit finansiering (2)'!$F$10/'Realkredit finansiering (2)'!$F$13*'F5 (2)'!B18</f>
        <v>9808.0159014249675</v>
      </c>
      <c r="G19" s="468">
        <f t="shared" si="2"/>
        <v>70142.240411976367</v>
      </c>
    </row>
    <row r="20" spans="1:7">
      <c r="A20" s="329">
        <v>17</v>
      </c>
      <c r="B20" s="467">
        <f t="shared" si="0"/>
        <v>4519730.8296243558</v>
      </c>
      <c r="C20" s="330">
        <f>'Realkredit finansiering (2)'!$F$9/'Realkredit finansiering (2)'!$F$13*'F5 (2)'!B19</f>
        <v>29578.164780801682</v>
      </c>
      <c r="D20" s="330">
        <f t="shared" si="1"/>
        <v>30756.059729749719</v>
      </c>
      <c r="E20" s="330">
        <f>'Realkredit finansiering (2)'!$F$16</f>
        <v>60334.224510551401</v>
      </c>
      <c r="F20" s="330">
        <f>'Realkredit finansiering (2)'!$F$10/'Realkredit finansiering (2)'!$F$13*'F5 (2)'!B19</f>
        <v>9742.5924301071391</v>
      </c>
      <c r="G20" s="468">
        <f t="shared" si="2"/>
        <v>70076.816940658537</v>
      </c>
    </row>
    <row r="21" spans="1:7">
      <c r="A21" s="329">
        <v>18</v>
      </c>
      <c r="B21" s="467">
        <f t="shared" si="0"/>
        <v>4488774.8555063624</v>
      </c>
      <c r="C21" s="330">
        <f>'Realkredit finansiering (2)'!$F$9/'Realkredit finansiering (2)'!$F$13*'F5 (2)'!B20</f>
        <v>29378.250392558311</v>
      </c>
      <c r="D21" s="330">
        <f t="shared" si="1"/>
        <v>30955.97411799309</v>
      </c>
      <c r="E21" s="330">
        <f>'Realkredit finansiering (2)'!$F$16</f>
        <v>60334.224510551401</v>
      </c>
      <c r="F21" s="330">
        <f>'Realkredit finansiering (2)'!$F$10/'Realkredit finansiering (2)'!$F$13*'F5 (2)'!B20</f>
        <v>9676.7437062257468</v>
      </c>
      <c r="G21" s="468">
        <f t="shared" si="2"/>
        <v>70010.968216777153</v>
      </c>
    </row>
    <row r="22" spans="1:7">
      <c r="A22" s="329">
        <v>19</v>
      </c>
      <c r="B22" s="467">
        <f t="shared" si="0"/>
        <v>4457617.6675566025</v>
      </c>
      <c r="C22" s="330">
        <f>'Realkredit finansiering (2)'!$F$9/'Realkredit finansiering (2)'!$F$13*'F5 (2)'!B21</f>
        <v>29177.036560791355</v>
      </c>
      <c r="D22" s="330">
        <f t="shared" si="1"/>
        <v>31157.187949760046</v>
      </c>
      <c r="E22" s="330">
        <f>'Realkredit finansiering (2)'!$F$16</f>
        <v>60334.224510551401</v>
      </c>
      <c r="F22" s="330">
        <f>'Realkredit finansiering (2)'!$F$10/'Realkredit finansiering (2)'!$F$13*'F5 (2)'!B21</f>
        <v>9610.4669656391216</v>
      </c>
      <c r="G22" s="468">
        <f t="shared" si="2"/>
        <v>69944.691476190521</v>
      </c>
    </row>
    <row r="23" spans="1:7">
      <c r="A23" s="329">
        <v>20</v>
      </c>
      <c r="B23" s="467">
        <f t="shared" si="0"/>
        <v>4426257.9578851694</v>
      </c>
      <c r="C23" s="330">
        <f>'Realkredit finansiering (2)'!$F$9/'Realkredit finansiering (2)'!$F$13*'F5 (2)'!B22</f>
        <v>28974.514839117914</v>
      </c>
      <c r="D23" s="330">
        <f t="shared" si="1"/>
        <v>31359.709671433488</v>
      </c>
      <c r="E23" s="330">
        <f>'Realkredit finansiering (2)'!$F$16</f>
        <v>60334.224510551401</v>
      </c>
      <c r="F23" s="330">
        <f>'Realkredit finansiering (2)'!$F$10/'Realkredit finansiering (2)'!$F$13*'F5 (2)'!B22</f>
        <v>9543.7594262386865</v>
      </c>
      <c r="G23" s="468">
        <f t="shared" si="2"/>
        <v>69877.983936790086</v>
      </c>
    </row>
    <row r="24" spans="1:7">
      <c r="A24" s="329">
        <v>21</v>
      </c>
      <c r="B24" s="467">
        <f t="shared" si="0"/>
        <v>4394694.4101008717</v>
      </c>
      <c r="C24" s="330">
        <f>'Realkredit finansiering (2)'!$F$9/'Realkredit finansiering (2)'!$F$13*'F5 (2)'!B23</f>
        <v>28770.676726253601</v>
      </c>
      <c r="D24" s="330">
        <f t="shared" si="1"/>
        <v>31563.5477842978</v>
      </c>
      <c r="E24" s="330">
        <f>'Realkredit finansiering (2)'!$F$16</f>
        <v>60334.224510551401</v>
      </c>
      <c r="F24" s="330">
        <f>'Realkredit finansiering (2)'!$F$10/'Realkredit finansiering (2)'!$F$13*'F5 (2)'!B23</f>
        <v>9476.6182878321488</v>
      </c>
      <c r="G24" s="468">
        <f t="shared" si="2"/>
        <v>69810.842798383557</v>
      </c>
    </row>
    <row r="25" spans="1:7">
      <c r="A25" s="329">
        <v>22</v>
      </c>
      <c r="B25" s="467">
        <f t="shared" si="0"/>
        <v>4362925.6992559759</v>
      </c>
      <c r="C25" s="330">
        <f>'Realkredit finansiering (2)'!$F$9/'Realkredit finansiering (2)'!$F$13*'F5 (2)'!B24</f>
        <v>28565.513665655664</v>
      </c>
      <c r="D25" s="330">
        <f t="shared" si="1"/>
        <v>31768.710844895737</v>
      </c>
      <c r="E25" s="330">
        <f>'Realkredit finansiering (2)'!$F$16</f>
        <v>60334.224510551401</v>
      </c>
      <c r="F25" s="330">
        <f>'Realkredit finansiering (2)'!$F$10/'Realkredit finansiering (2)'!$F$13*'F5 (2)'!B24</f>
        <v>9409.0407320259674</v>
      </c>
      <c r="G25" s="468">
        <f t="shared" si="2"/>
        <v>69743.26524257737</v>
      </c>
    </row>
    <row r="26" spans="1:7">
      <c r="A26" s="329">
        <v>23</v>
      </c>
      <c r="B26" s="467">
        <f t="shared" si="0"/>
        <v>4330950.491790588</v>
      </c>
      <c r="C26" s="330">
        <f>'Realkredit finansiering (2)'!$F$9/'Realkredit finansiering (2)'!$F$13*'F5 (2)'!B25</f>
        <v>28359.017045163841</v>
      </c>
      <c r="D26" s="330">
        <f t="shared" si="1"/>
        <v>31975.207465387561</v>
      </c>
      <c r="E26" s="330">
        <f>'Realkredit finansiering (2)'!$F$16</f>
        <v>60334.224510551401</v>
      </c>
      <c r="F26" s="330">
        <f>'Realkredit finansiering (2)'!$F$10/'Realkredit finansiering (2)'!$F$13*'F5 (2)'!B25</f>
        <v>9341.0239221070442</v>
      </c>
      <c r="G26" s="468">
        <f t="shared" si="2"/>
        <v>69675.248432658438</v>
      </c>
    </row>
    <row r="27" spans="1:7">
      <c r="A27" s="329">
        <v>24</v>
      </c>
      <c r="B27" s="467">
        <f t="shared" si="0"/>
        <v>4298767.4454766754</v>
      </c>
      <c r="C27" s="330">
        <f>'Realkredit finansiering (2)'!$F$9/'Realkredit finansiering (2)'!$F$13*'F5 (2)'!B26</f>
        <v>28151.178196638823</v>
      </c>
      <c r="D27" s="330">
        <f t="shared" si="1"/>
        <v>32183.046313912579</v>
      </c>
      <c r="E27" s="330">
        <f>'Realkredit finansiering (2)'!$F$16</f>
        <v>60334.224510551401</v>
      </c>
      <c r="F27" s="330">
        <f>'Realkredit finansiering (2)'!$F$10/'Realkredit finansiering (2)'!$F$13*'F5 (2)'!B26</f>
        <v>9272.5650029236494</v>
      </c>
      <c r="G27" s="468">
        <f t="shared" si="2"/>
        <v>69606.789513475058</v>
      </c>
    </row>
    <row r="28" spans="1:7">
      <c r="A28" s="329">
        <v>25</v>
      </c>
      <c r="B28" s="467">
        <f t="shared" si="0"/>
        <v>4266375.2093617227</v>
      </c>
      <c r="C28" s="330">
        <f>'Realkredit finansiering (2)'!$F$9/'Realkredit finansiering (2)'!$F$13*'F5 (2)'!B27</f>
        <v>27941.98839559839</v>
      </c>
      <c r="D28" s="330">
        <f t="shared" si="1"/>
        <v>32392.236114953012</v>
      </c>
      <c r="E28" s="330">
        <f>'Realkredit finansiering (2)'!$F$16</f>
        <v>60334.224510551401</v>
      </c>
      <c r="F28" s="330">
        <f>'Realkredit finansiering (2)'!$F$10/'Realkredit finansiering (2)'!$F$13*'F5 (2)'!B27</f>
        <v>9203.6611007655629</v>
      </c>
      <c r="G28" s="468">
        <f t="shared" si="2"/>
        <v>69537.88561131696</v>
      </c>
    </row>
    <row r="29" spans="1:7">
      <c r="A29" s="329">
        <v>26</v>
      </c>
      <c r="B29" s="467">
        <f t="shared" si="0"/>
        <v>4233772.4237120226</v>
      </c>
      <c r="C29" s="330">
        <f>'Realkredit finansiering (2)'!$F$9/'Realkredit finansiering (2)'!$F$13*'F5 (2)'!B28</f>
        <v>27731.438860851194</v>
      </c>
      <c r="D29" s="330">
        <f t="shared" si="1"/>
        <v>32602.785649700207</v>
      </c>
      <c r="E29" s="330">
        <f>'Realkredit finansiering (2)'!$F$16</f>
        <v>60334.224510551401</v>
      </c>
      <c r="F29" s="330">
        <f>'Realkredit finansiering (2)'!$F$10/'Realkredit finansiering (2)'!$F$13*'F5 (2)'!B28</f>
        <v>9134.3093232434494</v>
      </c>
      <c r="G29" s="468">
        <f t="shared" si="2"/>
        <v>69468.533833794849</v>
      </c>
    </row>
    <row r="30" spans="1:7">
      <c r="A30" s="329">
        <v>27</v>
      </c>
      <c r="B30" s="467">
        <f t="shared" si="0"/>
        <v>4200957.7199555989</v>
      </c>
      <c r="C30" s="330">
        <f>'Realkredit finansiering (2)'!$F$9/'Realkredit finansiering (2)'!$F$13*'F5 (2)'!B29</f>
        <v>27519.520754128145</v>
      </c>
      <c r="D30" s="330">
        <f t="shared" si="1"/>
        <v>32814.70375642326</v>
      </c>
      <c r="E30" s="330">
        <f>'Realkredit finansiering (2)'!$F$16</f>
        <v>60334.224510551401</v>
      </c>
      <c r="F30" s="330">
        <f>'Realkredit finansiering (2)'!$F$10/'Realkredit finansiering (2)'!$F$13*'F5 (2)'!B29</f>
        <v>9064.5067591674415</v>
      </c>
      <c r="G30" s="468">
        <f t="shared" si="2"/>
        <v>69398.731269718846</v>
      </c>
    </row>
    <row r="31" spans="1:7">
      <c r="A31" s="329">
        <v>28</v>
      </c>
      <c r="B31" s="467">
        <f t="shared" si="0"/>
        <v>4167929.7206247589</v>
      </c>
      <c r="C31" s="330">
        <f>'Realkredit finansiering (2)'!$F$9/'Realkredit finansiering (2)'!$F$13*'F5 (2)'!B30</f>
        <v>27306.225179711393</v>
      </c>
      <c r="D31" s="330">
        <f t="shared" si="1"/>
        <v>33027.999330840008</v>
      </c>
      <c r="E31" s="330">
        <f>'Realkredit finansiering (2)'!$F$16</f>
        <v>60334.224510551401</v>
      </c>
      <c r="F31" s="330">
        <f>'Realkredit finansiering (2)'!$F$10/'Realkredit finansiering (2)'!$F$13*'F5 (2)'!B30</f>
        <v>8994.2504784249377</v>
      </c>
      <c r="G31" s="468">
        <f t="shared" si="2"/>
        <v>69328.474988976333</v>
      </c>
    </row>
    <row r="32" spans="1:7">
      <c r="A32" s="329">
        <v>29</v>
      </c>
      <c r="B32" s="467">
        <f t="shared" si="0"/>
        <v>4134687.0392982685</v>
      </c>
      <c r="C32" s="330">
        <f>'Realkredit finansiering (2)'!$F$9/'Realkredit finansiering (2)'!$F$13*'F5 (2)'!B31</f>
        <v>27091.543184060931</v>
      </c>
      <c r="D32" s="330">
        <f t="shared" si="1"/>
        <v>33242.68132649047</v>
      </c>
      <c r="E32" s="330">
        <f>'Realkredit finansiering (2)'!$F$16</f>
        <v>60334.224510551401</v>
      </c>
      <c r="F32" s="330">
        <f>'Realkredit finansiering (2)'!$F$10/'Realkredit finansiering (2)'!$F$13*'F5 (2)'!B31</f>
        <v>8923.5375318576098</v>
      </c>
      <c r="G32" s="468">
        <f t="shared" si="2"/>
        <v>69257.762042409013</v>
      </c>
    </row>
    <row r="33" spans="1:7">
      <c r="A33" s="329">
        <v>30</v>
      </c>
      <c r="B33" s="467">
        <f t="shared" si="0"/>
        <v>4101228.280543156</v>
      </c>
      <c r="C33" s="330">
        <f>'Realkredit finansiering (2)'!$F$9/'Realkredit finansiering (2)'!$F$13*'F5 (2)'!B32</f>
        <v>26875.465755438745</v>
      </c>
      <c r="D33" s="330">
        <f t="shared" si="1"/>
        <v>33458.758755112656</v>
      </c>
      <c r="E33" s="330">
        <f>'Realkredit finansiering (2)'!$F$16</f>
        <v>60334.224510551401</v>
      </c>
      <c r="F33" s="330">
        <f>'Realkredit finansiering (2)'!$F$10/'Realkredit finansiering (2)'!$F$13*'F5 (2)'!B32</f>
        <v>8852.3649511375934</v>
      </c>
      <c r="G33" s="468">
        <f t="shared" si="2"/>
        <v>69186.589461689</v>
      </c>
    </row>
    <row r="34" spans="1:7">
      <c r="A34" s="329">
        <v>31</v>
      </c>
      <c r="B34" s="467">
        <f t="shared" si="0"/>
        <v>4067552.0398561349</v>
      </c>
      <c r="C34" s="330">
        <f>'Realkredit finansiering (2)'!$F$9/'Realkredit finansiering (2)'!$F$13*'F5 (2)'!B33</f>
        <v>26657.983823530514</v>
      </c>
      <c r="D34" s="330">
        <f t="shared" si="1"/>
        <v>33676.240687020887</v>
      </c>
      <c r="E34" s="330">
        <f>'Realkredit finansiering (2)'!$F$16</f>
        <v>60334.224510551401</v>
      </c>
      <c r="F34" s="330">
        <f>'Realkredit finansiering (2)'!$F$10/'Realkredit finansiering (2)'!$F$13*'F5 (2)'!B33</f>
        <v>8780.7297486428979</v>
      </c>
      <c r="G34" s="468">
        <f t="shared" si="2"/>
        <v>69114.954259194303</v>
      </c>
    </row>
    <row r="35" spans="1:7">
      <c r="A35" s="329">
        <v>32</v>
      </c>
      <c r="B35" s="467">
        <f t="shared" si="0"/>
        <v>4033656.9036046485</v>
      </c>
      <c r="C35" s="330">
        <f>'Realkredit finansiering (2)'!$F$9/'Realkredit finansiering (2)'!$F$13*'F5 (2)'!B34</f>
        <v>26439.088259064876</v>
      </c>
      <c r="D35" s="330">
        <f t="shared" si="1"/>
        <v>33895.136251486525</v>
      </c>
      <c r="E35" s="330">
        <f>'Realkredit finansiering (2)'!$F$16</f>
        <v>60334.224510551401</v>
      </c>
      <c r="F35" s="330">
        <f>'Realkredit finansiering (2)'!$F$10/'Realkredit finansiering (2)'!$F$13*'F5 (2)'!B34</f>
        <v>8708.6289173319856</v>
      </c>
      <c r="G35" s="468">
        <f t="shared" si="2"/>
        <v>69042.853427883383</v>
      </c>
    </row>
    <row r="36" spans="1:7">
      <c r="A36" s="329">
        <v>33</v>
      </c>
      <c r="B36" s="467">
        <f t="shared" si="0"/>
        <v>3999541.4489675271</v>
      </c>
      <c r="C36" s="330">
        <f>'Realkredit finansiering (2)'!$F$9/'Realkredit finansiering (2)'!$F$13*'F5 (2)'!B35</f>
        <v>26218.769873430214</v>
      </c>
      <c r="D36" s="330">
        <f t="shared" si="1"/>
        <v>34115.454637121191</v>
      </c>
      <c r="E36" s="330">
        <f>'Realkredit finansiering (2)'!$F$16</f>
        <v>60334.224510551401</v>
      </c>
      <c r="F36" s="330">
        <f>'Realkredit finansiering (2)'!$F$10/'Realkredit finansiering (2)'!$F$13*'F5 (2)'!B35</f>
        <v>8636.0594306175535</v>
      </c>
      <c r="G36" s="468">
        <f t="shared" si="2"/>
        <v>68970.283941168949</v>
      </c>
    </row>
    <row r="37" spans="1:7">
      <c r="A37" s="329">
        <v>34</v>
      </c>
      <c r="B37" s="467">
        <f t="shared" si="0"/>
        <v>3965204.2438752647</v>
      </c>
      <c r="C37" s="330">
        <f>'Realkredit finansiering (2)'!$F$9/'Realkredit finansiering (2)'!$F$13*'F5 (2)'!B36</f>
        <v>25997.019418288924</v>
      </c>
      <c r="D37" s="330">
        <f t="shared" si="1"/>
        <v>34337.205092262477</v>
      </c>
      <c r="E37" s="330">
        <f>'Realkredit finansiering (2)'!$F$16</f>
        <v>60334.224510551401</v>
      </c>
      <c r="F37" s="330">
        <f>'Realkredit finansiering (2)'!$F$10/'Realkredit finansiering (2)'!$F$13*'F5 (2)'!B36</f>
        <v>8563.0182422394755</v>
      </c>
      <c r="G37" s="468">
        <f t="shared" si="2"/>
        <v>68897.242752790873</v>
      </c>
    </row>
    <row r="38" spans="1:7">
      <c r="A38" s="329">
        <v>35</v>
      </c>
      <c r="B38" s="467">
        <f t="shared" si="0"/>
        <v>3930643.8469499024</v>
      </c>
      <c r="C38" s="330">
        <f>'Realkredit finansiering (2)'!$F$9/'Realkredit finansiering (2)'!$F$13*'F5 (2)'!B37</f>
        <v>25773.827585189218</v>
      </c>
      <c r="D38" s="330">
        <f t="shared" si="1"/>
        <v>34560.396925362184</v>
      </c>
      <c r="E38" s="330">
        <f>'Realkredit finansiering (2)'!$F$16</f>
        <v>60334.224510551401</v>
      </c>
      <c r="F38" s="330">
        <f>'Realkredit finansiering (2)'!$F$10/'Realkredit finansiering (2)'!$F$13*'F5 (2)'!B37</f>
        <v>8489.5022861369416</v>
      </c>
      <c r="G38" s="468">
        <f t="shared" si="2"/>
        <v>68823.726796688337</v>
      </c>
    </row>
    <row r="39" spans="1:7">
      <c r="A39" s="329">
        <v>36</v>
      </c>
      <c r="B39" s="467">
        <f t="shared" si="0"/>
        <v>3895858.8074445254</v>
      </c>
      <c r="C39" s="330">
        <f>'Realkredit finansiering (2)'!$F$9/'Realkredit finansiering (2)'!$F$13*'F5 (2)'!B38</f>
        <v>25549.185005174364</v>
      </c>
      <c r="D39" s="330">
        <f t="shared" si="1"/>
        <v>34785.039505377033</v>
      </c>
      <c r="E39" s="330">
        <f>'Realkredit finansiering (2)'!$F$16</f>
        <v>60334.224510551401</v>
      </c>
      <c r="F39" s="330">
        <f>'Realkredit finansiering (2)'!$F$10/'Realkredit finansiering (2)'!$F$13*'F5 (2)'!B38</f>
        <v>8415.508476319741</v>
      </c>
      <c r="G39" s="468">
        <f t="shared" si="2"/>
        <v>68749.732986871139</v>
      </c>
    </row>
    <row r="40" spans="1:7">
      <c r="A40" s="329">
        <v>37</v>
      </c>
      <c r="B40" s="467">
        <f t="shared" si="0"/>
        <v>3860847.6651823632</v>
      </c>
      <c r="C40" s="330">
        <f>'Realkredit finansiering (2)'!$F$9/'Realkredit finansiering (2)'!$F$13*'F5 (2)'!B39</f>
        <v>25323.082248389415</v>
      </c>
      <c r="D40" s="330">
        <f t="shared" si="1"/>
        <v>35011.142262161986</v>
      </c>
      <c r="E40" s="330">
        <f>'Realkredit finansiering (2)'!$F$16</f>
        <v>60334.224510551401</v>
      </c>
      <c r="F40" s="330">
        <f>'Realkredit finansiering (2)'!$F$10/'Realkredit finansiering (2)'!$F$13*'F5 (2)'!B39</f>
        <v>8341.03370673873</v>
      </c>
      <c r="G40" s="468">
        <f t="shared" si="2"/>
        <v>68675.258217290131</v>
      </c>
    </row>
    <row r="41" spans="1:7">
      <c r="A41" s="329">
        <v>38</v>
      </c>
      <c r="B41" s="467">
        <f t="shared" si="0"/>
        <v>3825608.9504954973</v>
      </c>
      <c r="C41" s="330">
        <f>'Realkredit finansiering (2)'!$F$9/'Realkredit finansiering (2)'!$F$13*'F5 (2)'!B40</f>
        <v>25095.509823685359</v>
      </c>
      <c r="D41" s="330">
        <f t="shared" si="1"/>
        <v>35238.714686866042</v>
      </c>
      <c r="E41" s="330">
        <f>'Realkredit finansiering (2)'!$F$16</f>
        <v>60334.224510551401</v>
      </c>
      <c r="F41" s="330">
        <f>'Realkredit finansiering (2)'!$F$10/'Realkredit finansiering (2)'!$F$13*'F5 (2)'!B40</f>
        <v>8266.0748511554393</v>
      </c>
      <c r="G41" s="468">
        <f t="shared" si="2"/>
        <v>68600.299361706842</v>
      </c>
    </row>
    <row r="42" spans="1:7">
      <c r="A42" s="329">
        <v>39</v>
      </c>
      <c r="B42" s="467">
        <f t="shared" si="0"/>
        <v>3790141.1841631667</v>
      </c>
      <c r="C42" s="330">
        <f>'Realkredit finansiering (2)'!$F$9/'Realkredit finansiering (2)'!$F$13*'F5 (2)'!B41</f>
        <v>24866.458178220731</v>
      </c>
      <c r="D42" s="330">
        <f t="shared" si="1"/>
        <v>35467.76633233067</v>
      </c>
      <c r="E42" s="330">
        <f>'Realkredit finansiering (2)'!$F$16</f>
        <v>60334.224510551401</v>
      </c>
      <c r="F42" s="330">
        <f>'Realkredit finansiering (2)'!$F$10/'Realkredit finansiering (2)'!$F$13*'F5 (2)'!B41</f>
        <v>8190.62876301086</v>
      </c>
      <c r="G42" s="468">
        <f t="shared" si="2"/>
        <v>68524.853273562258</v>
      </c>
    </row>
    <row r="43" spans="1:7">
      <c r="A43" s="329">
        <v>40</v>
      </c>
      <c r="B43" s="467">
        <f t="shared" si="0"/>
        <v>3754442.8773496756</v>
      </c>
      <c r="C43" s="330">
        <f>'Realkredit finansiering (2)'!$F$9/'Realkredit finansiering (2)'!$F$13*'F5 (2)'!B42</f>
        <v>24635.917697060584</v>
      </c>
      <c r="D43" s="330">
        <f t="shared" si="1"/>
        <v>35698.306813490817</v>
      </c>
      <c r="E43" s="330">
        <f>'Realkredit finansiering (2)'!$F$16</f>
        <v>60334.224510551401</v>
      </c>
      <c r="F43" s="330">
        <f>'Realkredit finansiering (2)'!$F$10/'Realkredit finansiering (2)'!$F$13*'F5 (2)'!B42</f>
        <v>8114.6922752933406</v>
      </c>
      <c r="G43" s="468">
        <f t="shared" si="2"/>
        <v>68448.916785844747</v>
      </c>
    </row>
    <row r="44" spans="1:7">
      <c r="A44" s="329">
        <v>41</v>
      </c>
      <c r="B44" s="467">
        <f t="shared" si="0"/>
        <v>3718512.531541897</v>
      </c>
      <c r="C44" s="330">
        <f>'Realkredit finansiering (2)'!$F$9/'Realkredit finansiering (2)'!$F$13*'F5 (2)'!B43</f>
        <v>24403.87870277289</v>
      </c>
      <c r="D44" s="330">
        <f t="shared" si="1"/>
        <v>35930.345807778511</v>
      </c>
      <c r="E44" s="330">
        <f>'Realkredit finansiering (2)'!$F$16</f>
        <v>60334.224510551401</v>
      </c>
      <c r="F44" s="330">
        <f>'Realkredit finansiering (2)'!$F$10/'Realkredit finansiering (2)'!$F$13*'F5 (2)'!B43</f>
        <v>8038.2622004056557</v>
      </c>
      <c r="G44" s="468">
        <f t="shared" si="2"/>
        <v>68372.486710957062</v>
      </c>
    </row>
    <row r="45" spans="1:7">
      <c r="A45" s="329">
        <v>42</v>
      </c>
      <c r="B45" s="467">
        <f t="shared" si="0"/>
        <v>3682348.6384863681</v>
      </c>
      <c r="C45" s="330">
        <f>'Realkredit finansiering (2)'!$F$9/'Realkredit finansiering (2)'!$F$13*'F5 (2)'!B44</f>
        <v>24170.331455022329</v>
      </c>
      <c r="D45" s="330">
        <f t="shared" si="1"/>
        <v>36163.893055529072</v>
      </c>
      <c r="E45" s="330">
        <f>'Realkredit finansiering (2)'!$F$16</f>
        <v>60334.224510551401</v>
      </c>
      <c r="F45" s="330">
        <f>'Realkredit finansiering (2)'!$F$10/'Realkredit finansiering (2)'!$F$13*'F5 (2)'!B44</f>
        <v>7961.3353300312019</v>
      </c>
      <c r="G45" s="468">
        <f t="shared" si="2"/>
        <v>68295.559840582602</v>
      </c>
    </row>
    <row r="46" spans="1:7">
      <c r="A46" s="329">
        <v>43</v>
      </c>
      <c r="B46" s="467">
        <f t="shared" si="0"/>
        <v>3645949.6801259783</v>
      </c>
      <c r="C46" s="330">
        <f>'Realkredit finansiering (2)'!$F$9/'Realkredit finansiering (2)'!$F$13*'F5 (2)'!B45</f>
        <v>23935.266150161391</v>
      </c>
      <c r="D46" s="330">
        <f t="shared" si="1"/>
        <v>36398.95836039001</v>
      </c>
      <c r="E46" s="330">
        <f>'Realkredit finansiering (2)'!$F$16</f>
        <v>60334.224510551401</v>
      </c>
      <c r="F46" s="330">
        <f>'Realkredit finansiering (2)'!$F$10/'Realkredit finansiering (2)'!$F$13*'F5 (2)'!B45</f>
        <v>7883.9084349993145</v>
      </c>
      <c r="G46" s="468">
        <f t="shared" si="2"/>
        <v>68218.132945550722</v>
      </c>
    </row>
    <row r="47" spans="1:7">
      <c r="A47" s="329">
        <v>44</v>
      </c>
      <c r="B47" s="467">
        <f t="shared" si="0"/>
        <v>3609314.1285362458</v>
      </c>
      <c r="C47" s="330">
        <f>'Realkredit finansiering (2)'!$F$9/'Realkredit finansiering (2)'!$F$13*'F5 (2)'!B46</f>
        <v>23698.672920818859</v>
      </c>
      <c r="D47" s="330">
        <f t="shared" si="1"/>
        <v>36635.551589732539</v>
      </c>
      <c r="E47" s="330">
        <f>'Realkredit finansiering (2)'!$F$16</f>
        <v>60334.224510551401</v>
      </c>
      <c r="F47" s="330">
        <f>'Realkredit finansiering (2)'!$F$10/'Realkredit finansiering (2)'!$F$13*'F5 (2)'!B46</f>
        <v>7805.9782651497198</v>
      </c>
      <c r="G47" s="468">
        <f t="shared" si="2"/>
        <v>68140.202775701124</v>
      </c>
    </row>
    <row r="48" spans="1:7">
      <c r="A48" s="329">
        <v>45</v>
      </c>
      <c r="B48" s="467">
        <f t="shared" si="0"/>
        <v>3572440.4458611798</v>
      </c>
      <c r="C48" s="330">
        <f>'Realkredit finansiering (2)'!$F$9/'Realkredit finansiering (2)'!$F$13*'F5 (2)'!B47</f>
        <v>23460.541835485597</v>
      </c>
      <c r="D48" s="330">
        <f t="shared" si="1"/>
        <v>36873.682675065807</v>
      </c>
      <c r="E48" s="330">
        <f>'Realkredit finansiering (2)'!$F$16</f>
        <v>60334.224510551401</v>
      </c>
      <c r="F48" s="330">
        <f>'Realkredit finansiering (2)'!$F$10/'Realkredit finansiering (2)'!$F$13*'F5 (2)'!B47</f>
        <v>7727.541549196103</v>
      </c>
      <c r="G48" s="468">
        <f t="shared" si="2"/>
        <v>68061.766059747504</v>
      </c>
    </row>
    <row r="49" spans="1:7">
      <c r="A49" s="329">
        <v>46</v>
      </c>
      <c r="B49" s="467">
        <f t="shared" si="0"/>
        <v>3535327.0842487263</v>
      </c>
      <c r="C49" s="330">
        <f>'Realkredit finansiering (2)'!$F$9/'Realkredit finansiering (2)'!$F$13*'F5 (2)'!B48</f>
        <v>23220.862898097668</v>
      </c>
      <c r="D49" s="330">
        <f t="shared" si="1"/>
        <v>37113.361612453737</v>
      </c>
      <c r="E49" s="330">
        <f>'Realkredit finansiering (2)'!$F$16</f>
        <v>60334.224510551401</v>
      </c>
      <c r="F49" s="330">
        <f>'Realkredit finansiering (2)'!$F$10/'Realkredit finansiering (2)'!$F$13*'F5 (2)'!B48</f>
        <v>7648.594994588786</v>
      </c>
      <c r="G49" s="468">
        <f t="shared" si="2"/>
        <v>67982.819505140185</v>
      </c>
    </row>
    <row r="50" spans="1:7">
      <c r="A50" s="329">
        <v>47</v>
      </c>
      <c r="B50" s="467">
        <f t="shared" si="0"/>
        <v>3497972.4857857917</v>
      </c>
      <c r="C50" s="330">
        <f>'Realkredit finansiering (2)'!$F$9/'Realkredit finansiering (2)'!$F$13*'F5 (2)'!B49</f>
        <v>22979.626047616719</v>
      </c>
      <c r="D50" s="330">
        <f t="shared" si="1"/>
        <v>37354.598462934679</v>
      </c>
      <c r="E50" s="330">
        <f>'Realkredit finansiering (2)'!$F$16</f>
        <v>60334.224510551401</v>
      </c>
      <c r="F50" s="330">
        <f>'Realkredit finansiering (2)'!$F$10/'Realkredit finansiering (2)'!$F$13*'F5 (2)'!B49</f>
        <v>7569.1352873765236</v>
      </c>
      <c r="G50" s="468">
        <f t="shared" si="2"/>
        <v>67903.359797927929</v>
      </c>
    </row>
    <row r="51" spans="1:7">
      <c r="A51" s="329">
        <v>48</v>
      </c>
      <c r="B51" s="467">
        <f t="shared" si="0"/>
        <v>3460375.0824328479</v>
      </c>
      <c r="C51" s="330">
        <f>'Realkredit finansiering (2)'!$F$9/'Realkredit finansiering (2)'!$F$13*'F5 (2)'!B50</f>
        <v>22736.821157607646</v>
      </c>
      <c r="D51" s="330">
        <f t="shared" si="1"/>
        <v>37597.403352943758</v>
      </c>
      <c r="E51" s="330">
        <f>'Realkredit finansiering (2)'!$F$16</f>
        <v>60334.224510551401</v>
      </c>
      <c r="F51" s="330">
        <f>'Realkredit finansiering (2)'!$F$10/'Realkredit finansiering (2)'!$F$13*'F5 (2)'!B50</f>
        <v>7489.1590920673807</v>
      </c>
      <c r="G51" s="468">
        <f t="shared" si="2"/>
        <v>67823.383602618778</v>
      </c>
    </row>
    <row r="52" spans="1:7">
      <c r="A52" s="329">
        <v>49</v>
      </c>
      <c r="B52" s="467">
        <f t="shared" si="0"/>
        <v>3422533.2959581101</v>
      </c>
      <c r="C52" s="330">
        <f>'Realkredit finansiering (2)'!$F$9/'Realkredit finansiering (2)'!$F$13*'F5 (2)'!B51</f>
        <v>22492.438035813509</v>
      </c>
      <c r="D52" s="330">
        <f t="shared" si="1"/>
        <v>37841.786474737892</v>
      </c>
      <c r="E52" s="330">
        <f>'Realkredit finansiering (2)'!$F$16</f>
        <v>60334.224510551401</v>
      </c>
      <c r="F52" s="330">
        <f>'Realkredit finansiering (2)'!$F$10/'Realkredit finansiering (2)'!$F$13*'F5 (2)'!B51</f>
        <v>7408.6630514887274</v>
      </c>
      <c r="G52" s="468">
        <f t="shared" si="2"/>
        <v>67742.887562040123</v>
      </c>
    </row>
    <row r="53" spans="1:7">
      <c r="A53" s="329">
        <v>50</v>
      </c>
      <c r="B53" s="467">
        <f t="shared" si="0"/>
        <v>3384445.5378712863</v>
      </c>
      <c r="C53" s="330">
        <f>'Realkredit finansiering (2)'!$F$9/'Realkredit finansiering (2)'!$F$13*'F5 (2)'!B52</f>
        <v>22246.466423727714</v>
      </c>
      <c r="D53" s="330">
        <f t="shared" si="1"/>
        <v>38087.758086823684</v>
      </c>
      <c r="E53" s="330">
        <f>'Realkredit finansiering (2)'!$F$16</f>
        <v>60334.224510551401</v>
      </c>
      <c r="F53" s="330">
        <f>'Realkredit finansiering (2)'!$F$10/'Realkredit finansiering (2)'!$F$13*'F5 (2)'!B52</f>
        <v>7327.6437866463139</v>
      </c>
      <c r="G53" s="468">
        <f t="shared" si="2"/>
        <v>67661.86829719771</v>
      </c>
    </row>
    <row r="54" spans="1:7">
      <c r="A54" s="329">
        <v>51</v>
      </c>
      <c r="B54" s="467">
        <f t="shared" si="0"/>
        <v>3346110.2093568984</v>
      </c>
      <c r="C54" s="330">
        <f>'Realkredit finansiering (2)'!$F$9/'Realkredit finansiering (2)'!$F$13*'F5 (2)'!B53</f>
        <v>21998.895996163359</v>
      </c>
      <c r="D54" s="330">
        <f t="shared" si="1"/>
        <v>38335.328514388042</v>
      </c>
      <c r="E54" s="330">
        <f>'Realkredit finansiering (2)'!$F$16</f>
        <v>60334.224510551401</v>
      </c>
      <c r="F54" s="330">
        <f>'Realkredit finansiering (2)'!$F$10/'Realkredit finansiering (2)'!$F$13*'F5 (2)'!B53</f>
        <v>7246.0978965824243</v>
      </c>
      <c r="G54" s="468">
        <f t="shared" si="2"/>
        <v>67580.322407133819</v>
      </c>
    </row>
    <row r="55" spans="1:7">
      <c r="A55" s="329">
        <v>52</v>
      </c>
      <c r="B55" s="467">
        <f t="shared" si="0"/>
        <v>3307525.701207167</v>
      </c>
      <c r="C55" s="330">
        <f>'Realkredit finansiering (2)'!$F$9/'Realkredit finansiering (2)'!$F$13*'F5 (2)'!B54</f>
        <v>21749.716360819839</v>
      </c>
      <c r="D55" s="330">
        <f t="shared" si="1"/>
        <v>38584.508149731562</v>
      </c>
      <c r="E55" s="330">
        <f>'Realkredit finansiering (2)'!$F$16</f>
        <v>60334.224510551401</v>
      </c>
      <c r="F55" s="330">
        <f>'Realkredit finansiering (2)'!$F$10/'Realkredit finansiering (2)'!$F$13*'F5 (2)'!B54</f>
        <v>7164.0219582331201</v>
      </c>
      <c r="G55" s="468">
        <f t="shared" si="2"/>
        <v>67498.24646878452</v>
      </c>
    </row>
    <row r="56" spans="1:7">
      <c r="A56" s="329">
        <v>53</v>
      </c>
      <c r="B56" s="467">
        <f t="shared" si="0"/>
        <v>3268690.3937544622</v>
      </c>
      <c r="C56" s="330">
        <f>'Realkredit finansiering (2)'!$F$9/'Realkredit finansiering (2)'!$F$13*'F5 (2)'!B55</f>
        <v>21498.917057846586</v>
      </c>
      <c r="D56" s="330">
        <f t="shared" si="1"/>
        <v>38835.307452704816</v>
      </c>
      <c r="E56" s="330">
        <f>'Realkredit finansiering (2)'!$F$16</f>
        <v>60334.224510551401</v>
      </c>
      <c r="F56" s="330">
        <f>'Realkredit finansiering (2)'!$F$10/'Realkredit finansiering (2)'!$F$13*'F5 (2)'!B55</f>
        <v>7081.4125262845446</v>
      </c>
      <c r="G56" s="468">
        <f t="shared" si="2"/>
        <v>67415.637036835949</v>
      </c>
    </row>
    <row r="57" spans="1:7">
      <c r="A57" s="329">
        <v>54</v>
      </c>
      <c r="B57" s="467">
        <f t="shared" si="0"/>
        <v>3229602.656803315</v>
      </c>
      <c r="C57" s="330">
        <f>'Realkredit finansiering (2)'!$F$9/'Realkredit finansiering (2)'!$F$13*'F5 (2)'!B56</f>
        <v>21246.487559404002</v>
      </c>
      <c r="D57" s="330">
        <f t="shared" si="1"/>
        <v>39087.736951147395</v>
      </c>
      <c r="E57" s="330">
        <f>'Realkredit finansiering (2)'!$F$16</f>
        <v>60334.224510551401</v>
      </c>
      <c r="F57" s="330">
        <f>'Realkredit finansiering (2)'!$F$10/'Realkredit finansiering (2)'!$F$13*'F5 (2)'!B56</f>
        <v>6998.2661330283045</v>
      </c>
      <c r="G57" s="468">
        <f t="shared" si="2"/>
        <v>67332.490643579702</v>
      </c>
    </row>
    <row r="58" spans="1:7">
      <c r="A58" s="329">
        <v>55</v>
      </c>
      <c r="B58" s="467">
        <f t="shared" si="0"/>
        <v>3190260.8495619851</v>
      </c>
      <c r="C58" s="330">
        <f>'Realkredit finansiering (2)'!$F$9/'Realkredit finansiering (2)'!$F$13*'F5 (2)'!B57</f>
        <v>20992.417269221547</v>
      </c>
      <c r="D58" s="330">
        <f t="shared" si="1"/>
        <v>39341.807241329851</v>
      </c>
      <c r="E58" s="330">
        <f>'Realkredit finansiering (2)'!$F$16</f>
        <v>60334.224510551401</v>
      </c>
      <c r="F58" s="330">
        <f>'Realkredit finansiering (2)'!$F$10/'Realkredit finansiering (2)'!$F$13*'F5 (2)'!B57</f>
        <v>6914.5792882158976</v>
      </c>
      <c r="G58" s="468">
        <f t="shared" si="2"/>
        <v>67248.803798767301</v>
      </c>
    </row>
    <row r="59" spans="1:7">
      <c r="A59" s="329">
        <v>56</v>
      </c>
      <c r="B59" s="467">
        <f t="shared" si="0"/>
        <v>3150663.3205735865</v>
      </c>
      <c r="C59" s="330">
        <f>'Realkredit finansiering (2)'!$F$9/'Realkredit finansiering (2)'!$F$13*'F5 (2)'!B58</f>
        <v>20736.695522152902</v>
      </c>
      <c r="D59" s="330">
        <f t="shared" si="1"/>
        <v>39597.528988398495</v>
      </c>
      <c r="E59" s="330">
        <f>'Realkredit finansiering (2)'!$F$16</f>
        <v>60334.224510551401</v>
      </c>
      <c r="F59" s="330">
        <f>'Realkredit finansiering (2)'!$F$10/'Realkredit finansiering (2)'!$F$13*'F5 (2)'!B58</f>
        <v>6830.3484789122103</v>
      </c>
      <c r="G59" s="468">
        <f t="shared" si="2"/>
        <v>67164.572989463617</v>
      </c>
    </row>
    <row r="60" spans="1:7">
      <c r="A60" s="329">
        <v>57</v>
      </c>
      <c r="B60" s="467">
        <f t="shared" si="0"/>
        <v>3110808.4076467636</v>
      </c>
      <c r="C60" s="330">
        <f>'Realkredit finansiering (2)'!$F$9/'Realkredit finansiering (2)'!$F$13*'F5 (2)'!B59</f>
        <v>20479.311583728311</v>
      </c>
      <c r="D60" s="330">
        <f t="shared" si="1"/>
        <v>39854.91292682309</v>
      </c>
      <c r="E60" s="330">
        <f>'Realkredit finansiering (2)'!$F$16</f>
        <v>60334.224510551401</v>
      </c>
      <c r="F60" s="330">
        <f>'Realkredit finansiering (2)'!$F$10/'Realkredit finansiering (2)'!$F$13*'F5 (2)'!B59</f>
        <v>6745.5701693480487</v>
      </c>
      <c r="G60" s="468">
        <f t="shared" si="2"/>
        <v>67079.794679899453</v>
      </c>
    </row>
    <row r="61" spans="1:7">
      <c r="A61" s="329">
        <v>58</v>
      </c>
      <c r="B61" s="467">
        <f t="shared" si="0"/>
        <v>3070694.437785916</v>
      </c>
      <c r="C61" s="330">
        <f>'Realkredit finansiering (2)'!$F$9/'Realkredit finansiering (2)'!$F$13*'F5 (2)'!B60</f>
        <v>20220.254649703962</v>
      </c>
      <c r="D61" s="330">
        <f t="shared" si="1"/>
        <v>40113.969860847443</v>
      </c>
      <c r="E61" s="330">
        <f>'Realkredit finansiering (2)'!$F$16</f>
        <v>60334.224510551401</v>
      </c>
      <c r="F61" s="330">
        <f>'Realkredit finansiering (2)'!$F$10/'Realkredit finansiering (2)'!$F$13*'F5 (2)'!B60</f>
        <v>6660.2408007717213</v>
      </c>
      <c r="G61" s="468">
        <f t="shared" si="2"/>
        <v>66994.465311323118</v>
      </c>
    </row>
    <row r="62" spans="1:7">
      <c r="A62" s="329">
        <v>59</v>
      </c>
      <c r="B62" s="467">
        <f t="shared" si="0"/>
        <v>3030319.7271209732</v>
      </c>
      <c r="C62" s="330">
        <f>'Realkredit finansiering (2)'!$F$9/'Realkredit finansiering (2)'!$F$13*'F5 (2)'!B61</f>
        <v>19959.513845608453</v>
      </c>
      <c r="D62" s="330">
        <f t="shared" si="1"/>
        <v>40374.710664942948</v>
      </c>
      <c r="E62" s="330">
        <f>'Realkredit finansiering (2)'!$F$16</f>
        <v>60334.224510551401</v>
      </c>
      <c r="F62" s="330">
        <f>'Realkredit finansiering (2)'!$F$10/'Realkredit finansiering (2)'!$F$13*'F5 (2)'!B61</f>
        <v>6574.3567912996468</v>
      </c>
      <c r="G62" s="468">
        <f t="shared" si="2"/>
        <v>66908.581301851053</v>
      </c>
    </row>
    <row r="63" spans="1:7">
      <c r="A63" s="329">
        <v>60</v>
      </c>
      <c r="B63" s="467">
        <f t="shared" si="0"/>
        <v>2989682.5808367082</v>
      </c>
      <c r="C63" s="330">
        <f>'Realkredit finansiering (2)'!$F$9/'Realkredit finansiering (2)'!$F$13*'F5 (2)'!B62</f>
        <v>19697.078226286325</v>
      </c>
      <c r="D63" s="330">
        <f t="shared" si="1"/>
        <v>40637.14628426508</v>
      </c>
      <c r="E63" s="330">
        <f>'Realkredit finansiering (2)'!$F$16</f>
        <v>60334.224510551401</v>
      </c>
      <c r="F63" s="330">
        <f>'Realkredit finansiering (2)'!$F$10/'Realkredit finansiering (2)'!$F$13*'F5 (2)'!B62</f>
        <v>6487.9145357660036</v>
      </c>
      <c r="G63" s="468">
        <f t="shared" si="2"/>
        <v>66822.139046317403</v>
      </c>
    </row>
    <row r="64" spans="1:7">
      <c r="A64" s="329">
        <v>61</v>
      </c>
      <c r="B64" s="467">
        <f t="shared" si="0"/>
        <v>2948781.2931015952</v>
      </c>
      <c r="C64" s="330">
        <f>'Realkredit finansiering (2)'!$F$9/'Realkredit finansiering (2)'!$F$13*'F5 (2)'!B63</f>
        <v>19432.936775438604</v>
      </c>
      <c r="D64" s="330">
        <f t="shared" si="1"/>
        <v>40901.287735112797</v>
      </c>
      <c r="E64" s="330">
        <f>'Realkredit finansiering (2)'!$F$16</f>
        <v>60334.224510551401</v>
      </c>
      <c r="F64" s="330">
        <f>'Realkredit finansiering (2)'!$F$10/'Realkredit finansiering (2)'!$F$13*'F5 (2)'!B63</f>
        <v>6400.9104055713924</v>
      </c>
      <c r="G64" s="468">
        <f t="shared" si="2"/>
        <v>66735.134916122799</v>
      </c>
    </row>
    <row r="65" spans="1:7">
      <c r="A65" s="329">
        <v>62</v>
      </c>
      <c r="B65" s="467">
        <f t="shared" si="0"/>
        <v>2907614.1469962043</v>
      </c>
      <c r="C65" s="330">
        <f>'Realkredit finansiering (2)'!$F$9/'Realkredit finansiering (2)'!$F$13*'F5 (2)'!B64</f>
        <v>19167.07840516037</v>
      </c>
      <c r="D65" s="330">
        <f t="shared" si="1"/>
        <v>41167.146105391032</v>
      </c>
      <c r="E65" s="330">
        <f>'Realkredit finansiering (2)'!$F$16</f>
        <v>60334.224510551401</v>
      </c>
      <c r="F65" s="330">
        <f>'Realkredit finansiering (2)'!$F$10/'Realkredit finansiering (2)'!$F$13*'F5 (2)'!B64</f>
        <v>6313.3407485305161</v>
      </c>
      <c r="G65" s="468">
        <f t="shared" si="2"/>
        <v>66647.565259081923</v>
      </c>
    </row>
    <row r="66" spans="1:7">
      <c r="A66" s="329">
        <v>63</v>
      </c>
      <c r="B66" s="467">
        <f t="shared" si="0"/>
        <v>2866179.4144411283</v>
      </c>
      <c r="C66" s="330">
        <f>'Realkredit finansiering (2)'!$F$9/'Realkredit finansiering (2)'!$F$13*'F5 (2)'!B65</f>
        <v>18899.491955475329</v>
      </c>
      <c r="D66" s="330">
        <f t="shared" si="1"/>
        <v>41434.732555076072</v>
      </c>
      <c r="E66" s="330">
        <f>'Realkredit finansiering (2)'!$F$16</f>
        <v>60334.224510551401</v>
      </c>
      <c r="F66" s="330">
        <f>'Realkredit finansiering (2)'!$F$10/'Realkredit finansiering (2)'!$F$13*'F5 (2)'!B65</f>
        <v>6225.2018887188733</v>
      </c>
      <c r="G66" s="468">
        <f t="shared" si="2"/>
        <v>66559.426399270276</v>
      </c>
    </row>
    <row r="67" spans="1:7">
      <c r="A67" s="329">
        <v>64</v>
      </c>
      <c r="B67" s="467">
        <f t="shared" si="0"/>
        <v>2824475.3561244444</v>
      </c>
      <c r="C67" s="330">
        <f>'Realkredit finansiering (2)'!$F$9/'Realkredit finansiering (2)'!$F$13*'F5 (2)'!B66</f>
        <v>18630.166193867331</v>
      </c>
      <c r="D67" s="330">
        <f t="shared" si="1"/>
        <v>41704.058316684066</v>
      </c>
      <c r="E67" s="330">
        <f>'Realkredit finansiering (2)'!$F$16</f>
        <v>60334.224510551401</v>
      </c>
      <c r="F67" s="330">
        <f>'Realkredit finansiering (2)'!$F$10/'Realkredit finansiering (2)'!$F$13*'F5 (2)'!B66</f>
        <v>6136.4901263184556</v>
      </c>
      <c r="G67" s="468">
        <f t="shared" si="2"/>
        <v>66470.71463686986</v>
      </c>
    </row>
    <row r="68" spans="1:7">
      <c r="A68" s="329">
        <v>65</v>
      </c>
      <c r="B68" s="467">
        <f t="shared" ref="B68:B123" si="3">B67-D68</f>
        <v>2782500.2214287017</v>
      </c>
      <c r="C68" s="330">
        <f>'Realkredit finansiering (2)'!$F$9/'Realkredit finansiering (2)'!$F$13*'F5 (2)'!B67</f>
        <v>18359.089814808889</v>
      </c>
      <c r="D68" s="330">
        <f t="shared" ref="D68:D123" si="4">E68-C68</f>
        <v>41975.134695742512</v>
      </c>
      <c r="E68" s="330">
        <f>'Realkredit finansiering (2)'!$F$16</f>
        <v>60334.224510551401</v>
      </c>
      <c r="F68" s="330">
        <f>'Realkredit finansiering (2)'!$F$10/'Realkredit finansiering (2)'!$F$13*'F5 (2)'!B67</f>
        <v>6047.2017374624356</v>
      </c>
      <c r="G68" s="468">
        <f t="shared" ref="G68:G123" si="5">E68+F68</f>
        <v>66381.426248013842</v>
      </c>
    </row>
    <row r="69" spans="1:7">
      <c r="A69" s="329">
        <v>66</v>
      </c>
      <c r="B69" s="467">
        <f t="shared" si="3"/>
        <v>2740252.2483574366</v>
      </c>
      <c r="C69" s="330">
        <f>'Realkredit finansiering (2)'!$F$9/'Realkredit finansiering (2)'!$F$13*'F5 (2)'!B68</f>
        <v>18086.25143928656</v>
      </c>
      <c r="D69" s="330">
        <f t="shared" si="4"/>
        <v>42247.973071264845</v>
      </c>
      <c r="E69" s="330">
        <f>'Realkredit finansiering (2)'!$F$16</f>
        <v>60334.224510551401</v>
      </c>
      <c r="F69" s="330">
        <f>'Realkredit finansiering (2)'!$F$10/'Realkredit finansiering (2)'!$F$13*'F5 (2)'!B68</f>
        <v>5957.3329740788504</v>
      </c>
      <c r="G69" s="468">
        <f t="shared" si="5"/>
        <v>66291.557484630248</v>
      </c>
    </row>
    <row r="70" spans="1:7">
      <c r="A70" s="329">
        <v>67</v>
      </c>
      <c r="B70" s="467">
        <f t="shared" si="3"/>
        <v>2697729.6634612083</v>
      </c>
      <c r="C70" s="330">
        <f>'Realkredit finansiering (2)'!$F$9/'Realkredit finansiering (2)'!$F$13*'F5 (2)'!B69</f>
        <v>17811.639614323336</v>
      </c>
      <c r="D70" s="330">
        <f t="shared" si="4"/>
        <v>42522.584896228065</v>
      </c>
      <c r="E70" s="330">
        <f>'Realkredit finansiering (2)'!$F$16</f>
        <v>60334.224510551401</v>
      </c>
      <c r="F70" s="330">
        <f>'Realkredit finansiering (2)'!$F$10/'Realkredit finansiering (2)'!$F$13*'F5 (2)'!B69</f>
        <v>5866.8800637332724</v>
      </c>
      <c r="G70" s="468">
        <f t="shared" si="5"/>
        <v>66201.104574284676</v>
      </c>
    </row>
    <row r="71" spans="1:7">
      <c r="A71" s="329">
        <v>68</v>
      </c>
      <c r="B71" s="467">
        <f t="shared" si="3"/>
        <v>2654930.6817631549</v>
      </c>
      <c r="C71" s="330">
        <f>'Realkredit finansiering (2)'!$F$9/'Realkredit finansiering (2)'!$F$13*'F5 (2)'!B70</f>
        <v>17535.242812497854</v>
      </c>
      <c r="D71" s="330">
        <f t="shared" si="4"/>
        <v>42798.981698053547</v>
      </c>
      <c r="E71" s="330">
        <f>'Realkredit finansiering (2)'!$F$16</f>
        <v>60334.224510551401</v>
      </c>
      <c r="F71" s="330">
        <f>'Realkredit finansiering (2)'!$F$10/'Realkredit finansiering (2)'!$F$13*'F5 (2)'!B70</f>
        <v>5775.8392094704477</v>
      </c>
      <c r="G71" s="468">
        <f t="shared" si="5"/>
        <v>66110.063720021848</v>
      </c>
    </row>
    <row r="72" spans="1:7">
      <c r="A72" s="329">
        <v>69</v>
      </c>
      <c r="B72" s="467">
        <f t="shared" si="3"/>
        <v>2611853.5066840639</v>
      </c>
      <c r="C72" s="330">
        <f>'Realkredit finansiering (2)'!$F$9/'Realkredit finansiering (2)'!$F$13*'F5 (2)'!B71</f>
        <v>17257.049431460506</v>
      </c>
      <c r="D72" s="330">
        <f t="shared" si="4"/>
        <v>43077.175079090899</v>
      </c>
      <c r="E72" s="330">
        <f>'Realkredit finansiering (2)'!$F$16</f>
        <v>60334.224510551401</v>
      </c>
      <c r="F72" s="330">
        <f>'Realkredit finansiering (2)'!$F$10/'Realkredit finansiering (2)'!$F$13*'F5 (2)'!B71</f>
        <v>5684.2065896549148</v>
      </c>
      <c r="G72" s="468">
        <f t="shared" si="5"/>
        <v>66018.431100206319</v>
      </c>
    </row>
    <row r="73" spans="1:7">
      <c r="A73" s="329">
        <v>70</v>
      </c>
      <c r="B73" s="467">
        <f t="shared" si="3"/>
        <v>2568496.3299669591</v>
      </c>
      <c r="C73" s="330">
        <f>'Realkredit finansiering (2)'!$F$9/'Realkredit finansiering (2)'!$F$13*'F5 (2)'!B72</f>
        <v>16977.047793446414</v>
      </c>
      <c r="D73" s="330">
        <f t="shared" si="4"/>
        <v>43357.176717104987</v>
      </c>
      <c r="E73" s="330">
        <f>'Realkredit finansiering (2)'!$F$16</f>
        <v>60334.224510551401</v>
      </c>
      <c r="F73" s="330">
        <f>'Realkredit finansiering (2)'!$F$10/'Realkredit finansiering (2)'!$F$13*'F5 (2)'!B72</f>
        <v>5591.9783578105807</v>
      </c>
      <c r="G73" s="468">
        <f t="shared" si="5"/>
        <v>65926.202868361986</v>
      </c>
    </row>
    <row r="74" spans="1:7">
      <c r="A74" s="329">
        <v>71</v>
      </c>
      <c r="B74" s="467">
        <f t="shared" si="3"/>
        <v>2524857.3316011927</v>
      </c>
      <c r="C74" s="330">
        <f>'Realkredit finansiering (2)'!$F$9/'Realkredit finansiering (2)'!$F$13*'F5 (2)'!B73</f>
        <v>16695.226144785232</v>
      </c>
      <c r="D74" s="330">
        <f t="shared" si="4"/>
        <v>43638.998365766165</v>
      </c>
      <c r="E74" s="330">
        <f>'Realkredit finansiering (2)'!$F$16</f>
        <v>60334.224510551401</v>
      </c>
      <c r="F74" s="330">
        <f>'Realkredit finansiering (2)'!$F$10/'Realkredit finansiering (2)'!$F$13*'F5 (2)'!B73</f>
        <v>5499.1506424592599</v>
      </c>
      <c r="G74" s="468">
        <f t="shared" si="5"/>
        <v>65833.375153010667</v>
      </c>
    </row>
    <row r="75" spans="1:7">
      <c r="A75" s="329">
        <v>72</v>
      </c>
      <c r="B75" s="467">
        <f t="shared" si="3"/>
        <v>2480934.679746049</v>
      </c>
      <c r="C75" s="330">
        <f>'Realkredit finansiering (2)'!$F$9/'Realkredit finansiering (2)'!$F$13*'F5 (2)'!B74</f>
        <v>16411.572655407752</v>
      </c>
      <c r="D75" s="330">
        <f t="shared" si="4"/>
        <v>43922.651855143646</v>
      </c>
      <c r="E75" s="330">
        <f>'Realkredit finansiering (2)'!$F$16</f>
        <v>60334.224510551401</v>
      </c>
      <c r="F75" s="330">
        <f>'Realkredit finansiering (2)'!$F$10/'Realkredit finansiering (2)'!$F$13*'F5 (2)'!B74</f>
        <v>5405.7195469581538</v>
      </c>
      <c r="G75" s="468">
        <f t="shared" si="5"/>
        <v>65739.94405750955</v>
      </c>
    </row>
    <row r="76" spans="1:7">
      <c r="A76" s="329">
        <v>73</v>
      </c>
      <c r="B76" s="467">
        <f t="shared" si="3"/>
        <v>2436726.5306538469</v>
      </c>
      <c r="C76" s="330">
        <f>'Realkredit finansiering (2)'!$F$9/'Realkredit finansiering (2)'!$F$13*'F5 (2)'!B75</f>
        <v>16126.075418349317</v>
      </c>
      <c r="D76" s="330">
        <f t="shared" si="4"/>
        <v>44208.149092202082</v>
      </c>
      <c r="E76" s="330">
        <f>'Realkredit finansiering (2)'!$F$16</f>
        <v>60334.224510551401</v>
      </c>
      <c r="F76" s="330">
        <f>'Realkredit finansiering (2)'!$F$10/'Realkredit finansiering (2)'!$F$13*'F5 (2)'!B75</f>
        <v>5311.6811493362911</v>
      </c>
      <c r="G76" s="468">
        <f t="shared" si="5"/>
        <v>65645.905659887692</v>
      </c>
    </row>
    <row r="77" spans="1:7">
      <c r="A77" s="329">
        <v>74</v>
      </c>
      <c r="B77" s="467">
        <f t="shared" si="3"/>
        <v>2392231.0285925455</v>
      </c>
      <c r="C77" s="330">
        <f>'Realkredit finansiering (2)'!$F$9/'Realkredit finansiering (2)'!$F$13*'F5 (2)'!B76</f>
        <v>15838.722449250005</v>
      </c>
      <c r="D77" s="330">
        <f t="shared" si="4"/>
        <v>44495.502061301398</v>
      </c>
      <c r="E77" s="330">
        <f>'Realkredit finansiering (2)'!$F$16</f>
        <v>60334.224510551401</v>
      </c>
      <c r="F77" s="330">
        <f>'Realkredit finansiering (2)'!$F$10/'Realkredit finansiering (2)'!$F$13*'F5 (2)'!B76</f>
        <v>5217.0315021298866</v>
      </c>
      <c r="G77" s="468">
        <f t="shared" si="5"/>
        <v>65551.25601268129</v>
      </c>
    </row>
    <row r="78" spans="1:7">
      <c r="A78" s="329">
        <v>75</v>
      </c>
      <c r="B78" s="467">
        <f t="shared" si="3"/>
        <v>2347446.3057678458</v>
      </c>
      <c r="C78" s="330">
        <f>'Realkredit finansiering (2)'!$F$9/'Realkredit finansiering (2)'!$F$13*'F5 (2)'!B77</f>
        <v>15549.501685851545</v>
      </c>
      <c r="D78" s="330">
        <f t="shared" si="4"/>
        <v>44784.722824699857</v>
      </c>
      <c r="E78" s="330">
        <f>'Realkredit finansiering (2)'!$F$16</f>
        <v>60334.224510551401</v>
      </c>
      <c r="F78" s="330">
        <f>'Realkredit finansiering (2)'!$F$10/'Realkredit finansiering (2)'!$F$13*'F5 (2)'!B77</f>
        <v>5121.7666322166406</v>
      </c>
      <c r="G78" s="468">
        <f t="shared" si="5"/>
        <v>65455.991142768042</v>
      </c>
    </row>
    <row r="79" spans="1:7">
      <c r="A79" s="329">
        <v>76</v>
      </c>
      <c r="B79" s="467">
        <f t="shared" si="3"/>
        <v>2302370.4822447854</v>
      </c>
      <c r="C79" s="330">
        <f>'Realkredit finansiering (2)'!$F$9/'Realkredit finansiering (2)'!$F$13*'F5 (2)'!B78</f>
        <v>15258.400987490997</v>
      </c>
      <c r="D79" s="330">
        <f t="shared" si="4"/>
        <v>45075.823523060404</v>
      </c>
      <c r="E79" s="330">
        <f>'Realkredit finansiering (2)'!$F$16</f>
        <v>60334.224510551401</v>
      </c>
      <c r="F79" s="330">
        <f>'Realkredit finansiering (2)'!$F$10/'Realkredit finansiering (2)'!$F$13*'F5 (2)'!B78</f>
        <v>5025.8825406489577</v>
      </c>
      <c r="G79" s="468">
        <f t="shared" si="5"/>
        <v>65360.107051200357</v>
      </c>
    </row>
    <row r="80" spans="1:7">
      <c r="A80" s="329">
        <v>77</v>
      </c>
      <c r="B80" s="467">
        <f t="shared" si="3"/>
        <v>2257001.6658688253</v>
      </c>
      <c r="C80" s="330">
        <f>'Realkredit finansiering (2)'!$F$9/'Realkredit finansiering (2)'!$F$13*'F5 (2)'!B79</f>
        <v>14965.408134591104</v>
      </c>
      <c r="D80" s="330">
        <f t="shared" si="4"/>
        <v>45368.816375960298</v>
      </c>
      <c r="E80" s="330">
        <f>'Realkredit finansiering (2)'!$F$16</f>
        <v>60334.224510551401</v>
      </c>
      <c r="F80" s="330">
        <f>'Realkredit finansiering (2)'!$F$10/'Realkredit finansiering (2)'!$F$13*'F5 (2)'!B79</f>
        <v>4929.375202486086</v>
      </c>
      <c r="G80" s="468">
        <f t="shared" si="5"/>
        <v>65263.599713037489</v>
      </c>
    </row>
    <row r="81" spans="1:7">
      <c r="A81" s="329">
        <v>78</v>
      </c>
      <c r="B81" s="467">
        <f t="shared" si="3"/>
        <v>2211337.952186421</v>
      </c>
      <c r="C81" s="330">
        <f>'Realkredit finansiering (2)'!$F$9/'Realkredit finansiering (2)'!$F$13*'F5 (2)'!B80</f>
        <v>14670.510828147364</v>
      </c>
      <c r="D81" s="330">
        <f t="shared" si="4"/>
        <v>45663.713682404035</v>
      </c>
      <c r="E81" s="330">
        <f>'Realkredit finansiering (2)'!$F$16</f>
        <v>60334.224510551401</v>
      </c>
      <c r="F81" s="330">
        <f>'Realkredit finansiering (2)'!$F$10/'Realkredit finansiering (2)'!$F$13*'F5 (2)'!B80</f>
        <v>4832.2405666251552</v>
      </c>
      <c r="G81" s="468">
        <f t="shared" si="5"/>
        <v>65166.465077176559</v>
      </c>
    </row>
    <row r="82" spans="1:7">
      <c r="A82" s="329">
        <v>79</v>
      </c>
      <c r="B82" s="467">
        <f t="shared" si="3"/>
        <v>2165377.4243650814</v>
      </c>
      <c r="C82" s="330">
        <f>'Realkredit finansiering (2)'!$F$9/'Realkredit finansiering (2)'!$F$13*'F5 (2)'!B81</f>
        <v>14373.696689211736</v>
      </c>
      <c r="D82" s="330">
        <f t="shared" si="4"/>
        <v>45960.527821339667</v>
      </c>
      <c r="E82" s="330">
        <f>'Realkredit finansiering (2)'!$F$16</f>
        <v>60334.224510551401</v>
      </c>
      <c r="F82" s="330">
        <f>'Realkredit finansiering (2)'!$F$10/'Realkredit finansiering (2)'!$F$13*'F5 (2)'!B81</f>
        <v>4734.4745556311273</v>
      </c>
      <c r="G82" s="468">
        <f t="shared" si="5"/>
        <v>65068.699066182526</v>
      </c>
    </row>
    <row r="83" spans="1:7">
      <c r="A83" s="329">
        <v>80</v>
      </c>
      <c r="B83" s="467">
        <f t="shared" si="3"/>
        <v>2119118.1531129028</v>
      </c>
      <c r="C83" s="330">
        <f>'Realkredit finansiering (2)'!$F$9/'Realkredit finansiering (2)'!$F$13*'F5 (2)'!B82</f>
        <v>14074.953258373029</v>
      </c>
      <c r="D83" s="330">
        <f t="shared" si="4"/>
        <v>46259.271252178369</v>
      </c>
      <c r="E83" s="330">
        <f>'Realkredit finansiering (2)'!$F$16</f>
        <v>60334.224510551401</v>
      </c>
      <c r="F83" s="330">
        <f>'Realkredit finansiering (2)'!$F$10/'Realkredit finansiering (2)'!$F$13*'F5 (2)'!B82</f>
        <v>4636.0730655656398</v>
      </c>
      <c r="G83" s="468">
        <f t="shared" si="5"/>
        <v>64970.297576117038</v>
      </c>
    </row>
    <row r="84" spans="1:7">
      <c r="A84" s="329">
        <v>81</v>
      </c>
      <c r="B84" s="467">
        <f t="shared" si="3"/>
        <v>2072558.1965975852</v>
      </c>
      <c r="C84" s="330">
        <f>'Realkredit finansiering (2)'!$F$9/'Realkredit finansiering (2)'!$F$13*'F5 (2)'!B83</f>
        <v>13774.267995233868</v>
      </c>
      <c r="D84" s="330">
        <f t="shared" si="4"/>
        <v>46559.956515317535</v>
      </c>
      <c r="E84" s="330">
        <f>'Realkredit finansiering (2)'!$F$16</f>
        <v>60334.224510551401</v>
      </c>
      <c r="F84" s="330">
        <f>'Realkredit finansiering (2)'!$F$10/'Realkredit finansiering (2)'!$F$13*'F5 (2)'!B83</f>
        <v>4537.0319658147255</v>
      </c>
      <c r="G84" s="468">
        <f t="shared" si="5"/>
        <v>64871.256476366128</v>
      </c>
    </row>
    <row r="85" spans="1:7">
      <c r="A85" s="329">
        <v>82</v>
      </c>
      <c r="B85" s="467">
        <f t="shared" si="3"/>
        <v>2025695.6003649181</v>
      </c>
      <c r="C85" s="330">
        <f>'Realkredit finansiering (2)'!$F$9/'Realkredit finansiering (2)'!$F$13*'F5 (2)'!B84</f>
        <v>13471.628277884303</v>
      </c>
      <c r="D85" s="330">
        <f t="shared" si="4"/>
        <v>46862.5962326671</v>
      </c>
      <c r="E85" s="330">
        <f>'Realkredit finansiering (2)'!$F$16</f>
        <v>60334.224510551401</v>
      </c>
      <c r="F85" s="330">
        <f>'Realkredit finansiering (2)'!$F$10/'Realkredit finansiering (2)'!$F$13*'F5 (2)'!B84</f>
        <v>4437.3470989154303</v>
      </c>
      <c r="G85" s="468">
        <f t="shared" si="5"/>
        <v>64771.571609466831</v>
      </c>
    </row>
    <row r="86" spans="1:7">
      <c r="A86" s="329">
        <v>83</v>
      </c>
      <c r="B86" s="467">
        <f t="shared" si="3"/>
        <v>1978528.3972567387</v>
      </c>
      <c r="C86" s="330">
        <f>'Realkredit finansiering (2)'!$F$9/'Realkredit finansiering (2)'!$F$13*'F5 (2)'!B85</f>
        <v>13167.021402371967</v>
      </c>
      <c r="D86" s="330">
        <f t="shared" si="4"/>
        <v>47167.203108179434</v>
      </c>
      <c r="E86" s="330">
        <f>'Realkredit finansiering (2)'!$F$16</f>
        <v>60334.224510551401</v>
      </c>
      <c r="F86" s="330">
        <f>'Realkredit finansiering (2)'!$F$10/'Realkredit finansiering (2)'!$F$13*'F5 (2)'!B85</f>
        <v>4337.0142803812896</v>
      </c>
      <c r="G86" s="468">
        <f t="shared" si="5"/>
        <v>64671.238790932694</v>
      </c>
    </row>
    <row r="87" spans="1:7">
      <c r="A87" s="329">
        <v>84</v>
      </c>
      <c r="B87" s="467">
        <f t="shared" si="3"/>
        <v>1931054.6073283562</v>
      </c>
      <c r="C87" s="330">
        <f>'Realkredit finansiering (2)'!$F$9/'Realkredit finansiering (2)'!$F$13*'F5 (2)'!B86</f>
        <v>12860.434582168802</v>
      </c>
      <c r="D87" s="330">
        <f t="shared" si="4"/>
        <v>47473.789928382597</v>
      </c>
      <c r="E87" s="330">
        <f>'Realkredit finansiering (2)'!$F$16</f>
        <v>60334.224510551401</v>
      </c>
      <c r="F87" s="330">
        <f>'Realkredit finansiering (2)'!$F$10/'Realkredit finansiering (2)'!$F$13*'F5 (2)'!B86</f>
        <v>4236.0292985266778</v>
      </c>
      <c r="G87" s="468">
        <f t="shared" si="5"/>
        <v>64570.25380907808</v>
      </c>
    </row>
    <row r="88" spans="1:7">
      <c r="A88" s="329">
        <v>85</v>
      </c>
      <c r="B88" s="467">
        <f t="shared" si="3"/>
        <v>1883272.2377654391</v>
      </c>
      <c r="C88" s="330">
        <f>'Realkredit finansiering (2)'!$F$9/'Realkredit finansiering (2)'!$F$13*'F5 (2)'!B87</f>
        <v>12551.854947634314</v>
      </c>
      <c r="D88" s="330">
        <f t="shared" si="4"/>
        <v>47782.369562917083</v>
      </c>
      <c r="E88" s="330">
        <f>'Realkredit finansiering (2)'!$F$16</f>
        <v>60334.224510551401</v>
      </c>
      <c r="F88" s="330">
        <f>'Realkredit finansiering (2)'!$F$10/'Realkredit finansiering (2)'!$F$13*'F5 (2)'!B87</f>
        <v>4134.3879142900105</v>
      </c>
      <c r="G88" s="468">
        <f t="shared" si="5"/>
        <v>64468.612424841413</v>
      </c>
    </row>
    <row r="89" spans="1:7">
      <c r="A89" s="329">
        <v>86</v>
      </c>
      <c r="B89" s="467">
        <f t="shared" si="3"/>
        <v>1835179.2828003631</v>
      </c>
      <c r="C89" s="330">
        <f>'Realkredit finansiering (2)'!$F$9/'Realkredit finansiering (2)'!$F$13*'F5 (2)'!B88</f>
        <v>12241.269545475354</v>
      </c>
      <c r="D89" s="330">
        <f t="shared" si="4"/>
        <v>48092.954965076045</v>
      </c>
      <c r="E89" s="330">
        <f>'Realkredit finansiering (2)'!$F$16</f>
        <v>60334.224510551401</v>
      </c>
      <c r="F89" s="330">
        <f>'Realkredit finansiering (2)'!$F$10/'Realkredit finansiering (2)'!$F$13*'F5 (2)'!B88</f>
        <v>4032.0858610558053</v>
      </c>
      <c r="G89" s="468">
        <f t="shared" si="5"/>
        <v>64366.310371607207</v>
      </c>
    </row>
    <row r="90" spans="1:7">
      <c r="A90" s="329">
        <v>87</v>
      </c>
      <c r="B90" s="467">
        <f t="shared" si="3"/>
        <v>1786773.7236280141</v>
      </c>
      <c r="C90" s="330">
        <f>'Realkredit finansiering (2)'!$F$9/'Realkredit finansiering (2)'!$F$13*'F5 (2)'!B89</f>
        <v>11928.66533820236</v>
      </c>
      <c r="D90" s="330">
        <f t="shared" si="4"/>
        <v>48405.559172349043</v>
      </c>
      <c r="E90" s="330">
        <f>'Realkredit finansiering (2)'!$F$16</f>
        <v>60334.224510551401</v>
      </c>
      <c r="F90" s="330">
        <f>'Realkredit finansiering (2)'!$F$10/'Realkredit finansiering (2)'!$F$13*'F5 (2)'!B89</f>
        <v>3929.1188444755776</v>
      </c>
      <c r="G90" s="468">
        <f t="shared" si="5"/>
        <v>64263.343355026976</v>
      </c>
    </row>
    <row r="91" spans="1:7">
      <c r="A91" s="329">
        <v>88</v>
      </c>
      <c r="B91" s="467">
        <f t="shared" si="3"/>
        <v>1738053.5283210448</v>
      </c>
      <c r="C91" s="330">
        <f>'Realkredit finansiering (2)'!$F$9/'Realkredit finansiering (2)'!$F$13*'F5 (2)'!B90</f>
        <v>11614.029203582091</v>
      </c>
      <c r="D91" s="330">
        <f t="shared" si="4"/>
        <v>48720.195306969312</v>
      </c>
      <c r="E91" s="330">
        <f>'Realkredit finansiering (2)'!$F$16</f>
        <v>60334.224510551401</v>
      </c>
      <c r="F91" s="330">
        <f>'Realkredit finansiering (2)'!$F$10/'Realkredit finansiering (2)'!$F$13*'F5 (2)'!B90</f>
        <v>3825.4825422875783</v>
      </c>
      <c r="G91" s="468">
        <f t="shared" si="5"/>
        <v>64159.707052838981</v>
      </c>
    </row>
    <row r="92" spans="1:7">
      <c r="A92" s="329">
        <v>89</v>
      </c>
      <c r="B92" s="467">
        <f t="shared" si="3"/>
        <v>1689016.6517445801</v>
      </c>
      <c r="C92" s="330">
        <f>'Realkredit finansiering (2)'!$F$9/'Realkredit finansiering (2)'!$F$13*'F5 (2)'!B91</f>
        <v>11297.347934086791</v>
      </c>
      <c r="D92" s="330">
        <f t="shared" si="4"/>
        <v>49036.876576464609</v>
      </c>
      <c r="E92" s="330">
        <f>'Realkredit finansiering (2)'!$F$16</f>
        <v>60334.224510551401</v>
      </c>
      <c r="F92" s="330">
        <f>'Realkredit finansiering (2)'!$F$10/'Realkredit finansiering (2)'!$F$13*'F5 (2)'!B91</f>
        <v>3721.1726041353568</v>
      </c>
      <c r="G92" s="468">
        <f t="shared" si="5"/>
        <v>64055.397114686755</v>
      </c>
    </row>
    <row r="93" spans="1:7">
      <c r="A93" s="329">
        <v>90</v>
      </c>
      <c r="B93" s="467">
        <f t="shared" si="3"/>
        <v>1639661.0354703686</v>
      </c>
      <c r="C93" s="330">
        <f>'Realkredit finansiering (2)'!$F$9/'Realkredit finansiering (2)'!$F$13*'F5 (2)'!B92</f>
        <v>10978.608236339771</v>
      </c>
      <c r="D93" s="330">
        <f t="shared" si="4"/>
        <v>49355.616274211628</v>
      </c>
      <c r="E93" s="330">
        <f>'Realkredit finansiering (2)'!$F$16</f>
        <v>60334.224510551401</v>
      </c>
      <c r="F93" s="330">
        <f>'Realkredit finansiering (2)'!$F$10/'Realkredit finansiering (2)'!$F$13*'F5 (2)'!B92</f>
        <v>3616.184651385146</v>
      </c>
      <c r="G93" s="468">
        <f t="shared" si="5"/>
        <v>63950.40916193655</v>
      </c>
    </row>
    <row r="94" spans="1:7">
      <c r="A94" s="329">
        <v>91</v>
      </c>
      <c r="B94" s="467">
        <f t="shared" si="3"/>
        <v>1589984.6076903746</v>
      </c>
      <c r="C94" s="330">
        <f>'Realkredit finansiering (2)'!$F$9/'Realkredit finansiering (2)'!$F$13*'F5 (2)'!B93</f>
        <v>10657.796730557395</v>
      </c>
      <c r="D94" s="330">
        <f t="shared" si="4"/>
        <v>49676.427779994003</v>
      </c>
      <c r="E94" s="330">
        <f>'Realkredit finansiering (2)'!$F$16</f>
        <v>60334.224510551401</v>
      </c>
      <c r="F94" s="330">
        <f>'Realkredit finansiering (2)'!$F$10/'Realkredit finansiering (2)'!$F$13*'F5 (2)'!B93</f>
        <v>3510.5142769420595</v>
      </c>
      <c r="G94" s="468">
        <f t="shared" si="5"/>
        <v>63844.738787493457</v>
      </c>
    </row>
    <row r="95" spans="1:7">
      <c r="A95" s="329">
        <v>92</v>
      </c>
      <c r="B95" s="467">
        <f t="shared" si="3"/>
        <v>1539985.2831298106</v>
      </c>
      <c r="C95" s="330">
        <f>'Realkredit finansiering (2)'!$F$9/'Realkredit finansiering (2)'!$F$13*'F5 (2)'!B94</f>
        <v>10334.899949987435</v>
      </c>
      <c r="D95" s="330">
        <f t="shared" si="4"/>
        <v>49999.324560563968</v>
      </c>
      <c r="E95" s="330">
        <f>'Realkredit finansiering (2)'!$F$16</f>
        <v>60334.224510551401</v>
      </c>
      <c r="F95" s="330">
        <f>'Realkredit finansiering (2)'!$F$10/'Realkredit finansiering (2)'!$F$13*'F5 (2)'!B94</f>
        <v>3404.157045065092</v>
      </c>
      <c r="G95" s="468">
        <f t="shared" si="5"/>
        <v>63738.381555616492</v>
      </c>
    </row>
    <row r="96" spans="1:7">
      <c r="A96" s="329">
        <v>93</v>
      </c>
      <c r="B96" s="467">
        <f t="shared" si="3"/>
        <v>1489660.9629596029</v>
      </c>
      <c r="C96" s="330">
        <f>'Realkredit finansiering (2)'!$F$9/'Realkredit finansiering (2)'!$F$13*'F5 (2)'!B95</f>
        <v>10009.904340343768</v>
      </c>
      <c r="D96" s="330">
        <f t="shared" si="4"/>
        <v>50324.320170207633</v>
      </c>
      <c r="E96" s="330">
        <f>'Realkredit finansiering (2)'!$F$16</f>
        <v>60334.224510551401</v>
      </c>
      <c r="F96" s="330">
        <f>'Realkredit finansiering (2)'!$F$10/'Realkredit finansiering (2)'!$F$13*'F5 (2)'!B95</f>
        <v>3297.1084911809248</v>
      </c>
      <c r="G96" s="468">
        <f t="shared" si="5"/>
        <v>63631.333001732324</v>
      </c>
    </row>
    <row r="97" spans="1:7">
      <c r="A97" s="329">
        <v>94</v>
      </c>
      <c r="B97" s="467">
        <f t="shared" si="3"/>
        <v>1439009.534708289</v>
      </c>
      <c r="C97" s="330">
        <f>'Realkredit finansiering (2)'!$F$9/'Realkredit finansiering (2)'!$F$13*'F5 (2)'!B96</f>
        <v>9682.7962592374188</v>
      </c>
      <c r="D97" s="330">
        <f t="shared" si="4"/>
        <v>50651.428251313984</v>
      </c>
      <c r="E97" s="330">
        <f>'Realkredit finansiering (2)'!$F$16</f>
        <v>60334.224510551401</v>
      </c>
      <c r="F97" s="330">
        <f>'Realkredit finansiering (2)'!$F$10/'Realkredit finansiering (2)'!$F$13*'F5 (2)'!B96</f>
        <v>3189.3641216965102</v>
      </c>
      <c r="G97" s="468">
        <f t="shared" si="5"/>
        <v>63523.588632247913</v>
      </c>
    </row>
    <row r="98" spans="1:7">
      <c r="A98" s="329">
        <v>95</v>
      </c>
      <c r="B98" s="467">
        <f t="shared" si="3"/>
        <v>1388028.8721733415</v>
      </c>
      <c r="C98" s="330">
        <f>'Realkredit finansiering (2)'!$F$9/'Realkredit finansiering (2)'!$F$13*'F5 (2)'!B97</f>
        <v>9353.5619756038777</v>
      </c>
      <c r="D98" s="330">
        <f t="shared" si="4"/>
        <v>50980.662534947522</v>
      </c>
      <c r="E98" s="330">
        <f>'Realkredit finansiering (2)'!$F$16</f>
        <v>60334.224510551401</v>
      </c>
      <c r="F98" s="330">
        <f>'Realkredit finansiering (2)'!$F$10/'Realkredit finansiering (2)'!$F$13*'F5 (2)'!B97</f>
        <v>3080.9194138104467</v>
      </c>
      <c r="G98" s="468">
        <f t="shared" si="5"/>
        <v>63415.143924361852</v>
      </c>
    </row>
    <row r="99" spans="1:7">
      <c r="A99" s="329">
        <v>96</v>
      </c>
      <c r="B99" s="467">
        <f t="shared" si="3"/>
        <v>1336716.8353319168</v>
      </c>
      <c r="C99" s="330">
        <f>'Realkredit finansiering (2)'!$F$9/'Realkredit finansiering (2)'!$F$13*'F5 (2)'!B98</f>
        <v>9022.1876691267189</v>
      </c>
      <c r="D99" s="330">
        <f t="shared" si="4"/>
        <v>51312.036841424684</v>
      </c>
      <c r="E99" s="330">
        <f>'Realkredit finansiering (2)'!$F$16</f>
        <v>60334.224510551401</v>
      </c>
      <c r="F99" s="330">
        <f>'Realkredit finansiering (2)'!$F$10/'Realkredit finansiering (2)'!$F$13*'F5 (2)'!B98</f>
        <v>2971.769815323124</v>
      </c>
      <c r="G99" s="468">
        <f t="shared" si="5"/>
        <v>63305.994325874526</v>
      </c>
    </row>
    <row r="100" spans="1:7">
      <c r="A100" s="329">
        <v>97</v>
      </c>
      <c r="B100" s="467">
        <f t="shared" si="3"/>
        <v>1285071.2702510229</v>
      </c>
      <c r="C100" s="330">
        <f>'Realkredit finansiering (2)'!$F$9/'Realkredit finansiering (2)'!$F$13*'F5 (2)'!B99</f>
        <v>8688.6594296574585</v>
      </c>
      <c r="D100" s="330">
        <f t="shared" si="4"/>
        <v>51645.565080893939</v>
      </c>
      <c r="E100" s="330">
        <f>'Realkredit finansiering (2)'!$F$16</f>
        <v>60334.224510551401</v>
      </c>
      <c r="F100" s="330">
        <f>'Realkredit finansiering (2)'!$F$10/'Realkredit finansiering (2)'!$F$13*'F5 (2)'!B99</f>
        <v>2861.910744445634</v>
      </c>
      <c r="G100" s="468">
        <f t="shared" si="5"/>
        <v>63196.135254997032</v>
      </c>
    </row>
    <row r="101" spans="1:7">
      <c r="A101" s="329">
        <v>98</v>
      </c>
      <c r="B101" s="467">
        <f t="shared" si="3"/>
        <v>1233090.0089971032</v>
      </c>
      <c r="C101" s="330">
        <f>'Realkredit finansiering (2)'!$F$9/'Realkredit finansiering (2)'!$F$13*'F5 (2)'!B100</f>
        <v>8352.9632566316486</v>
      </c>
      <c r="D101" s="330">
        <f t="shared" si="4"/>
        <v>51981.261253919751</v>
      </c>
      <c r="E101" s="330">
        <f>'Realkredit finansiering (2)'!$F$16</f>
        <v>60334.224510551401</v>
      </c>
      <c r="F101" s="330">
        <f>'Realkredit finansiering (2)'!$F$10/'Realkredit finansiering (2)'!$F$13*'F5 (2)'!B100</f>
        <v>2751.3375896074403</v>
      </c>
      <c r="G101" s="468">
        <f t="shared" si="5"/>
        <v>63085.562100158844</v>
      </c>
    </row>
    <row r="102" spans="1:7">
      <c r="A102" s="329">
        <v>99</v>
      </c>
      <c r="B102" s="467">
        <f t="shared" si="3"/>
        <v>1180770.869545033</v>
      </c>
      <c r="C102" s="330">
        <f>'Realkredit finansiering (2)'!$F$9/'Realkredit finansiering (2)'!$F$13*'F5 (2)'!B101</f>
        <v>8015.0850584811706</v>
      </c>
      <c r="D102" s="330">
        <f t="shared" si="4"/>
        <v>52319.139452070231</v>
      </c>
      <c r="E102" s="330">
        <f>'Realkredit finansiering (2)'!$F$16</f>
        <v>60334.224510551401</v>
      </c>
      <c r="F102" s="330">
        <f>'Realkredit finansiering (2)'!$F$10/'Realkredit finansiering (2)'!$F$13*'F5 (2)'!B101</f>
        <v>2640.045709262798</v>
      </c>
      <c r="G102" s="468">
        <f t="shared" si="5"/>
        <v>62974.2702198142</v>
      </c>
    </row>
    <row r="103" spans="1:7">
      <c r="A103" s="329">
        <v>100</v>
      </c>
      <c r="B103" s="467">
        <f t="shared" si="3"/>
        <v>1128111.6556865242</v>
      </c>
      <c r="C103" s="330">
        <f>'Realkredit finansiering (2)'!$F$9/'Realkredit finansiering (2)'!$F$13*'F5 (2)'!B102</f>
        <v>7675.0106520427144</v>
      </c>
      <c r="D103" s="330">
        <f t="shared" si="4"/>
        <v>52659.213858508687</v>
      </c>
      <c r="E103" s="330">
        <f>'Realkredit finansiering (2)'!$F$16</f>
        <v>60334.224510551401</v>
      </c>
      <c r="F103" s="330">
        <f>'Realkredit finansiering (2)'!$F$10/'Realkredit finansiering (2)'!$F$13*'F5 (2)'!B102</f>
        <v>2528.0304316959159</v>
      </c>
      <c r="G103" s="468">
        <f t="shared" si="5"/>
        <v>62862.254942247317</v>
      </c>
    </row>
    <row r="104" spans="1:7">
      <c r="A104" s="329">
        <v>101</v>
      </c>
      <c r="B104" s="467">
        <f t="shared" si="3"/>
        <v>1075110.1569379352</v>
      </c>
      <c r="C104" s="330">
        <f>'Realkredit finansiering (2)'!$F$9/'Realkredit finansiering (2)'!$F$13*'F5 (2)'!B103</f>
        <v>7332.725761962407</v>
      </c>
      <c r="D104" s="330">
        <f t="shared" si="4"/>
        <v>53001.498748588994</v>
      </c>
      <c r="E104" s="330">
        <f>'Realkredit finansiering (2)'!$F$16</f>
        <v>60334.224510551401</v>
      </c>
      <c r="F104" s="330">
        <f>'Realkredit finansiering (2)'!$F$10/'Realkredit finansiering (2)'!$F$13*'F5 (2)'!B103</f>
        <v>2415.2870548248484</v>
      </c>
      <c r="G104" s="468">
        <f t="shared" si="5"/>
        <v>62749.511565376248</v>
      </c>
    </row>
    <row r="105" spans="1:7">
      <c r="A105" s="329">
        <v>102</v>
      </c>
      <c r="B105" s="467">
        <f t="shared" si="3"/>
        <v>1021764.1484474803</v>
      </c>
      <c r="C105" s="330">
        <f>'Realkredit finansiering (2)'!$F$9/'Realkredit finansiering (2)'!$F$13*'F5 (2)'!B104</f>
        <v>6988.2160200965782</v>
      </c>
      <c r="D105" s="330">
        <f t="shared" si="4"/>
        <v>53346.00849045482</v>
      </c>
      <c r="E105" s="330">
        <f>'Realkredit finansiering (2)'!$F$16</f>
        <v>60334.224510551401</v>
      </c>
      <c r="F105" s="330">
        <f>'Realkredit finansiering (2)'!$F$10/'Realkredit finansiering (2)'!$F$13*'F5 (2)'!B104</f>
        <v>2301.8108460041194</v>
      </c>
      <c r="G105" s="468">
        <f t="shared" si="5"/>
        <v>62636.03535655552</v>
      </c>
    </row>
    <row r="106" spans="1:7">
      <c r="A106" s="329">
        <v>103</v>
      </c>
      <c r="B106" s="467">
        <f t="shared" si="3"/>
        <v>968071.3909018375</v>
      </c>
      <c r="C106" s="330">
        <f>'Realkredit finansiering (2)'!$F$9/'Realkredit finansiering (2)'!$F$13*'F5 (2)'!B105</f>
        <v>6641.4669649086218</v>
      </c>
      <c r="D106" s="330">
        <f t="shared" si="4"/>
        <v>53692.75754564278</v>
      </c>
      <c r="E106" s="330">
        <f>'Realkredit finansiering (2)'!$F$16</f>
        <v>60334.224510551401</v>
      </c>
      <c r="F106" s="330">
        <f>'Realkredit finansiering (2)'!$F$10/'Realkredit finansiering (2)'!$F$13*'F5 (2)'!B105</f>
        <v>2187.5970418260554</v>
      </c>
      <c r="G106" s="468">
        <f t="shared" si="5"/>
        <v>62521.821552377456</v>
      </c>
    </row>
    <row r="107" spans="1:7">
      <c r="A107" s="329">
        <v>104</v>
      </c>
      <c r="B107" s="467">
        <f t="shared" si="3"/>
        <v>914029.630432148</v>
      </c>
      <c r="C107" s="330">
        <f>'Realkredit finansiering (2)'!$F$9/'Realkredit finansiering (2)'!$F$13*'F5 (2)'!B106</f>
        <v>6292.4640408619434</v>
      </c>
      <c r="D107" s="330">
        <f t="shared" si="4"/>
        <v>54041.760469689456</v>
      </c>
      <c r="E107" s="330">
        <f>'Realkredit finansiering (2)'!$F$16</f>
        <v>60334.224510551401</v>
      </c>
      <c r="F107" s="330">
        <f>'Realkredit finansiering (2)'!$F$10/'Realkredit finansiering (2)'!$F$13*'F5 (2)'!B106</f>
        <v>2072.6408479208344</v>
      </c>
      <c r="G107" s="468">
        <f t="shared" si="5"/>
        <v>62406.865358472234</v>
      </c>
    </row>
    <row r="108" spans="1:7">
      <c r="A108" s="329">
        <v>105</v>
      </c>
      <c r="B108" s="467">
        <f t="shared" si="3"/>
        <v>859636.59851940558</v>
      </c>
      <c r="C108" s="330">
        <f>'Realkredit finansiering (2)'!$F$9/'Realkredit finansiering (2)'!$F$13*'F5 (2)'!B107</f>
        <v>5941.1925978089621</v>
      </c>
      <c r="D108" s="330">
        <f t="shared" si="4"/>
        <v>54393.031912742437</v>
      </c>
      <c r="E108" s="330">
        <f>'Realkredit finansiering (2)'!$F$16</f>
        <v>60334.224510551401</v>
      </c>
      <c r="F108" s="330">
        <f>'Realkredit finansiering (2)'!$F$10/'Realkredit finansiering (2)'!$F$13*'F5 (2)'!B107</f>
        <v>1956.9374387552289</v>
      </c>
      <c r="G108" s="468">
        <f t="shared" si="5"/>
        <v>62291.161949306632</v>
      </c>
    </row>
    <row r="109" spans="1:7">
      <c r="A109" s="329">
        <v>106</v>
      </c>
      <c r="B109" s="467">
        <f t="shared" si="3"/>
        <v>804890.0118992303</v>
      </c>
      <c r="C109" s="330">
        <f>'Realkredit finansiering (2)'!$F$9/'Realkredit finansiering (2)'!$F$13*'F5 (2)'!B108</f>
        <v>5587.6378903761361</v>
      </c>
      <c r="D109" s="330">
        <f t="shared" si="4"/>
        <v>54746.586620175265</v>
      </c>
      <c r="E109" s="330">
        <f>'Realkredit finansiering (2)'!$F$16</f>
        <v>60334.224510551401</v>
      </c>
      <c r="F109" s="330">
        <f>'Realkredit finansiering (2)'!$F$10/'Realkredit finansiering (2)'!$F$13*'F5 (2)'!B108</f>
        <v>1840.4819574300475</v>
      </c>
      <c r="G109" s="468">
        <f t="shared" si="5"/>
        <v>62174.70646798145</v>
      </c>
    </row>
    <row r="110" spans="1:7">
      <c r="A110" s="329">
        <v>107</v>
      </c>
      <c r="B110" s="467">
        <f t="shared" si="3"/>
        <v>749787.57246602385</v>
      </c>
      <c r="C110" s="330">
        <f>'Realkredit finansiering (2)'!$F$9/'Realkredit finansiering (2)'!$F$13*'F5 (2)'!B109</f>
        <v>5231.7850773449964</v>
      </c>
      <c r="D110" s="330">
        <f t="shared" si="4"/>
        <v>55102.439433206404</v>
      </c>
      <c r="E110" s="330">
        <f>'Realkredit finansiering (2)'!$F$16</f>
        <v>60334.224510551401</v>
      </c>
      <c r="F110" s="330">
        <f>'Realkredit finansiering (2)'!$F$10/'Realkredit finansiering (2)'!$F$13*'F5 (2)'!B109</f>
        <v>1723.2695154762521</v>
      </c>
      <c r="G110" s="468">
        <f t="shared" si="5"/>
        <v>62057.494026027656</v>
      </c>
    </row>
    <row r="111" spans="1:7">
      <c r="A111" s="329">
        <v>108</v>
      </c>
      <c r="B111" s="467">
        <f t="shared" si="3"/>
        <v>694326.96717650164</v>
      </c>
      <c r="C111" s="330">
        <f>'Realkredit finansiering (2)'!$F$9/'Realkredit finansiering (2)'!$F$13*'F5 (2)'!B110</f>
        <v>4873.6192210291547</v>
      </c>
      <c r="D111" s="330">
        <f t="shared" si="4"/>
        <v>55460.605289522246</v>
      </c>
      <c r="E111" s="330">
        <f>'Realkredit finansiering (2)'!$F$16</f>
        <v>60334.224510551401</v>
      </c>
      <c r="F111" s="330">
        <f>'Realkredit finansiering (2)'!$F$10/'Realkredit finansiering (2)'!$F$13*'F5 (2)'!B110</f>
        <v>1605.2951926497572</v>
      </c>
      <c r="G111" s="468">
        <f t="shared" si="5"/>
        <v>61939.519703201157</v>
      </c>
    </row>
    <row r="112" spans="1:7">
      <c r="A112" s="329">
        <v>109</v>
      </c>
      <c r="B112" s="467">
        <f t="shared" si="3"/>
        <v>638505.86795259756</v>
      </c>
      <c r="C112" s="330">
        <f>'Realkredit finansiering (2)'!$F$9/'Realkredit finansiering (2)'!$F$13*'F5 (2)'!B111</f>
        <v>4513.1252866472605</v>
      </c>
      <c r="D112" s="330">
        <f t="shared" si="4"/>
        <v>55821.099223904137</v>
      </c>
      <c r="E112" s="330">
        <f>'Realkredit finansiering (2)'!$F$16</f>
        <v>60334.224510551401</v>
      </c>
      <c r="F112" s="330">
        <f>'Realkredit finansiering (2)'!$F$10/'Realkredit finansiering (2)'!$F$13*'F5 (2)'!B111</f>
        <v>1486.55403672489</v>
      </c>
      <c r="G112" s="468">
        <f t="shared" si="5"/>
        <v>61820.778547276292</v>
      </c>
    </row>
    <row r="113" spans="1:7">
      <c r="A113" s="329">
        <v>110</v>
      </c>
      <c r="B113" s="467">
        <f t="shared" si="3"/>
        <v>582321.93158373807</v>
      </c>
      <c r="C113" s="330">
        <f>'Realkredit finansiering (2)'!$F$9/'Realkredit finansiering (2)'!$F$13*'F5 (2)'!B112</f>
        <v>4150.2881416918835</v>
      </c>
      <c r="D113" s="330">
        <f t="shared" si="4"/>
        <v>56183.936368859519</v>
      </c>
      <c r="E113" s="330">
        <f>'Realkredit finansiering (2)'!$F$16</f>
        <v>60334.224510551401</v>
      </c>
      <c r="F113" s="330">
        <f>'Realkredit finansiering (2)'!$F$10/'Realkredit finansiering (2)'!$F$13*'F5 (2)'!B112</f>
        <v>1367.0410632865114</v>
      </c>
      <c r="G113" s="468">
        <f t="shared" si="5"/>
        <v>61701.265573837911</v>
      </c>
    </row>
    <row r="114" spans="1:7">
      <c r="A114" s="329">
        <v>111</v>
      </c>
      <c r="B114" s="467">
        <f t="shared" si="3"/>
        <v>525772.79962848092</v>
      </c>
      <c r="C114" s="330">
        <f>'Realkredit finansiering (2)'!$F$9/'Realkredit finansiering (2)'!$F$13*'F5 (2)'!B113</f>
        <v>3785.0925552942972</v>
      </c>
      <c r="D114" s="330">
        <f t="shared" si="4"/>
        <v>56549.131955257108</v>
      </c>
      <c r="E114" s="330">
        <f>'Realkredit finansiering (2)'!$F$16</f>
        <v>60334.224510551401</v>
      </c>
      <c r="F114" s="330">
        <f>'Realkredit finansiering (2)'!$F$10/'Realkredit finansiering (2)'!$F$13*'F5 (2)'!B113</f>
        <v>1246.7512555207832</v>
      </c>
      <c r="G114" s="468">
        <f t="shared" si="5"/>
        <v>61580.975766072181</v>
      </c>
    </row>
    <row r="115" spans="1:7">
      <c r="A115" s="329">
        <v>112</v>
      </c>
      <c r="B115" s="467">
        <f t="shared" si="3"/>
        <v>468856.09831551462</v>
      </c>
      <c r="C115" s="330">
        <f>'Realkredit finansiering (2)'!$F$9/'Realkredit finansiering (2)'!$F$13*'F5 (2)'!B114</f>
        <v>3417.5231975851257</v>
      </c>
      <c r="D115" s="330">
        <f t="shared" si="4"/>
        <v>56916.701312966274</v>
      </c>
      <c r="E115" s="330">
        <f>'Realkredit finansiering (2)'!$F$16</f>
        <v>60334.224510551401</v>
      </c>
      <c r="F115" s="330">
        <f>'Realkredit finansiering (2)'!$F$10/'Realkredit finansiering (2)'!$F$13*'F5 (2)'!B114</f>
        <v>1125.6795640045777</v>
      </c>
      <c r="G115" s="468">
        <f t="shared" si="5"/>
        <v>61459.904074555976</v>
      </c>
    </row>
    <row r="116" spans="1:7">
      <c r="A116" s="329">
        <v>113</v>
      </c>
      <c r="B116" s="467">
        <f t="shared" si="3"/>
        <v>411569.43844401406</v>
      </c>
      <c r="C116" s="330">
        <f>'Realkredit finansiering (2)'!$F$9/'Realkredit finansiering (2)'!$F$13*'F5 (2)'!B115</f>
        <v>3047.564639050845</v>
      </c>
      <c r="D116" s="330">
        <f t="shared" si="4"/>
        <v>57286.659871500553</v>
      </c>
      <c r="E116" s="330">
        <f>'Realkredit finansiering (2)'!$F$16</f>
        <v>60334.224510551401</v>
      </c>
      <c r="F116" s="330">
        <f>'Realkredit finansiering (2)'!$F$10/'Realkredit finansiering (2)'!$F$13*'F5 (2)'!B115</f>
        <v>1003.8209064935169</v>
      </c>
      <c r="G116" s="468">
        <f t="shared" si="5"/>
        <v>61338.045417044916</v>
      </c>
    </row>
    <row r="117" spans="1:7">
      <c r="A117" s="329">
        <v>114</v>
      </c>
      <c r="B117" s="467">
        <f t="shared" si="3"/>
        <v>353910.41528334876</v>
      </c>
      <c r="C117" s="330">
        <f>'Realkredit finansiering (2)'!$F$9/'Realkredit finansiering (2)'!$F$13*'F5 (2)'!B116</f>
        <v>2675.2013498860911</v>
      </c>
      <c r="D117" s="330">
        <f t="shared" si="4"/>
        <v>57659.023160665311</v>
      </c>
      <c r="E117" s="330">
        <f>'Realkredit finansiering (2)'!$F$16</f>
        <v>60334.224510551401</v>
      </c>
      <c r="F117" s="330">
        <f>'Realkredit finansiering (2)'!$F$10/'Realkredit finansiering (2)'!$F$13*'F5 (2)'!B116</f>
        <v>881.17016770863415</v>
      </c>
      <c r="G117" s="468">
        <f t="shared" si="5"/>
        <v>61215.394678260032</v>
      </c>
    </row>
    <row r="118" spans="1:7">
      <c r="A118" s="329">
        <v>115</v>
      </c>
      <c r="B118" s="467">
        <f t="shared" si="3"/>
        <v>295876.60847213911</v>
      </c>
      <c r="C118" s="330">
        <f>'Realkredit finansiering (2)'!$F$9/'Realkredit finansiering (2)'!$F$13*'F5 (2)'!B117</f>
        <v>2300.4176993417668</v>
      </c>
      <c r="D118" s="330">
        <f t="shared" si="4"/>
        <v>58033.806811209637</v>
      </c>
      <c r="E118" s="330">
        <f>'Realkredit finansiering (2)'!$F$16</f>
        <v>60334.224510551401</v>
      </c>
      <c r="F118" s="330">
        <f>'Realkredit finansiering (2)'!$F$10/'Realkredit finansiering (2)'!$F$13*'F5 (2)'!B117</f>
        <v>757.72219912164974</v>
      </c>
      <c r="G118" s="468">
        <f t="shared" si="5"/>
        <v>61091.946709673051</v>
      </c>
    </row>
    <row r="119" spans="1:7">
      <c r="A119" s="329">
        <v>116</v>
      </c>
      <c r="B119" s="467">
        <f t="shared" si="3"/>
        <v>237465.58191665661</v>
      </c>
      <c r="C119" s="330">
        <f>'Realkredit finansiering (2)'!$F$9/'Realkredit finansiering (2)'!$F$13*'F5 (2)'!B118</f>
        <v>1923.1979550689041</v>
      </c>
      <c r="D119" s="330">
        <f t="shared" si="4"/>
        <v>58411.026555482495</v>
      </c>
      <c r="E119" s="330">
        <f>'Realkredit finansiering (2)'!$F$16</f>
        <v>60334.224510551401</v>
      </c>
      <c r="F119" s="330">
        <f>'Realkredit finansiering (2)'!$F$10/'Realkredit finansiering (2)'!$F$13*'F5 (2)'!B118</f>
        <v>633.47181873884983</v>
      </c>
      <c r="G119" s="468">
        <f t="shared" si="5"/>
        <v>60967.696329290251</v>
      </c>
    </row>
    <row r="120" spans="1:7">
      <c r="A120" s="329">
        <v>117</v>
      </c>
      <c r="B120" s="467">
        <f t="shared" si="3"/>
        <v>178674.88368856348</v>
      </c>
      <c r="C120" s="330">
        <f>'Realkredit finansiering (2)'!$F$9/'Realkredit finansiering (2)'!$F$13*'F5 (2)'!B119</f>
        <v>1543.5262824582678</v>
      </c>
      <c r="D120" s="330">
        <f t="shared" si="4"/>
        <v>58790.698228093133</v>
      </c>
      <c r="E120" s="330">
        <f>'Realkredit finansiering (2)'!$F$16</f>
        <v>60334.224510551401</v>
      </c>
      <c r="F120" s="330">
        <f>'Realkredit finansiering (2)'!$F$10/'Realkredit finansiering (2)'!$F$13*'F5 (2)'!B119</f>
        <v>508.41381088356184</v>
      </c>
      <c r="G120" s="468">
        <f t="shared" si="5"/>
        <v>60842.638321434963</v>
      </c>
    </row>
    <row r="121" spans="1:7">
      <c r="A121" s="329">
        <v>118</v>
      </c>
      <c r="B121" s="467">
        <f t="shared" si="3"/>
        <v>119502.04592198774</v>
      </c>
      <c r="C121" s="330">
        <f>'Realkredit finansiering (2)'!$F$9/'Realkredit finansiering (2)'!$F$13*'F5 (2)'!B120</f>
        <v>1161.3867439756625</v>
      </c>
      <c r="D121" s="330">
        <f t="shared" si="4"/>
        <v>59172.837766575736</v>
      </c>
      <c r="E121" s="330">
        <f>'Realkredit finansiering (2)'!$F$16</f>
        <v>60334.224510551401</v>
      </c>
      <c r="F121" s="330">
        <f>'Realkredit finansiering (2)'!$F$10/'Realkredit finansiering (2)'!$F$13*'F5 (2)'!B120</f>
        <v>382.54292597721445</v>
      </c>
      <c r="G121" s="468">
        <f t="shared" si="5"/>
        <v>60716.767436528615</v>
      </c>
    </row>
    <row r="122" spans="1:7">
      <c r="A122" s="329">
        <v>119</v>
      </c>
      <c r="B122" s="467">
        <f t="shared" si="3"/>
        <v>59944.584709929259</v>
      </c>
      <c r="C122" s="330">
        <f>'Realkredit finansiering (2)'!$F$9/'Realkredit finansiering (2)'!$F$13*'F5 (2)'!B121</f>
        <v>776.76329849292028</v>
      </c>
      <c r="D122" s="330">
        <f t="shared" si="4"/>
        <v>59557.461212058479</v>
      </c>
      <c r="E122" s="330">
        <f>'Realkredit finansiering (2)'!$F$16</f>
        <v>60334.224510551401</v>
      </c>
      <c r="F122" s="330">
        <f>'Realkredit finansiering (2)'!$F$10/'Realkredit finansiering (2)'!$F$13*'F5 (2)'!B121</f>
        <v>255.85388031897577</v>
      </c>
      <c r="G122" s="468">
        <f t="shared" si="5"/>
        <v>60590.078390870374</v>
      </c>
    </row>
    <row r="123" spans="1:7">
      <c r="A123" s="329">
        <v>120</v>
      </c>
      <c r="B123" s="467">
        <f t="shared" si="3"/>
        <v>-7.6033757068216801E-9</v>
      </c>
      <c r="C123" s="330">
        <f>'Realkredit finansiering (2)'!$F$9/'Realkredit finansiering (2)'!$F$13*'F5 (2)'!B122</f>
        <v>389.63980061454015</v>
      </c>
      <c r="D123" s="330">
        <f t="shared" si="4"/>
        <v>59944.584709936862</v>
      </c>
      <c r="E123" s="330">
        <f>'Realkredit finansiering (2)'!$F$16</f>
        <v>60334.224510551401</v>
      </c>
      <c r="F123" s="330">
        <f>'Realkredit finansiering (2)'!$F$10/'Realkredit finansiering (2)'!$F$13*'F5 (2)'!B122</f>
        <v>128.34135586395854</v>
      </c>
      <c r="G123" s="468">
        <f t="shared" si="5"/>
        <v>60462.56586641536</v>
      </c>
    </row>
    <row r="124" spans="1:7">
      <c r="F124" s="327"/>
    </row>
  </sheetData>
  <sheetProtection sheet="1" objects="1" scenarios="1"/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9A21-37C3-C448-B539-01078BC70A0F}">
  <sheetPr>
    <pageSetUpPr fitToPage="1"/>
  </sheetPr>
  <dimension ref="A1:IT191"/>
  <sheetViews>
    <sheetView showGridLines="0" zoomScale="110" zoomScaleNormal="160" workbookViewId="0">
      <selection activeCell="A108" sqref="A108"/>
    </sheetView>
  </sheetViews>
  <sheetFormatPr baseColWidth="10" defaultColWidth="8.83203125" defaultRowHeight="13"/>
  <cols>
    <col min="1" max="1" width="28" style="210" customWidth="1"/>
    <col min="2" max="2" width="8.33203125" style="210" customWidth="1"/>
    <col min="3" max="3" width="9" style="210" customWidth="1"/>
    <col min="4" max="4" width="9.83203125" style="210" customWidth="1"/>
    <col min="5" max="5" width="10.83203125" style="210" customWidth="1"/>
    <col min="6" max="6" width="8.83203125" style="210" customWidth="1"/>
    <col min="7" max="7" width="8.1640625" style="210" customWidth="1"/>
    <col min="8" max="8" width="10.5" style="210" customWidth="1"/>
    <col min="9" max="9" width="8.33203125" style="210" customWidth="1"/>
    <col min="10" max="10" width="11.5" style="210" customWidth="1"/>
    <col min="11" max="11" width="8.83203125" style="210" customWidth="1"/>
    <col min="12" max="12" width="8.6640625" style="210" customWidth="1"/>
    <col min="13" max="13" width="8.83203125" style="210" customWidth="1"/>
    <col min="14" max="14" width="12.6640625" style="324" customWidth="1"/>
    <col min="15" max="16" width="8.83203125" style="203"/>
    <col min="17" max="17" width="27.83203125" style="203" customWidth="1"/>
    <col min="18" max="18" width="8.83203125" style="203"/>
    <col min="19" max="19" width="12.1640625" style="203" customWidth="1"/>
    <col min="20" max="20" width="20" style="203" customWidth="1"/>
    <col min="21" max="33" width="8.83203125" style="203"/>
    <col min="34" max="34" width="8.83203125" style="209"/>
    <col min="35" max="256" width="8.83203125" style="210"/>
    <col min="257" max="257" width="28" style="210" customWidth="1"/>
    <col min="258" max="258" width="8.33203125" style="210" customWidth="1"/>
    <col min="259" max="259" width="9" style="210" customWidth="1"/>
    <col min="260" max="260" width="9.83203125" style="210" customWidth="1"/>
    <col min="261" max="261" width="10.83203125" style="210" customWidth="1"/>
    <col min="262" max="262" width="8.83203125" style="210" customWidth="1"/>
    <col min="263" max="263" width="8.1640625" style="210" customWidth="1"/>
    <col min="264" max="264" width="10.5" style="210" customWidth="1"/>
    <col min="265" max="265" width="8.33203125" style="210" customWidth="1"/>
    <col min="266" max="266" width="8.5" style="210" customWidth="1"/>
    <col min="267" max="267" width="8.83203125" style="210" customWidth="1"/>
    <col min="268" max="268" width="8.6640625" style="210" customWidth="1"/>
    <col min="269" max="269" width="8.83203125" style="210" customWidth="1"/>
    <col min="270" max="270" width="12.6640625" style="210" customWidth="1"/>
    <col min="271" max="512" width="8.83203125" style="210"/>
    <col min="513" max="513" width="28" style="210" customWidth="1"/>
    <col min="514" max="514" width="8.33203125" style="210" customWidth="1"/>
    <col min="515" max="515" width="9" style="210" customWidth="1"/>
    <col min="516" max="516" width="9.83203125" style="210" customWidth="1"/>
    <col min="517" max="517" width="10.83203125" style="210" customWidth="1"/>
    <col min="518" max="518" width="8.83203125" style="210" customWidth="1"/>
    <col min="519" max="519" width="8.1640625" style="210" customWidth="1"/>
    <col min="520" max="520" width="10.5" style="210" customWidth="1"/>
    <col min="521" max="521" width="8.33203125" style="210" customWidth="1"/>
    <col min="522" max="522" width="8.5" style="210" customWidth="1"/>
    <col min="523" max="523" width="8.83203125" style="210" customWidth="1"/>
    <col min="524" max="524" width="8.6640625" style="210" customWidth="1"/>
    <col min="525" max="525" width="8.83203125" style="210" customWidth="1"/>
    <col min="526" max="526" width="12.6640625" style="210" customWidth="1"/>
    <col min="527" max="768" width="8.83203125" style="210"/>
    <col min="769" max="769" width="28" style="210" customWidth="1"/>
    <col min="770" max="770" width="8.33203125" style="210" customWidth="1"/>
    <col min="771" max="771" width="9" style="210" customWidth="1"/>
    <col min="772" max="772" width="9.83203125" style="210" customWidth="1"/>
    <col min="773" max="773" width="10.83203125" style="210" customWidth="1"/>
    <col min="774" max="774" width="8.83203125" style="210" customWidth="1"/>
    <col min="775" max="775" width="8.1640625" style="210" customWidth="1"/>
    <col min="776" max="776" width="10.5" style="210" customWidth="1"/>
    <col min="777" max="777" width="8.33203125" style="210" customWidth="1"/>
    <col min="778" max="778" width="8.5" style="210" customWidth="1"/>
    <col min="779" max="779" width="8.83203125" style="210" customWidth="1"/>
    <col min="780" max="780" width="8.6640625" style="210" customWidth="1"/>
    <col min="781" max="781" width="8.83203125" style="210" customWidth="1"/>
    <col min="782" max="782" width="12.6640625" style="210" customWidth="1"/>
    <col min="783" max="1024" width="8.83203125" style="210"/>
    <col min="1025" max="1025" width="28" style="210" customWidth="1"/>
    <col min="1026" max="1026" width="8.33203125" style="210" customWidth="1"/>
    <col min="1027" max="1027" width="9" style="210" customWidth="1"/>
    <col min="1028" max="1028" width="9.83203125" style="210" customWidth="1"/>
    <col min="1029" max="1029" width="10.83203125" style="210" customWidth="1"/>
    <col min="1030" max="1030" width="8.83203125" style="210" customWidth="1"/>
    <col min="1031" max="1031" width="8.1640625" style="210" customWidth="1"/>
    <col min="1032" max="1032" width="10.5" style="210" customWidth="1"/>
    <col min="1033" max="1033" width="8.33203125" style="210" customWidth="1"/>
    <col min="1034" max="1034" width="8.5" style="210" customWidth="1"/>
    <col min="1035" max="1035" width="8.83203125" style="210" customWidth="1"/>
    <col min="1036" max="1036" width="8.6640625" style="210" customWidth="1"/>
    <col min="1037" max="1037" width="8.83203125" style="210" customWidth="1"/>
    <col min="1038" max="1038" width="12.6640625" style="210" customWidth="1"/>
    <col min="1039" max="1280" width="8.83203125" style="210"/>
    <col min="1281" max="1281" width="28" style="210" customWidth="1"/>
    <col min="1282" max="1282" width="8.33203125" style="210" customWidth="1"/>
    <col min="1283" max="1283" width="9" style="210" customWidth="1"/>
    <col min="1284" max="1284" width="9.83203125" style="210" customWidth="1"/>
    <col min="1285" max="1285" width="10.83203125" style="210" customWidth="1"/>
    <col min="1286" max="1286" width="8.83203125" style="210" customWidth="1"/>
    <col min="1287" max="1287" width="8.1640625" style="210" customWidth="1"/>
    <col min="1288" max="1288" width="10.5" style="210" customWidth="1"/>
    <col min="1289" max="1289" width="8.33203125" style="210" customWidth="1"/>
    <col min="1290" max="1290" width="8.5" style="210" customWidth="1"/>
    <col min="1291" max="1291" width="8.83203125" style="210" customWidth="1"/>
    <col min="1292" max="1292" width="8.6640625" style="210" customWidth="1"/>
    <col min="1293" max="1293" width="8.83203125" style="210" customWidth="1"/>
    <col min="1294" max="1294" width="12.6640625" style="210" customWidth="1"/>
    <col min="1295" max="1536" width="8.83203125" style="210"/>
    <col min="1537" max="1537" width="28" style="210" customWidth="1"/>
    <col min="1538" max="1538" width="8.33203125" style="210" customWidth="1"/>
    <col min="1539" max="1539" width="9" style="210" customWidth="1"/>
    <col min="1540" max="1540" width="9.83203125" style="210" customWidth="1"/>
    <col min="1541" max="1541" width="10.83203125" style="210" customWidth="1"/>
    <col min="1542" max="1542" width="8.83203125" style="210" customWidth="1"/>
    <col min="1543" max="1543" width="8.1640625" style="210" customWidth="1"/>
    <col min="1544" max="1544" width="10.5" style="210" customWidth="1"/>
    <col min="1545" max="1545" width="8.33203125" style="210" customWidth="1"/>
    <col min="1546" max="1546" width="8.5" style="210" customWidth="1"/>
    <col min="1547" max="1547" width="8.83203125" style="210" customWidth="1"/>
    <col min="1548" max="1548" width="8.6640625" style="210" customWidth="1"/>
    <col min="1549" max="1549" width="8.83203125" style="210" customWidth="1"/>
    <col min="1550" max="1550" width="12.6640625" style="210" customWidth="1"/>
    <col min="1551" max="1792" width="8.83203125" style="210"/>
    <col min="1793" max="1793" width="28" style="210" customWidth="1"/>
    <col min="1794" max="1794" width="8.33203125" style="210" customWidth="1"/>
    <col min="1795" max="1795" width="9" style="210" customWidth="1"/>
    <col min="1796" max="1796" width="9.83203125" style="210" customWidth="1"/>
    <col min="1797" max="1797" width="10.83203125" style="210" customWidth="1"/>
    <col min="1798" max="1798" width="8.83203125" style="210" customWidth="1"/>
    <col min="1799" max="1799" width="8.1640625" style="210" customWidth="1"/>
    <col min="1800" max="1800" width="10.5" style="210" customWidth="1"/>
    <col min="1801" max="1801" width="8.33203125" style="210" customWidth="1"/>
    <col min="1802" max="1802" width="8.5" style="210" customWidth="1"/>
    <col min="1803" max="1803" width="8.83203125" style="210" customWidth="1"/>
    <col min="1804" max="1804" width="8.6640625" style="210" customWidth="1"/>
    <col min="1805" max="1805" width="8.83203125" style="210" customWidth="1"/>
    <col min="1806" max="1806" width="12.6640625" style="210" customWidth="1"/>
    <col min="1807" max="2048" width="8.83203125" style="210"/>
    <col min="2049" max="2049" width="28" style="210" customWidth="1"/>
    <col min="2050" max="2050" width="8.33203125" style="210" customWidth="1"/>
    <col min="2051" max="2051" width="9" style="210" customWidth="1"/>
    <col min="2052" max="2052" width="9.83203125" style="210" customWidth="1"/>
    <col min="2053" max="2053" width="10.83203125" style="210" customWidth="1"/>
    <col min="2054" max="2054" width="8.83203125" style="210" customWidth="1"/>
    <col min="2055" max="2055" width="8.1640625" style="210" customWidth="1"/>
    <col min="2056" max="2056" width="10.5" style="210" customWidth="1"/>
    <col min="2057" max="2057" width="8.33203125" style="210" customWidth="1"/>
    <col min="2058" max="2058" width="8.5" style="210" customWidth="1"/>
    <col min="2059" max="2059" width="8.83203125" style="210" customWidth="1"/>
    <col min="2060" max="2060" width="8.6640625" style="210" customWidth="1"/>
    <col min="2061" max="2061" width="8.83203125" style="210" customWidth="1"/>
    <col min="2062" max="2062" width="12.6640625" style="210" customWidth="1"/>
    <col min="2063" max="2304" width="8.83203125" style="210"/>
    <col min="2305" max="2305" width="28" style="210" customWidth="1"/>
    <col min="2306" max="2306" width="8.33203125" style="210" customWidth="1"/>
    <col min="2307" max="2307" width="9" style="210" customWidth="1"/>
    <col min="2308" max="2308" width="9.83203125" style="210" customWidth="1"/>
    <col min="2309" max="2309" width="10.83203125" style="210" customWidth="1"/>
    <col min="2310" max="2310" width="8.83203125" style="210" customWidth="1"/>
    <col min="2311" max="2311" width="8.1640625" style="210" customWidth="1"/>
    <col min="2312" max="2312" width="10.5" style="210" customWidth="1"/>
    <col min="2313" max="2313" width="8.33203125" style="210" customWidth="1"/>
    <col min="2314" max="2314" width="8.5" style="210" customWidth="1"/>
    <col min="2315" max="2315" width="8.83203125" style="210" customWidth="1"/>
    <col min="2316" max="2316" width="8.6640625" style="210" customWidth="1"/>
    <col min="2317" max="2317" width="8.83203125" style="210" customWidth="1"/>
    <col min="2318" max="2318" width="12.6640625" style="210" customWidth="1"/>
    <col min="2319" max="2560" width="8.83203125" style="210"/>
    <col min="2561" max="2561" width="28" style="210" customWidth="1"/>
    <col min="2562" max="2562" width="8.33203125" style="210" customWidth="1"/>
    <col min="2563" max="2563" width="9" style="210" customWidth="1"/>
    <col min="2564" max="2564" width="9.83203125" style="210" customWidth="1"/>
    <col min="2565" max="2565" width="10.83203125" style="210" customWidth="1"/>
    <col min="2566" max="2566" width="8.83203125" style="210" customWidth="1"/>
    <col min="2567" max="2567" width="8.1640625" style="210" customWidth="1"/>
    <col min="2568" max="2568" width="10.5" style="210" customWidth="1"/>
    <col min="2569" max="2569" width="8.33203125" style="210" customWidth="1"/>
    <col min="2570" max="2570" width="8.5" style="210" customWidth="1"/>
    <col min="2571" max="2571" width="8.83203125" style="210" customWidth="1"/>
    <col min="2572" max="2572" width="8.6640625" style="210" customWidth="1"/>
    <col min="2573" max="2573" width="8.83203125" style="210" customWidth="1"/>
    <col min="2574" max="2574" width="12.6640625" style="210" customWidth="1"/>
    <col min="2575" max="2816" width="8.83203125" style="210"/>
    <col min="2817" max="2817" width="28" style="210" customWidth="1"/>
    <col min="2818" max="2818" width="8.33203125" style="210" customWidth="1"/>
    <col min="2819" max="2819" width="9" style="210" customWidth="1"/>
    <col min="2820" max="2820" width="9.83203125" style="210" customWidth="1"/>
    <col min="2821" max="2821" width="10.83203125" style="210" customWidth="1"/>
    <col min="2822" max="2822" width="8.83203125" style="210" customWidth="1"/>
    <col min="2823" max="2823" width="8.1640625" style="210" customWidth="1"/>
    <col min="2824" max="2824" width="10.5" style="210" customWidth="1"/>
    <col min="2825" max="2825" width="8.33203125" style="210" customWidth="1"/>
    <col min="2826" max="2826" width="8.5" style="210" customWidth="1"/>
    <col min="2827" max="2827" width="8.83203125" style="210" customWidth="1"/>
    <col min="2828" max="2828" width="8.6640625" style="210" customWidth="1"/>
    <col min="2829" max="2829" width="8.83203125" style="210" customWidth="1"/>
    <col min="2830" max="2830" width="12.6640625" style="210" customWidth="1"/>
    <col min="2831" max="3072" width="8.83203125" style="210"/>
    <col min="3073" max="3073" width="28" style="210" customWidth="1"/>
    <col min="3074" max="3074" width="8.33203125" style="210" customWidth="1"/>
    <col min="3075" max="3075" width="9" style="210" customWidth="1"/>
    <col min="3076" max="3076" width="9.83203125" style="210" customWidth="1"/>
    <col min="3077" max="3077" width="10.83203125" style="210" customWidth="1"/>
    <col min="3078" max="3078" width="8.83203125" style="210" customWidth="1"/>
    <col min="3079" max="3079" width="8.1640625" style="210" customWidth="1"/>
    <col min="3080" max="3080" width="10.5" style="210" customWidth="1"/>
    <col min="3081" max="3081" width="8.33203125" style="210" customWidth="1"/>
    <col min="3082" max="3082" width="8.5" style="210" customWidth="1"/>
    <col min="3083" max="3083" width="8.83203125" style="210" customWidth="1"/>
    <col min="3084" max="3084" width="8.6640625" style="210" customWidth="1"/>
    <col min="3085" max="3085" width="8.83203125" style="210" customWidth="1"/>
    <col min="3086" max="3086" width="12.6640625" style="210" customWidth="1"/>
    <col min="3087" max="3328" width="8.83203125" style="210"/>
    <col min="3329" max="3329" width="28" style="210" customWidth="1"/>
    <col min="3330" max="3330" width="8.33203125" style="210" customWidth="1"/>
    <col min="3331" max="3331" width="9" style="210" customWidth="1"/>
    <col min="3332" max="3332" width="9.83203125" style="210" customWidth="1"/>
    <col min="3333" max="3333" width="10.83203125" style="210" customWidth="1"/>
    <col min="3334" max="3334" width="8.83203125" style="210" customWidth="1"/>
    <col min="3335" max="3335" width="8.1640625" style="210" customWidth="1"/>
    <col min="3336" max="3336" width="10.5" style="210" customWidth="1"/>
    <col min="3337" max="3337" width="8.33203125" style="210" customWidth="1"/>
    <col min="3338" max="3338" width="8.5" style="210" customWidth="1"/>
    <col min="3339" max="3339" width="8.83203125" style="210" customWidth="1"/>
    <col min="3340" max="3340" width="8.6640625" style="210" customWidth="1"/>
    <col min="3341" max="3341" width="8.83203125" style="210" customWidth="1"/>
    <col min="3342" max="3342" width="12.6640625" style="210" customWidth="1"/>
    <col min="3343" max="3584" width="8.83203125" style="210"/>
    <col min="3585" max="3585" width="28" style="210" customWidth="1"/>
    <col min="3586" max="3586" width="8.33203125" style="210" customWidth="1"/>
    <col min="3587" max="3587" width="9" style="210" customWidth="1"/>
    <col min="3588" max="3588" width="9.83203125" style="210" customWidth="1"/>
    <col min="3589" max="3589" width="10.83203125" style="210" customWidth="1"/>
    <col min="3590" max="3590" width="8.83203125" style="210" customWidth="1"/>
    <col min="3591" max="3591" width="8.1640625" style="210" customWidth="1"/>
    <col min="3592" max="3592" width="10.5" style="210" customWidth="1"/>
    <col min="3593" max="3593" width="8.33203125" style="210" customWidth="1"/>
    <col min="3594" max="3594" width="8.5" style="210" customWidth="1"/>
    <col min="3595" max="3595" width="8.83203125" style="210" customWidth="1"/>
    <col min="3596" max="3596" width="8.6640625" style="210" customWidth="1"/>
    <col min="3597" max="3597" width="8.83203125" style="210" customWidth="1"/>
    <col min="3598" max="3598" width="12.6640625" style="210" customWidth="1"/>
    <col min="3599" max="3840" width="8.83203125" style="210"/>
    <col min="3841" max="3841" width="28" style="210" customWidth="1"/>
    <col min="3842" max="3842" width="8.33203125" style="210" customWidth="1"/>
    <col min="3843" max="3843" width="9" style="210" customWidth="1"/>
    <col min="3844" max="3844" width="9.83203125" style="210" customWidth="1"/>
    <col min="3845" max="3845" width="10.83203125" style="210" customWidth="1"/>
    <col min="3846" max="3846" width="8.83203125" style="210" customWidth="1"/>
    <col min="3847" max="3847" width="8.1640625" style="210" customWidth="1"/>
    <col min="3848" max="3848" width="10.5" style="210" customWidth="1"/>
    <col min="3849" max="3849" width="8.33203125" style="210" customWidth="1"/>
    <col min="3850" max="3850" width="8.5" style="210" customWidth="1"/>
    <col min="3851" max="3851" width="8.83203125" style="210" customWidth="1"/>
    <col min="3852" max="3852" width="8.6640625" style="210" customWidth="1"/>
    <col min="3853" max="3853" width="8.83203125" style="210" customWidth="1"/>
    <col min="3854" max="3854" width="12.6640625" style="210" customWidth="1"/>
    <col min="3855" max="4096" width="8.83203125" style="210"/>
    <col min="4097" max="4097" width="28" style="210" customWidth="1"/>
    <col min="4098" max="4098" width="8.33203125" style="210" customWidth="1"/>
    <col min="4099" max="4099" width="9" style="210" customWidth="1"/>
    <col min="4100" max="4100" width="9.83203125" style="210" customWidth="1"/>
    <col min="4101" max="4101" width="10.83203125" style="210" customWidth="1"/>
    <col min="4102" max="4102" width="8.83203125" style="210" customWidth="1"/>
    <col min="4103" max="4103" width="8.1640625" style="210" customWidth="1"/>
    <col min="4104" max="4104" width="10.5" style="210" customWidth="1"/>
    <col min="4105" max="4105" width="8.33203125" style="210" customWidth="1"/>
    <col min="4106" max="4106" width="8.5" style="210" customWidth="1"/>
    <col min="4107" max="4107" width="8.83203125" style="210" customWidth="1"/>
    <col min="4108" max="4108" width="8.6640625" style="210" customWidth="1"/>
    <col min="4109" max="4109" width="8.83203125" style="210" customWidth="1"/>
    <col min="4110" max="4110" width="12.6640625" style="210" customWidth="1"/>
    <col min="4111" max="4352" width="8.83203125" style="210"/>
    <col min="4353" max="4353" width="28" style="210" customWidth="1"/>
    <col min="4354" max="4354" width="8.33203125" style="210" customWidth="1"/>
    <col min="4355" max="4355" width="9" style="210" customWidth="1"/>
    <col min="4356" max="4356" width="9.83203125" style="210" customWidth="1"/>
    <col min="4357" max="4357" width="10.83203125" style="210" customWidth="1"/>
    <col min="4358" max="4358" width="8.83203125" style="210" customWidth="1"/>
    <col min="4359" max="4359" width="8.1640625" style="210" customWidth="1"/>
    <col min="4360" max="4360" width="10.5" style="210" customWidth="1"/>
    <col min="4361" max="4361" width="8.33203125" style="210" customWidth="1"/>
    <col min="4362" max="4362" width="8.5" style="210" customWidth="1"/>
    <col min="4363" max="4363" width="8.83203125" style="210" customWidth="1"/>
    <col min="4364" max="4364" width="8.6640625" style="210" customWidth="1"/>
    <col min="4365" max="4365" width="8.83203125" style="210" customWidth="1"/>
    <col min="4366" max="4366" width="12.6640625" style="210" customWidth="1"/>
    <col min="4367" max="4608" width="8.83203125" style="210"/>
    <col min="4609" max="4609" width="28" style="210" customWidth="1"/>
    <col min="4610" max="4610" width="8.33203125" style="210" customWidth="1"/>
    <col min="4611" max="4611" width="9" style="210" customWidth="1"/>
    <col min="4612" max="4612" width="9.83203125" style="210" customWidth="1"/>
    <col min="4613" max="4613" width="10.83203125" style="210" customWidth="1"/>
    <col min="4614" max="4614" width="8.83203125" style="210" customWidth="1"/>
    <col min="4615" max="4615" width="8.1640625" style="210" customWidth="1"/>
    <col min="4616" max="4616" width="10.5" style="210" customWidth="1"/>
    <col min="4617" max="4617" width="8.33203125" style="210" customWidth="1"/>
    <col min="4618" max="4618" width="8.5" style="210" customWidth="1"/>
    <col min="4619" max="4619" width="8.83203125" style="210" customWidth="1"/>
    <col min="4620" max="4620" width="8.6640625" style="210" customWidth="1"/>
    <col min="4621" max="4621" width="8.83203125" style="210" customWidth="1"/>
    <col min="4622" max="4622" width="12.6640625" style="210" customWidth="1"/>
    <col min="4623" max="4864" width="8.83203125" style="210"/>
    <col min="4865" max="4865" width="28" style="210" customWidth="1"/>
    <col min="4866" max="4866" width="8.33203125" style="210" customWidth="1"/>
    <col min="4867" max="4867" width="9" style="210" customWidth="1"/>
    <col min="4868" max="4868" width="9.83203125" style="210" customWidth="1"/>
    <col min="4869" max="4869" width="10.83203125" style="210" customWidth="1"/>
    <col min="4870" max="4870" width="8.83203125" style="210" customWidth="1"/>
    <col min="4871" max="4871" width="8.1640625" style="210" customWidth="1"/>
    <col min="4872" max="4872" width="10.5" style="210" customWidth="1"/>
    <col min="4873" max="4873" width="8.33203125" style="210" customWidth="1"/>
    <col min="4874" max="4874" width="8.5" style="210" customWidth="1"/>
    <col min="4875" max="4875" width="8.83203125" style="210" customWidth="1"/>
    <col min="4876" max="4876" width="8.6640625" style="210" customWidth="1"/>
    <col min="4877" max="4877" width="8.83203125" style="210" customWidth="1"/>
    <col min="4878" max="4878" width="12.6640625" style="210" customWidth="1"/>
    <col min="4879" max="5120" width="8.83203125" style="210"/>
    <col min="5121" max="5121" width="28" style="210" customWidth="1"/>
    <col min="5122" max="5122" width="8.33203125" style="210" customWidth="1"/>
    <col min="5123" max="5123" width="9" style="210" customWidth="1"/>
    <col min="5124" max="5124" width="9.83203125" style="210" customWidth="1"/>
    <col min="5125" max="5125" width="10.83203125" style="210" customWidth="1"/>
    <col min="5126" max="5126" width="8.83203125" style="210" customWidth="1"/>
    <col min="5127" max="5127" width="8.1640625" style="210" customWidth="1"/>
    <col min="5128" max="5128" width="10.5" style="210" customWidth="1"/>
    <col min="5129" max="5129" width="8.33203125" style="210" customWidth="1"/>
    <col min="5130" max="5130" width="8.5" style="210" customWidth="1"/>
    <col min="5131" max="5131" width="8.83203125" style="210" customWidth="1"/>
    <col min="5132" max="5132" width="8.6640625" style="210" customWidth="1"/>
    <col min="5133" max="5133" width="8.83203125" style="210" customWidth="1"/>
    <col min="5134" max="5134" width="12.6640625" style="210" customWidth="1"/>
    <col min="5135" max="5376" width="8.83203125" style="210"/>
    <col min="5377" max="5377" width="28" style="210" customWidth="1"/>
    <col min="5378" max="5378" width="8.33203125" style="210" customWidth="1"/>
    <col min="5379" max="5379" width="9" style="210" customWidth="1"/>
    <col min="5380" max="5380" width="9.83203125" style="210" customWidth="1"/>
    <col min="5381" max="5381" width="10.83203125" style="210" customWidth="1"/>
    <col min="5382" max="5382" width="8.83203125" style="210" customWidth="1"/>
    <col min="5383" max="5383" width="8.1640625" style="210" customWidth="1"/>
    <col min="5384" max="5384" width="10.5" style="210" customWidth="1"/>
    <col min="5385" max="5385" width="8.33203125" style="210" customWidth="1"/>
    <col min="5386" max="5386" width="8.5" style="210" customWidth="1"/>
    <col min="5387" max="5387" width="8.83203125" style="210" customWidth="1"/>
    <col min="5388" max="5388" width="8.6640625" style="210" customWidth="1"/>
    <col min="5389" max="5389" width="8.83203125" style="210" customWidth="1"/>
    <col min="5390" max="5390" width="12.6640625" style="210" customWidth="1"/>
    <col min="5391" max="5632" width="8.83203125" style="210"/>
    <col min="5633" max="5633" width="28" style="210" customWidth="1"/>
    <col min="5634" max="5634" width="8.33203125" style="210" customWidth="1"/>
    <col min="5635" max="5635" width="9" style="210" customWidth="1"/>
    <col min="5636" max="5636" width="9.83203125" style="210" customWidth="1"/>
    <col min="5637" max="5637" width="10.83203125" style="210" customWidth="1"/>
    <col min="5638" max="5638" width="8.83203125" style="210" customWidth="1"/>
    <col min="5639" max="5639" width="8.1640625" style="210" customWidth="1"/>
    <col min="5640" max="5640" width="10.5" style="210" customWidth="1"/>
    <col min="5641" max="5641" width="8.33203125" style="210" customWidth="1"/>
    <col min="5642" max="5642" width="8.5" style="210" customWidth="1"/>
    <col min="5643" max="5643" width="8.83203125" style="210" customWidth="1"/>
    <col min="5644" max="5644" width="8.6640625" style="210" customWidth="1"/>
    <col min="5645" max="5645" width="8.83203125" style="210" customWidth="1"/>
    <col min="5646" max="5646" width="12.6640625" style="210" customWidth="1"/>
    <col min="5647" max="5888" width="8.83203125" style="210"/>
    <col min="5889" max="5889" width="28" style="210" customWidth="1"/>
    <col min="5890" max="5890" width="8.33203125" style="210" customWidth="1"/>
    <col min="5891" max="5891" width="9" style="210" customWidth="1"/>
    <col min="5892" max="5892" width="9.83203125" style="210" customWidth="1"/>
    <col min="5893" max="5893" width="10.83203125" style="210" customWidth="1"/>
    <col min="5894" max="5894" width="8.83203125" style="210" customWidth="1"/>
    <col min="5895" max="5895" width="8.1640625" style="210" customWidth="1"/>
    <col min="5896" max="5896" width="10.5" style="210" customWidth="1"/>
    <col min="5897" max="5897" width="8.33203125" style="210" customWidth="1"/>
    <col min="5898" max="5898" width="8.5" style="210" customWidth="1"/>
    <col min="5899" max="5899" width="8.83203125" style="210" customWidth="1"/>
    <col min="5900" max="5900" width="8.6640625" style="210" customWidth="1"/>
    <col min="5901" max="5901" width="8.83203125" style="210" customWidth="1"/>
    <col min="5902" max="5902" width="12.6640625" style="210" customWidth="1"/>
    <col min="5903" max="6144" width="8.83203125" style="210"/>
    <col min="6145" max="6145" width="28" style="210" customWidth="1"/>
    <col min="6146" max="6146" width="8.33203125" style="210" customWidth="1"/>
    <col min="6147" max="6147" width="9" style="210" customWidth="1"/>
    <col min="6148" max="6148" width="9.83203125" style="210" customWidth="1"/>
    <col min="6149" max="6149" width="10.83203125" style="210" customWidth="1"/>
    <col min="6150" max="6150" width="8.83203125" style="210" customWidth="1"/>
    <col min="6151" max="6151" width="8.1640625" style="210" customWidth="1"/>
    <col min="6152" max="6152" width="10.5" style="210" customWidth="1"/>
    <col min="6153" max="6153" width="8.33203125" style="210" customWidth="1"/>
    <col min="6154" max="6154" width="8.5" style="210" customWidth="1"/>
    <col min="6155" max="6155" width="8.83203125" style="210" customWidth="1"/>
    <col min="6156" max="6156" width="8.6640625" style="210" customWidth="1"/>
    <col min="6157" max="6157" width="8.83203125" style="210" customWidth="1"/>
    <col min="6158" max="6158" width="12.6640625" style="210" customWidth="1"/>
    <col min="6159" max="6400" width="8.83203125" style="210"/>
    <col min="6401" max="6401" width="28" style="210" customWidth="1"/>
    <col min="6402" max="6402" width="8.33203125" style="210" customWidth="1"/>
    <col min="6403" max="6403" width="9" style="210" customWidth="1"/>
    <col min="6404" max="6404" width="9.83203125" style="210" customWidth="1"/>
    <col min="6405" max="6405" width="10.83203125" style="210" customWidth="1"/>
    <col min="6406" max="6406" width="8.83203125" style="210" customWidth="1"/>
    <col min="6407" max="6407" width="8.1640625" style="210" customWidth="1"/>
    <col min="6408" max="6408" width="10.5" style="210" customWidth="1"/>
    <col min="6409" max="6409" width="8.33203125" style="210" customWidth="1"/>
    <col min="6410" max="6410" width="8.5" style="210" customWidth="1"/>
    <col min="6411" max="6411" width="8.83203125" style="210" customWidth="1"/>
    <col min="6412" max="6412" width="8.6640625" style="210" customWidth="1"/>
    <col min="6413" max="6413" width="8.83203125" style="210" customWidth="1"/>
    <col min="6414" max="6414" width="12.6640625" style="210" customWidth="1"/>
    <col min="6415" max="6656" width="8.83203125" style="210"/>
    <col min="6657" max="6657" width="28" style="210" customWidth="1"/>
    <col min="6658" max="6658" width="8.33203125" style="210" customWidth="1"/>
    <col min="6659" max="6659" width="9" style="210" customWidth="1"/>
    <col min="6660" max="6660" width="9.83203125" style="210" customWidth="1"/>
    <col min="6661" max="6661" width="10.83203125" style="210" customWidth="1"/>
    <col min="6662" max="6662" width="8.83203125" style="210" customWidth="1"/>
    <col min="6663" max="6663" width="8.1640625" style="210" customWidth="1"/>
    <col min="6664" max="6664" width="10.5" style="210" customWidth="1"/>
    <col min="6665" max="6665" width="8.33203125" style="210" customWidth="1"/>
    <col min="6666" max="6666" width="8.5" style="210" customWidth="1"/>
    <col min="6667" max="6667" width="8.83203125" style="210" customWidth="1"/>
    <col min="6668" max="6668" width="8.6640625" style="210" customWidth="1"/>
    <col min="6669" max="6669" width="8.83203125" style="210" customWidth="1"/>
    <col min="6670" max="6670" width="12.6640625" style="210" customWidth="1"/>
    <col min="6671" max="6912" width="8.83203125" style="210"/>
    <col min="6913" max="6913" width="28" style="210" customWidth="1"/>
    <col min="6914" max="6914" width="8.33203125" style="210" customWidth="1"/>
    <col min="6915" max="6915" width="9" style="210" customWidth="1"/>
    <col min="6916" max="6916" width="9.83203125" style="210" customWidth="1"/>
    <col min="6917" max="6917" width="10.83203125" style="210" customWidth="1"/>
    <col min="6918" max="6918" width="8.83203125" style="210" customWidth="1"/>
    <col min="6919" max="6919" width="8.1640625" style="210" customWidth="1"/>
    <col min="6920" max="6920" width="10.5" style="210" customWidth="1"/>
    <col min="6921" max="6921" width="8.33203125" style="210" customWidth="1"/>
    <col min="6922" max="6922" width="8.5" style="210" customWidth="1"/>
    <col min="6923" max="6923" width="8.83203125" style="210" customWidth="1"/>
    <col min="6924" max="6924" width="8.6640625" style="210" customWidth="1"/>
    <col min="6925" max="6925" width="8.83203125" style="210" customWidth="1"/>
    <col min="6926" max="6926" width="12.6640625" style="210" customWidth="1"/>
    <col min="6927" max="7168" width="8.83203125" style="210"/>
    <col min="7169" max="7169" width="28" style="210" customWidth="1"/>
    <col min="7170" max="7170" width="8.33203125" style="210" customWidth="1"/>
    <col min="7171" max="7171" width="9" style="210" customWidth="1"/>
    <col min="7172" max="7172" width="9.83203125" style="210" customWidth="1"/>
    <col min="7173" max="7173" width="10.83203125" style="210" customWidth="1"/>
    <col min="7174" max="7174" width="8.83203125" style="210" customWidth="1"/>
    <col min="7175" max="7175" width="8.1640625" style="210" customWidth="1"/>
    <col min="7176" max="7176" width="10.5" style="210" customWidth="1"/>
    <col min="7177" max="7177" width="8.33203125" style="210" customWidth="1"/>
    <col min="7178" max="7178" width="8.5" style="210" customWidth="1"/>
    <col min="7179" max="7179" width="8.83203125" style="210" customWidth="1"/>
    <col min="7180" max="7180" width="8.6640625" style="210" customWidth="1"/>
    <col min="7181" max="7181" width="8.83203125" style="210" customWidth="1"/>
    <col min="7182" max="7182" width="12.6640625" style="210" customWidth="1"/>
    <col min="7183" max="7424" width="8.83203125" style="210"/>
    <col min="7425" max="7425" width="28" style="210" customWidth="1"/>
    <col min="7426" max="7426" width="8.33203125" style="210" customWidth="1"/>
    <col min="7427" max="7427" width="9" style="210" customWidth="1"/>
    <col min="7428" max="7428" width="9.83203125" style="210" customWidth="1"/>
    <col min="7429" max="7429" width="10.83203125" style="210" customWidth="1"/>
    <col min="7430" max="7430" width="8.83203125" style="210" customWidth="1"/>
    <col min="7431" max="7431" width="8.1640625" style="210" customWidth="1"/>
    <col min="7432" max="7432" width="10.5" style="210" customWidth="1"/>
    <col min="7433" max="7433" width="8.33203125" style="210" customWidth="1"/>
    <col min="7434" max="7434" width="8.5" style="210" customWidth="1"/>
    <col min="7435" max="7435" width="8.83203125" style="210" customWidth="1"/>
    <col min="7436" max="7436" width="8.6640625" style="210" customWidth="1"/>
    <col min="7437" max="7437" width="8.83203125" style="210" customWidth="1"/>
    <col min="7438" max="7438" width="12.6640625" style="210" customWidth="1"/>
    <col min="7439" max="7680" width="8.83203125" style="210"/>
    <col min="7681" max="7681" width="28" style="210" customWidth="1"/>
    <col min="7682" max="7682" width="8.33203125" style="210" customWidth="1"/>
    <col min="7683" max="7683" width="9" style="210" customWidth="1"/>
    <col min="7684" max="7684" width="9.83203125" style="210" customWidth="1"/>
    <col min="7685" max="7685" width="10.83203125" style="210" customWidth="1"/>
    <col min="7686" max="7686" width="8.83203125" style="210" customWidth="1"/>
    <col min="7687" max="7687" width="8.1640625" style="210" customWidth="1"/>
    <col min="7688" max="7688" width="10.5" style="210" customWidth="1"/>
    <col min="7689" max="7689" width="8.33203125" style="210" customWidth="1"/>
    <col min="7690" max="7690" width="8.5" style="210" customWidth="1"/>
    <col min="7691" max="7691" width="8.83203125" style="210" customWidth="1"/>
    <col min="7692" max="7692" width="8.6640625" style="210" customWidth="1"/>
    <col min="7693" max="7693" width="8.83203125" style="210" customWidth="1"/>
    <col min="7694" max="7694" width="12.6640625" style="210" customWidth="1"/>
    <col min="7695" max="7936" width="8.83203125" style="210"/>
    <col min="7937" max="7937" width="28" style="210" customWidth="1"/>
    <col min="7938" max="7938" width="8.33203125" style="210" customWidth="1"/>
    <col min="7939" max="7939" width="9" style="210" customWidth="1"/>
    <col min="7940" max="7940" width="9.83203125" style="210" customWidth="1"/>
    <col min="7941" max="7941" width="10.83203125" style="210" customWidth="1"/>
    <col min="7942" max="7942" width="8.83203125" style="210" customWidth="1"/>
    <col min="7943" max="7943" width="8.1640625" style="210" customWidth="1"/>
    <col min="7944" max="7944" width="10.5" style="210" customWidth="1"/>
    <col min="7945" max="7945" width="8.33203125" style="210" customWidth="1"/>
    <col min="7946" max="7946" width="8.5" style="210" customWidth="1"/>
    <col min="7947" max="7947" width="8.83203125" style="210" customWidth="1"/>
    <col min="7948" max="7948" width="8.6640625" style="210" customWidth="1"/>
    <col min="7949" max="7949" width="8.83203125" style="210" customWidth="1"/>
    <col min="7950" max="7950" width="12.6640625" style="210" customWidth="1"/>
    <col min="7951" max="8192" width="8.83203125" style="210"/>
    <col min="8193" max="8193" width="28" style="210" customWidth="1"/>
    <col min="8194" max="8194" width="8.33203125" style="210" customWidth="1"/>
    <col min="8195" max="8195" width="9" style="210" customWidth="1"/>
    <col min="8196" max="8196" width="9.83203125" style="210" customWidth="1"/>
    <col min="8197" max="8197" width="10.83203125" style="210" customWidth="1"/>
    <col min="8198" max="8198" width="8.83203125" style="210" customWidth="1"/>
    <col min="8199" max="8199" width="8.1640625" style="210" customWidth="1"/>
    <col min="8200" max="8200" width="10.5" style="210" customWidth="1"/>
    <col min="8201" max="8201" width="8.33203125" style="210" customWidth="1"/>
    <col min="8202" max="8202" width="8.5" style="210" customWidth="1"/>
    <col min="8203" max="8203" width="8.83203125" style="210" customWidth="1"/>
    <col min="8204" max="8204" width="8.6640625" style="210" customWidth="1"/>
    <col min="8205" max="8205" width="8.83203125" style="210" customWidth="1"/>
    <col min="8206" max="8206" width="12.6640625" style="210" customWidth="1"/>
    <col min="8207" max="8448" width="8.83203125" style="210"/>
    <col min="8449" max="8449" width="28" style="210" customWidth="1"/>
    <col min="8450" max="8450" width="8.33203125" style="210" customWidth="1"/>
    <col min="8451" max="8451" width="9" style="210" customWidth="1"/>
    <col min="8452" max="8452" width="9.83203125" style="210" customWidth="1"/>
    <col min="8453" max="8453" width="10.83203125" style="210" customWidth="1"/>
    <col min="8454" max="8454" width="8.83203125" style="210" customWidth="1"/>
    <col min="8455" max="8455" width="8.1640625" style="210" customWidth="1"/>
    <col min="8456" max="8456" width="10.5" style="210" customWidth="1"/>
    <col min="8457" max="8457" width="8.33203125" style="210" customWidth="1"/>
    <col min="8458" max="8458" width="8.5" style="210" customWidth="1"/>
    <col min="8459" max="8459" width="8.83203125" style="210" customWidth="1"/>
    <col min="8460" max="8460" width="8.6640625" style="210" customWidth="1"/>
    <col min="8461" max="8461" width="8.83203125" style="210" customWidth="1"/>
    <col min="8462" max="8462" width="12.6640625" style="210" customWidth="1"/>
    <col min="8463" max="8704" width="8.83203125" style="210"/>
    <col min="8705" max="8705" width="28" style="210" customWidth="1"/>
    <col min="8706" max="8706" width="8.33203125" style="210" customWidth="1"/>
    <col min="8707" max="8707" width="9" style="210" customWidth="1"/>
    <col min="8708" max="8708" width="9.83203125" style="210" customWidth="1"/>
    <col min="8709" max="8709" width="10.83203125" style="210" customWidth="1"/>
    <col min="8710" max="8710" width="8.83203125" style="210" customWidth="1"/>
    <col min="8711" max="8711" width="8.1640625" style="210" customWidth="1"/>
    <col min="8712" max="8712" width="10.5" style="210" customWidth="1"/>
    <col min="8713" max="8713" width="8.33203125" style="210" customWidth="1"/>
    <col min="8714" max="8714" width="8.5" style="210" customWidth="1"/>
    <col min="8715" max="8715" width="8.83203125" style="210" customWidth="1"/>
    <col min="8716" max="8716" width="8.6640625" style="210" customWidth="1"/>
    <col min="8717" max="8717" width="8.83203125" style="210" customWidth="1"/>
    <col min="8718" max="8718" width="12.6640625" style="210" customWidth="1"/>
    <col min="8719" max="8960" width="8.83203125" style="210"/>
    <col min="8961" max="8961" width="28" style="210" customWidth="1"/>
    <col min="8962" max="8962" width="8.33203125" style="210" customWidth="1"/>
    <col min="8963" max="8963" width="9" style="210" customWidth="1"/>
    <col min="8964" max="8964" width="9.83203125" style="210" customWidth="1"/>
    <col min="8965" max="8965" width="10.83203125" style="210" customWidth="1"/>
    <col min="8966" max="8966" width="8.83203125" style="210" customWidth="1"/>
    <col min="8967" max="8967" width="8.1640625" style="210" customWidth="1"/>
    <col min="8968" max="8968" width="10.5" style="210" customWidth="1"/>
    <col min="8969" max="8969" width="8.33203125" style="210" customWidth="1"/>
    <col min="8970" max="8970" width="8.5" style="210" customWidth="1"/>
    <col min="8971" max="8971" width="8.83203125" style="210" customWidth="1"/>
    <col min="8972" max="8972" width="8.6640625" style="210" customWidth="1"/>
    <col min="8973" max="8973" width="8.83203125" style="210" customWidth="1"/>
    <col min="8974" max="8974" width="12.6640625" style="210" customWidth="1"/>
    <col min="8975" max="9216" width="8.83203125" style="210"/>
    <col min="9217" max="9217" width="28" style="210" customWidth="1"/>
    <col min="9218" max="9218" width="8.33203125" style="210" customWidth="1"/>
    <col min="9219" max="9219" width="9" style="210" customWidth="1"/>
    <col min="9220" max="9220" width="9.83203125" style="210" customWidth="1"/>
    <col min="9221" max="9221" width="10.83203125" style="210" customWidth="1"/>
    <col min="9222" max="9222" width="8.83203125" style="210" customWidth="1"/>
    <col min="9223" max="9223" width="8.1640625" style="210" customWidth="1"/>
    <col min="9224" max="9224" width="10.5" style="210" customWidth="1"/>
    <col min="9225" max="9225" width="8.33203125" style="210" customWidth="1"/>
    <col min="9226" max="9226" width="8.5" style="210" customWidth="1"/>
    <col min="9227" max="9227" width="8.83203125" style="210" customWidth="1"/>
    <col min="9228" max="9228" width="8.6640625" style="210" customWidth="1"/>
    <col min="9229" max="9229" width="8.83203125" style="210" customWidth="1"/>
    <col min="9230" max="9230" width="12.6640625" style="210" customWidth="1"/>
    <col min="9231" max="9472" width="8.83203125" style="210"/>
    <col min="9473" max="9473" width="28" style="210" customWidth="1"/>
    <col min="9474" max="9474" width="8.33203125" style="210" customWidth="1"/>
    <col min="9475" max="9475" width="9" style="210" customWidth="1"/>
    <col min="9476" max="9476" width="9.83203125" style="210" customWidth="1"/>
    <col min="9477" max="9477" width="10.83203125" style="210" customWidth="1"/>
    <col min="9478" max="9478" width="8.83203125" style="210" customWidth="1"/>
    <col min="9479" max="9479" width="8.1640625" style="210" customWidth="1"/>
    <col min="9480" max="9480" width="10.5" style="210" customWidth="1"/>
    <col min="9481" max="9481" width="8.33203125" style="210" customWidth="1"/>
    <col min="9482" max="9482" width="8.5" style="210" customWidth="1"/>
    <col min="9483" max="9483" width="8.83203125" style="210" customWidth="1"/>
    <col min="9484" max="9484" width="8.6640625" style="210" customWidth="1"/>
    <col min="9485" max="9485" width="8.83203125" style="210" customWidth="1"/>
    <col min="9486" max="9486" width="12.6640625" style="210" customWidth="1"/>
    <col min="9487" max="9728" width="8.83203125" style="210"/>
    <col min="9729" max="9729" width="28" style="210" customWidth="1"/>
    <col min="9730" max="9730" width="8.33203125" style="210" customWidth="1"/>
    <col min="9731" max="9731" width="9" style="210" customWidth="1"/>
    <col min="9732" max="9732" width="9.83203125" style="210" customWidth="1"/>
    <col min="9733" max="9733" width="10.83203125" style="210" customWidth="1"/>
    <col min="9734" max="9734" width="8.83203125" style="210" customWidth="1"/>
    <col min="9735" max="9735" width="8.1640625" style="210" customWidth="1"/>
    <col min="9736" max="9736" width="10.5" style="210" customWidth="1"/>
    <col min="9737" max="9737" width="8.33203125" style="210" customWidth="1"/>
    <col min="9738" max="9738" width="8.5" style="210" customWidth="1"/>
    <col min="9739" max="9739" width="8.83203125" style="210" customWidth="1"/>
    <col min="9740" max="9740" width="8.6640625" style="210" customWidth="1"/>
    <col min="9741" max="9741" width="8.83203125" style="210" customWidth="1"/>
    <col min="9742" max="9742" width="12.6640625" style="210" customWidth="1"/>
    <col min="9743" max="9984" width="8.83203125" style="210"/>
    <col min="9985" max="9985" width="28" style="210" customWidth="1"/>
    <col min="9986" max="9986" width="8.33203125" style="210" customWidth="1"/>
    <col min="9987" max="9987" width="9" style="210" customWidth="1"/>
    <col min="9988" max="9988" width="9.83203125" style="210" customWidth="1"/>
    <col min="9989" max="9989" width="10.83203125" style="210" customWidth="1"/>
    <col min="9990" max="9990" width="8.83203125" style="210" customWidth="1"/>
    <col min="9991" max="9991" width="8.1640625" style="210" customWidth="1"/>
    <col min="9992" max="9992" width="10.5" style="210" customWidth="1"/>
    <col min="9993" max="9993" width="8.33203125" style="210" customWidth="1"/>
    <col min="9994" max="9994" width="8.5" style="210" customWidth="1"/>
    <col min="9995" max="9995" width="8.83203125" style="210" customWidth="1"/>
    <col min="9996" max="9996" width="8.6640625" style="210" customWidth="1"/>
    <col min="9997" max="9997" width="8.83203125" style="210" customWidth="1"/>
    <col min="9998" max="9998" width="12.6640625" style="210" customWidth="1"/>
    <col min="9999" max="10240" width="8.83203125" style="210"/>
    <col min="10241" max="10241" width="28" style="210" customWidth="1"/>
    <col min="10242" max="10242" width="8.33203125" style="210" customWidth="1"/>
    <col min="10243" max="10243" width="9" style="210" customWidth="1"/>
    <col min="10244" max="10244" width="9.83203125" style="210" customWidth="1"/>
    <col min="10245" max="10245" width="10.83203125" style="210" customWidth="1"/>
    <col min="10246" max="10246" width="8.83203125" style="210" customWidth="1"/>
    <col min="10247" max="10247" width="8.1640625" style="210" customWidth="1"/>
    <col min="10248" max="10248" width="10.5" style="210" customWidth="1"/>
    <col min="10249" max="10249" width="8.33203125" style="210" customWidth="1"/>
    <col min="10250" max="10250" width="8.5" style="210" customWidth="1"/>
    <col min="10251" max="10251" width="8.83203125" style="210" customWidth="1"/>
    <col min="10252" max="10252" width="8.6640625" style="210" customWidth="1"/>
    <col min="10253" max="10253" width="8.83203125" style="210" customWidth="1"/>
    <col min="10254" max="10254" width="12.6640625" style="210" customWidth="1"/>
    <col min="10255" max="10496" width="8.83203125" style="210"/>
    <col min="10497" max="10497" width="28" style="210" customWidth="1"/>
    <col min="10498" max="10498" width="8.33203125" style="210" customWidth="1"/>
    <col min="10499" max="10499" width="9" style="210" customWidth="1"/>
    <col min="10500" max="10500" width="9.83203125" style="210" customWidth="1"/>
    <col min="10501" max="10501" width="10.83203125" style="210" customWidth="1"/>
    <col min="10502" max="10502" width="8.83203125" style="210" customWidth="1"/>
    <col min="10503" max="10503" width="8.1640625" style="210" customWidth="1"/>
    <col min="10504" max="10504" width="10.5" style="210" customWidth="1"/>
    <col min="10505" max="10505" width="8.33203125" style="210" customWidth="1"/>
    <col min="10506" max="10506" width="8.5" style="210" customWidth="1"/>
    <col min="10507" max="10507" width="8.83203125" style="210" customWidth="1"/>
    <col min="10508" max="10508" width="8.6640625" style="210" customWidth="1"/>
    <col min="10509" max="10509" width="8.83203125" style="210" customWidth="1"/>
    <col min="10510" max="10510" width="12.6640625" style="210" customWidth="1"/>
    <col min="10511" max="10752" width="8.83203125" style="210"/>
    <col min="10753" max="10753" width="28" style="210" customWidth="1"/>
    <col min="10754" max="10754" width="8.33203125" style="210" customWidth="1"/>
    <col min="10755" max="10755" width="9" style="210" customWidth="1"/>
    <col min="10756" max="10756" width="9.83203125" style="210" customWidth="1"/>
    <col min="10757" max="10757" width="10.83203125" style="210" customWidth="1"/>
    <col min="10758" max="10758" width="8.83203125" style="210" customWidth="1"/>
    <col min="10759" max="10759" width="8.1640625" style="210" customWidth="1"/>
    <col min="10760" max="10760" width="10.5" style="210" customWidth="1"/>
    <col min="10761" max="10761" width="8.33203125" style="210" customWidth="1"/>
    <col min="10762" max="10762" width="8.5" style="210" customWidth="1"/>
    <col min="10763" max="10763" width="8.83203125" style="210" customWidth="1"/>
    <col min="10764" max="10764" width="8.6640625" style="210" customWidth="1"/>
    <col min="10765" max="10765" width="8.83203125" style="210" customWidth="1"/>
    <col min="10766" max="10766" width="12.6640625" style="210" customWidth="1"/>
    <col min="10767" max="11008" width="8.83203125" style="210"/>
    <col min="11009" max="11009" width="28" style="210" customWidth="1"/>
    <col min="11010" max="11010" width="8.33203125" style="210" customWidth="1"/>
    <col min="11011" max="11011" width="9" style="210" customWidth="1"/>
    <col min="11012" max="11012" width="9.83203125" style="210" customWidth="1"/>
    <col min="11013" max="11013" width="10.83203125" style="210" customWidth="1"/>
    <col min="11014" max="11014" width="8.83203125" style="210" customWidth="1"/>
    <col min="11015" max="11015" width="8.1640625" style="210" customWidth="1"/>
    <col min="11016" max="11016" width="10.5" style="210" customWidth="1"/>
    <col min="11017" max="11017" width="8.33203125" style="210" customWidth="1"/>
    <col min="11018" max="11018" width="8.5" style="210" customWidth="1"/>
    <col min="11019" max="11019" width="8.83203125" style="210" customWidth="1"/>
    <col min="11020" max="11020" width="8.6640625" style="210" customWidth="1"/>
    <col min="11021" max="11021" width="8.83203125" style="210" customWidth="1"/>
    <col min="11022" max="11022" width="12.6640625" style="210" customWidth="1"/>
    <col min="11023" max="11264" width="8.83203125" style="210"/>
    <col min="11265" max="11265" width="28" style="210" customWidth="1"/>
    <col min="11266" max="11266" width="8.33203125" style="210" customWidth="1"/>
    <col min="11267" max="11267" width="9" style="210" customWidth="1"/>
    <col min="11268" max="11268" width="9.83203125" style="210" customWidth="1"/>
    <col min="11269" max="11269" width="10.83203125" style="210" customWidth="1"/>
    <col min="11270" max="11270" width="8.83203125" style="210" customWidth="1"/>
    <col min="11271" max="11271" width="8.1640625" style="210" customWidth="1"/>
    <col min="11272" max="11272" width="10.5" style="210" customWidth="1"/>
    <col min="11273" max="11273" width="8.33203125" style="210" customWidth="1"/>
    <col min="11274" max="11274" width="8.5" style="210" customWidth="1"/>
    <col min="11275" max="11275" width="8.83203125" style="210" customWidth="1"/>
    <col min="11276" max="11276" width="8.6640625" style="210" customWidth="1"/>
    <col min="11277" max="11277" width="8.83203125" style="210" customWidth="1"/>
    <col min="11278" max="11278" width="12.6640625" style="210" customWidth="1"/>
    <col min="11279" max="11520" width="8.83203125" style="210"/>
    <col min="11521" max="11521" width="28" style="210" customWidth="1"/>
    <col min="11522" max="11522" width="8.33203125" style="210" customWidth="1"/>
    <col min="11523" max="11523" width="9" style="210" customWidth="1"/>
    <col min="11524" max="11524" width="9.83203125" style="210" customWidth="1"/>
    <col min="11525" max="11525" width="10.83203125" style="210" customWidth="1"/>
    <col min="11526" max="11526" width="8.83203125" style="210" customWidth="1"/>
    <col min="11527" max="11527" width="8.1640625" style="210" customWidth="1"/>
    <col min="11528" max="11528" width="10.5" style="210" customWidth="1"/>
    <col min="11529" max="11529" width="8.33203125" style="210" customWidth="1"/>
    <col min="11530" max="11530" width="8.5" style="210" customWidth="1"/>
    <col min="11531" max="11531" width="8.83203125" style="210" customWidth="1"/>
    <col min="11532" max="11532" width="8.6640625" style="210" customWidth="1"/>
    <col min="11533" max="11533" width="8.83203125" style="210" customWidth="1"/>
    <col min="11534" max="11534" width="12.6640625" style="210" customWidth="1"/>
    <col min="11535" max="11776" width="8.83203125" style="210"/>
    <col min="11777" max="11777" width="28" style="210" customWidth="1"/>
    <col min="11778" max="11778" width="8.33203125" style="210" customWidth="1"/>
    <col min="11779" max="11779" width="9" style="210" customWidth="1"/>
    <col min="11780" max="11780" width="9.83203125" style="210" customWidth="1"/>
    <col min="11781" max="11781" width="10.83203125" style="210" customWidth="1"/>
    <col min="11782" max="11782" width="8.83203125" style="210" customWidth="1"/>
    <col min="11783" max="11783" width="8.1640625" style="210" customWidth="1"/>
    <col min="11784" max="11784" width="10.5" style="210" customWidth="1"/>
    <col min="11785" max="11785" width="8.33203125" style="210" customWidth="1"/>
    <col min="11786" max="11786" width="8.5" style="210" customWidth="1"/>
    <col min="11787" max="11787" width="8.83203125" style="210" customWidth="1"/>
    <col min="11788" max="11788" width="8.6640625" style="210" customWidth="1"/>
    <col min="11789" max="11789" width="8.83203125" style="210" customWidth="1"/>
    <col min="11790" max="11790" width="12.6640625" style="210" customWidth="1"/>
    <col min="11791" max="12032" width="8.83203125" style="210"/>
    <col min="12033" max="12033" width="28" style="210" customWidth="1"/>
    <col min="12034" max="12034" width="8.33203125" style="210" customWidth="1"/>
    <col min="12035" max="12035" width="9" style="210" customWidth="1"/>
    <col min="12036" max="12036" width="9.83203125" style="210" customWidth="1"/>
    <col min="12037" max="12037" width="10.83203125" style="210" customWidth="1"/>
    <col min="12038" max="12038" width="8.83203125" style="210" customWidth="1"/>
    <col min="12039" max="12039" width="8.1640625" style="210" customWidth="1"/>
    <col min="12040" max="12040" width="10.5" style="210" customWidth="1"/>
    <col min="12041" max="12041" width="8.33203125" style="210" customWidth="1"/>
    <col min="12042" max="12042" width="8.5" style="210" customWidth="1"/>
    <col min="12043" max="12043" width="8.83203125" style="210" customWidth="1"/>
    <col min="12044" max="12044" width="8.6640625" style="210" customWidth="1"/>
    <col min="12045" max="12045" width="8.83203125" style="210" customWidth="1"/>
    <col min="12046" max="12046" width="12.6640625" style="210" customWidth="1"/>
    <col min="12047" max="12288" width="8.83203125" style="210"/>
    <col min="12289" max="12289" width="28" style="210" customWidth="1"/>
    <col min="12290" max="12290" width="8.33203125" style="210" customWidth="1"/>
    <col min="12291" max="12291" width="9" style="210" customWidth="1"/>
    <col min="12292" max="12292" width="9.83203125" style="210" customWidth="1"/>
    <col min="12293" max="12293" width="10.83203125" style="210" customWidth="1"/>
    <col min="12294" max="12294" width="8.83203125" style="210" customWidth="1"/>
    <col min="12295" max="12295" width="8.1640625" style="210" customWidth="1"/>
    <col min="12296" max="12296" width="10.5" style="210" customWidth="1"/>
    <col min="12297" max="12297" width="8.33203125" style="210" customWidth="1"/>
    <col min="12298" max="12298" width="8.5" style="210" customWidth="1"/>
    <col min="12299" max="12299" width="8.83203125" style="210" customWidth="1"/>
    <col min="12300" max="12300" width="8.6640625" style="210" customWidth="1"/>
    <col min="12301" max="12301" width="8.83203125" style="210" customWidth="1"/>
    <col min="12302" max="12302" width="12.6640625" style="210" customWidth="1"/>
    <col min="12303" max="12544" width="8.83203125" style="210"/>
    <col min="12545" max="12545" width="28" style="210" customWidth="1"/>
    <col min="12546" max="12546" width="8.33203125" style="210" customWidth="1"/>
    <col min="12547" max="12547" width="9" style="210" customWidth="1"/>
    <col min="12548" max="12548" width="9.83203125" style="210" customWidth="1"/>
    <col min="12549" max="12549" width="10.83203125" style="210" customWidth="1"/>
    <col min="12550" max="12550" width="8.83203125" style="210" customWidth="1"/>
    <col min="12551" max="12551" width="8.1640625" style="210" customWidth="1"/>
    <col min="12552" max="12552" width="10.5" style="210" customWidth="1"/>
    <col min="12553" max="12553" width="8.33203125" style="210" customWidth="1"/>
    <col min="12554" max="12554" width="8.5" style="210" customWidth="1"/>
    <col min="12555" max="12555" width="8.83203125" style="210" customWidth="1"/>
    <col min="12556" max="12556" width="8.6640625" style="210" customWidth="1"/>
    <col min="12557" max="12557" width="8.83203125" style="210" customWidth="1"/>
    <col min="12558" max="12558" width="12.6640625" style="210" customWidth="1"/>
    <col min="12559" max="12800" width="8.83203125" style="210"/>
    <col min="12801" max="12801" width="28" style="210" customWidth="1"/>
    <col min="12802" max="12802" width="8.33203125" style="210" customWidth="1"/>
    <col min="12803" max="12803" width="9" style="210" customWidth="1"/>
    <col min="12804" max="12804" width="9.83203125" style="210" customWidth="1"/>
    <col min="12805" max="12805" width="10.83203125" style="210" customWidth="1"/>
    <col min="12806" max="12806" width="8.83203125" style="210" customWidth="1"/>
    <col min="12807" max="12807" width="8.1640625" style="210" customWidth="1"/>
    <col min="12808" max="12808" width="10.5" style="210" customWidth="1"/>
    <col min="12809" max="12809" width="8.33203125" style="210" customWidth="1"/>
    <col min="12810" max="12810" width="8.5" style="210" customWidth="1"/>
    <col min="12811" max="12811" width="8.83203125" style="210" customWidth="1"/>
    <col min="12812" max="12812" width="8.6640625" style="210" customWidth="1"/>
    <col min="12813" max="12813" width="8.83203125" style="210" customWidth="1"/>
    <col min="12814" max="12814" width="12.6640625" style="210" customWidth="1"/>
    <col min="12815" max="13056" width="8.83203125" style="210"/>
    <col min="13057" max="13057" width="28" style="210" customWidth="1"/>
    <col min="13058" max="13058" width="8.33203125" style="210" customWidth="1"/>
    <col min="13059" max="13059" width="9" style="210" customWidth="1"/>
    <col min="13060" max="13060" width="9.83203125" style="210" customWidth="1"/>
    <col min="13061" max="13061" width="10.83203125" style="210" customWidth="1"/>
    <col min="13062" max="13062" width="8.83203125" style="210" customWidth="1"/>
    <col min="13063" max="13063" width="8.1640625" style="210" customWidth="1"/>
    <col min="13064" max="13064" width="10.5" style="210" customWidth="1"/>
    <col min="13065" max="13065" width="8.33203125" style="210" customWidth="1"/>
    <col min="13066" max="13066" width="8.5" style="210" customWidth="1"/>
    <col min="13067" max="13067" width="8.83203125" style="210" customWidth="1"/>
    <col min="13068" max="13068" width="8.6640625" style="210" customWidth="1"/>
    <col min="13069" max="13069" width="8.83203125" style="210" customWidth="1"/>
    <col min="13070" max="13070" width="12.6640625" style="210" customWidth="1"/>
    <col min="13071" max="13312" width="8.83203125" style="210"/>
    <col min="13313" max="13313" width="28" style="210" customWidth="1"/>
    <col min="13314" max="13314" width="8.33203125" style="210" customWidth="1"/>
    <col min="13315" max="13315" width="9" style="210" customWidth="1"/>
    <col min="13316" max="13316" width="9.83203125" style="210" customWidth="1"/>
    <col min="13317" max="13317" width="10.83203125" style="210" customWidth="1"/>
    <col min="13318" max="13318" width="8.83203125" style="210" customWidth="1"/>
    <col min="13319" max="13319" width="8.1640625" style="210" customWidth="1"/>
    <col min="13320" max="13320" width="10.5" style="210" customWidth="1"/>
    <col min="13321" max="13321" width="8.33203125" style="210" customWidth="1"/>
    <col min="13322" max="13322" width="8.5" style="210" customWidth="1"/>
    <col min="13323" max="13323" width="8.83203125" style="210" customWidth="1"/>
    <col min="13324" max="13324" width="8.6640625" style="210" customWidth="1"/>
    <col min="13325" max="13325" width="8.83203125" style="210" customWidth="1"/>
    <col min="13326" max="13326" width="12.6640625" style="210" customWidth="1"/>
    <col min="13327" max="13568" width="8.83203125" style="210"/>
    <col min="13569" max="13569" width="28" style="210" customWidth="1"/>
    <col min="13570" max="13570" width="8.33203125" style="210" customWidth="1"/>
    <col min="13571" max="13571" width="9" style="210" customWidth="1"/>
    <col min="13572" max="13572" width="9.83203125" style="210" customWidth="1"/>
    <col min="13573" max="13573" width="10.83203125" style="210" customWidth="1"/>
    <col min="13574" max="13574" width="8.83203125" style="210" customWidth="1"/>
    <col min="13575" max="13575" width="8.1640625" style="210" customWidth="1"/>
    <col min="13576" max="13576" width="10.5" style="210" customWidth="1"/>
    <col min="13577" max="13577" width="8.33203125" style="210" customWidth="1"/>
    <col min="13578" max="13578" width="8.5" style="210" customWidth="1"/>
    <col min="13579" max="13579" width="8.83203125" style="210" customWidth="1"/>
    <col min="13580" max="13580" width="8.6640625" style="210" customWidth="1"/>
    <col min="13581" max="13581" width="8.83203125" style="210" customWidth="1"/>
    <col min="13582" max="13582" width="12.6640625" style="210" customWidth="1"/>
    <col min="13583" max="13824" width="8.83203125" style="210"/>
    <col min="13825" max="13825" width="28" style="210" customWidth="1"/>
    <col min="13826" max="13826" width="8.33203125" style="210" customWidth="1"/>
    <col min="13827" max="13827" width="9" style="210" customWidth="1"/>
    <col min="13828" max="13828" width="9.83203125" style="210" customWidth="1"/>
    <col min="13829" max="13829" width="10.83203125" style="210" customWidth="1"/>
    <col min="13830" max="13830" width="8.83203125" style="210" customWidth="1"/>
    <col min="13831" max="13831" width="8.1640625" style="210" customWidth="1"/>
    <col min="13832" max="13832" width="10.5" style="210" customWidth="1"/>
    <col min="13833" max="13833" width="8.33203125" style="210" customWidth="1"/>
    <col min="13834" max="13834" width="8.5" style="210" customWidth="1"/>
    <col min="13835" max="13835" width="8.83203125" style="210" customWidth="1"/>
    <col min="13836" max="13836" width="8.6640625" style="210" customWidth="1"/>
    <col min="13837" max="13837" width="8.83203125" style="210" customWidth="1"/>
    <col min="13838" max="13838" width="12.6640625" style="210" customWidth="1"/>
    <col min="13839" max="14080" width="8.83203125" style="210"/>
    <col min="14081" max="14081" width="28" style="210" customWidth="1"/>
    <col min="14082" max="14082" width="8.33203125" style="210" customWidth="1"/>
    <col min="14083" max="14083" width="9" style="210" customWidth="1"/>
    <col min="14084" max="14084" width="9.83203125" style="210" customWidth="1"/>
    <col min="14085" max="14085" width="10.83203125" style="210" customWidth="1"/>
    <col min="14086" max="14086" width="8.83203125" style="210" customWidth="1"/>
    <col min="14087" max="14087" width="8.1640625" style="210" customWidth="1"/>
    <col min="14088" max="14088" width="10.5" style="210" customWidth="1"/>
    <col min="14089" max="14089" width="8.33203125" style="210" customWidth="1"/>
    <col min="14090" max="14090" width="8.5" style="210" customWidth="1"/>
    <col min="14091" max="14091" width="8.83203125" style="210" customWidth="1"/>
    <col min="14092" max="14092" width="8.6640625" style="210" customWidth="1"/>
    <col min="14093" max="14093" width="8.83203125" style="210" customWidth="1"/>
    <col min="14094" max="14094" width="12.6640625" style="210" customWidth="1"/>
    <col min="14095" max="14336" width="8.83203125" style="210"/>
    <col min="14337" max="14337" width="28" style="210" customWidth="1"/>
    <col min="14338" max="14338" width="8.33203125" style="210" customWidth="1"/>
    <col min="14339" max="14339" width="9" style="210" customWidth="1"/>
    <col min="14340" max="14340" width="9.83203125" style="210" customWidth="1"/>
    <col min="14341" max="14341" width="10.83203125" style="210" customWidth="1"/>
    <col min="14342" max="14342" width="8.83203125" style="210" customWidth="1"/>
    <col min="14343" max="14343" width="8.1640625" style="210" customWidth="1"/>
    <col min="14344" max="14344" width="10.5" style="210" customWidth="1"/>
    <col min="14345" max="14345" width="8.33203125" style="210" customWidth="1"/>
    <col min="14346" max="14346" width="8.5" style="210" customWidth="1"/>
    <col min="14347" max="14347" width="8.83203125" style="210" customWidth="1"/>
    <col min="14348" max="14348" width="8.6640625" style="210" customWidth="1"/>
    <col min="14349" max="14349" width="8.83203125" style="210" customWidth="1"/>
    <col min="14350" max="14350" width="12.6640625" style="210" customWidth="1"/>
    <col min="14351" max="14592" width="8.83203125" style="210"/>
    <col min="14593" max="14593" width="28" style="210" customWidth="1"/>
    <col min="14594" max="14594" width="8.33203125" style="210" customWidth="1"/>
    <col min="14595" max="14595" width="9" style="210" customWidth="1"/>
    <col min="14596" max="14596" width="9.83203125" style="210" customWidth="1"/>
    <col min="14597" max="14597" width="10.83203125" style="210" customWidth="1"/>
    <col min="14598" max="14598" width="8.83203125" style="210" customWidth="1"/>
    <col min="14599" max="14599" width="8.1640625" style="210" customWidth="1"/>
    <col min="14600" max="14600" width="10.5" style="210" customWidth="1"/>
    <col min="14601" max="14601" width="8.33203125" style="210" customWidth="1"/>
    <col min="14602" max="14602" width="8.5" style="210" customWidth="1"/>
    <col min="14603" max="14603" width="8.83203125" style="210" customWidth="1"/>
    <col min="14604" max="14604" width="8.6640625" style="210" customWidth="1"/>
    <col min="14605" max="14605" width="8.83203125" style="210" customWidth="1"/>
    <col min="14606" max="14606" width="12.6640625" style="210" customWidth="1"/>
    <col min="14607" max="14848" width="8.83203125" style="210"/>
    <col min="14849" max="14849" width="28" style="210" customWidth="1"/>
    <col min="14850" max="14850" width="8.33203125" style="210" customWidth="1"/>
    <col min="14851" max="14851" width="9" style="210" customWidth="1"/>
    <col min="14852" max="14852" width="9.83203125" style="210" customWidth="1"/>
    <col min="14853" max="14853" width="10.83203125" style="210" customWidth="1"/>
    <col min="14854" max="14854" width="8.83203125" style="210" customWidth="1"/>
    <col min="14855" max="14855" width="8.1640625" style="210" customWidth="1"/>
    <col min="14856" max="14856" width="10.5" style="210" customWidth="1"/>
    <col min="14857" max="14857" width="8.33203125" style="210" customWidth="1"/>
    <col min="14858" max="14858" width="8.5" style="210" customWidth="1"/>
    <col min="14859" max="14859" width="8.83203125" style="210" customWidth="1"/>
    <col min="14860" max="14860" width="8.6640625" style="210" customWidth="1"/>
    <col min="14861" max="14861" width="8.83203125" style="210" customWidth="1"/>
    <col min="14862" max="14862" width="12.6640625" style="210" customWidth="1"/>
    <col min="14863" max="15104" width="8.83203125" style="210"/>
    <col min="15105" max="15105" width="28" style="210" customWidth="1"/>
    <col min="15106" max="15106" width="8.33203125" style="210" customWidth="1"/>
    <col min="15107" max="15107" width="9" style="210" customWidth="1"/>
    <col min="15108" max="15108" width="9.83203125" style="210" customWidth="1"/>
    <col min="15109" max="15109" width="10.83203125" style="210" customWidth="1"/>
    <col min="15110" max="15110" width="8.83203125" style="210" customWidth="1"/>
    <col min="15111" max="15111" width="8.1640625" style="210" customWidth="1"/>
    <col min="15112" max="15112" width="10.5" style="210" customWidth="1"/>
    <col min="15113" max="15113" width="8.33203125" style="210" customWidth="1"/>
    <col min="15114" max="15114" width="8.5" style="210" customWidth="1"/>
    <col min="15115" max="15115" width="8.83203125" style="210" customWidth="1"/>
    <col min="15116" max="15116" width="8.6640625" style="210" customWidth="1"/>
    <col min="15117" max="15117" width="8.83203125" style="210" customWidth="1"/>
    <col min="15118" max="15118" width="12.6640625" style="210" customWidth="1"/>
    <col min="15119" max="15360" width="8.83203125" style="210"/>
    <col min="15361" max="15361" width="28" style="210" customWidth="1"/>
    <col min="15362" max="15362" width="8.33203125" style="210" customWidth="1"/>
    <col min="15363" max="15363" width="9" style="210" customWidth="1"/>
    <col min="15364" max="15364" width="9.83203125" style="210" customWidth="1"/>
    <col min="15365" max="15365" width="10.83203125" style="210" customWidth="1"/>
    <col min="15366" max="15366" width="8.83203125" style="210" customWidth="1"/>
    <col min="15367" max="15367" width="8.1640625" style="210" customWidth="1"/>
    <col min="15368" max="15368" width="10.5" style="210" customWidth="1"/>
    <col min="15369" max="15369" width="8.33203125" style="210" customWidth="1"/>
    <col min="15370" max="15370" width="8.5" style="210" customWidth="1"/>
    <col min="15371" max="15371" width="8.83203125" style="210" customWidth="1"/>
    <col min="15372" max="15372" width="8.6640625" style="210" customWidth="1"/>
    <col min="15373" max="15373" width="8.83203125" style="210" customWidth="1"/>
    <col min="15374" max="15374" width="12.6640625" style="210" customWidth="1"/>
    <col min="15375" max="15616" width="8.83203125" style="210"/>
    <col min="15617" max="15617" width="28" style="210" customWidth="1"/>
    <col min="15618" max="15618" width="8.33203125" style="210" customWidth="1"/>
    <col min="15619" max="15619" width="9" style="210" customWidth="1"/>
    <col min="15620" max="15620" width="9.83203125" style="210" customWidth="1"/>
    <col min="15621" max="15621" width="10.83203125" style="210" customWidth="1"/>
    <col min="15622" max="15622" width="8.83203125" style="210" customWidth="1"/>
    <col min="15623" max="15623" width="8.1640625" style="210" customWidth="1"/>
    <col min="15624" max="15624" width="10.5" style="210" customWidth="1"/>
    <col min="15625" max="15625" width="8.33203125" style="210" customWidth="1"/>
    <col min="15626" max="15626" width="8.5" style="210" customWidth="1"/>
    <col min="15627" max="15627" width="8.83203125" style="210" customWidth="1"/>
    <col min="15628" max="15628" width="8.6640625" style="210" customWidth="1"/>
    <col min="15629" max="15629" width="8.83203125" style="210" customWidth="1"/>
    <col min="15630" max="15630" width="12.6640625" style="210" customWidth="1"/>
    <col min="15631" max="15872" width="8.83203125" style="210"/>
    <col min="15873" max="15873" width="28" style="210" customWidth="1"/>
    <col min="15874" max="15874" width="8.33203125" style="210" customWidth="1"/>
    <col min="15875" max="15875" width="9" style="210" customWidth="1"/>
    <col min="15876" max="15876" width="9.83203125" style="210" customWidth="1"/>
    <col min="15877" max="15877" width="10.83203125" style="210" customWidth="1"/>
    <col min="15878" max="15878" width="8.83203125" style="210" customWidth="1"/>
    <col min="15879" max="15879" width="8.1640625" style="210" customWidth="1"/>
    <col min="15880" max="15880" width="10.5" style="210" customWidth="1"/>
    <col min="15881" max="15881" width="8.33203125" style="210" customWidth="1"/>
    <col min="15882" max="15882" width="8.5" style="210" customWidth="1"/>
    <col min="15883" max="15883" width="8.83203125" style="210" customWidth="1"/>
    <col min="15884" max="15884" width="8.6640625" style="210" customWidth="1"/>
    <col min="15885" max="15885" width="8.83203125" style="210" customWidth="1"/>
    <col min="15886" max="15886" width="12.6640625" style="210" customWidth="1"/>
    <col min="15887" max="16128" width="8.83203125" style="210"/>
    <col min="16129" max="16129" width="28" style="210" customWidth="1"/>
    <col min="16130" max="16130" width="8.33203125" style="210" customWidth="1"/>
    <col min="16131" max="16131" width="9" style="210" customWidth="1"/>
    <col min="16132" max="16132" width="9.83203125" style="210" customWidth="1"/>
    <col min="16133" max="16133" width="10.83203125" style="210" customWidth="1"/>
    <col min="16134" max="16134" width="8.83203125" style="210" customWidth="1"/>
    <col min="16135" max="16135" width="8.1640625" style="210" customWidth="1"/>
    <col min="16136" max="16136" width="10.5" style="210" customWidth="1"/>
    <col min="16137" max="16137" width="8.33203125" style="210" customWidth="1"/>
    <col min="16138" max="16138" width="8.5" style="210" customWidth="1"/>
    <col min="16139" max="16139" width="8.83203125" style="210" customWidth="1"/>
    <col min="16140" max="16140" width="8.6640625" style="210" customWidth="1"/>
    <col min="16141" max="16141" width="8.83203125" style="210" customWidth="1"/>
    <col min="16142" max="16142" width="12.6640625" style="210" customWidth="1"/>
    <col min="16143" max="16384" width="8.83203125" style="210"/>
  </cols>
  <sheetData>
    <row r="1" spans="1:254" s="202" customFormat="1" ht="20">
      <c r="A1" s="200" t="s">
        <v>108</v>
      </c>
      <c r="B1" s="200"/>
      <c r="C1" s="200"/>
      <c r="D1" s="200"/>
      <c r="E1" s="200"/>
      <c r="F1" s="201" t="s">
        <v>109</v>
      </c>
      <c r="G1" s="200"/>
      <c r="H1" s="200"/>
      <c r="I1" s="200"/>
      <c r="J1" s="200"/>
      <c r="K1" s="200"/>
      <c r="L1" s="200"/>
      <c r="M1" s="200"/>
      <c r="N1" s="200"/>
    </row>
    <row r="2" spans="1:254" s="204" customFormat="1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</row>
    <row r="3" spans="1:254" ht="16">
      <c r="A3" s="205" t="s">
        <v>110</v>
      </c>
      <c r="B3" s="206" t="s">
        <v>111</v>
      </c>
      <c r="C3" s="207" t="s">
        <v>112</v>
      </c>
      <c r="D3" s="207" t="s">
        <v>113</v>
      </c>
      <c r="E3" s="207" t="s">
        <v>114</v>
      </c>
      <c r="F3" s="207" t="s">
        <v>115</v>
      </c>
      <c r="G3" s="207" t="s">
        <v>116</v>
      </c>
      <c r="H3" s="207" t="s">
        <v>117</v>
      </c>
      <c r="I3" s="207" t="s">
        <v>118</v>
      </c>
      <c r="J3" s="207" t="s">
        <v>119</v>
      </c>
      <c r="K3" s="207" t="s">
        <v>120</v>
      </c>
      <c r="L3" s="207" t="s">
        <v>121</v>
      </c>
      <c r="M3" s="207" t="s">
        <v>122</v>
      </c>
      <c r="N3" s="208" t="s">
        <v>123</v>
      </c>
    </row>
    <row r="4" spans="1:254">
      <c r="A4" s="211" t="s">
        <v>293</v>
      </c>
      <c r="B4" s="212">
        <f>Ægtepar!J31</f>
        <v>38237.9211</v>
      </c>
      <c r="C4" s="213">
        <f t="shared" ref="C4:M5" si="0">B4</f>
        <v>38237.9211</v>
      </c>
      <c r="D4" s="213">
        <f t="shared" si="0"/>
        <v>38237.9211</v>
      </c>
      <c r="E4" s="213">
        <f t="shared" si="0"/>
        <v>38237.9211</v>
      </c>
      <c r="F4" s="213">
        <f t="shared" si="0"/>
        <v>38237.9211</v>
      </c>
      <c r="G4" s="213">
        <f t="shared" si="0"/>
        <v>38237.9211</v>
      </c>
      <c r="H4" s="213">
        <f t="shared" si="0"/>
        <v>38237.9211</v>
      </c>
      <c r="I4" s="213">
        <f t="shared" si="0"/>
        <v>38237.9211</v>
      </c>
      <c r="J4" s="213">
        <f t="shared" si="0"/>
        <v>38237.9211</v>
      </c>
      <c r="K4" s="213">
        <f t="shared" si="0"/>
        <v>38237.9211</v>
      </c>
      <c r="L4" s="213">
        <f t="shared" si="0"/>
        <v>38237.9211</v>
      </c>
      <c r="M4" s="213">
        <f t="shared" si="0"/>
        <v>38237.9211</v>
      </c>
      <c r="N4" s="214">
        <f t="shared" ref="N4:N10" si="1">SUM(B4:M4)</f>
        <v>458855.05319999991</v>
      </c>
    </row>
    <row r="5" spans="1:254">
      <c r="A5" s="211" t="s">
        <v>294</v>
      </c>
      <c r="B5" s="215">
        <f>Ægtepar!L31</f>
        <v>30000.4895</v>
      </c>
      <c r="C5" s="215">
        <f t="shared" si="0"/>
        <v>30000.4895</v>
      </c>
      <c r="D5" s="215">
        <f t="shared" si="0"/>
        <v>30000.4895</v>
      </c>
      <c r="E5" s="215">
        <f t="shared" si="0"/>
        <v>30000.4895</v>
      </c>
      <c r="F5" s="215">
        <f t="shared" si="0"/>
        <v>30000.4895</v>
      </c>
      <c r="G5" s="215">
        <f t="shared" si="0"/>
        <v>30000.4895</v>
      </c>
      <c r="H5" s="215">
        <f t="shared" si="0"/>
        <v>30000.4895</v>
      </c>
      <c r="I5" s="215">
        <f t="shared" si="0"/>
        <v>30000.4895</v>
      </c>
      <c r="J5" s="215">
        <f t="shared" si="0"/>
        <v>30000.4895</v>
      </c>
      <c r="K5" s="215">
        <f t="shared" si="0"/>
        <v>30000.4895</v>
      </c>
      <c r="L5" s="215">
        <f t="shared" si="0"/>
        <v>30000.4895</v>
      </c>
      <c r="M5" s="215">
        <f t="shared" si="0"/>
        <v>30000.4895</v>
      </c>
      <c r="N5" s="216">
        <f t="shared" si="1"/>
        <v>360005.87400000007</v>
      </c>
    </row>
    <row r="6" spans="1:254">
      <c r="A6" s="211" t="s">
        <v>126</v>
      </c>
      <c r="B6" s="212">
        <v>0</v>
      </c>
      <c r="C6" s="213">
        <v>0</v>
      </c>
      <c r="D6" s="213">
        <v>0</v>
      </c>
      <c r="E6" s="213">
        <v>0</v>
      </c>
      <c r="F6" s="213">
        <v>0</v>
      </c>
      <c r="G6" s="213">
        <v>0</v>
      </c>
      <c r="H6" s="213">
        <v>0</v>
      </c>
      <c r="I6" s="213">
        <v>0</v>
      </c>
      <c r="J6" s="213">
        <v>0</v>
      </c>
      <c r="K6" s="213">
        <v>0</v>
      </c>
      <c r="L6" s="213">
        <v>0</v>
      </c>
      <c r="M6" s="213">
        <v>0</v>
      </c>
      <c r="N6" s="214">
        <f t="shared" si="1"/>
        <v>0</v>
      </c>
    </row>
    <row r="7" spans="1:254">
      <c r="A7" s="211" t="s">
        <v>127</v>
      </c>
      <c r="B7" s="215">
        <f>3192*2</f>
        <v>6384</v>
      </c>
      <c r="C7" s="215"/>
      <c r="D7" s="215"/>
      <c r="E7" s="215">
        <f>B7</f>
        <v>6384</v>
      </c>
      <c r="F7" s="215"/>
      <c r="G7" s="215"/>
      <c r="H7" s="215">
        <f>E7</f>
        <v>6384</v>
      </c>
      <c r="I7" s="215"/>
      <c r="J7" s="215"/>
      <c r="K7" s="215">
        <f>H7</f>
        <v>6384</v>
      </c>
      <c r="L7" s="215"/>
      <c r="M7" s="215">
        <f t="shared" ref="M7" si="2">L7</f>
        <v>0</v>
      </c>
      <c r="N7" s="216">
        <f t="shared" si="1"/>
        <v>25536</v>
      </c>
    </row>
    <row r="8" spans="1:254">
      <c r="A8" s="211" t="s">
        <v>128</v>
      </c>
      <c r="B8" s="212">
        <v>0</v>
      </c>
      <c r="C8" s="213">
        <v>0</v>
      </c>
      <c r="D8" s="213">
        <v>0</v>
      </c>
      <c r="E8" s="213">
        <v>0</v>
      </c>
      <c r="F8" s="213">
        <v>0</v>
      </c>
      <c r="G8" s="213">
        <v>0</v>
      </c>
      <c r="H8" s="213">
        <v>0</v>
      </c>
      <c r="I8" s="213">
        <v>0</v>
      </c>
      <c r="J8" s="213">
        <v>0</v>
      </c>
      <c r="K8" s="213">
        <v>0</v>
      </c>
      <c r="L8" s="213">
        <v>0</v>
      </c>
      <c r="M8" s="213">
        <v>0</v>
      </c>
      <c r="N8" s="214">
        <f t="shared" si="1"/>
        <v>0</v>
      </c>
    </row>
    <row r="9" spans="1:254">
      <c r="A9" s="211" t="s">
        <v>129</v>
      </c>
      <c r="B9" s="215">
        <v>0</v>
      </c>
      <c r="C9" s="215">
        <v>0</v>
      </c>
      <c r="D9" s="215">
        <v>0</v>
      </c>
      <c r="E9" s="215">
        <v>0</v>
      </c>
      <c r="F9" s="215">
        <v>0</v>
      </c>
      <c r="G9" s="215">
        <v>0</v>
      </c>
      <c r="H9" s="215">
        <v>0</v>
      </c>
      <c r="I9" s="215">
        <v>0</v>
      </c>
      <c r="J9" s="215">
        <v>0</v>
      </c>
      <c r="K9" s="215">
        <v>0</v>
      </c>
      <c r="L9" s="215">
        <v>0</v>
      </c>
      <c r="M9" s="215">
        <v>0</v>
      </c>
      <c r="N9" s="216">
        <f t="shared" si="1"/>
        <v>0</v>
      </c>
    </row>
    <row r="10" spans="1:254" s="223" customFormat="1" ht="16">
      <c r="A10" s="217" t="s">
        <v>130</v>
      </c>
      <c r="B10" s="218">
        <f t="shared" ref="B10:M10" si="3">SUM(B4:B9)</f>
        <v>74622.410600000003</v>
      </c>
      <c r="C10" s="219">
        <f t="shared" si="3"/>
        <v>68238.410600000003</v>
      </c>
      <c r="D10" s="219">
        <f t="shared" si="3"/>
        <v>68238.410600000003</v>
      </c>
      <c r="E10" s="219">
        <f t="shared" si="3"/>
        <v>74622.410600000003</v>
      </c>
      <c r="F10" s="219">
        <f t="shared" si="3"/>
        <v>68238.410600000003</v>
      </c>
      <c r="G10" s="219">
        <f t="shared" si="3"/>
        <v>68238.410600000003</v>
      </c>
      <c r="H10" s="219">
        <f t="shared" si="3"/>
        <v>74622.410600000003</v>
      </c>
      <c r="I10" s="219">
        <f t="shared" si="3"/>
        <v>68238.410600000003</v>
      </c>
      <c r="J10" s="219">
        <f t="shared" si="3"/>
        <v>68238.410600000003</v>
      </c>
      <c r="K10" s="219">
        <f t="shared" si="3"/>
        <v>74622.410600000003</v>
      </c>
      <c r="L10" s="219">
        <f t="shared" si="3"/>
        <v>68238.410600000003</v>
      </c>
      <c r="M10" s="219">
        <f t="shared" si="3"/>
        <v>68238.410600000003</v>
      </c>
      <c r="N10" s="220">
        <f t="shared" si="1"/>
        <v>844396.92720000027</v>
      </c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2"/>
    </row>
    <row r="11" spans="1:254" s="227" customFormat="1" ht="12">
      <c r="A11" s="224"/>
      <c r="B11" s="225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6"/>
      <c r="AH11" s="228"/>
      <c r="AI11" s="228"/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8"/>
      <c r="AX11" s="228"/>
      <c r="AY11" s="228"/>
      <c r="AZ11" s="228"/>
      <c r="BA11" s="228"/>
      <c r="BB11" s="228"/>
      <c r="BC11" s="228"/>
      <c r="BD11" s="228"/>
      <c r="BE11" s="228"/>
      <c r="BF11" s="228"/>
      <c r="BG11" s="228"/>
      <c r="BH11" s="228"/>
      <c r="BI11" s="228"/>
      <c r="BJ11" s="228"/>
      <c r="BK11" s="228"/>
      <c r="BL11" s="228"/>
      <c r="BM11" s="228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  <c r="CL11" s="228"/>
      <c r="CM11" s="228"/>
      <c r="CN11" s="228"/>
      <c r="CO11" s="228"/>
      <c r="CP11" s="228"/>
      <c r="CQ11" s="228"/>
      <c r="CR11" s="228"/>
      <c r="CS11" s="228"/>
      <c r="CT11" s="228"/>
      <c r="CU11" s="228"/>
      <c r="CV11" s="228"/>
      <c r="CW11" s="228"/>
      <c r="CX11" s="228"/>
      <c r="CY11" s="228"/>
      <c r="CZ11" s="228"/>
      <c r="DA11" s="228"/>
      <c r="DB11" s="228"/>
      <c r="DC11" s="228"/>
      <c r="DD11" s="228"/>
      <c r="DE11" s="228"/>
      <c r="DF11" s="228"/>
      <c r="DG11" s="228"/>
      <c r="DH11" s="228"/>
      <c r="DI11" s="228"/>
      <c r="DJ11" s="228"/>
      <c r="DK11" s="228"/>
      <c r="DL11" s="228"/>
      <c r="DM11" s="228"/>
      <c r="DN11" s="228"/>
      <c r="DO11" s="228"/>
      <c r="DP11" s="228"/>
      <c r="DQ11" s="228"/>
      <c r="DR11" s="228"/>
      <c r="DS11" s="228"/>
      <c r="DT11" s="228"/>
      <c r="DU11" s="228"/>
      <c r="DV11" s="228"/>
      <c r="DW11" s="228"/>
      <c r="DX11" s="228"/>
      <c r="DY11" s="228"/>
      <c r="DZ11" s="228"/>
      <c r="EA11" s="228"/>
      <c r="EB11" s="228"/>
      <c r="EC11" s="228"/>
      <c r="ED11" s="228"/>
      <c r="EE11" s="228"/>
      <c r="EF11" s="228"/>
      <c r="EG11" s="228"/>
      <c r="EH11" s="228"/>
      <c r="EI11" s="228"/>
      <c r="EJ11" s="228"/>
      <c r="EK11" s="228"/>
      <c r="EL11" s="228"/>
      <c r="EM11" s="228"/>
      <c r="EN11" s="228"/>
      <c r="EO11" s="228"/>
      <c r="EP11" s="228"/>
      <c r="EQ11" s="228"/>
      <c r="ER11" s="228"/>
      <c r="ES11" s="228"/>
      <c r="ET11" s="228"/>
      <c r="EU11" s="228"/>
      <c r="EV11" s="228"/>
      <c r="EW11" s="228"/>
      <c r="EX11" s="228"/>
      <c r="EY11" s="228"/>
      <c r="EZ11" s="228"/>
      <c r="FA11" s="228"/>
      <c r="FB11" s="228"/>
      <c r="FC11" s="228"/>
      <c r="FD11" s="228"/>
      <c r="FE11" s="228"/>
      <c r="FF11" s="228"/>
      <c r="FG11" s="228"/>
      <c r="FH11" s="228"/>
      <c r="FI11" s="228"/>
      <c r="FJ11" s="228"/>
      <c r="FK11" s="228"/>
      <c r="FL11" s="228"/>
      <c r="FM11" s="228"/>
      <c r="FN11" s="228"/>
      <c r="FO11" s="228"/>
      <c r="FP11" s="228"/>
      <c r="FQ11" s="228"/>
      <c r="FR11" s="228"/>
      <c r="FS11" s="228"/>
      <c r="FT11" s="228"/>
      <c r="FU11" s="228"/>
      <c r="FV11" s="228"/>
      <c r="FW11" s="228"/>
      <c r="FX11" s="228"/>
      <c r="FY11" s="228"/>
      <c r="FZ11" s="228"/>
      <c r="GA11" s="228"/>
      <c r="GB11" s="228"/>
      <c r="GC11" s="228"/>
      <c r="GD11" s="228"/>
      <c r="GE11" s="228"/>
      <c r="GF11" s="228"/>
      <c r="GG11" s="228"/>
      <c r="GH11" s="228"/>
      <c r="GI11" s="228"/>
      <c r="GJ11" s="228"/>
      <c r="GK11" s="228"/>
      <c r="GL11" s="228"/>
      <c r="GM11" s="228"/>
      <c r="GN11" s="228"/>
      <c r="GO11" s="228"/>
      <c r="GP11" s="228"/>
      <c r="GQ11" s="228"/>
      <c r="GR11" s="228"/>
      <c r="GS11" s="228"/>
      <c r="GT11" s="228"/>
      <c r="GU11" s="228"/>
      <c r="GV11" s="228"/>
      <c r="GW11" s="228"/>
      <c r="GX11" s="228"/>
      <c r="GY11" s="228"/>
      <c r="GZ11" s="228"/>
      <c r="HA11" s="228"/>
      <c r="HB11" s="228"/>
      <c r="HC11" s="228"/>
      <c r="HD11" s="228"/>
      <c r="HE11" s="228"/>
      <c r="HF11" s="228"/>
      <c r="HG11" s="228"/>
      <c r="HH11" s="228"/>
      <c r="HI11" s="228"/>
      <c r="HJ11" s="228"/>
      <c r="HK11" s="228"/>
      <c r="HL11" s="228"/>
      <c r="HM11" s="228"/>
      <c r="HN11" s="228"/>
      <c r="HO11" s="228"/>
      <c r="HP11" s="228"/>
      <c r="HQ11" s="228"/>
      <c r="HR11" s="228"/>
      <c r="HS11" s="228"/>
      <c r="HT11" s="228"/>
      <c r="HU11" s="228"/>
      <c r="HV11" s="228"/>
      <c r="HW11" s="228"/>
      <c r="HX11" s="228"/>
      <c r="HY11" s="228"/>
      <c r="HZ11" s="228"/>
      <c r="IA11" s="228"/>
      <c r="IB11" s="228"/>
      <c r="IC11" s="228"/>
      <c r="ID11" s="228"/>
      <c r="IE11" s="228"/>
      <c r="IF11" s="228"/>
      <c r="IG11" s="228"/>
      <c r="IH11" s="228"/>
      <c r="II11" s="228"/>
      <c r="IJ11" s="228"/>
      <c r="IK11" s="228"/>
      <c r="IL11" s="228"/>
      <c r="IM11" s="228"/>
      <c r="IN11" s="228"/>
      <c r="IO11" s="228"/>
      <c r="IP11" s="228"/>
      <c r="IQ11" s="228"/>
      <c r="IR11" s="228"/>
      <c r="IS11" s="228"/>
      <c r="IT11" s="228"/>
    </row>
    <row r="12" spans="1:254" s="203" customFormat="1">
      <c r="A12" s="229"/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1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32"/>
      <c r="CQ12" s="232"/>
      <c r="CR12" s="232"/>
      <c r="CS12" s="232"/>
      <c r="CT12" s="232"/>
      <c r="CU12" s="232"/>
      <c r="CV12" s="232"/>
      <c r="CW12" s="232"/>
      <c r="CX12" s="232"/>
      <c r="CY12" s="232"/>
      <c r="CZ12" s="232"/>
      <c r="DA12" s="232"/>
      <c r="DB12" s="232"/>
      <c r="DC12" s="232"/>
      <c r="DD12" s="232"/>
      <c r="DE12" s="232"/>
      <c r="DF12" s="232"/>
      <c r="DG12" s="232"/>
      <c r="DH12" s="232"/>
      <c r="DI12" s="232"/>
      <c r="DJ12" s="232"/>
      <c r="DK12" s="232"/>
      <c r="DL12" s="232"/>
      <c r="DM12" s="232"/>
      <c r="DN12" s="232"/>
      <c r="DO12" s="232"/>
      <c r="DP12" s="232"/>
      <c r="DQ12" s="232"/>
      <c r="DR12" s="232"/>
      <c r="DS12" s="232"/>
      <c r="DT12" s="232"/>
      <c r="DU12" s="232"/>
      <c r="DV12" s="232"/>
      <c r="DW12" s="232"/>
      <c r="DX12" s="232"/>
      <c r="DY12" s="232"/>
      <c r="DZ12" s="232"/>
      <c r="EA12" s="232"/>
      <c r="EB12" s="232"/>
      <c r="EC12" s="232"/>
      <c r="ED12" s="232"/>
      <c r="EE12" s="232"/>
      <c r="EF12" s="232"/>
      <c r="EG12" s="232"/>
      <c r="EH12" s="232"/>
      <c r="EI12" s="232"/>
      <c r="EJ12" s="232"/>
      <c r="EK12" s="232"/>
      <c r="EL12" s="232"/>
      <c r="EM12" s="232"/>
      <c r="EN12" s="232"/>
      <c r="EO12" s="232"/>
      <c r="EP12" s="232"/>
      <c r="EQ12" s="232"/>
      <c r="ER12" s="232"/>
      <c r="ES12" s="232"/>
      <c r="ET12" s="232"/>
      <c r="EU12" s="232"/>
      <c r="EV12" s="232"/>
      <c r="EW12" s="232"/>
      <c r="EX12" s="232"/>
      <c r="EY12" s="232"/>
      <c r="EZ12" s="232"/>
      <c r="FA12" s="232"/>
      <c r="FB12" s="232"/>
      <c r="FC12" s="232"/>
      <c r="FD12" s="232"/>
      <c r="FE12" s="232"/>
      <c r="FF12" s="232"/>
      <c r="FG12" s="232"/>
      <c r="FH12" s="232"/>
      <c r="FI12" s="232"/>
      <c r="FJ12" s="232"/>
      <c r="FK12" s="232"/>
      <c r="FL12" s="232"/>
      <c r="FM12" s="232"/>
      <c r="FN12" s="232"/>
      <c r="FO12" s="232"/>
      <c r="FP12" s="232"/>
      <c r="FQ12" s="232"/>
      <c r="FR12" s="232"/>
      <c r="FS12" s="232"/>
      <c r="FT12" s="232"/>
      <c r="FU12" s="232"/>
      <c r="FV12" s="232"/>
      <c r="FW12" s="232"/>
      <c r="FX12" s="232"/>
      <c r="FY12" s="232"/>
      <c r="FZ12" s="232"/>
      <c r="GA12" s="232"/>
      <c r="GB12" s="232"/>
      <c r="GC12" s="232"/>
      <c r="GD12" s="232"/>
      <c r="GE12" s="232"/>
      <c r="GF12" s="232"/>
      <c r="GG12" s="232"/>
      <c r="GH12" s="232"/>
      <c r="GI12" s="232"/>
      <c r="GJ12" s="232"/>
      <c r="GK12" s="232"/>
      <c r="GL12" s="232"/>
      <c r="GM12" s="232"/>
      <c r="GN12" s="232"/>
      <c r="GO12" s="232"/>
      <c r="GP12" s="232"/>
      <c r="GQ12" s="232"/>
      <c r="GR12" s="232"/>
      <c r="GS12" s="232"/>
      <c r="GT12" s="232"/>
      <c r="GU12" s="232"/>
      <c r="GV12" s="232"/>
      <c r="GW12" s="232"/>
      <c r="GX12" s="232"/>
      <c r="GY12" s="232"/>
      <c r="GZ12" s="232"/>
      <c r="HA12" s="232"/>
      <c r="HB12" s="232"/>
      <c r="HC12" s="232"/>
      <c r="HD12" s="232"/>
      <c r="HE12" s="232"/>
      <c r="HF12" s="232"/>
      <c r="HG12" s="232"/>
      <c r="HH12" s="232"/>
      <c r="HI12" s="232"/>
      <c r="HJ12" s="232"/>
      <c r="HK12" s="232"/>
      <c r="HL12" s="232"/>
      <c r="HM12" s="232"/>
      <c r="HN12" s="232"/>
      <c r="HO12" s="232"/>
      <c r="HP12" s="232"/>
      <c r="HQ12" s="232"/>
      <c r="HR12" s="232"/>
      <c r="HS12" s="232"/>
      <c r="HT12" s="232"/>
      <c r="HU12" s="232"/>
      <c r="HV12" s="232"/>
      <c r="HW12" s="232"/>
      <c r="HX12" s="232"/>
      <c r="HY12" s="232"/>
      <c r="HZ12" s="232"/>
      <c r="IA12" s="232"/>
      <c r="IB12" s="232"/>
      <c r="IC12" s="232"/>
      <c r="ID12" s="232"/>
      <c r="IE12" s="232"/>
      <c r="IF12" s="232"/>
      <c r="IG12" s="232"/>
      <c r="IH12" s="232"/>
      <c r="II12" s="232"/>
      <c r="IJ12" s="232"/>
      <c r="IK12" s="232"/>
      <c r="IL12" s="232"/>
      <c r="IM12" s="232"/>
      <c r="IN12" s="232"/>
      <c r="IO12" s="232"/>
      <c r="IP12" s="232"/>
      <c r="IQ12" s="232"/>
      <c r="IR12" s="232"/>
      <c r="IS12" s="232"/>
      <c r="IT12" s="232"/>
    </row>
    <row r="13" spans="1:254" s="237" customFormat="1" ht="16">
      <c r="A13" s="233" t="s">
        <v>131</v>
      </c>
      <c r="B13" s="234" t="s">
        <v>111</v>
      </c>
      <c r="C13" s="235" t="s">
        <v>112</v>
      </c>
      <c r="D13" s="235" t="s">
        <v>113</v>
      </c>
      <c r="E13" s="235" t="s">
        <v>114</v>
      </c>
      <c r="F13" s="235" t="s">
        <v>115</v>
      </c>
      <c r="G13" s="235" t="s">
        <v>116</v>
      </c>
      <c r="H13" s="235" t="s">
        <v>117</v>
      </c>
      <c r="I13" s="235" t="s">
        <v>118</v>
      </c>
      <c r="J13" s="235" t="s">
        <v>119</v>
      </c>
      <c r="K13" s="235" t="s">
        <v>120</v>
      </c>
      <c r="L13" s="235" t="s">
        <v>121</v>
      </c>
      <c r="M13" s="235" t="s">
        <v>122</v>
      </c>
      <c r="N13" s="236" t="s">
        <v>123</v>
      </c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  <c r="BX13" s="238"/>
      <c r="BY13" s="238"/>
      <c r="BZ13" s="238"/>
      <c r="CA13" s="238"/>
      <c r="CB13" s="238"/>
      <c r="CC13" s="238"/>
      <c r="CD13" s="238"/>
      <c r="CE13" s="238"/>
      <c r="CF13" s="238"/>
      <c r="CG13" s="238"/>
      <c r="CH13" s="238"/>
      <c r="CI13" s="238"/>
      <c r="CJ13" s="238"/>
      <c r="CK13" s="238"/>
      <c r="CL13" s="238"/>
      <c r="CM13" s="238"/>
      <c r="CN13" s="238"/>
      <c r="CO13" s="238"/>
      <c r="CP13" s="238"/>
      <c r="CQ13" s="238"/>
      <c r="CR13" s="238"/>
      <c r="CS13" s="238"/>
      <c r="CT13" s="238"/>
      <c r="CU13" s="238"/>
      <c r="CV13" s="238"/>
      <c r="CW13" s="238"/>
      <c r="CX13" s="238"/>
      <c r="CY13" s="238"/>
      <c r="CZ13" s="238"/>
      <c r="DA13" s="238"/>
      <c r="DB13" s="238"/>
      <c r="DC13" s="238"/>
      <c r="DD13" s="238"/>
      <c r="DE13" s="238"/>
      <c r="DF13" s="238"/>
      <c r="DG13" s="238"/>
      <c r="DH13" s="238"/>
      <c r="DI13" s="238"/>
      <c r="DJ13" s="238"/>
      <c r="DK13" s="238"/>
      <c r="DL13" s="238"/>
      <c r="DM13" s="238"/>
      <c r="DN13" s="238"/>
      <c r="DO13" s="238"/>
      <c r="DP13" s="238"/>
      <c r="DQ13" s="238"/>
      <c r="DR13" s="238"/>
      <c r="DS13" s="238"/>
      <c r="DT13" s="238"/>
      <c r="DU13" s="238"/>
      <c r="DV13" s="238"/>
      <c r="DW13" s="238"/>
      <c r="DX13" s="238"/>
      <c r="DY13" s="238"/>
      <c r="DZ13" s="238"/>
      <c r="EA13" s="238"/>
      <c r="EB13" s="238"/>
      <c r="EC13" s="238"/>
      <c r="ED13" s="238"/>
      <c r="EE13" s="238"/>
      <c r="EF13" s="238"/>
      <c r="EG13" s="238"/>
      <c r="EH13" s="238"/>
      <c r="EI13" s="238"/>
      <c r="EJ13" s="238"/>
      <c r="EK13" s="238"/>
      <c r="EL13" s="238"/>
      <c r="EM13" s="238"/>
      <c r="EN13" s="238"/>
      <c r="EO13" s="238"/>
      <c r="EP13" s="238"/>
      <c r="EQ13" s="238"/>
      <c r="ER13" s="238"/>
      <c r="ES13" s="238"/>
      <c r="ET13" s="238"/>
      <c r="EU13" s="238"/>
      <c r="EV13" s="238"/>
      <c r="EW13" s="238"/>
      <c r="EX13" s="238"/>
      <c r="EY13" s="238"/>
      <c r="EZ13" s="238"/>
      <c r="FA13" s="238"/>
      <c r="FB13" s="238"/>
      <c r="FC13" s="238"/>
      <c r="FD13" s="238"/>
      <c r="FE13" s="238"/>
      <c r="FF13" s="238"/>
      <c r="FG13" s="238"/>
      <c r="FH13" s="238"/>
      <c r="FI13" s="238"/>
      <c r="FJ13" s="238"/>
      <c r="FK13" s="238"/>
      <c r="FL13" s="238"/>
      <c r="FM13" s="238"/>
      <c r="FN13" s="238"/>
      <c r="FO13" s="238"/>
      <c r="FP13" s="238"/>
      <c r="FQ13" s="238"/>
      <c r="FR13" s="238"/>
      <c r="FS13" s="238"/>
      <c r="FT13" s="238"/>
      <c r="FU13" s="238"/>
      <c r="FV13" s="238"/>
      <c r="FW13" s="238"/>
      <c r="FX13" s="238"/>
      <c r="FY13" s="238"/>
      <c r="FZ13" s="238"/>
      <c r="GA13" s="238"/>
      <c r="GB13" s="238"/>
      <c r="GC13" s="238"/>
      <c r="GD13" s="238"/>
      <c r="GE13" s="238"/>
      <c r="GF13" s="238"/>
      <c r="GG13" s="238"/>
      <c r="GH13" s="238"/>
      <c r="GI13" s="238"/>
      <c r="GJ13" s="238"/>
      <c r="GK13" s="238"/>
      <c r="GL13" s="238"/>
      <c r="GM13" s="238"/>
      <c r="GN13" s="238"/>
      <c r="GO13" s="238"/>
      <c r="GP13" s="238"/>
      <c r="GQ13" s="238"/>
      <c r="GR13" s="238"/>
      <c r="GS13" s="238"/>
      <c r="GT13" s="238"/>
      <c r="GU13" s="238"/>
      <c r="GV13" s="238"/>
      <c r="GW13" s="238"/>
      <c r="GX13" s="238"/>
      <c r="GY13" s="238"/>
      <c r="GZ13" s="238"/>
      <c r="HA13" s="238"/>
      <c r="HB13" s="238"/>
      <c r="HC13" s="238"/>
      <c r="HD13" s="238"/>
      <c r="HE13" s="238"/>
      <c r="HF13" s="238"/>
      <c r="HG13" s="238"/>
      <c r="HH13" s="238"/>
      <c r="HI13" s="238"/>
      <c r="HJ13" s="238"/>
      <c r="HK13" s="238"/>
      <c r="HL13" s="238"/>
      <c r="HM13" s="238"/>
      <c r="HN13" s="238"/>
      <c r="HO13" s="238"/>
      <c r="HP13" s="238"/>
      <c r="HQ13" s="238"/>
      <c r="HR13" s="238"/>
      <c r="HS13" s="238"/>
      <c r="HT13" s="238"/>
      <c r="HU13" s="238"/>
      <c r="HV13" s="238"/>
      <c r="HW13" s="238"/>
      <c r="HX13" s="238"/>
      <c r="HY13" s="238"/>
      <c r="HZ13" s="238"/>
      <c r="IA13" s="238"/>
      <c r="IB13" s="238"/>
      <c r="IC13" s="238"/>
      <c r="ID13" s="238"/>
      <c r="IE13" s="238"/>
      <c r="IF13" s="238"/>
      <c r="IG13" s="238"/>
      <c r="IH13" s="238"/>
      <c r="II13" s="238"/>
      <c r="IJ13" s="238"/>
      <c r="IK13" s="238"/>
      <c r="IL13" s="238"/>
      <c r="IM13" s="238"/>
      <c r="IN13" s="238"/>
      <c r="IO13" s="238"/>
      <c r="IP13" s="238"/>
      <c r="IQ13" s="238"/>
      <c r="IR13" s="238"/>
      <c r="IS13" s="238"/>
      <c r="IT13" s="238"/>
    </row>
    <row r="14" spans="1:254">
      <c r="A14" s="239" t="s">
        <v>132</v>
      </c>
      <c r="B14" s="240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1"/>
    </row>
    <row r="15" spans="1:254">
      <c r="A15" s="242" t="s">
        <v>295</v>
      </c>
      <c r="B15" s="212">
        <f>'Realkredit finansiering (2)'!E28</f>
        <v>20690.874136315953</v>
      </c>
      <c r="C15" s="213">
        <f t="shared" ref="C15:M16" si="4">B15</f>
        <v>20690.874136315953</v>
      </c>
      <c r="D15" s="213">
        <f t="shared" si="4"/>
        <v>20690.874136315953</v>
      </c>
      <c r="E15" s="213">
        <f t="shared" si="4"/>
        <v>20690.874136315953</v>
      </c>
      <c r="F15" s="213">
        <f t="shared" si="4"/>
        <v>20690.874136315953</v>
      </c>
      <c r="G15" s="213">
        <f t="shared" si="4"/>
        <v>20690.874136315953</v>
      </c>
      <c r="H15" s="213">
        <f t="shared" si="4"/>
        <v>20690.874136315953</v>
      </c>
      <c r="I15" s="213">
        <f t="shared" si="4"/>
        <v>20690.874136315953</v>
      </c>
      <c r="J15" s="213">
        <f t="shared" si="4"/>
        <v>20690.874136315953</v>
      </c>
      <c r="K15" s="213">
        <f t="shared" si="4"/>
        <v>20690.874136315953</v>
      </c>
      <c r="L15" s="213">
        <f t="shared" si="4"/>
        <v>20690.874136315953</v>
      </c>
      <c r="M15" s="213">
        <f t="shared" si="4"/>
        <v>20690.874136315953</v>
      </c>
      <c r="N15" s="243">
        <f t="shared" ref="N15:N26" si="5">SUM(B15:M15)</f>
        <v>248290.48963579143</v>
      </c>
      <c r="O15" s="203" t="s">
        <v>134</v>
      </c>
    </row>
    <row r="16" spans="1:254">
      <c r="A16" s="242" t="s">
        <v>135</v>
      </c>
      <c r="B16" s="215">
        <v>0</v>
      </c>
      <c r="C16" s="215">
        <f t="shared" si="4"/>
        <v>0</v>
      </c>
      <c r="D16" s="215">
        <f t="shared" si="4"/>
        <v>0</v>
      </c>
      <c r="E16" s="215">
        <f t="shared" si="4"/>
        <v>0</v>
      </c>
      <c r="F16" s="215">
        <f t="shared" si="4"/>
        <v>0</v>
      </c>
      <c r="G16" s="215">
        <f t="shared" si="4"/>
        <v>0</v>
      </c>
      <c r="H16" s="215">
        <f t="shared" si="4"/>
        <v>0</v>
      </c>
      <c r="I16" s="215">
        <f t="shared" si="4"/>
        <v>0</v>
      </c>
      <c r="J16" s="215">
        <f t="shared" si="4"/>
        <v>0</v>
      </c>
      <c r="K16" s="215">
        <f t="shared" si="4"/>
        <v>0</v>
      </c>
      <c r="L16" s="215">
        <f t="shared" si="4"/>
        <v>0</v>
      </c>
      <c r="M16" s="215">
        <f t="shared" si="4"/>
        <v>0</v>
      </c>
      <c r="N16" s="244">
        <f t="shared" si="5"/>
        <v>0</v>
      </c>
    </row>
    <row r="17" spans="1:34">
      <c r="A17" s="242" t="s">
        <v>136</v>
      </c>
      <c r="B17" s="212" t="s">
        <v>85</v>
      </c>
      <c r="C17" s="213">
        <v>0</v>
      </c>
      <c r="D17" s="213">
        <v>0</v>
      </c>
      <c r="E17" s="213">
        <v>0</v>
      </c>
      <c r="F17" s="213">
        <v>0</v>
      </c>
      <c r="G17" s="213">
        <v>0</v>
      </c>
      <c r="H17" s="213">
        <v>0</v>
      </c>
      <c r="I17" s="213">
        <v>0</v>
      </c>
      <c r="J17" s="213">
        <v>0</v>
      </c>
      <c r="K17" s="213">
        <v>0</v>
      </c>
      <c r="L17" s="213">
        <v>0</v>
      </c>
      <c r="M17" s="213">
        <v>0</v>
      </c>
      <c r="N17" s="243">
        <f t="shared" si="5"/>
        <v>0</v>
      </c>
    </row>
    <row r="18" spans="1:34">
      <c r="A18" s="242" t="s">
        <v>137</v>
      </c>
      <c r="B18" s="215">
        <f>N18/12</f>
        <v>2075</v>
      </c>
      <c r="C18" s="215">
        <f>B18</f>
        <v>2075</v>
      </c>
      <c r="D18" s="215">
        <f t="shared" ref="D18:M18" si="6">C18</f>
        <v>2075</v>
      </c>
      <c r="E18" s="215">
        <f t="shared" si="6"/>
        <v>2075</v>
      </c>
      <c r="F18" s="215">
        <f t="shared" si="6"/>
        <v>2075</v>
      </c>
      <c r="G18" s="215">
        <f t="shared" si="6"/>
        <v>2075</v>
      </c>
      <c r="H18" s="215">
        <f t="shared" si="6"/>
        <v>2075</v>
      </c>
      <c r="I18" s="215">
        <f t="shared" si="6"/>
        <v>2075</v>
      </c>
      <c r="J18" s="215">
        <f t="shared" si="6"/>
        <v>2075</v>
      </c>
      <c r="K18" s="215">
        <f t="shared" si="6"/>
        <v>2075</v>
      </c>
      <c r="L18" s="215">
        <f t="shared" si="6"/>
        <v>2075</v>
      </c>
      <c r="M18" s="215">
        <f t="shared" si="6"/>
        <v>2075</v>
      </c>
      <c r="N18" s="244">
        <v>24900</v>
      </c>
    </row>
    <row r="19" spans="1:34">
      <c r="A19" s="242" t="s">
        <v>138</v>
      </c>
      <c r="B19" s="212">
        <v>1500</v>
      </c>
      <c r="C19" s="213">
        <v>0</v>
      </c>
      <c r="D19" s="213">
        <v>0</v>
      </c>
      <c r="E19" s="213">
        <f>B19</f>
        <v>1500</v>
      </c>
      <c r="F19" s="213">
        <v>0</v>
      </c>
      <c r="G19" s="213">
        <v>0</v>
      </c>
      <c r="H19" s="213">
        <f>E19</f>
        <v>1500</v>
      </c>
      <c r="I19" s="213">
        <v>0</v>
      </c>
      <c r="J19" s="213">
        <v>0</v>
      </c>
      <c r="K19" s="213">
        <f>H19</f>
        <v>1500</v>
      </c>
      <c r="L19" s="213">
        <v>0</v>
      </c>
      <c r="M19" s="213">
        <v>0</v>
      </c>
      <c r="N19" s="243">
        <f t="shared" si="5"/>
        <v>6000</v>
      </c>
    </row>
    <row r="20" spans="1:34">
      <c r="A20" s="242" t="s">
        <v>139</v>
      </c>
      <c r="B20" s="215">
        <v>700</v>
      </c>
      <c r="C20" s="215">
        <f>B20</f>
        <v>700</v>
      </c>
      <c r="D20" s="215">
        <f t="shared" ref="D20:M20" si="7">C20</f>
        <v>700</v>
      </c>
      <c r="E20" s="215">
        <f t="shared" si="7"/>
        <v>700</v>
      </c>
      <c r="F20" s="215">
        <f t="shared" si="7"/>
        <v>700</v>
      </c>
      <c r="G20" s="215">
        <f t="shared" si="7"/>
        <v>700</v>
      </c>
      <c r="H20" s="215">
        <f t="shared" si="7"/>
        <v>700</v>
      </c>
      <c r="I20" s="215">
        <f t="shared" si="7"/>
        <v>700</v>
      </c>
      <c r="J20" s="215">
        <f t="shared" si="7"/>
        <v>700</v>
      </c>
      <c r="K20" s="215">
        <f t="shared" si="7"/>
        <v>700</v>
      </c>
      <c r="L20" s="215">
        <f t="shared" si="7"/>
        <v>700</v>
      </c>
      <c r="M20" s="215">
        <f t="shared" si="7"/>
        <v>700</v>
      </c>
      <c r="N20" s="244">
        <f t="shared" si="5"/>
        <v>8400</v>
      </c>
    </row>
    <row r="21" spans="1:34">
      <c r="A21" s="242" t="s">
        <v>91</v>
      </c>
      <c r="B21" s="212" t="s">
        <v>85</v>
      </c>
      <c r="C21" s="213">
        <v>0</v>
      </c>
      <c r="D21" s="213">
        <v>0</v>
      </c>
      <c r="E21" s="213">
        <v>0</v>
      </c>
      <c r="F21" s="213">
        <v>0</v>
      </c>
      <c r="G21" s="213">
        <v>0</v>
      </c>
      <c r="H21" s="213" t="str">
        <f>B21</f>
        <v xml:space="preserve"> </v>
      </c>
      <c r="I21" s="213">
        <v>0</v>
      </c>
      <c r="J21" s="213">
        <v>0</v>
      </c>
      <c r="K21" s="213">
        <v>0</v>
      </c>
      <c r="L21" s="213">
        <v>0</v>
      </c>
      <c r="M21" s="213">
        <v>0</v>
      </c>
      <c r="N21" s="245">
        <f t="shared" si="5"/>
        <v>0</v>
      </c>
    </row>
    <row r="22" spans="1:34">
      <c r="A22" s="242" t="s">
        <v>140</v>
      </c>
      <c r="B22" s="215" t="s">
        <v>85</v>
      </c>
      <c r="C22" s="215" t="str">
        <f t="shared" ref="C22:M22" si="8">B22</f>
        <v xml:space="preserve"> </v>
      </c>
      <c r="D22" s="215" t="str">
        <f t="shared" si="8"/>
        <v xml:space="preserve"> </v>
      </c>
      <c r="E22" s="215" t="str">
        <f t="shared" si="8"/>
        <v xml:space="preserve"> </v>
      </c>
      <c r="F22" s="215" t="str">
        <f t="shared" si="8"/>
        <v xml:space="preserve"> </v>
      </c>
      <c r="G22" s="215" t="str">
        <f t="shared" si="8"/>
        <v xml:space="preserve"> </v>
      </c>
      <c r="H22" s="215" t="str">
        <f t="shared" si="8"/>
        <v xml:space="preserve"> </v>
      </c>
      <c r="I22" s="215" t="str">
        <f t="shared" si="8"/>
        <v xml:space="preserve"> </v>
      </c>
      <c r="J22" s="215" t="str">
        <f t="shared" si="8"/>
        <v xml:space="preserve"> </v>
      </c>
      <c r="K22" s="215" t="str">
        <f t="shared" si="8"/>
        <v xml:space="preserve"> </v>
      </c>
      <c r="L22" s="215" t="str">
        <f t="shared" si="8"/>
        <v xml:space="preserve"> </v>
      </c>
      <c r="M22" s="215" t="str">
        <f t="shared" si="8"/>
        <v xml:space="preserve"> </v>
      </c>
      <c r="N22" s="246">
        <f t="shared" si="5"/>
        <v>0</v>
      </c>
    </row>
    <row r="23" spans="1:34">
      <c r="A23" s="242" t="s">
        <v>141</v>
      </c>
      <c r="B23" s="212" t="s">
        <v>85</v>
      </c>
      <c r="C23" s="213">
        <v>0</v>
      </c>
      <c r="D23" s="213">
        <v>0</v>
      </c>
      <c r="E23" s="213">
        <v>0</v>
      </c>
      <c r="F23" s="213">
        <v>0</v>
      </c>
      <c r="G23" s="213">
        <v>0</v>
      </c>
      <c r="H23" s="213">
        <v>0</v>
      </c>
      <c r="I23" s="213">
        <v>0</v>
      </c>
      <c r="J23" s="213">
        <v>0</v>
      </c>
      <c r="K23" s="213">
        <v>0</v>
      </c>
      <c r="L23" s="213">
        <v>0</v>
      </c>
      <c r="M23" s="213">
        <v>0</v>
      </c>
      <c r="N23" s="245">
        <f t="shared" si="5"/>
        <v>0</v>
      </c>
    </row>
    <row r="24" spans="1:34">
      <c r="A24" s="242" t="s">
        <v>142</v>
      </c>
      <c r="B24" s="215">
        <v>500</v>
      </c>
      <c r="C24" s="215">
        <f>B24</f>
        <v>500</v>
      </c>
      <c r="D24" s="215">
        <f t="shared" ref="D24:M24" si="9">C24</f>
        <v>500</v>
      </c>
      <c r="E24" s="215">
        <f t="shared" si="9"/>
        <v>500</v>
      </c>
      <c r="F24" s="215">
        <f t="shared" si="9"/>
        <v>500</v>
      </c>
      <c r="G24" s="215">
        <f t="shared" si="9"/>
        <v>500</v>
      </c>
      <c r="H24" s="215">
        <f t="shared" si="9"/>
        <v>500</v>
      </c>
      <c r="I24" s="215">
        <f t="shared" si="9"/>
        <v>500</v>
      </c>
      <c r="J24" s="215">
        <f t="shared" si="9"/>
        <v>500</v>
      </c>
      <c r="K24" s="215">
        <f t="shared" si="9"/>
        <v>500</v>
      </c>
      <c r="L24" s="215">
        <f t="shared" si="9"/>
        <v>500</v>
      </c>
      <c r="M24" s="215">
        <f t="shared" si="9"/>
        <v>500</v>
      </c>
      <c r="N24" s="246">
        <f t="shared" si="5"/>
        <v>6000</v>
      </c>
      <c r="O24" s="247"/>
    </row>
    <row r="25" spans="1:34">
      <c r="A25" s="242" t="s">
        <v>143</v>
      </c>
      <c r="B25" s="212" t="s">
        <v>85</v>
      </c>
      <c r="C25" s="213">
        <v>0</v>
      </c>
      <c r="D25" s="213">
        <v>0</v>
      </c>
      <c r="E25" s="213">
        <v>0</v>
      </c>
      <c r="F25" s="213">
        <v>0</v>
      </c>
      <c r="G25" s="213">
        <v>0</v>
      </c>
      <c r="H25" s="213">
        <v>0</v>
      </c>
      <c r="I25" s="213">
        <v>0</v>
      </c>
      <c r="J25" s="213">
        <v>0</v>
      </c>
      <c r="K25" s="213">
        <v>0</v>
      </c>
      <c r="L25" s="213">
        <v>0</v>
      </c>
      <c r="M25" s="213">
        <v>0</v>
      </c>
      <c r="N25" s="245">
        <f t="shared" si="5"/>
        <v>0</v>
      </c>
    </row>
    <row r="26" spans="1:34">
      <c r="A26" s="242" t="s">
        <v>144</v>
      </c>
      <c r="B26" s="215">
        <v>6252</v>
      </c>
      <c r="C26" s="215">
        <f>B26</f>
        <v>6252</v>
      </c>
      <c r="D26" s="215">
        <f t="shared" ref="D26:M26" si="10">C26</f>
        <v>6252</v>
      </c>
      <c r="E26" s="215">
        <f t="shared" si="10"/>
        <v>6252</v>
      </c>
      <c r="F26" s="215">
        <f t="shared" si="10"/>
        <v>6252</v>
      </c>
      <c r="G26" s="215">
        <f t="shared" si="10"/>
        <v>6252</v>
      </c>
      <c r="H26" s="215">
        <f t="shared" si="10"/>
        <v>6252</v>
      </c>
      <c r="I26" s="215">
        <f t="shared" si="10"/>
        <v>6252</v>
      </c>
      <c r="J26" s="215">
        <f t="shared" si="10"/>
        <v>6252</v>
      </c>
      <c r="K26" s="215">
        <f t="shared" si="10"/>
        <v>6252</v>
      </c>
      <c r="L26" s="215">
        <f t="shared" si="10"/>
        <v>6252</v>
      </c>
      <c r="M26" s="215">
        <f t="shared" si="10"/>
        <v>6252</v>
      </c>
      <c r="N26" s="246">
        <f t="shared" si="5"/>
        <v>75024</v>
      </c>
    </row>
    <row r="27" spans="1:34" s="223" customFormat="1">
      <c r="A27" s="239" t="s">
        <v>145</v>
      </c>
      <c r="B27" s="248">
        <f t="shared" ref="B27:N27" si="11">SUM(B15:B26)</f>
        <v>31717.874136315953</v>
      </c>
      <c r="C27" s="249">
        <f t="shared" si="11"/>
        <v>30217.874136315953</v>
      </c>
      <c r="D27" s="249">
        <f t="shared" si="11"/>
        <v>30217.874136315953</v>
      </c>
      <c r="E27" s="249">
        <f t="shared" si="11"/>
        <v>31717.874136315953</v>
      </c>
      <c r="F27" s="249">
        <f t="shared" si="11"/>
        <v>30217.874136315953</v>
      </c>
      <c r="G27" s="249">
        <f t="shared" si="11"/>
        <v>30217.874136315953</v>
      </c>
      <c r="H27" s="249">
        <f t="shared" si="11"/>
        <v>31717.874136315953</v>
      </c>
      <c r="I27" s="249">
        <f t="shared" si="11"/>
        <v>30217.874136315953</v>
      </c>
      <c r="J27" s="249">
        <f t="shared" si="11"/>
        <v>30217.874136315953</v>
      </c>
      <c r="K27" s="249">
        <f t="shared" si="11"/>
        <v>31717.874136315953</v>
      </c>
      <c r="L27" s="249">
        <f t="shared" si="11"/>
        <v>30217.874136315953</v>
      </c>
      <c r="M27" s="249">
        <f t="shared" si="11"/>
        <v>30217.874136315953</v>
      </c>
      <c r="N27" s="250">
        <f t="shared" si="11"/>
        <v>368614.4896357914</v>
      </c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2"/>
    </row>
    <row r="28" spans="1:34" s="255" customFormat="1" ht="12">
      <c r="A28" s="251"/>
      <c r="B28" s="252"/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3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54"/>
    </row>
    <row r="29" spans="1:34">
      <c r="A29" s="239" t="s">
        <v>146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56"/>
    </row>
    <row r="30" spans="1:34">
      <c r="A30" s="242" t="s">
        <v>147</v>
      </c>
      <c r="B30" s="257">
        <v>8000</v>
      </c>
      <c r="C30" s="258">
        <v>0</v>
      </c>
      <c r="D30" s="258">
        <v>0</v>
      </c>
      <c r="E30" s="258">
        <v>0</v>
      </c>
      <c r="F30" s="258">
        <v>0</v>
      </c>
      <c r="G30" s="258">
        <v>0</v>
      </c>
      <c r="H30" s="258">
        <v>0</v>
      </c>
      <c r="I30" s="258">
        <v>0</v>
      </c>
      <c r="J30" s="258">
        <v>0</v>
      </c>
      <c r="K30" s="258">
        <v>0</v>
      </c>
      <c r="L30" s="258">
        <v>0</v>
      </c>
      <c r="M30" s="258">
        <v>0</v>
      </c>
      <c r="N30" s="259">
        <f t="shared" ref="N30:N36" si="12">SUM(B30:M30)</f>
        <v>8000</v>
      </c>
    </row>
    <row r="31" spans="1:34">
      <c r="A31" s="242" t="s">
        <v>148</v>
      </c>
      <c r="B31" s="260">
        <v>800</v>
      </c>
      <c r="C31" s="260">
        <v>0</v>
      </c>
      <c r="D31" s="260">
        <v>0</v>
      </c>
      <c r="E31" s="260">
        <v>0</v>
      </c>
      <c r="F31" s="260">
        <v>0</v>
      </c>
      <c r="G31" s="260">
        <v>0</v>
      </c>
      <c r="H31" s="260">
        <v>0</v>
      </c>
      <c r="I31" s="260">
        <v>0</v>
      </c>
      <c r="J31" s="260">
        <v>0</v>
      </c>
      <c r="K31" s="260">
        <v>0</v>
      </c>
      <c r="L31" s="260">
        <v>0</v>
      </c>
      <c r="M31" s="260">
        <v>0</v>
      </c>
      <c r="N31" s="261">
        <f t="shared" si="12"/>
        <v>800</v>
      </c>
    </row>
    <row r="32" spans="1:34">
      <c r="A32" s="242" t="s">
        <v>149</v>
      </c>
      <c r="B32" s="262">
        <v>700</v>
      </c>
      <c r="C32" s="263">
        <f t="shared" ref="C32:M32" si="13">B32</f>
        <v>700</v>
      </c>
      <c r="D32" s="263">
        <f t="shared" si="13"/>
        <v>700</v>
      </c>
      <c r="E32" s="263">
        <f t="shared" si="13"/>
        <v>700</v>
      </c>
      <c r="F32" s="263">
        <f t="shared" si="13"/>
        <v>700</v>
      </c>
      <c r="G32" s="263">
        <f t="shared" si="13"/>
        <v>700</v>
      </c>
      <c r="H32" s="263">
        <f t="shared" si="13"/>
        <v>700</v>
      </c>
      <c r="I32" s="263">
        <f t="shared" si="13"/>
        <v>700</v>
      </c>
      <c r="J32" s="263">
        <f t="shared" si="13"/>
        <v>700</v>
      </c>
      <c r="K32" s="263">
        <f t="shared" si="13"/>
        <v>700</v>
      </c>
      <c r="L32" s="263">
        <f t="shared" si="13"/>
        <v>700</v>
      </c>
      <c r="M32" s="263">
        <f t="shared" si="13"/>
        <v>700</v>
      </c>
      <c r="N32" s="250">
        <f t="shared" si="12"/>
        <v>8400</v>
      </c>
    </row>
    <row r="33" spans="1:34">
      <c r="A33" s="242" t="s">
        <v>150</v>
      </c>
      <c r="B33" s="264">
        <v>0</v>
      </c>
      <c r="C33" s="215">
        <v>0</v>
      </c>
      <c r="D33" s="215">
        <v>0</v>
      </c>
      <c r="E33" s="215">
        <v>0</v>
      </c>
      <c r="F33" s="215">
        <v>0</v>
      </c>
      <c r="G33" s="215">
        <v>0</v>
      </c>
      <c r="H33" s="215">
        <v>0</v>
      </c>
      <c r="I33" s="215">
        <v>0</v>
      </c>
      <c r="J33" s="215">
        <v>0</v>
      </c>
      <c r="K33" s="215">
        <v>0</v>
      </c>
      <c r="L33" s="215">
        <v>0</v>
      </c>
      <c r="M33" s="215">
        <v>0</v>
      </c>
      <c r="N33" s="246">
        <f t="shared" si="12"/>
        <v>0</v>
      </c>
    </row>
    <row r="34" spans="1:34">
      <c r="A34" s="242" t="s">
        <v>151</v>
      </c>
      <c r="B34" s="262">
        <v>0</v>
      </c>
      <c r="C34" s="263">
        <f t="shared" ref="C34:M34" si="14">B34</f>
        <v>0</v>
      </c>
      <c r="D34" s="263">
        <f t="shared" si="14"/>
        <v>0</v>
      </c>
      <c r="E34" s="263">
        <f t="shared" si="14"/>
        <v>0</v>
      </c>
      <c r="F34" s="263">
        <f t="shared" si="14"/>
        <v>0</v>
      </c>
      <c r="G34" s="263">
        <f t="shared" si="14"/>
        <v>0</v>
      </c>
      <c r="H34" s="263">
        <f t="shared" si="14"/>
        <v>0</v>
      </c>
      <c r="I34" s="263">
        <f t="shared" si="14"/>
        <v>0</v>
      </c>
      <c r="J34" s="263">
        <f t="shared" si="14"/>
        <v>0</v>
      </c>
      <c r="K34" s="263">
        <f t="shared" si="14"/>
        <v>0</v>
      </c>
      <c r="L34" s="263">
        <f t="shared" si="14"/>
        <v>0</v>
      </c>
      <c r="M34" s="263">
        <f t="shared" si="14"/>
        <v>0</v>
      </c>
      <c r="N34" s="250">
        <f t="shared" si="12"/>
        <v>0</v>
      </c>
    </row>
    <row r="35" spans="1:34">
      <c r="A35" s="242" t="s">
        <v>152</v>
      </c>
      <c r="B35" s="264">
        <v>500</v>
      </c>
      <c r="C35" s="264">
        <v>500</v>
      </c>
      <c r="D35" s="264">
        <v>500</v>
      </c>
      <c r="E35" s="264">
        <v>500</v>
      </c>
      <c r="F35" s="264">
        <v>500</v>
      </c>
      <c r="G35" s="264">
        <v>500</v>
      </c>
      <c r="H35" s="264">
        <v>500</v>
      </c>
      <c r="I35" s="264">
        <v>500</v>
      </c>
      <c r="J35" s="264">
        <v>500</v>
      </c>
      <c r="K35" s="264">
        <v>500</v>
      </c>
      <c r="L35" s="264">
        <v>500</v>
      </c>
      <c r="M35" s="264">
        <v>500</v>
      </c>
      <c r="N35" s="246">
        <f t="shared" si="12"/>
        <v>6000</v>
      </c>
    </row>
    <row r="36" spans="1:34" s="223" customFormat="1">
      <c r="A36" s="239" t="s">
        <v>153</v>
      </c>
      <c r="B36" s="248">
        <f t="shared" ref="B36:M36" si="15">SUM(B30:B35)</f>
        <v>10000</v>
      </c>
      <c r="C36" s="249">
        <f t="shared" si="15"/>
        <v>1200</v>
      </c>
      <c r="D36" s="249">
        <f t="shared" si="15"/>
        <v>1200</v>
      </c>
      <c r="E36" s="249">
        <f t="shared" si="15"/>
        <v>1200</v>
      </c>
      <c r="F36" s="249">
        <f t="shared" si="15"/>
        <v>1200</v>
      </c>
      <c r="G36" s="249">
        <f t="shared" si="15"/>
        <v>1200</v>
      </c>
      <c r="H36" s="249">
        <f t="shared" si="15"/>
        <v>1200</v>
      </c>
      <c r="I36" s="249">
        <f t="shared" si="15"/>
        <v>1200</v>
      </c>
      <c r="J36" s="249">
        <f t="shared" si="15"/>
        <v>1200</v>
      </c>
      <c r="K36" s="249">
        <f t="shared" si="15"/>
        <v>1200</v>
      </c>
      <c r="L36" s="249">
        <f t="shared" si="15"/>
        <v>1200</v>
      </c>
      <c r="M36" s="249">
        <f t="shared" si="15"/>
        <v>1200</v>
      </c>
      <c r="N36" s="250">
        <f t="shared" si="12"/>
        <v>23200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2"/>
    </row>
    <row r="37" spans="1:34" s="255" customFormat="1" ht="12">
      <c r="A37" s="251"/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3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54"/>
    </row>
    <row r="38" spans="1:34">
      <c r="A38" s="239" t="s">
        <v>154</v>
      </c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56"/>
    </row>
    <row r="39" spans="1:34">
      <c r="A39" s="242" t="s">
        <v>155</v>
      </c>
      <c r="B39" s="262">
        <v>0</v>
      </c>
      <c r="C39" s="263">
        <f t="shared" ref="C39:M39" si="16">B39</f>
        <v>0</v>
      </c>
      <c r="D39" s="263">
        <f t="shared" si="16"/>
        <v>0</v>
      </c>
      <c r="E39" s="263">
        <f t="shared" si="16"/>
        <v>0</v>
      </c>
      <c r="F39" s="263">
        <f t="shared" si="16"/>
        <v>0</v>
      </c>
      <c r="G39" s="263">
        <f t="shared" si="16"/>
        <v>0</v>
      </c>
      <c r="H39" s="263">
        <f t="shared" si="16"/>
        <v>0</v>
      </c>
      <c r="I39" s="263">
        <f t="shared" si="16"/>
        <v>0</v>
      </c>
      <c r="J39" s="263">
        <f t="shared" si="16"/>
        <v>0</v>
      </c>
      <c r="K39" s="263">
        <f t="shared" si="16"/>
        <v>0</v>
      </c>
      <c r="L39" s="263">
        <f t="shared" si="16"/>
        <v>0</v>
      </c>
      <c r="M39" s="263">
        <f t="shared" si="16"/>
        <v>0</v>
      </c>
      <c r="N39" s="250">
        <f>SUM(B39:M39)</f>
        <v>0</v>
      </c>
      <c r="O39" s="247"/>
    </row>
    <row r="40" spans="1:34">
      <c r="A40" s="242" t="s">
        <v>129</v>
      </c>
      <c r="B40" s="264">
        <v>0</v>
      </c>
      <c r="C40" s="215">
        <v>0</v>
      </c>
      <c r="D40" s="215">
        <v>0</v>
      </c>
      <c r="E40" s="215">
        <v>0</v>
      </c>
      <c r="F40" s="215">
        <v>0</v>
      </c>
      <c r="G40" s="215">
        <v>0</v>
      </c>
      <c r="H40" s="215">
        <v>0</v>
      </c>
      <c r="I40" s="215">
        <v>0</v>
      </c>
      <c r="J40" s="215">
        <v>0</v>
      </c>
      <c r="K40" s="215">
        <v>0</v>
      </c>
      <c r="L40" s="215">
        <v>0</v>
      </c>
      <c r="M40" s="215">
        <v>0</v>
      </c>
      <c r="N40" s="246">
        <f>SUM(B40:M40)</f>
        <v>0</v>
      </c>
    </row>
    <row r="41" spans="1:34" s="223" customFormat="1">
      <c r="A41" s="239" t="s">
        <v>156</v>
      </c>
      <c r="B41" s="248">
        <f t="shared" ref="B41:M41" si="17">SUM(B39:B40)</f>
        <v>0</v>
      </c>
      <c r="C41" s="249">
        <f t="shared" si="17"/>
        <v>0</v>
      </c>
      <c r="D41" s="249">
        <f t="shared" si="17"/>
        <v>0</v>
      </c>
      <c r="E41" s="249">
        <f t="shared" si="17"/>
        <v>0</v>
      </c>
      <c r="F41" s="249">
        <f t="shared" si="17"/>
        <v>0</v>
      </c>
      <c r="G41" s="249">
        <f t="shared" si="17"/>
        <v>0</v>
      </c>
      <c r="H41" s="249">
        <f t="shared" si="17"/>
        <v>0</v>
      </c>
      <c r="I41" s="249">
        <f t="shared" si="17"/>
        <v>0</v>
      </c>
      <c r="J41" s="249">
        <f t="shared" si="17"/>
        <v>0</v>
      </c>
      <c r="K41" s="249">
        <f t="shared" si="17"/>
        <v>0</v>
      </c>
      <c r="L41" s="249">
        <f t="shared" si="17"/>
        <v>0</v>
      </c>
      <c r="M41" s="249">
        <f t="shared" si="17"/>
        <v>0</v>
      </c>
      <c r="N41" s="250">
        <f>SUM(B41:M41)</f>
        <v>0</v>
      </c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2"/>
    </row>
    <row r="42" spans="1:34" s="255" customFormat="1" ht="12">
      <c r="A42" s="251"/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3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54"/>
    </row>
    <row r="43" spans="1:34">
      <c r="A43" s="239" t="s">
        <v>157</v>
      </c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56"/>
    </row>
    <row r="44" spans="1:34">
      <c r="A44" s="242" t="s">
        <v>158</v>
      </c>
      <c r="B44" s="212">
        <v>0</v>
      </c>
      <c r="C44" s="213">
        <f t="shared" ref="C44:M48" si="18">B44</f>
        <v>0</v>
      </c>
      <c r="D44" s="213">
        <f t="shared" si="18"/>
        <v>0</v>
      </c>
      <c r="E44" s="213">
        <f t="shared" si="18"/>
        <v>0</v>
      </c>
      <c r="F44" s="213">
        <f t="shared" si="18"/>
        <v>0</v>
      </c>
      <c r="G44" s="213">
        <f t="shared" si="18"/>
        <v>0</v>
      </c>
      <c r="H44" s="213">
        <f t="shared" si="18"/>
        <v>0</v>
      </c>
      <c r="I44" s="213">
        <f t="shared" si="18"/>
        <v>0</v>
      </c>
      <c r="J44" s="213">
        <f t="shared" si="18"/>
        <v>0</v>
      </c>
      <c r="K44" s="213">
        <f t="shared" si="18"/>
        <v>0</v>
      </c>
      <c r="L44" s="213">
        <f t="shared" si="18"/>
        <v>0</v>
      </c>
      <c r="M44" s="213">
        <f t="shared" si="18"/>
        <v>0</v>
      </c>
      <c r="N44" s="245">
        <f t="shared" ref="N44:N48" si="19">SUM(B44:M44)</f>
        <v>0</v>
      </c>
    </row>
    <row r="45" spans="1:34">
      <c r="A45" s="242" t="s">
        <v>159</v>
      </c>
      <c r="B45" s="215">
        <v>0</v>
      </c>
      <c r="C45" s="215">
        <f t="shared" si="18"/>
        <v>0</v>
      </c>
      <c r="D45" s="215">
        <f t="shared" si="18"/>
        <v>0</v>
      </c>
      <c r="E45" s="215">
        <f t="shared" si="18"/>
        <v>0</v>
      </c>
      <c r="F45" s="215">
        <f t="shared" si="18"/>
        <v>0</v>
      </c>
      <c r="G45" s="215">
        <f t="shared" si="18"/>
        <v>0</v>
      </c>
      <c r="H45" s="215">
        <f t="shared" si="18"/>
        <v>0</v>
      </c>
      <c r="I45" s="215">
        <f t="shared" si="18"/>
        <v>0</v>
      </c>
      <c r="J45" s="215">
        <f t="shared" si="18"/>
        <v>0</v>
      </c>
      <c r="K45" s="215">
        <f t="shared" si="18"/>
        <v>0</v>
      </c>
      <c r="L45" s="215">
        <f t="shared" si="18"/>
        <v>0</v>
      </c>
      <c r="M45" s="215">
        <f t="shared" si="18"/>
        <v>0</v>
      </c>
      <c r="N45" s="246">
        <f t="shared" si="19"/>
        <v>0</v>
      </c>
      <c r="O45" s="247"/>
    </row>
    <row r="46" spans="1:34">
      <c r="A46" s="242" t="s">
        <v>160</v>
      </c>
      <c r="B46" s="212">
        <v>250</v>
      </c>
      <c r="C46" s="213">
        <f t="shared" si="18"/>
        <v>250</v>
      </c>
      <c r="D46" s="213">
        <f t="shared" si="18"/>
        <v>250</v>
      </c>
      <c r="E46" s="213">
        <f t="shared" si="18"/>
        <v>250</v>
      </c>
      <c r="F46" s="213">
        <f t="shared" si="18"/>
        <v>250</v>
      </c>
      <c r="G46" s="213">
        <f t="shared" si="18"/>
        <v>250</v>
      </c>
      <c r="H46" s="213">
        <f t="shared" si="18"/>
        <v>250</v>
      </c>
      <c r="I46" s="213">
        <f t="shared" si="18"/>
        <v>250</v>
      </c>
      <c r="J46" s="213">
        <f t="shared" si="18"/>
        <v>250</v>
      </c>
      <c r="K46" s="213">
        <f t="shared" si="18"/>
        <v>250</v>
      </c>
      <c r="L46" s="213">
        <f t="shared" si="18"/>
        <v>250</v>
      </c>
      <c r="M46" s="213">
        <f t="shared" si="18"/>
        <v>250</v>
      </c>
      <c r="N46" s="245">
        <f t="shared" si="19"/>
        <v>3000</v>
      </c>
    </row>
    <row r="47" spans="1:34">
      <c r="A47" s="242" t="s">
        <v>161</v>
      </c>
      <c r="B47" s="215">
        <v>300</v>
      </c>
      <c r="C47" s="215">
        <f t="shared" si="18"/>
        <v>300</v>
      </c>
      <c r="D47" s="215">
        <f t="shared" si="18"/>
        <v>300</v>
      </c>
      <c r="E47" s="215">
        <f t="shared" si="18"/>
        <v>300</v>
      </c>
      <c r="F47" s="215">
        <f t="shared" si="18"/>
        <v>300</v>
      </c>
      <c r="G47" s="215">
        <f t="shared" si="18"/>
        <v>300</v>
      </c>
      <c r="H47" s="215">
        <f t="shared" si="18"/>
        <v>300</v>
      </c>
      <c r="I47" s="215">
        <f t="shared" si="18"/>
        <v>300</v>
      </c>
      <c r="J47" s="215">
        <f t="shared" si="18"/>
        <v>300</v>
      </c>
      <c r="K47" s="215">
        <f t="shared" si="18"/>
        <v>300</v>
      </c>
      <c r="L47" s="215">
        <f t="shared" si="18"/>
        <v>300</v>
      </c>
      <c r="M47" s="215">
        <f t="shared" si="18"/>
        <v>300</v>
      </c>
      <c r="N47" s="244">
        <f t="shared" si="19"/>
        <v>3600</v>
      </c>
    </row>
    <row r="48" spans="1:34">
      <c r="A48" s="242" t="s">
        <v>162</v>
      </c>
      <c r="B48" s="215">
        <v>0</v>
      </c>
      <c r="C48" s="215">
        <f>B48</f>
        <v>0</v>
      </c>
      <c r="D48" s="215">
        <f t="shared" si="18"/>
        <v>0</v>
      </c>
      <c r="E48" s="215">
        <f t="shared" si="18"/>
        <v>0</v>
      </c>
      <c r="F48" s="215">
        <f t="shared" si="18"/>
        <v>0</v>
      </c>
      <c r="G48" s="215">
        <f t="shared" si="18"/>
        <v>0</v>
      </c>
      <c r="H48" s="215">
        <f t="shared" si="18"/>
        <v>0</v>
      </c>
      <c r="I48" s="215">
        <f t="shared" si="18"/>
        <v>0</v>
      </c>
      <c r="J48" s="215">
        <f t="shared" si="18"/>
        <v>0</v>
      </c>
      <c r="K48" s="215">
        <f t="shared" si="18"/>
        <v>0</v>
      </c>
      <c r="L48" s="215">
        <f t="shared" si="18"/>
        <v>0</v>
      </c>
      <c r="M48" s="215">
        <f t="shared" si="18"/>
        <v>0</v>
      </c>
      <c r="N48" s="244">
        <f t="shared" si="19"/>
        <v>0</v>
      </c>
    </row>
    <row r="49" spans="1:34" s="223" customFormat="1">
      <c r="A49" s="239" t="s">
        <v>163</v>
      </c>
      <c r="B49" s="248">
        <f t="shared" ref="B49:N49" si="20">SUM(B44:B48)</f>
        <v>550</v>
      </c>
      <c r="C49" s="249">
        <f t="shared" si="20"/>
        <v>550</v>
      </c>
      <c r="D49" s="249">
        <f t="shared" si="20"/>
        <v>550</v>
      </c>
      <c r="E49" s="249">
        <f t="shared" si="20"/>
        <v>550</v>
      </c>
      <c r="F49" s="249">
        <f t="shared" si="20"/>
        <v>550</v>
      </c>
      <c r="G49" s="249">
        <f t="shared" si="20"/>
        <v>550</v>
      </c>
      <c r="H49" s="249">
        <f t="shared" si="20"/>
        <v>550</v>
      </c>
      <c r="I49" s="249">
        <f t="shared" si="20"/>
        <v>550</v>
      </c>
      <c r="J49" s="249">
        <f t="shared" si="20"/>
        <v>550</v>
      </c>
      <c r="K49" s="249">
        <f t="shared" si="20"/>
        <v>550</v>
      </c>
      <c r="L49" s="249">
        <f t="shared" si="20"/>
        <v>550</v>
      </c>
      <c r="M49" s="249">
        <f t="shared" si="20"/>
        <v>550</v>
      </c>
      <c r="N49" s="250">
        <f t="shared" si="20"/>
        <v>6600</v>
      </c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2"/>
    </row>
    <row r="50" spans="1:34" s="255" customFormat="1" ht="12">
      <c r="A50" s="251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3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54"/>
    </row>
    <row r="51" spans="1:34">
      <c r="A51" s="239" t="s">
        <v>164</v>
      </c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56"/>
    </row>
    <row r="52" spans="1:34">
      <c r="A52" s="242" t="s">
        <v>165</v>
      </c>
      <c r="B52" s="265">
        <v>1500</v>
      </c>
      <c r="C52" s="266" t="s">
        <v>85</v>
      </c>
      <c r="D52" s="266" t="s">
        <v>85</v>
      </c>
      <c r="E52" s="266">
        <f>B52</f>
        <v>1500</v>
      </c>
      <c r="F52" s="266" t="s">
        <v>85</v>
      </c>
      <c r="G52" s="266" t="s">
        <v>85</v>
      </c>
      <c r="H52" s="266">
        <f>E52</f>
        <v>1500</v>
      </c>
      <c r="I52" s="266" t="s">
        <v>85</v>
      </c>
      <c r="J52" s="266" t="s">
        <v>85</v>
      </c>
      <c r="K52" s="266">
        <f>H52</f>
        <v>1500</v>
      </c>
      <c r="L52" s="266" t="s">
        <v>85</v>
      </c>
      <c r="M52" s="266" t="s">
        <v>85</v>
      </c>
      <c r="N52" s="245">
        <f t="shared" ref="N52:N60" si="21">SUM(B52:M52)</f>
        <v>6000</v>
      </c>
    </row>
    <row r="53" spans="1:34">
      <c r="A53" s="242" t="s">
        <v>166</v>
      </c>
      <c r="B53" s="267">
        <v>1500</v>
      </c>
      <c r="C53" s="267" t="s">
        <v>85</v>
      </c>
      <c r="D53" s="267" t="str">
        <f t="shared" ref="C53:M56" si="22">C53</f>
        <v xml:space="preserve"> </v>
      </c>
      <c r="E53" s="267">
        <f>B53</f>
        <v>1500</v>
      </c>
      <c r="F53" s="267" t="s">
        <v>85</v>
      </c>
      <c r="G53" s="267" t="s">
        <v>85</v>
      </c>
      <c r="H53" s="267">
        <f>E53</f>
        <v>1500</v>
      </c>
      <c r="I53" s="267" t="s">
        <v>85</v>
      </c>
      <c r="J53" s="267" t="s">
        <v>85</v>
      </c>
      <c r="K53" s="267">
        <f>H53</f>
        <v>1500</v>
      </c>
      <c r="L53" s="267" t="s">
        <v>85</v>
      </c>
      <c r="M53" s="267" t="s">
        <v>85</v>
      </c>
      <c r="N53" s="246">
        <f t="shared" si="21"/>
        <v>6000</v>
      </c>
    </row>
    <row r="54" spans="1:34">
      <c r="A54" s="242" t="s">
        <v>167</v>
      </c>
      <c r="B54" s="265">
        <v>300</v>
      </c>
      <c r="C54" s="266">
        <f t="shared" si="22"/>
        <v>300</v>
      </c>
      <c r="D54" s="266">
        <f t="shared" si="22"/>
        <v>300</v>
      </c>
      <c r="E54" s="266">
        <f t="shared" si="22"/>
        <v>300</v>
      </c>
      <c r="F54" s="266">
        <f t="shared" si="22"/>
        <v>300</v>
      </c>
      <c r="G54" s="266">
        <f t="shared" si="22"/>
        <v>300</v>
      </c>
      <c r="H54" s="266">
        <f t="shared" si="22"/>
        <v>300</v>
      </c>
      <c r="I54" s="266">
        <f t="shared" si="22"/>
        <v>300</v>
      </c>
      <c r="J54" s="266">
        <f t="shared" si="22"/>
        <v>300</v>
      </c>
      <c r="K54" s="266">
        <f t="shared" si="22"/>
        <v>300</v>
      </c>
      <c r="L54" s="266">
        <f t="shared" si="22"/>
        <v>300</v>
      </c>
      <c r="M54" s="266">
        <f t="shared" si="22"/>
        <v>300</v>
      </c>
      <c r="N54" s="245">
        <f t="shared" si="21"/>
        <v>3600</v>
      </c>
    </row>
    <row r="55" spans="1:34">
      <c r="A55" s="242" t="s">
        <v>168</v>
      </c>
      <c r="B55" s="267">
        <v>300</v>
      </c>
      <c r="C55" s="267">
        <f t="shared" si="22"/>
        <v>300</v>
      </c>
      <c r="D55" s="267">
        <f t="shared" si="22"/>
        <v>300</v>
      </c>
      <c r="E55" s="267">
        <f t="shared" si="22"/>
        <v>300</v>
      </c>
      <c r="F55" s="267">
        <f t="shared" si="22"/>
        <v>300</v>
      </c>
      <c r="G55" s="267">
        <f t="shared" si="22"/>
        <v>300</v>
      </c>
      <c r="H55" s="267">
        <f t="shared" si="22"/>
        <v>300</v>
      </c>
      <c r="I55" s="267">
        <f t="shared" si="22"/>
        <v>300</v>
      </c>
      <c r="J55" s="267">
        <f t="shared" si="22"/>
        <v>300</v>
      </c>
      <c r="K55" s="267">
        <f t="shared" si="22"/>
        <v>300</v>
      </c>
      <c r="L55" s="267">
        <f t="shared" si="22"/>
        <v>300</v>
      </c>
      <c r="M55" s="267">
        <f t="shared" si="22"/>
        <v>300</v>
      </c>
      <c r="N55" s="246">
        <f t="shared" si="21"/>
        <v>3600</v>
      </c>
      <c r="O55" s="203" t="s">
        <v>85</v>
      </c>
    </row>
    <row r="56" spans="1:34">
      <c r="A56" s="242" t="s">
        <v>169</v>
      </c>
      <c r="B56" s="265">
        <v>3000</v>
      </c>
      <c r="C56" s="266" t="s">
        <v>85</v>
      </c>
      <c r="D56" s="266" t="str">
        <f t="shared" si="22"/>
        <v xml:space="preserve"> </v>
      </c>
      <c r="E56" s="266" t="str">
        <f t="shared" si="22"/>
        <v xml:space="preserve"> </v>
      </c>
      <c r="F56" s="266" t="str">
        <f t="shared" si="22"/>
        <v xml:space="preserve"> </v>
      </c>
      <c r="G56" s="266" t="str">
        <f t="shared" si="22"/>
        <v xml:space="preserve"> </v>
      </c>
      <c r="H56" s="266" t="str">
        <f t="shared" si="22"/>
        <v xml:space="preserve"> </v>
      </c>
      <c r="I56" s="266" t="str">
        <f t="shared" si="22"/>
        <v xml:space="preserve"> </v>
      </c>
      <c r="J56" s="266" t="str">
        <f t="shared" si="22"/>
        <v xml:space="preserve"> </v>
      </c>
      <c r="K56" s="266" t="str">
        <f t="shared" si="22"/>
        <v xml:space="preserve"> </v>
      </c>
      <c r="L56" s="266" t="str">
        <f t="shared" si="22"/>
        <v xml:space="preserve"> </v>
      </c>
      <c r="M56" s="266" t="str">
        <f t="shared" si="22"/>
        <v xml:space="preserve"> </v>
      </c>
      <c r="N56" s="245">
        <f t="shared" si="21"/>
        <v>3000</v>
      </c>
    </row>
    <row r="57" spans="1:34">
      <c r="A57" s="242" t="s">
        <v>170</v>
      </c>
      <c r="B57" s="267">
        <v>4000</v>
      </c>
      <c r="C57" s="267">
        <v>0</v>
      </c>
      <c r="D57" s="267">
        <v>0</v>
      </c>
      <c r="E57" s="267">
        <v>0</v>
      </c>
      <c r="F57" s="267">
        <v>0</v>
      </c>
      <c r="G57" s="267">
        <v>0</v>
      </c>
      <c r="H57" s="267">
        <v>0</v>
      </c>
      <c r="I57" s="267">
        <v>0</v>
      </c>
      <c r="J57" s="267">
        <v>0</v>
      </c>
      <c r="K57" s="267">
        <v>0</v>
      </c>
      <c r="L57" s="267">
        <v>0</v>
      </c>
      <c r="M57" s="267">
        <v>0</v>
      </c>
      <c r="N57" s="246">
        <f t="shared" si="21"/>
        <v>4000</v>
      </c>
    </row>
    <row r="58" spans="1:34">
      <c r="A58" s="242" t="s">
        <v>171</v>
      </c>
      <c r="B58" s="265">
        <v>0</v>
      </c>
      <c r="C58" s="266">
        <v>0</v>
      </c>
      <c r="D58" s="266">
        <v>0</v>
      </c>
      <c r="E58" s="266">
        <v>0</v>
      </c>
      <c r="F58" s="266">
        <v>0</v>
      </c>
      <c r="G58" s="266">
        <v>0</v>
      </c>
      <c r="H58" s="266">
        <v>0</v>
      </c>
      <c r="I58" s="266">
        <v>0</v>
      </c>
      <c r="J58" s="266">
        <v>0</v>
      </c>
      <c r="K58" s="266">
        <v>0</v>
      </c>
      <c r="L58" s="266">
        <v>0</v>
      </c>
      <c r="M58" s="266">
        <v>0</v>
      </c>
      <c r="N58" s="245">
        <f t="shared" si="21"/>
        <v>0</v>
      </c>
    </row>
    <row r="59" spans="1:34">
      <c r="A59" s="242" t="s">
        <v>172</v>
      </c>
      <c r="B59" s="267">
        <v>0</v>
      </c>
      <c r="C59" s="267">
        <f t="shared" ref="C59:M59" si="23">B59</f>
        <v>0</v>
      </c>
      <c r="D59" s="267">
        <f t="shared" si="23"/>
        <v>0</v>
      </c>
      <c r="E59" s="267">
        <f t="shared" si="23"/>
        <v>0</v>
      </c>
      <c r="F59" s="267">
        <f t="shared" si="23"/>
        <v>0</v>
      </c>
      <c r="G59" s="267">
        <f t="shared" si="23"/>
        <v>0</v>
      </c>
      <c r="H59" s="267">
        <f t="shared" si="23"/>
        <v>0</v>
      </c>
      <c r="I59" s="267">
        <f t="shared" si="23"/>
        <v>0</v>
      </c>
      <c r="J59" s="267">
        <f t="shared" si="23"/>
        <v>0</v>
      </c>
      <c r="K59" s="267">
        <f t="shared" si="23"/>
        <v>0</v>
      </c>
      <c r="L59" s="267">
        <f t="shared" si="23"/>
        <v>0</v>
      </c>
      <c r="M59" s="267">
        <f t="shared" si="23"/>
        <v>0</v>
      </c>
      <c r="N59" s="246">
        <f t="shared" si="21"/>
        <v>0</v>
      </c>
    </row>
    <row r="60" spans="1:34">
      <c r="A60" s="242" t="s">
        <v>129</v>
      </c>
      <c r="B60" s="212">
        <v>0</v>
      </c>
      <c r="C60" s="266">
        <v>0</v>
      </c>
      <c r="D60" s="266">
        <v>0</v>
      </c>
      <c r="E60" s="266">
        <v>0</v>
      </c>
      <c r="F60" s="266">
        <v>0</v>
      </c>
      <c r="G60" s="266">
        <v>0</v>
      </c>
      <c r="H60" s="266">
        <v>0</v>
      </c>
      <c r="I60" s="266">
        <v>0</v>
      </c>
      <c r="J60" s="266">
        <v>0</v>
      </c>
      <c r="K60" s="266">
        <v>0</v>
      </c>
      <c r="L60" s="266">
        <v>0</v>
      </c>
      <c r="M60" s="266">
        <v>0</v>
      </c>
      <c r="N60" s="245">
        <f t="shared" si="21"/>
        <v>0</v>
      </c>
    </row>
    <row r="61" spans="1:34" s="223" customFormat="1">
      <c r="A61" s="239" t="s">
        <v>173</v>
      </c>
      <c r="B61" s="268">
        <f t="shared" ref="B61:N61" si="24">SUM(B52:B60)</f>
        <v>10600</v>
      </c>
      <c r="C61" s="268">
        <f t="shared" si="24"/>
        <v>600</v>
      </c>
      <c r="D61" s="268">
        <f t="shared" si="24"/>
        <v>600</v>
      </c>
      <c r="E61" s="268">
        <f t="shared" si="24"/>
        <v>3600</v>
      </c>
      <c r="F61" s="268">
        <f t="shared" si="24"/>
        <v>600</v>
      </c>
      <c r="G61" s="268">
        <f t="shared" si="24"/>
        <v>600</v>
      </c>
      <c r="H61" s="268">
        <f t="shared" si="24"/>
        <v>3600</v>
      </c>
      <c r="I61" s="268">
        <f t="shared" si="24"/>
        <v>600</v>
      </c>
      <c r="J61" s="268">
        <f t="shared" si="24"/>
        <v>600</v>
      </c>
      <c r="K61" s="268">
        <f t="shared" si="24"/>
        <v>3600</v>
      </c>
      <c r="L61" s="268">
        <f t="shared" si="24"/>
        <v>600</v>
      </c>
      <c r="M61" s="268">
        <f t="shared" si="24"/>
        <v>600</v>
      </c>
      <c r="N61" s="246">
        <f t="shared" si="24"/>
        <v>26200</v>
      </c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2"/>
    </row>
    <row r="62" spans="1:34" s="255" customFormat="1" ht="12">
      <c r="A62" s="251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3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  <c r="AB62" s="227"/>
      <c r="AC62" s="227"/>
      <c r="AD62" s="227"/>
      <c r="AE62" s="227"/>
      <c r="AF62" s="227"/>
      <c r="AG62" s="227"/>
      <c r="AH62" s="254"/>
    </row>
    <row r="63" spans="1:34">
      <c r="A63" s="239" t="s">
        <v>174</v>
      </c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56"/>
    </row>
    <row r="64" spans="1:34">
      <c r="A64" s="242" t="s">
        <v>175</v>
      </c>
      <c r="B64" s="212">
        <v>500</v>
      </c>
      <c r="C64" s="213">
        <f t="shared" ref="C64:M66" si="25">B64</f>
        <v>500</v>
      </c>
      <c r="D64" s="213">
        <f t="shared" si="25"/>
        <v>500</v>
      </c>
      <c r="E64" s="213">
        <f t="shared" si="25"/>
        <v>500</v>
      </c>
      <c r="F64" s="213">
        <f t="shared" si="25"/>
        <v>500</v>
      </c>
      <c r="G64" s="213">
        <f t="shared" si="25"/>
        <v>500</v>
      </c>
      <c r="H64" s="213">
        <f t="shared" si="25"/>
        <v>500</v>
      </c>
      <c r="I64" s="213">
        <f t="shared" si="25"/>
        <v>500</v>
      </c>
      <c r="J64" s="213">
        <f t="shared" si="25"/>
        <v>500</v>
      </c>
      <c r="K64" s="213">
        <f t="shared" si="25"/>
        <v>500</v>
      </c>
      <c r="L64" s="213">
        <f t="shared" si="25"/>
        <v>500</v>
      </c>
      <c r="M64" s="213">
        <f t="shared" si="25"/>
        <v>500</v>
      </c>
      <c r="N64" s="245">
        <f>SUM(B64:M64)</f>
        <v>6000</v>
      </c>
    </row>
    <row r="65" spans="1:34">
      <c r="A65" s="242" t="s">
        <v>176</v>
      </c>
      <c r="B65" s="215">
        <v>0</v>
      </c>
      <c r="C65" s="215">
        <f t="shared" si="25"/>
        <v>0</v>
      </c>
      <c r="D65" s="215">
        <f t="shared" si="25"/>
        <v>0</v>
      </c>
      <c r="E65" s="215">
        <f t="shared" si="25"/>
        <v>0</v>
      </c>
      <c r="F65" s="215">
        <f t="shared" si="25"/>
        <v>0</v>
      </c>
      <c r="G65" s="215">
        <f t="shared" si="25"/>
        <v>0</v>
      </c>
      <c r="H65" s="215">
        <f t="shared" si="25"/>
        <v>0</v>
      </c>
      <c r="I65" s="215">
        <f t="shared" si="25"/>
        <v>0</v>
      </c>
      <c r="J65" s="215">
        <f t="shared" si="25"/>
        <v>0</v>
      </c>
      <c r="K65" s="215">
        <f t="shared" si="25"/>
        <v>0</v>
      </c>
      <c r="L65" s="215">
        <f t="shared" si="25"/>
        <v>0</v>
      </c>
      <c r="M65" s="215">
        <f t="shared" si="25"/>
        <v>0</v>
      </c>
      <c r="N65" s="246">
        <f>SUM(B65:M65)</f>
        <v>0</v>
      </c>
    </row>
    <row r="66" spans="1:34">
      <c r="A66" s="242" t="s">
        <v>177</v>
      </c>
      <c r="B66" s="212">
        <v>0</v>
      </c>
      <c r="C66" s="213">
        <f t="shared" si="25"/>
        <v>0</v>
      </c>
      <c r="D66" s="213">
        <f t="shared" si="25"/>
        <v>0</v>
      </c>
      <c r="E66" s="213">
        <f t="shared" si="25"/>
        <v>0</v>
      </c>
      <c r="F66" s="213">
        <f t="shared" si="25"/>
        <v>0</v>
      </c>
      <c r="G66" s="213">
        <f t="shared" si="25"/>
        <v>0</v>
      </c>
      <c r="H66" s="213">
        <f t="shared" si="25"/>
        <v>0</v>
      </c>
      <c r="I66" s="213">
        <f t="shared" si="25"/>
        <v>0</v>
      </c>
      <c r="J66" s="213">
        <f t="shared" si="25"/>
        <v>0</v>
      </c>
      <c r="K66" s="213">
        <f t="shared" si="25"/>
        <v>0</v>
      </c>
      <c r="L66" s="213">
        <f t="shared" si="25"/>
        <v>0</v>
      </c>
      <c r="M66" s="213">
        <f t="shared" si="25"/>
        <v>0</v>
      </c>
      <c r="N66" s="245">
        <f>SUM(B66:M66)</f>
        <v>0</v>
      </c>
    </row>
    <row r="67" spans="1:34">
      <c r="A67" s="242" t="s">
        <v>178</v>
      </c>
      <c r="B67" s="215">
        <v>0</v>
      </c>
      <c r="C67" s="215">
        <v>0</v>
      </c>
      <c r="D67" s="215">
        <v>0</v>
      </c>
      <c r="E67" s="215">
        <v>0</v>
      </c>
      <c r="F67" s="215">
        <v>0</v>
      </c>
      <c r="G67" s="215">
        <v>0</v>
      </c>
      <c r="H67" s="215">
        <v>0</v>
      </c>
      <c r="I67" s="215">
        <v>0</v>
      </c>
      <c r="J67" s="215">
        <v>0</v>
      </c>
      <c r="K67" s="215">
        <v>0</v>
      </c>
      <c r="L67" s="215">
        <v>0</v>
      </c>
      <c r="M67" s="215">
        <v>0</v>
      </c>
      <c r="N67" s="246">
        <f>SUM(B67:M67)</f>
        <v>0</v>
      </c>
    </row>
    <row r="68" spans="1:34">
      <c r="A68" s="242" t="s">
        <v>129</v>
      </c>
      <c r="B68" s="212">
        <v>0</v>
      </c>
      <c r="C68" s="213">
        <v>0</v>
      </c>
      <c r="D68" s="213">
        <v>0</v>
      </c>
      <c r="E68" s="213">
        <v>0</v>
      </c>
      <c r="F68" s="213">
        <v>0</v>
      </c>
      <c r="G68" s="213">
        <v>0</v>
      </c>
      <c r="H68" s="213">
        <v>0</v>
      </c>
      <c r="I68" s="213">
        <v>0</v>
      </c>
      <c r="J68" s="213">
        <v>0</v>
      </c>
      <c r="K68" s="213">
        <v>0</v>
      </c>
      <c r="L68" s="213">
        <v>0</v>
      </c>
      <c r="M68" s="213">
        <v>0</v>
      </c>
      <c r="N68" s="245">
        <f>SUM(B68:M68)</f>
        <v>0</v>
      </c>
    </row>
    <row r="69" spans="1:34">
      <c r="A69" s="239" t="s">
        <v>179</v>
      </c>
      <c r="B69" s="268">
        <f t="shared" ref="B69:N69" si="26">SUM(B64:B68)</f>
        <v>500</v>
      </c>
      <c r="C69" s="268">
        <f t="shared" si="26"/>
        <v>500</v>
      </c>
      <c r="D69" s="268">
        <f t="shared" si="26"/>
        <v>500</v>
      </c>
      <c r="E69" s="268">
        <f t="shared" si="26"/>
        <v>500</v>
      </c>
      <c r="F69" s="268">
        <f t="shared" si="26"/>
        <v>500</v>
      </c>
      <c r="G69" s="268">
        <f t="shared" si="26"/>
        <v>500</v>
      </c>
      <c r="H69" s="268">
        <f t="shared" si="26"/>
        <v>500</v>
      </c>
      <c r="I69" s="268">
        <f t="shared" si="26"/>
        <v>500</v>
      </c>
      <c r="J69" s="268">
        <f t="shared" si="26"/>
        <v>500</v>
      </c>
      <c r="K69" s="268">
        <f t="shared" si="26"/>
        <v>500</v>
      </c>
      <c r="L69" s="268">
        <f t="shared" si="26"/>
        <v>500</v>
      </c>
      <c r="M69" s="268">
        <f t="shared" si="26"/>
        <v>500</v>
      </c>
      <c r="N69" s="246">
        <f t="shared" si="26"/>
        <v>6000</v>
      </c>
    </row>
    <row r="70" spans="1:34" s="271" customFormat="1" ht="12">
      <c r="A70" s="251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3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  <c r="AA70" s="269"/>
      <c r="AB70" s="269"/>
      <c r="AC70" s="269"/>
      <c r="AD70" s="269"/>
      <c r="AE70" s="269"/>
      <c r="AF70" s="269"/>
      <c r="AG70" s="269"/>
      <c r="AH70" s="270"/>
    </row>
    <row r="71" spans="1:34" hidden="1">
      <c r="A71" s="239" t="s">
        <v>180</v>
      </c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56"/>
    </row>
    <row r="72" spans="1:34" hidden="1">
      <c r="A72" s="242" t="s">
        <v>129</v>
      </c>
      <c r="B72" s="212">
        <v>0</v>
      </c>
      <c r="C72" s="213">
        <v>0</v>
      </c>
      <c r="D72" s="213">
        <v>0</v>
      </c>
      <c r="E72" s="213">
        <v>0</v>
      </c>
      <c r="F72" s="213">
        <v>0</v>
      </c>
      <c r="G72" s="213">
        <v>0</v>
      </c>
      <c r="H72" s="213">
        <v>0</v>
      </c>
      <c r="I72" s="213">
        <v>0</v>
      </c>
      <c r="J72" s="213">
        <v>0</v>
      </c>
      <c r="K72" s="213">
        <v>0</v>
      </c>
      <c r="L72" s="213">
        <v>0</v>
      </c>
      <c r="M72" s="213">
        <v>0</v>
      </c>
      <c r="N72" s="245">
        <f>SUM(B72:M72)</f>
        <v>0</v>
      </c>
    </row>
    <row r="73" spans="1:34" hidden="1">
      <c r="A73" s="242" t="s">
        <v>129</v>
      </c>
      <c r="B73" s="215">
        <v>0</v>
      </c>
      <c r="C73" s="215">
        <v>0</v>
      </c>
      <c r="D73" s="215">
        <v>0</v>
      </c>
      <c r="E73" s="215">
        <v>0</v>
      </c>
      <c r="F73" s="215">
        <v>0</v>
      </c>
      <c r="G73" s="215">
        <v>0</v>
      </c>
      <c r="H73" s="215">
        <v>0</v>
      </c>
      <c r="I73" s="215">
        <v>0</v>
      </c>
      <c r="J73" s="215">
        <v>0</v>
      </c>
      <c r="K73" s="215">
        <v>0</v>
      </c>
      <c r="L73" s="215">
        <v>0</v>
      </c>
      <c r="M73" s="215">
        <v>0</v>
      </c>
      <c r="N73" s="246">
        <f>SUM(B73:M73)</f>
        <v>0</v>
      </c>
    </row>
    <row r="74" spans="1:34" hidden="1">
      <c r="A74" s="239" t="s">
        <v>181</v>
      </c>
      <c r="B74" s="218">
        <f t="shared" ref="B74:N74" si="27">SUM(B72:B73)</f>
        <v>0</v>
      </c>
      <c r="C74" s="219">
        <f t="shared" si="27"/>
        <v>0</v>
      </c>
      <c r="D74" s="219">
        <f t="shared" si="27"/>
        <v>0</v>
      </c>
      <c r="E74" s="219">
        <f t="shared" si="27"/>
        <v>0</v>
      </c>
      <c r="F74" s="219">
        <f t="shared" si="27"/>
        <v>0</v>
      </c>
      <c r="G74" s="219">
        <f t="shared" si="27"/>
        <v>0</v>
      </c>
      <c r="H74" s="219">
        <f t="shared" si="27"/>
        <v>0</v>
      </c>
      <c r="I74" s="219">
        <f t="shared" si="27"/>
        <v>0</v>
      </c>
      <c r="J74" s="219">
        <f t="shared" si="27"/>
        <v>0</v>
      </c>
      <c r="K74" s="219">
        <f t="shared" si="27"/>
        <v>0</v>
      </c>
      <c r="L74" s="219">
        <f t="shared" si="27"/>
        <v>0</v>
      </c>
      <c r="M74" s="219">
        <f t="shared" si="27"/>
        <v>0</v>
      </c>
      <c r="N74" s="272">
        <f t="shared" si="27"/>
        <v>0</v>
      </c>
    </row>
    <row r="75" spans="1:34" s="271" customFormat="1" ht="12">
      <c r="A75" s="251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4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  <c r="AB75" s="269"/>
      <c r="AC75" s="269"/>
      <c r="AD75" s="269"/>
      <c r="AE75" s="269"/>
      <c r="AF75" s="269"/>
      <c r="AG75" s="269"/>
      <c r="AH75" s="270"/>
    </row>
    <row r="76" spans="1:34">
      <c r="A76" s="239" t="s">
        <v>129</v>
      </c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56"/>
    </row>
    <row r="77" spans="1:34">
      <c r="A77" s="242" t="s">
        <v>182</v>
      </c>
      <c r="B77" s="212"/>
      <c r="C77" s="213">
        <f>B77</f>
        <v>0</v>
      </c>
      <c r="D77" s="213">
        <f t="shared" ref="D77:M77" si="28">C77</f>
        <v>0</v>
      </c>
      <c r="E77" s="213">
        <f t="shared" si="28"/>
        <v>0</v>
      </c>
      <c r="F77" s="213">
        <f t="shared" si="28"/>
        <v>0</v>
      </c>
      <c r="G77" s="213">
        <f t="shared" si="28"/>
        <v>0</v>
      </c>
      <c r="H77" s="213">
        <f t="shared" si="28"/>
        <v>0</v>
      </c>
      <c r="I77" s="213">
        <f t="shared" si="28"/>
        <v>0</v>
      </c>
      <c r="J77" s="213">
        <f t="shared" si="28"/>
        <v>0</v>
      </c>
      <c r="K77" s="213">
        <f t="shared" si="28"/>
        <v>0</v>
      </c>
      <c r="L77" s="213">
        <f t="shared" si="28"/>
        <v>0</v>
      </c>
      <c r="M77" s="213">
        <f t="shared" si="28"/>
        <v>0</v>
      </c>
      <c r="N77" s="245">
        <f>SUM(B77:M77)</f>
        <v>0</v>
      </c>
    </row>
    <row r="78" spans="1:34">
      <c r="A78" s="242" t="s">
        <v>183</v>
      </c>
      <c r="B78" s="215">
        <v>1500</v>
      </c>
      <c r="C78" s="215">
        <v>1500</v>
      </c>
      <c r="D78" s="215">
        <v>1500</v>
      </c>
      <c r="E78" s="215">
        <v>1500</v>
      </c>
      <c r="F78" s="215">
        <v>1500</v>
      </c>
      <c r="G78" s="215">
        <v>1500</v>
      </c>
      <c r="H78" s="215">
        <v>1500</v>
      </c>
      <c r="I78" s="215">
        <v>1500</v>
      </c>
      <c r="J78" s="215">
        <v>1500</v>
      </c>
      <c r="K78" s="215">
        <v>1500</v>
      </c>
      <c r="L78" s="215">
        <v>1500</v>
      </c>
      <c r="M78" s="215">
        <v>1500</v>
      </c>
      <c r="N78" s="246">
        <f>SUM(B78:M78)</f>
        <v>18000</v>
      </c>
    </row>
    <row r="79" spans="1:34">
      <c r="A79" s="242" t="s">
        <v>184</v>
      </c>
      <c r="B79" s="212">
        <v>0</v>
      </c>
      <c r="C79" s="212">
        <v>0</v>
      </c>
      <c r="D79" s="212">
        <v>0</v>
      </c>
      <c r="E79" s="212">
        <v>0</v>
      </c>
      <c r="F79" s="212">
        <v>0</v>
      </c>
      <c r="G79" s="212">
        <v>0</v>
      </c>
      <c r="H79" s="212">
        <v>0</v>
      </c>
      <c r="I79" s="212">
        <v>0</v>
      </c>
      <c r="J79" s="212">
        <v>0</v>
      </c>
      <c r="K79" s="212">
        <v>0</v>
      </c>
      <c r="L79" s="212">
        <v>0</v>
      </c>
      <c r="M79" s="212">
        <v>0</v>
      </c>
      <c r="N79" s="245">
        <f>SUM(B79:M79)</f>
        <v>0</v>
      </c>
    </row>
    <row r="80" spans="1:34" s="223" customFormat="1">
      <c r="A80" s="239" t="s">
        <v>185</v>
      </c>
      <c r="B80" s="268">
        <f t="shared" ref="B80:N80" si="29">SUM(B77:B79)</f>
        <v>1500</v>
      </c>
      <c r="C80" s="268">
        <f t="shared" si="29"/>
        <v>1500</v>
      </c>
      <c r="D80" s="268">
        <f t="shared" si="29"/>
        <v>1500</v>
      </c>
      <c r="E80" s="268">
        <f t="shared" si="29"/>
        <v>1500</v>
      </c>
      <c r="F80" s="268">
        <f t="shared" si="29"/>
        <v>1500</v>
      </c>
      <c r="G80" s="268">
        <f t="shared" si="29"/>
        <v>1500</v>
      </c>
      <c r="H80" s="268">
        <f t="shared" si="29"/>
        <v>1500</v>
      </c>
      <c r="I80" s="268">
        <f t="shared" si="29"/>
        <v>1500</v>
      </c>
      <c r="J80" s="268">
        <f t="shared" si="29"/>
        <v>1500</v>
      </c>
      <c r="K80" s="268">
        <f t="shared" si="29"/>
        <v>1500</v>
      </c>
      <c r="L80" s="268">
        <f t="shared" si="29"/>
        <v>1500</v>
      </c>
      <c r="M80" s="268">
        <f t="shared" si="29"/>
        <v>1500</v>
      </c>
      <c r="N80" s="246">
        <f t="shared" si="29"/>
        <v>18000</v>
      </c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2"/>
    </row>
    <row r="81" spans="1:40" s="271" customFormat="1" ht="12">
      <c r="A81" s="275"/>
      <c r="B81" s="276"/>
      <c r="C81" s="276"/>
      <c r="D81" s="276"/>
      <c r="E81" s="276"/>
      <c r="F81" s="276"/>
      <c r="G81" s="276"/>
      <c r="H81" s="276"/>
      <c r="I81" s="276"/>
      <c r="J81" s="276"/>
      <c r="K81" s="276"/>
      <c r="L81" s="276"/>
      <c r="M81" s="276"/>
      <c r="N81" s="277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  <c r="AA81" s="269"/>
      <c r="AB81" s="269"/>
      <c r="AC81" s="269"/>
      <c r="AD81" s="269"/>
      <c r="AE81" s="269"/>
      <c r="AF81" s="269"/>
      <c r="AG81" s="269"/>
      <c r="AH81" s="270"/>
    </row>
    <row r="82" spans="1:40" ht="16">
      <c r="A82" s="278" t="s">
        <v>186</v>
      </c>
      <c r="B82" s="279">
        <f t="shared" ref="B82:N82" si="30">B27+B36+B41+B49+B61+B69+B74+B80</f>
        <v>54867.87413631595</v>
      </c>
      <c r="C82" s="280">
        <f t="shared" si="30"/>
        <v>34567.87413631595</v>
      </c>
      <c r="D82" s="280">
        <f t="shared" si="30"/>
        <v>34567.87413631595</v>
      </c>
      <c r="E82" s="280">
        <f t="shared" si="30"/>
        <v>39067.87413631595</v>
      </c>
      <c r="F82" s="280">
        <f t="shared" si="30"/>
        <v>34567.87413631595</v>
      </c>
      <c r="G82" s="280">
        <f t="shared" si="30"/>
        <v>34567.87413631595</v>
      </c>
      <c r="H82" s="280">
        <f t="shared" si="30"/>
        <v>39067.87413631595</v>
      </c>
      <c r="I82" s="280">
        <f t="shared" si="30"/>
        <v>34567.87413631595</v>
      </c>
      <c r="J82" s="280">
        <f t="shared" si="30"/>
        <v>34567.87413631595</v>
      </c>
      <c r="K82" s="280">
        <f t="shared" si="30"/>
        <v>39067.87413631595</v>
      </c>
      <c r="L82" s="280">
        <f t="shared" si="30"/>
        <v>34567.87413631595</v>
      </c>
      <c r="M82" s="280">
        <f t="shared" si="30"/>
        <v>34567.87413631595</v>
      </c>
      <c r="N82" s="281">
        <f t="shared" si="30"/>
        <v>448614.4896357914</v>
      </c>
    </row>
    <row r="83" spans="1:40" s="271" customFormat="1" ht="1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4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  <c r="AA83" s="269"/>
      <c r="AB83" s="269"/>
      <c r="AC83" s="269"/>
      <c r="AD83" s="269"/>
      <c r="AE83" s="269"/>
      <c r="AF83" s="269"/>
      <c r="AG83" s="269"/>
      <c r="AH83" s="270"/>
    </row>
    <row r="84" spans="1:40" ht="14.25" customHeight="1">
      <c r="A84" s="285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</row>
    <row r="85" spans="1:40" ht="16">
      <c r="A85" s="287" t="s">
        <v>187</v>
      </c>
      <c r="B85" s="288" t="str">
        <f t="shared" ref="B85:N85" si="31">B3</f>
        <v>jan</v>
      </c>
      <c r="C85" s="289" t="str">
        <f t="shared" si="31"/>
        <v>feb</v>
      </c>
      <c r="D85" s="289" t="str">
        <f t="shared" si="31"/>
        <v>mar</v>
      </c>
      <c r="E85" s="289" t="str">
        <f t="shared" si="31"/>
        <v>apr</v>
      </c>
      <c r="F85" s="289" t="str">
        <f t="shared" si="31"/>
        <v>maj</v>
      </c>
      <c r="G85" s="289" t="str">
        <f t="shared" si="31"/>
        <v xml:space="preserve">juni </v>
      </c>
      <c r="H85" s="289" t="str">
        <f t="shared" si="31"/>
        <v>juli</v>
      </c>
      <c r="I85" s="289" t="str">
        <f t="shared" si="31"/>
        <v>aug</v>
      </c>
      <c r="J85" s="289" t="str">
        <f t="shared" si="31"/>
        <v>sept</v>
      </c>
      <c r="K85" s="289" t="str">
        <f t="shared" si="31"/>
        <v>okt</v>
      </c>
      <c r="L85" s="289" t="str">
        <f t="shared" si="31"/>
        <v>nov</v>
      </c>
      <c r="M85" s="289" t="str">
        <f t="shared" si="31"/>
        <v>dec</v>
      </c>
      <c r="N85" s="290" t="str">
        <f t="shared" si="31"/>
        <v>TOTAL</v>
      </c>
    </row>
    <row r="86" spans="1:40">
      <c r="A86" s="291" t="s">
        <v>188</v>
      </c>
      <c r="B86" s="292">
        <f t="shared" ref="B86:N86" si="32">SUM(B10-B82)</f>
        <v>19754.536463684053</v>
      </c>
      <c r="C86" s="293">
        <f t="shared" si="32"/>
        <v>33670.536463684053</v>
      </c>
      <c r="D86" s="293">
        <f t="shared" si="32"/>
        <v>33670.536463684053</v>
      </c>
      <c r="E86" s="293">
        <f t="shared" si="32"/>
        <v>35554.536463684053</v>
      </c>
      <c r="F86" s="293">
        <f t="shared" si="32"/>
        <v>33670.536463684053</v>
      </c>
      <c r="G86" s="293">
        <f t="shared" si="32"/>
        <v>33670.536463684053</v>
      </c>
      <c r="H86" s="293">
        <f t="shared" si="32"/>
        <v>35554.536463684053</v>
      </c>
      <c r="I86" s="293">
        <f t="shared" si="32"/>
        <v>33670.536463684053</v>
      </c>
      <c r="J86" s="293">
        <f t="shared" si="32"/>
        <v>33670.536463684053</v>
      </c>
      <c r="K86" s="293">
        <f t="shared" si="32"/>
        <v>35554.536463684053</v>
      </c>
      <c r="L86" s="293">
        <f t="shared" si="32"/>
        <v>33670.536463684053</v>
      </c>
      <c r="M86" s="293">
        <f t="shared" si="32"/>
        <v>33670.536463684053</v>
      </c>
      <c r="N86" s="294">
        <f t="shared" si="32"/>
        <v>395782.43756420887</v>
      </c>
    </row>
    <row r="87" spans="1:40">
      <c r="A87" s="295" t="s">
        <v>189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7">
        <f>N86</f>
        <v>395782.43756420887</v>
      </c>
    </row>
    <row r="88" spans="1:40" ht="16">
      <c r="A88" s="295" t="s">
        <v>190</v>
      </c>
      <c r="B88" s="298">
        <f t="shared" ref="B88:M88" si="33">B86</f>
        <v>19754.536463684053</v>
      </c>
      <c r="C88" s="299">
        <f t="shared" si="33"/>
        <v>33670.536463684053</v>
      </c>
      <c r="D88" s="299">
        <f t="shared" si="33"/>
        <v>33670.536463684053</v>
      </c>
      <c r="E88" s="299">
        <f t="shared" si="33"/>
        <v>35554.536463684053</v>
      </c>
      <c r="F88" s="299">
        <f t="shared" si="33"/>
        <v>33670.536463684053</v>
      </c>
      <c r="G88" s="299">
        <f t="shared" si="33"/>
        <v>33670.536463684053</v>
      </c>
      <c r="H88" s="299">
        <f t="shared" si="33"/>
        <v>35554.536463684053</v>
      </c>
      <c r="I88" s="299">
        <f t="shared" si="33"/>
        <v>33670.536463684053</v>
      </c>
      <c r="J88" s="299">
        <f t="shared" si="33"/>
        <v>33670.536463684053</v>
      </c>
      <c r="K88" s="299">
        <f t="shared" si="33"/>
        <v>35554.536463684053</v>
      </c>
      <c r="L88" s="299">
        <f t="shared" si="33"/>
        <v>33670.536463684053</v>
      </c>
      <c r="M88" s="299">
        <f t="shared" si="33"/>
        <v>33670.536463684053</v>
      </c>
      <c r="N88" s="300">
        <f>N87/12</f>
        <v>32981.869797017403</v>
      </c>
    </row>
    <row r="89" spans="1:40" s="203" customFormat="1">
      <c r="A89" s="301"/>
      <c r="B89" s="302"/>
      <c r="C89" s="302"/>
      <c r="D89" s="302"/>
      <c r="E89" s="302"/>
      <c r="F89" s="302"/>
      <c r="G89" s="302"/>
      <c r="H89" s="302"/>
      <c r="I89" s="302"/>
      <c r="J89" s="302"/>
      <c r="K89" s="302"/>
      <c r="L89" s="302"/>
      <c r="M89" s="302"/>
      <c r="N89" s="303"/>
    </row>
    <row r="90" spans="1:40" s="203" customFormat="1">
      <c r="N90" s="221"/>
    </row>
    <row r="91" spans="1:40" s="315" customFormat="1" ht="15">
      <c r="J91" s="514"/>
      <c r="K91" s="515"/>
      <c r="L91" s="514"/>
      <c r="M91" s="514"/>
      <c r="N91" s="514"/>
      <c r="O91" s="306"/>
    </row>
    <row r="92" spans="1:40" s="315" customFormat="1" ht="15">
      <c r="F92" s="548"/>
      <c r="G92" s="548"/>
      <c r="H92" s="548"/>
      <c r="J92" s="514"/>
      <c r="K92" s="515"/>
      <c r="L92" s="514"/>
      <c r="M92" s="514"/>
      <c r="N92" s="514"/>
      <c r="O92" s="306"/>
    </row>
    <row r="93" spans="1:40" s="315" customFormat="1">
      <c r="A93" s="514"/>
      <c r="B93" s="549"/>
      <c r="C93" s="549"/>
      <c r="D93" s="549"/>
      <c r="E93" s="549"/>
      <c r="F93" s="549"/>
      <c r="G93" s="549"/>
      <c r="H93" s="516"/>
      <c r="J93" s="515"/>
      <c r="K93" s="313"/>
      <c r="L93" s="313"/>
      <c r="M93" s="313"/>
      <c r="N93" s="517"/>
      <c r="O93" s="313"/>
      <c r="P93" s="313"/>
    </row>
    <row r="94" spans="1:40" s="315" customFormat="1">
      <c r="A94" s="514"/>
      <c r="B94" s="550"/>
      <c r="C94" s="550"/>
      <c r="D94" s="550"/>
      <c r="E94" s="550"/>
      <c r="F94" s="550"/>
      <c r="G94" s="550"/>
      <c r="H94" s="518"/>
      <c r="J94" s="515"/>
      <c r="K94" s="313"/>
      <c r="L94" s="313"/>
      <c r="M94" s="313"/>
      <c r="N94" s="517"/>
      <c r="O94" s="517"/>
      <c r="P94" s="517"/>
      <c r="Q94" s="519"/>
      <c r="R94" s="519"/>
      <c r="S94" s="519"/>
      <c r="T94" s="519"/>
      <c r="U94" s="519"/>
      <c r="V94" s="519"/>
      <c r="W94" s="519"/>
      <c r="X94" s="519"/>
      <c r="Y94" s="519"/>
      <c r="Z94" s="519"/>
      <c r="AA94" s="519"/>
      <c r="AB94" s="519"/>
      <c r="AC94" s="519"/>
      <c r="AD94" s="519"/>
      <c r="AE94" s="519"/>
      <c r="AF94" s="519"/>
      <c r="AG94" s="519"/>
      <c r="AH94" s="519"/>
      <c r="AI94" s="519"/>
      <c r="AJ94" s="519"/>
      <c r="AK94" s="519"/>
      <c r="AL94" s="519"/>
      <c r="AM94" s="519"/>
      <c r="AN94" s="519"/>
    </row>
    <row r="95" spans="1:40" s="315" customFormat="1">
      <c r="J95" s="520"/>
      <c r="K95" s="313"/>
      <c r="L95" s="313"/>
      <c r="M95" s="313"/>
      <c r="N95" s="517"/>
      <c r="O95" s="517"/>
      <c r="P95" s="517"/>
      <c r="Q95" s="519"/>
      <c r="R95" s="519"/>
      <c r="S95" s="519"/>
      <c r="T95" s="519"/>
      <c r="U95" s="519"/>
      <c r="V95" s="519"/>
      <c r="W95" s="519"/>
      <c r="X95" s="519"/>
      <c r="Y95" s="519"/>
      <c r="Z95" s="519"/>
      <c r="AA95" s="519"/>
      <c r="AB95" s="519"/>
      <c r="AC95" s="519"/>
      <c r="AD95" s="519"/>
      <c r="AE95" s="519"/>
      <c r="AF95" s="519"/>
      <c r="AG95" s="519"/>
      <c r="AH95" s="519"/>
      <c r="AI95" s="519"/>
      <c r="AJ95" s="519"/>
      <c r="AK95" s="519"/>
      <c r="AL95" s="519"/>
      <c r="AM95" s="519"/>
      <c r="AN95" s="519"/>
    </row>
    <row r="96" spans="1:40" s="315" customFormat="1">
      <c r="J96" s="313"/>
      <c r="K96" s="313"/>
      <c r="L96" s="313"/>
      <c r="M96" s="313"/>
      <c r="N96" s="517"/>
      <c r="O96" s="517"/>
      <c r="P96" s="517"/>
      <c r="Q96" s="519"/>
      <c r="R96" s="519"/>
      <c r="S96" s="519"/>
      <c r="T96" s="519"/>
      <c r="U96" s="519"/>
      <c r="V96" s="519"/>
      <c r="W96" s="519"/>
      <c r="X96" s="519"/>
      <c r="Y96" s="519"/>
      <c r="Z96" s="519"/>
      <c r="AA96" s="519"/>
      <c r="AB96" s="519"/>
      <c r="AC96" s="519"/>
      <c r="AD96" s="519"/>
      <c r="AE96" s="519"/>
      <c r="AF96" s="519"/>
      <c r="AG96" s="519"/>
      <c r="AH96" s="519"/>
      <c r="AI96" s="519"/>
      <c r="AJ96" s="519"/>
      <c r="AK96" s="519"/>
      <c r="AL96" s="519"/>
      <c r="AM96" s="519"/>
      <c r="AN96" s="519"/>
    </row>
    <row r="97" spans="6:40" s="315" customFormat="1">
      <c r="J97" s="515"/>
      <c r="K97" s="313"/>
      <c r="L97" s="313"/>
      <c r="M97" s="313"/>
      <c r="N97" s="517"/>
      <c r="O97" s="517"/>
      <c r="P97" s="517"/>
      <c r="Q97" s="519"/>
      <c r="R97" s="519"/>
      <c r="S97" s="519"/>
      <c r="T97" s="519"/>
      <c r="U97" s="519"/>
      <c r="V97" s="519"/>
      <c r="W97" s="519"/>
      <c r="X97" s="519"/>
      <c r="Y97" s="519"/>
      <c r="Z97" s="519"/>
      <c r="AA97" s="519"/>
      <c r="AB97" s="519"/>
      <c r="AC97" s="519"/>
      <c r="AD97" s="519"/>
      <c r="AE97" s="519"/>
      <c r="AF97" s="519"/>
      <c r="AG97" s="519"/>
      <c r="AH97" s="519"/>
      <c r="AI97" s="519"/>
      <c r="AJ97" s="519"/>
      <c r="AK97" s="519"/>
      <c r="AL97" s="519"/>
      <c r="AM97" s="519"/>
      <c r="AN97" s="519"/>
    </row>
    <row r="98" spans="6:40" s="315" customFormat="1">
      <c r="J98" s="313"/>
      <c r="K98" s="313"/>
      <c r="L98" s="313"/>
      <c r="M98" s="313"/>
      <c r="N98" s="517"/>
      <c r="O98" s="517"/>
      <c r="Q98" s="519"/>
      <c r="R98" s="517"/>
      <c r="U98" s="519"/>
      <c r="V98" s="519"/>
      <c r="W98" s="519"/>
      <c r="X98" s="519"/>
      <c r="Y98" s="519"/>
      <c r="Z98" s="519"/>
      <c r="AA98" s="519"/>
      <c r="AB98" s="519"/>
      <c r="AC98" s="519"/>
      <c r="AD98" s="519"/>
      <c r="AE98" s="519"/>
      <c r="AF98" s="519"/>
      <c r="AG98" s="519"/>
      <c r="AH98" s="519"/>
      <c r="AI98" s="519"/>
      <c r="AJ98" s="519"/>
      <c r="AK98" s="519"/>
      <c r="AL98" s="519"/>
      <c r="AM98" s="519"/>
      <c r="AN98" s="519"/>
    </row>
    <row r="99" spans="6:40" s="315" customFormat="1">
      <c r="J99" s="515"/>
      <c r="K99" s="313"/>
      <c r="L99" s="313"/>
      <c r="M99" s="313"/>
      <c r="N99" s="517"/>
      <c r="O99" s="517"/>
      <c r="Q99" s="515"/>
      <c r="R99" s="517"/>
      <c r="U99" s="519"/>
      <c r="V99" s="519"/>
      <c r="W99" s="519"/>
      <c r="X99" s="519"/>
      <c r="Y99" s="519"/>
      <c r="Z99" s="519"/>
      <c r="AA99" s="519"/>
      <c r="AB99" s="519"/>
      <c r="AC99" s="519"/>
      <c r="AD99" s="519"/>
      <c r="AE99" s="519"/>
      <c r="AF99" s="519"/>
      <c r="AG99" s="519"/>
      <c r="AH99" s="519"/>
      <c r="AI99" s="519"/>
      <c r="AJ99" s="519"/>
      <c r="AK99" s="519"/>
      <c r="AL99" s="519"/>
      <c r="AM99" s="519"/>
      <c r="AN99" s="519"/>
    </row>
    <row r="100" spans="6:40" s="315" customFormat="1">
      <c r="J100" s="521"/>
      <c r="K100" s="313"/>
      <c r="L100" s="313"/>
      <c r="M100" s="313"/>
      <c r="N100" s="517"/>
      <c r="O100" s="517"/>
      <c r="Q100" s="521"/>
      <c r="R100" s="517"/>
      <c r="U100" s="519"/>
      <c r="V100" s="519"/>
      <c r="W100" s="519"/>
      <c r="X100" s="519"/>
      <c r="Y100" s="519"/>
      <c r="Z100" s="519"/>
      <c r="AA100" s="519"/>
      <c r="AB100" s="519"/>
      <c r="AC100" s="519"/>
      <c r="AD100" s="519"/>
      <c r="AE100" s="519"/>
      <c r="AF100" s="519"/>
      <c r="AG100" s="519"/>
      <c r="AH100" s="519"/>
      <c r="AI100" s="519"/>
      <c r="AJ100" s="519"/>
      <c r="AK100" s="519"/>
      <c r="AL100" s="519"/>
      <c r="AM100" s="519"/>
      <c r="AN100" s="519"/>
    </row>
    <row r="101" spans="6:40" s="315" customFormat="1">
      <c r="J101" s="521"/>
      <c r="K101" s="313"/>
      <c r="L101" s="313"/>
      <c r="M101" s="313"/>
      <c r="N101" s="517"/>
      <c r="O101" s="517"/>
      <c r="Q101" s="521"/>
      <c r="R101" s="517"/>
      <c r="U101" s="519"/>
      <c r="V101" s="519"/>
      <c r="W101" s="519"/>
      <c r="X101" s="519"/>
      <c r="Y101" s="519"/>
      <c r="Z101" s="519"/>
      <c r="AA101" s="519"/>
      <c r="AB101" s="519"/>
      <c r="AC101" s="519"/>
      <c r="AD101" s="519"/>
      <c r="AE101" s="519"/>
      <c r="AF101" s="519"/>
      <c r="AG101" s="519"/>
      <c r="AH101" s="519"/>
      <c r="AI101" s="519"/>
      <c r="AJ101" s="519"/>
      <c r="AK101" s="519"/>
      <c r="AL101" s="519"/>
      <c r="AM101" s="519"/>
      <c r="AN101" s="519"/>
    </row>
    <row r="102" spans="6:40" s="315" customFormat="1">
      <c r="J102" s="521"/>
      <c r="K102" s="313"/>
      <c r="L102" s="313"/>
      <c r="M102" s="313"/>
      <c r="N102" s="517"/>
      <c r="O102" s="517"/>
      <c r="Q102" s="521"/>
      <c r="R102" s="517"/>
      <c r="U102" s="519"/>
      <c r="V102" s="519"/>
      <c r="W102" s="519"/>
      <c r="X102" s="519"/>
      <c r="Y102" s="519"/>
      <c r="Z102" s="519"/>
      <c r="AA102" s="519"/>
      <c r="AB102" s="519"/>
      <c r="AC102" s="519"/>
      <c r="AD102" s="519"/>
      <c r="AE102" s="519"/>
      <c r="AF102" s="519"/>
      <c r="AG102" s="519"/>
      <c r="AH102" s="519"/>
      <c r="AI102" s="519"/>
      <c r="AJ102" s="519"/>
      <c r="AK102" s="519"/>
      <c r="AL102" s="519"/>
      <c r="AM102" s="519"/>
      <c r="AN102" s="519"/>
    </row>
    <row r="103" spans="6:40" s="315" customFormat="1">
      <c r="J103" s="313"/>
      <c r="K103" s="313"/>
      <c r="L103" s="313"/>
      <c r="M103" s="313"/>
      <c r="N103" s="517"/>
      <c r="O103" s="517"/>
      <c r="P103" s="517"/>
      <c r="Q103" s="519"/>
      <c r="R103" s="519"/>
      <c r="S103" s="519"/>
      <c r="T103" s="519"/>
      <c r="U103" s="519"/>
      <c r="V103" s="519"/>
      <c r="W103" s="519"/>
      <c r="X103" s="519"/>
      <c r="Y103" s="519"/>
      <c r="Z103" s="519"/>
      <c r="AA103" s="519"/>
      <c r="AB103" s="519"/>
      <c r="AC103" s="519"/>
      <c r="AD103" s="519"/>
      <c r="AE103" s="519"/>
      <c r="AF103" s="519"/>
      <c r="AG103" s="519"/>
      <c r="AH103" s="519"/>
      <c r="AI103" s="519"/>
      <c r="AJ103" s="519"/>
      <c r="AK103" s="519"/>
      <c r="AL103" s="519"/>
      <c r="AM103" s="519"/>
      <c r="AN103" s="519"/>
    </row>
    <row r="104" spans="6:40" s="315" customFormat="1">
      <c r="J104" s="313"/>
      <c r="K104" s="313"/>
      <c r="L104" s="313"/>
      <c r="M104" s="313"/>
      <c r="N104" s="517"/>
      <c r="O104" s="517"/>
      <c r="P104" s="517"/>
      <c r="Q104" s="519"/>
      <c r="R104" s="519"/>
      <c r="S104" s="519"/>
      <c r="T104" s="519"/>
      <c r="U104" s="519"/>
      <c r="V104" s="519"/>
      <c r="W104" s="519"/>
      <c r="X104" s="519"/>
      <c r="Y104" s="519"/>
      <c r="Z104" s="519"/>
      <c r="AA104" s="519"/>
      <c r="AB104" s="519"/>
      <c r="AC104" s="519"/>
      <c r="AD104" s="519"/>
      <c r="AE104" s="519"/>
      <c r="AF104" s="519"/>
      <c r="AG104" s="519"/>
      <c r="AH104" s="519"/>
      <c r="AI104" s="519"/>
      <c r="AJ104" s="519"/>
      <c r="AK104" s="519"/>
      <c r="AL104" s="519"/>
      <c r="AM104" s="519"/>
      <c r="AN104" s="519"/>
    </row>
    <row r="105" spans="6:40" s="315" customFormat="1">
      <c r="J105" s="515"/>
      <c r="K105" s="313"/>
      <c r="L105" s="313"/>
      <c r="M105" s="313"/>
      <c r="N105" s="517"/>
      <c r="O105" s="517"/>
      <c r="P105" s="517"/>
      <c r="Q105" s="519"/>
      <c r="R105" s="519"/>
      <c r="S105" s="519"/>
      <c r="T105" s="519"/>
      <c r="U105" s="519"/>
      <c r="V105" s="519"/>
      <c r="W105" s="519"/>
      <c r="X105" s="519"/>
      <c r="Y105" s="519"/>
      <c r="Z105" s="519"/>
      <c r="AA105" s="519"/>
      <c r="AB105" s="519"/>
      <c r="AC105" s="519"/>
      <c r="AD105" s="519"/>
      <c r="AE105" s="519"/>
      <c r="AF105" s="519"/>
      <c r="AG105" s="519"/>
      <c r="AH105" s="519"/>
      <c r="AI105" s="519"/>
      <c r="AJ105" s="519"/>
      <c r="AK105" s="519"/>
      <c r="AL105" s="519"/>
      <c r="AM105" s="519"/>
      <c r="AN105" s="519"/>
    </row>
    <row r="106" spans="6:40" s="315" customFormat="1">
      <c r="F106" s="317"/>
      <c r="J106" s="522"/>
      <c r="K106" s="523"/>
      <c r="L106" s="523"/>
      <c r="M106" s="523"/>
      <c r="N106" s="524"/>
      <c r="O106" s="524"/>
      <c r="P106" s="524"/>
      <c r="Q106" s="524"/>
      <c r="R106" s="524"/>
      <c r="S106" s="524"/>
      <c r="T106" s="524"/>
      <c r="U106" s="524"/>
      <c r="V106" s="524"/>
      <c r="W106" s="519"/>
      <c r="X106" s="519"/>
      <c r="Y106" s="519"/>
      <c r="Z106" s="519"/>
      <c r="AA106" s="519"/>
      <c r="AB106" s="519"/>
      <c r="AC106" s="519"/>
      <c r="AD106" s="519"/>
      <c r="AE106" s="519"/>
      <c r="AF106" s="519"/>
      <c r="AG106" s="519"/>
      <c r="AH106" s="519"/>
      <c r="AI106" s="519"/>
      <c r="AJ106" s="519"/>
      <c r="AK106" s="519"/>
      <c r="AL106" s="519"/>
      <c r="AM106" s="519"/>
      <c r="AN106" s="519"/>
    </row>
    <row r="107" spans="6:40" s="315" customFormat="1">
      <c r="F107" s="317"/>
      <c r="J107" s="515"/>
      <c r="K107" s="313"/>
      <c r="L107" s="313"/>
      <c r="M107" s="313"/>
      <c r="N107" s="517"/>
      <c r="O107" s="517"/>
      <c r="P107" s="517"/>
      <c r="Q107" s="519"/>
      <c r="R107" s="519"/>
      <c r="S107" s="519"/>
      <c r="T107" s="519"/>
      <c r="U107" s="519"/>
      <c r="V107" s="519"/>
      <c r="W107" s="519"/>
      <c r="X107" s="519"/>
      <c r="Y107" s="519"/>
      <c r="Z107" s="519"/>
      <c r="AA107" s="519"/>
      <c r="AB107" s="519"/>
      <c r="AC107" s="519"/>
      <c r="AD107" s="519"/>
      <c r="AE107" s="519"/>
      <c r="AF107" s="519"/>
      <c r="AG107" s="519"/>
      <c r="AH107" s="519"/>
      <c r="AI107" s="519"/>
      <c r="AJ107" s="519"/>
      <c r="AK107" s="519"/>
      <c r="AL107" s="519"/>
      <c r="AM107" s="519"/>
      <c r="AN107" s="519"/>
    </row>
    <row r="108" spans="6:40" s="315" customFormat="1" ht="16">
      <c r="F108" s="318"/>
      <c r="G108" s="318"/>
      <c r="H108" s="318"/>
      <c r="I108" s="318"/>
      <c r="J108" s="319"/>
      <c r="K108" s="313"/>
      <c r="L108" s="313"/>
      <c r="M108" s="313"/>
      <c r="N108" s="517"/>
      <c r="O108" s="517"/>
      <c r="P108" s="517"/>
      <c r="Q108" s="519"/>
      <c r="R108" s="519"/>
      <c r="S108" s="519"/>
      <c r="T108" s="519"/>
      <c r="U108" s="519"/>
      <c r="V108" s="519"/>
      <c r="W108" s="519"/>
      <c r="X108" s="519"/>
      <c r="Y108" s="519"/>
      <c r="Z108" s="519"/>
      <c r="AA108" s="519"/>
      <c r="AB108" s="519"/>
      <c r="AC108" s="519"/>
      <c r="AD108" s="519"/>
      <c r="AE108" s="519"/>
      <c r="AF108" s="519"/>
      <c r="AG108" s="519"/>
      <c r="AH108" s="519"/>
      <c r="AI108" s="519"/>
      <c r="AJ108" s="519"/>
      <c r="AK108" s="519"/>
      <c r="AL108" s="519"/>
      <c r="AM108" s="519"/>
      <c r="AN108" s="519"/>
    </row>
    <row r="109" spans="6:40" s="315" customFormat="1">
      <c r="J109" s="522"/>
      <c r="K109" s="313"/>
      <c r="L109" s="313"/>
      <c r="M109" s="313"/>
      <c r="N109" s="517"/>
      <c r="O109" s="517"/>
      <c r="P109" s="517"/>
      <c r="Q109" s="519"/>
      <c r="R109" s="519"/>
      <c r="S109" s="519"/>
      <c r="T109" s="519"/>
      <c r="U109" s="519"/>
      <c r="V109" s="519"/>
      <c r="W109" s="519"/>
      <c r="X109" s="519"/>
      <c r="Y109" s="519"/>
      <c r="Z109" s="519"/>
      <c r="AA109" s="519"/>
      <c r="AB109" s="519"/>
      <c r="AC109" s="519"/>
      <c r="AD109" s="519"/>
      <c r="AE109" s="519"/>
      <c r="AF109" s="519"/>
      <c r="AG109" s="519"/>
      <c r="AH109" s="519"/>
      <c r="AI109" s="519"/>
      <c r="AJ109" s="519"/>
      <c r="AK109" s="519"/>
      <c r="AL109" s="519"/>
      <c r="AM109" s="519"/>
      <c r="AN109" s="519"/>
    </row>
    <row r="110" spans="6:40" s="315" customFormat="1">
      <c r="J110" s="525"/>
      <c r="K110" s="313"/>
      <c r="L110" s="313"/>
      <c r="M110" s="313"/>
      <c r="N110" s="517"/>
      <c r="O110" s="517"/>
      <c r="P110" s="517"/>
      <c r="Q110" s="519"/>
      <c r="R110" s="519"/>
      <c r="S110" s="519"/>
      <c r="T110" s="519"/>
      <c r="U110" s="519"/>
      <c r="V110" s="519"/>
      <c r="W110" s="519"/>
      <c r="X110" s="519"/>
      <c r="Y110" s="519"/>
      <c r="Z110" s="519"/>
      <c r="AA110" s="519"/>
      <c r="AB110" s="519"/>
      <c r="AC110" s="519"/>
      <c r="AD110" s="519"/>
      <c r="AE110" s="519"/>
      <c r="AF110" s="519"/>
      <c r="AG110" s="519"/>
      <c r="AH110" s="519"/>
      <c r="AI110" s="519"/>
      <c r="AJ110" s="519"/>
      <c r="AK110" s="519"/>
      <c r="AL110" s="519"/>
      <c r="AM110" s="519"/>
      <c r="AN110" s="519"/>
    </row>
    <row r="111" spans="6:40" s="315" customFormat="1">
      <c r="J111" s="522"/>
      <c r="K111" s="313"/>
      <c r="L111" s="313"/>
      <c r="M111" s="313"/>
      <c r="N111" s="517"/>
      <c r="O111" s="517"/>
      <c r="P111" s="517"/>
      <c r="Q111" s="519"/>
      <c r="R111" s="519"/>
      <c r="S111" s="519"/>
      <c r="T111" s="519"/>
      <c r="U111" s="519"/>
      <c r="V111" s="519"/>
      <c r="W111" s="519"/>
      <c r="X111" s="519"/>
      <c r="Y111" s="519"/>
      <c r="Z111" s="519"/>
      <c r="AA111" s="519"/>
      <c r="AB111" s="519"/>
      <c r="AC111" s="519"/>
      <c r="AD111" s="519"/>
      <c r="AE111" s="519"/>
      <c r="AF111" s="519"/>
      <c r="AG111" s="519"/>
      <c r="AH111" s="519"/>
      <c r="AI111" s="519"/>
      <c r="AJ111" s="519"/>
      <c r="AK111" s="519"/>
      <c r="AL111" s="519"/>
      <c r="AM111" s="519"/>
      <c r="AN111" s="519"/>
    </row>
    <row r="112" spans="6:40" s="315" customFormat="1">
      <c r="J112" s="515"/>
      <c r="K112" s="313"/>
      <c r="L112" s="313"/>
      <c r="M112" s="313"/>
      <c r="N112" s="517"/>
      <c r="O112" s="517"/>
      <c r="P112" s="517"/>
      <c r="Q112" s="519"/>
      <c r="R112" s="519"/>
      <c r="S112" s="519"/>
      <c r="T112" s="519"/>
      <c r="U112" s="519"/>
      <c r="V112" s="519"/>
      <c r="W112" s="519"/>
      <c r="X112" s="519"/>
      <c r="Y112" s="519"/>
      <c r="Z112" s="519"/>
      <c r="AA112" s="519"/>
      <c r="AB112" s="519"/>
      <c r="AC112" s="519"/>
      <c r="AD112" s="519"/>
      <c r="AE112" s="519"/>
      <c r="AF112" s="519"/>
      <c r="AG112" s="519"/>
      <c r="AH112" s="519"/>
      <c r="AI112" s="519"/>
      <c r="AJ112" s="519"/>
      <c r="AK112" s="519"/>
      <c r="AL112" s="519"/>
      <c r="AM112" s="519"/>
      <c r="AN112" s="519"/>
    </row>
    <row r="113" spans="10:40" s="315" customFormat="1">
      <c r="J113" s="523"/>
      <c r="K113" s="313"/>
      <c r="L113" s="313"/>
      <c r="M113" s="313"/>
      <c r="N113" s="517"/>
      <c r="O113" s="517"/>
      <c r="P113" s="517"/>
      <c r="Q113" s="519"/>
      <c r="R113" s="519"/>
      <c r="S113" s="519"/>
      <c r="T113" s="519"/>
      <c r="U113" s="519"/>
      <c r="V113" s="519"/>
      <c r="W113" s="519"/>
      <c r="X113" s="519"/>
      <c r="Y113" s="519"/>
      <c r="Z113" s="519"/>
      <c r="AA113" s="519"/>
      <c r="AB113" s="519"/>
      <c r="AC113" s="519"/>
      <c r="AD113" s="519"/>
      <c r="AE113" s="519"/>
      <c r="AF113" s="519"/>
      <c r="AG113" s="519"/>
      <c r="AH113" s="519"/>
      <c r="AI113" s="519"/>
      <c r="AJ113" s="519"/>
      <c r="AK113" s="519"/>
      <c r="AL113" s="519"/>
      <c r="AM113" s="519"/>
      <c r="AN113" s="519"/>
    </row>
    <row r="114" spans="10:40" s="315" customFormat="1">
      <c r="J114" s="514"/>
      <c r="K114" s="313"/>
      <c r="L114" s="313"/>
      <c r="M114" s="313"/>
      <c r="N114" s="517"/>
      <c r="O114" s="517"/>
      <c r="P114" s="517"/>
      <c r="Q114" s="519"/>
      <c r="R114" s="519"/>
      <c r="S114" s="519"/>
      <c r="T114" s="519"/>
      <c r="U114" s="519"/>
      <c r="V114" s="519"/>
      <c r="W114" s="519"/>
      <c r="X114" s="519"/>
      <c r="Y114" s="519"/>
      <c r="Z114" s="519"/>
      <c r="AA114" s="519"/>
      <c r="AB114" s="519"/>
      <c r="AC114" s="519"/>
      <c r="AD114" s="519"/>
      <c r="AE114" s="519"/>
      <c r="AF114" s="519"/>
      <c r="AG114" s="519"/>
      <c r="AH114" s="519"/>
      <c r="AI114" s="519"/>
      <c r="AJ114" s="519"/>
      <c r="AK114" s="519"/>
      <c r="AL114" s="519"/>
      <c r="AM114" s="519"/>
      <c r="AN114" s="519"/>
    </row>
    <row r="115" spans="10:40" s="315" customFormat="1">
      <c r="J115" s="514"/>
      <c r="K115" s="313"/>
      <c r="L115" s="313"/>
      <c r="M115" s="313"/>
      <c r="N115" s="517"/>
      <c r="O115" s="517"/>
      <c r="P115" s="517"/>
      <c r="Q115" s="519"/>
      <c r="R115" s="519"/>
      <c r="S115" s="519"/>
      <c r="T115" s="519"/>
      <c r="U115" s="519"/>
      <c r="V115" s="519"/>
      <c r="W115" s="519"/>
      <c r="X115" s="519"/>
      <c r="Y115" s="519"/>
      <c r="Z115" s="519"/>
      <c r="AA115" s="519"/>
      <c r="AB115" s="519"/>
      <c r="AC115" s="519"/>
      <c r="AD115" s="519"/>
      <c r="AE115" s="519"/>
      <c r="AF115" s="519"/>
      <c r="AG115" s="519"/>
      <c r="AH115" s="519"/>
      <c r="AI115" s="519"/>
      <c r="AJ115" s="519"/>
      <c r="AK115" s="519"/>
      <c r="AL115" s="519"/>
      <c r="AM115" s="519"/>
      <c r="AN115" s="519"/>
    </row>
    <row r="116" spans="10:40" s="315" customFormat="1">
      <c r="J116" s="514"/>
      <c r="N116" s="519"/>
      <c r="O116" s="519"/>
      <c r="P116" s="519"/>
      <c r="Q116" s="519"/>
      <c r="R116" s="524"/>
      <c r="S116" s="519"/>
      <c r="T116" s="519"/>
      <c r="U116" s="519"/>
      <c r="V116" s="519"/>
      <c r="W116" s="519"/>
      <c r="X116" s="519"/>
      <c r="Y116" s="519"/>
      <c r="Z116" s="519"/>
      <c r="AA116" s="519"/>
      <c r="AB116" s="519"/>
      <c r="AC116" s="519"/>
      <c r="AD116" s="519"/>
      <c r="AE116" s="519"/>
      <c r="AF116" s="519"/>
      <c r="AG116" s="519"/>
      <c r="AH116" s="519"/>
      <c r="AI116" s="519"/>
      <c r="AJ116" s="519"/>
      <c r="AK116" s="519"/>
      <c r="AL116" s="519"/>
      <c r="AM116" s="519"/>
      <c r="AN116" s="519"/>
    </row>
    <row r="117" spans="10:40" s="315" customFormat="1">
      <c r="N117" s="519"/>
      <c r="O117" s="519"/>
      <c r="P117" s="519"/>
      <c r="Q117" s="519"/>
      <c r="R117" s="519"/>
      <c r="S117" s="519"/>
      <c r="T117" s="519"/>
      <c r="U117" s="519"/>
      <c r="V117" s="519"/>
      <c r="W117" s="519"/>
      <c r="X117" s="519"/>
      <c r="Y117" s="519"/>
      <c r="Z117" s="519"/>
      <c r="AA117" s="519"/>
      <c r="AB117" s="519"/>
      <c r="AC117" s="519"/>
      <c r="AD117" s="519"/>
      <c r="AE117" s="519"/>
      <c r="AF117" s="519"/>
      <c r="AG117" s="519"/>
      <c r="AH117" s="519"/>
      <c r="AI117" s="519"/>
      <c r="AJ117" s="519"/>
      <c r="AK117" s="519"/>
      <c r="AL117" s="519"/>
      <c r="AM117" s="519"/>
      <c r="AN117" s="519"/>
    </row>
    <row r="118" spans="10:40" s="315" customFormat="1">
      <c r="N118" s="519"/>
      <c r="O118" s="519"/>
      <c r="P118" s="519"/>
      <c r="Q118" s="519"/>
      <c r="R118" s="519"/>
      <c r="S118" s="519"/>
      <c r="T118" s="519"/>
      <c r="U118" s="519"/>
      <c r="V118" s="519"/>
      <c r="W118" s="519"/>
      <c r="X118" s="519"/>
      <c r="Y118" s="519"/>
      <c r="Z118" s="519"/>
      <c r="AA118" s="519"/>
      <c r="AB118" s="519"/>
      <c r="AC118" s="519"/>
      <c r="AD118" s="519"/>
      <c r="AE118" s="519"/>
      <c r="AF118" s="519"/>
      <c r="AG118" s="519"/>
      <c r="AH118" s="519"/>
      <c r="AI118" s="519"/>
      <c r="AJ118" s="519"/>
      <c r="AK118" s="519"/>
      <c r="AL118" s="519"/>
      <c r="AM118" s="519"/>
      <c r="AN118" s="519"/>
    </row>
    <row r="119" spans="10:40" s="315" customFormat="1">
      <c r="N119" s="519"/>
      <c r="O119" s="519"/>
      <c r="P119" s="519"/>
      <c r="Q119" s="519"/>
      <c r="R119" s="519"/>
      <c r="S119" s="519"/>
      <c r="T119" s="519"/>
      <c r="U119" s="519"/>
      <c r="V119" s="519"/>
      <c r="W119" s="519"/>
      <c r="X119" s="519"/>
      <c r="Y119" s="519"/>
      <c r="Z119" s="519"/>
      <c r="AA119" s="519"/>
      <c r="AB119" s="519"/>
      <c r="AC119" s="519"/>
      <c r="AD119" s="519"/>
      <c r="AE119" s="519"/>
      <c r="AF119" s="519"/>
      <c r="AG119" s="519"/>
      <c r="AH119" s="519"/>
      <c r="AI119" s="519"/>
      <c r="AJ119" s="519"/>
      <c r="AK119" s="519"/>
      <c r="AL119" s="519"/>
      <c r="AM119" s="519"/>
      <c r="AN119" s="519"/>
    </row>
    <row r="120" spans="10:40" s="315" customFormat="1">
      <c r="N120" s="519"/>
      <c r="O120" s="519"/>
      <c r="P120" s="519"/>
      <c r="Q120" s="519"/>
      <c r="R120" s="519"/>
      <c r="S120" s="519"/>
      <c r="T120" s="519"/>
      <c r="U120" s="519"/>
      <c r="V120" s="519"/>
      <c r="W120" s="519"/>
      <c r="X120" s="519"/>
      <c r="Y120" s="519"/>
      <c r="Z120" s="519"/>
      <c r="AA120" s="519"/>
      <c r="AB120" s="519"/>
      <c r="AC120" s="519"/>
      <c r="AD120" s="519"/>
      <c r="AE120" s="519"/>
      <c r="AF120" s="519"/>
      <c r="AG120" s="519"/>
      <c r="AH120" s="519"/>
      <c r="AI120" s="519"/>
      <c r="AJ120" s="519"/>
      <c r="AK120" s="519"/>
      <c r="AL120" s="519"/>
      <c r="AM120" s="519"/>
      <c r="AN120" s="519"/>
    </row>
    <row r="121" spans="10:40" s="315" customFormat="1">
      <c r="N121" s="519"/>
      <c r="O121" s="519"/>
      <c r="P121" s="519"/>
      <c r="Q121" s="519"/>
      <c r="R121" s="519"/>
      <c r="S121" s="519"/>
      <c r="T121" s="519"/>
      <c r="U121" s="519"/>
      <c r="V121" s="519"/>
      <c r="W121" s="519"/>
      <c r="X121" s="519"/>
      <c r="Y121" s="519"/>
      <c r="Z121" s="519"/>
      <c r="AA121" s="519"/>
      <c r="AB121" s="519"/>
      <c r="AC121" s="519"/>
      <c r="AD121" s="519"/>
      <c r="AE121" s="519"/>
      <c r="AF121" s="519"/>
      <c r="AG121" s="519"/>
      <c r="AH121" s="519"/>
      <c r="AI121" s="519"/>
      <c r="AJ121" s="519"/>
      <c r="AK121" s="519"/>
      <c r="AL121" s="519"/>
      <c r="AM121" s="519"/>
      <c r="AN121" s="519"/>
    </row>
    <row r="122" spans="10:40" s="315" customFormat="1" ht="18">
      <c r="J122" s="323"/>
      <c r="N122" s="519"/>
      <c r="O122" s="519"/>
      <c r="P122" s="519"/>
      <c r="Q122" s="519"/>
      <c r="R122" s="519"/>
      <c r="S122" s="519"/>
      <c r="T122" s="519"/>
      <c r="U122" s="519"/>
      <c r="V122" s="519"/>
      <c r="W122" s="519"/>
      <c r="X122" s="519"/>
      <c r="Y122" s="519"/>
      <c r="Z122" s="519"/>
      <c r="AA122" s="519"/>
      <c r="AB122" s="519"/>
      <c r="AC122" s="519"/>
      <c r="AD122" s="519"/>
      <c r="AE122" s="519"/>
      <c r="AF122" s="519"/>
      <c r="AG122" s="519"/>
      <c r="AH122" s="519"/>
      <c r="AI122" s="519"/>
      <c r="AJ122" s="519"/>
      <c r="AK122" s="519"/>
      <c r="AL122" s="519"/>
      <c r="AM122" s="519"/>
      <c r="AN122" s="519"/>
    </row>
    <row r="123" spans="10:40" s="315" customFormat="1">
      <c r="N123" s="519"/>
      <c r="O123" s="519"/>
      <c r="P123" s="519"/>
      <c r="Q123" s="519"/>
      <c r="R123" s="519"/>
      <c r="S123" s="519"/>
      <c r="T123" s="519"/>
      <c r="U123" s="519"/>
      <c r="V123" s="519"/>
      <c r="W123" s="519"/>
      <c r="X123" s="519"/>
      <c r="Y123" s="519"/>
      <c r="Z123" s="519"/>
      <c r="AA123" s="519"/>
      <c r="AB123" s="519"/>
      <c r="AC123" s="519"/>
      <c r="AD123" s="519"/>
      <c r="AE123" s="519"/>
      <c r="AF123" s="519"/>
      <c r="AG123" s="519"/>
      <c r="AH123" s="519"/>
      <c r="AI123" s="519"/>
      <c r="AJ123" s="519"/>
      <c r="AK123" s="519"/>
      <c r="AL123" s="519"/>
      <c r="AM123" s="519"/>
      <c r="AN123" s="519"/>
    </row>
    <row r="124" spans="10:40" s="315" customFormat="1">
      <c r="N124" s="519"/>
      <c r="O124" s="519"/>
      <c r="P124" s="519"/>
      <c r="Q124" s="519"/>
      <c r="R124" s="519"/>
      <c r="S124" s="519"/>
      <c r="T124" s="519"/>
      <c r="U124" s="519"/>
      <c r="V124" s="519"/>
      <c r="W124" s="519"/>
      <c r="X124" s="519"/>
      <c r="Y124" s="519"/>
      <c r="Z124" s="519"/>
      <c r="AA124" s="519"/>
      <c r="AB124" s="519"/>
      <c r="AC124" s="519"/>
      <c r="AD124" s="519"/>
      <c r="AE124" s="519"/>
      <c r="AF124" s="519"/>
      <c r="AG124" s="519"/>
      <c r="AH124" s="519"/>
      <c r="AI124" s="519"/>
      <c r="AJ124" s="519"/>
      <c r="AK124" s="519"/>
      <c r="AL124" s="519"/>
      <c r="AM124" s="519"/>
      <c r="AN124" s="519"/>
    </row>
    <row r="125" spans="10:40" s="315" customFormat="1">
      <c r="N125" s="519"/>
      <c r="O125" s="519"/>
      <c r="P125" s="519"/>
      <c r="Q125" s="519"/>
      <c r="R125" s="519"/>
      <c r="S125" s="519"/>
      <c r="T125" s="519"/>
      <c r="U125" s="519"/>
      <c r="V125" s="519"/>
      <c r="W125" s="519"/>
      <c r="X125" s="519"/>
      <c r="Y125" s="519"/>
      <c r="Z125" s="519"/>
      <c r="AA125" s="519"/>
      <c r="AB125" s="519"/>
      <c r="AC125" s="519"/>
      <c r="AD125" s="519"/>
      <c r="AE125" s="519"/>
      <c r="AF125" s="519"/>
      <c r="AG125" s="519"/>
      <c r="AH125" s="519"/>
      <c r="AI125" s="519"/>
      <c r="AJ125" s="519"/>
      <c r="AK125" s="519"/>
      <c r="AL125" s="519"/>
      <c r="AM125" s="519"/>
      <c r="AN125" s="519"/>
    </row>
    <row r="126" spans="10:40" s="315" customFormat="1">
      <c r="N126" s="519"/>
      <c r="O126" s="519"/>
      <c r="P126" s="519"/>
      <c r="Q126" s="519"/>
      <c r="R126" s="519"/>
      <c r="S126" s="519"/>
      <c r="T126" s="519"/>
      <c r="U126" s="519"/>
      <c r="V126" s="519"/>
      <c r="W126" s="519"/>
      <c r="X126" s="519"/>
      <c r="Y126" s="519"/>
      <c r="Z126" s="519"/>
      <c r="AA126" s="519"/>
      <c r="AB126" s="519"/>
      <c r="AC126" s="519"/>
      <c r="AD126" s="519"/>
      <c r="AE126" s="519"/>
      <c r="AF126" s="519"/>
      <c r="AG126" s="519"/>
      <c r="AH126" s="519"/>
      <c r="AI126" s="519"/>
      <c r="AJ126" s="519"/>
      <c r="AK126" s="519"/>
      <c r="AL126" s="519"/>
      <c r="AM126" s="519"/>
      <c r="AN126" s="519"/>
    </row>
    <row r="127" spans="10:40" s="315" customFormat="1">
      <c r="N127" s="519"/>
      <c r="O127" s="519"/>
      <c r="P127" s="519"/>
      <c r="Q127" s="519"/>
      <c r="R127" s="519"/>
      <c r="S127" s="519"/>
      <c r="T127" s="519"/>
      <c r="U127" s="519"/>
      <c r="V127" s="519"/>
      <c r="W127" s="519"/>
      <c r="X127" s="519"/>
      <c r="Y127" s="519"/>
      <c r="Z127" s="519"/>
      <c r="AA127" s="519"/>
      <c r="AB127" s="519"/>
      <c r="AC127" s="519"/>
      <c r="AD127" s="519"/>
      <c r="AE127" s="519"/>
      <c r="AF127" s="519"/>
      <c r="AG127" s="519"/>
      <c r="AH127" s="519"/>
      <c r="AI127" s="519"/>
      <c r="AJ127" s="519"/>
      <c r="AK127" s="519"/>
      <c r="AL127" s="519"/>
      <c r="AM127" s="519"/>
      <c r="AN127" s="519"/>
    </row>
    <row r="128" spans="10:40" s="315" customFormat="1">
      <c r="N128" s="519"/>
      <c r="O128" s="519"/>
      <c r="P128" s="519"/>
      <c r="Q128" s="519"/>
      <c r="R128" s="519"/>
      <c r="S128" s="519"/>
      <c r="T128" s="519"/>
      <c r="U128" s="519"/>
      <c r="V128" s="519"/>
      <c r="W128" s="519"/>
      <c r="X128" s="519"/>
      <c r="Y128" s="519"/>
      <c r="Z128" s="519"/>
      <c r="AA128" s="519"/>
      <c r="AB128" s="519"/>
      <c r="AC128" s="519"/>
      <c r="AD128" s="519"/>
      <c r="AE128" s="519"/>
      <c r="AF128" s="519"/>
      <c r="AG128" s="519"/>
      <c r="AH128" s="519"/>
      <c r="AI128" s="519"/>
      <c r="AJ128" s="519"/>
      <c r="AK128" s="519"/>
      <c r="AL128" s="519"/>
      <c r="AM128" s="519"/>
      <c r="AN128" s="519"/>
    </row>
    <row r="129" spans="14:14" s="315" customFormat="1">
      <c r="N129" s="519"/>
    </row>
    <row r="130" spans="14:14" s="315" customFormat="1">
      <c r="N130" s="519"/>
    </row>
    <row r="131" spans="14:14" s="315" customFormat="1">
      <c r="N131" s="519"/>
    </row>
    <row r="132" spans="14:14" s="315" customFormat="1">
      <c r="N132" s="519"/>
    </row>
    <row r="133" spans="14:14" s="315" customFormat="1">
      <c r="N133" s="519"/>
    </row>
    <row r="134" spans="14:14" s="315" customFormat="1">
      <c r="N134" s="519"/>
    </row>
    <row r="135" spans="14:14" s="315" customFormat="1">
      <c r="N135" s="519"/>
    </row>
    <row r="136" spans="14:14" s="315" customFormat="1">
      <c r="N136" s="519"/>
    </row>
    <row r="137" spans="14:14" s="315" customFormat="1">
      <c r="N137" s="519"/>
    </row>
    <row r="138" spans="14:14" s="315" customFormat="1">
      <c r="N138" s="519"/>
    </row>
    <row r="139" spans="14:14" s="315" customFormat="1">
      <c r="N139" s="519"/>
    </row>
    <row r="140" spans="14:14" s="315" customFormat="1">
      <c r="N140" s="519"/>
    </row>
    <row r="141" spans="14:14" s="315" customFormat="1">
      <c r="N141" s="519"/>
    </row>
    <row r="142" spans="14:14" s="315" customFormat="1">
      <c r="N142" s="519"/>
    </row>
    <row r="143" spans="14:14" s="315" customFormat="1">
      <c r="N143" s="519"/>
    </row>
    <row r="144" spans="14:14" s="315" customFormat="1">
      <c r="N144" s="519"/>
    </row>
    <row r="145" spans="14:14" s="315" customFormat="1">
      <c r="N145" s="519"/>
    </row>
    <row r="146" spans="14:14" s="315" customFormat="1">
      <c r="N146" s="519"/>
    </row>
    <row r="147" spans="14:14" s="315" customFormat="1">
      <c r="N147" s="519"/>
    </row>
    <row r="148" spans="14:14" s="315" customFormat="1">
      <c r="N148" s="519"/>
    </row>
    <row r="149" spans="14:14" s="315" customFormat="1">
      <c r="N149" s="519"/>
    </row>
    <row r="150" spans="14:14" s="315" customFormat="1">
      <c r="N150" s="519"/>
    </row>
    <row r="151" spans="14:14" s="315" customFormat="1">
      <c r="N151" s="519"/>
    </row>
    <row r="152" spans="14:14" s="315" customFormat="1">
      <c r="N152" s="519"/>
    </row>
    <row r="153" spans="14:14" s="315" customFormat="1">
      <c r="N153" s="519"/>
    </row>
    <row r="154" spans="14:14" s="315" customFormat="1">
      <c r="N154" s="519"/>
    </row>
    <row r="155" spans="14:14" s="315" customFormat="1">
      <c r="N155" s="519"/>
    </row>
    <row r="156" spans="14:14" s="315" customFormat="1">
      <c r="N156" s="519"/>
    </row>
    <row r="157" spans="14:14" s="315" customFormat="1">
      <c r="N157" s="519"/>
    </row>
    <row r="158" spans="14:14" s="315" customFormat="1">
      <c r="N158" s="519"/>
    </row>
    <row r="159" spans="14:14" s="315" customFormat="1">
      <c r="N159" s="519"/>
    </row>
    <row r="160" spans="14:14" s="315" customFormat="1">
      <c r="N160" s="519"/>
    </row>
    <row r="161" spans="14:14" s="315" customFormat="1">
      <c r="N161" s="519"/>
    </row>
    <row r="162" spans="14:14" s="315" customFormat="1">
      <c r="N162" s="519"/>
    </row>
    <row r="163" spans="14:14" s="315" customFormat="1">
      <c r="N163" s="519"/>
    </row>
    <row r="164" spans="14:14" s="315" customFormat="1">
      <c r="N164" s="519"/>
    </row>
    <row r="165" spans="14:14" s="315" customFormat="1">
      <c r="N165" s="519"/>
    </row>
    <row r="166" spans="14:14" s="315" customFormat="1">
      <c r="N166" s="519"/>
    </row>
    <row r="167" spans="14:14" s="315" customFormat="1">
      <c r="N167" s="519"/>
    </row>
    <row r="168" spans="14:14" s="315" customFormat="1">
      <c r="N168" s="519"/>
    </row>
    <row r="169" spans="14:14" s="315" customFormat="1">
      <c r="N169" s="519"/>
    </row>
    <row r="170" spans="14:14" s="315" customFormat="1">
      <c r="N170" s="519"/>
    </row>
    <row r="171" spans="14:14" s="315" customFormat="1">
      <c r="N171" s="519"/>
    </row>
    <row r="172" spans="14:14" s="315" customFormat="1">
      <c r="N172" s="519"/>
    </row>
    <row r="173" spans="14:14" s="315" customFormat="1">
      <c r="N173" s="519"/>
    </row>
    <row r="174" spans="14:14" s="315" customFormat="1">
      <c r="N174" s="519"/>
    </row>
    <row r="175" spans="14:14" s="315" customFormat="1">
      <c r="N175" s="519"/>
    </row>
    <row r="176" spans="14:14" s="315" customFormat="1">
      <c r="N176" s="519"/>
    </row>
    <row r="177" spans="14:34" s="315" customFormat="1">
      <c r="N177" s="519"/>
    </row>
    <row r="178" spans="14:34" s="315" customFormat="1">
      <c r="N178" s="519"/>
    </row>
    <row r="179" spans="14:34" s="315" customFormat="1">
      <c r="N179" s="519"/>
    </row>
    <row r="180" spans="14:34" s="315" customFormat="1">
      <c r="N180" s="519"/>
    </row>
    <row r="181" spans="14:34" s="315" customFormat="1">
      <c r="N181" s="519"/>
    </row>
    <row r="182" spans="14:34" s="315" customFormat="1">
      <c r="N182" s="519"/>
    </row>
    <row r="183" spans="14:34" s="315" customFormat="1">
      <c r="N183" s="519"/>
    </row>
    <row r="184" spans="14:34" s="315" customFormat="1">
      <c r="N184" s="519"/>
    </row>
    <row r="185" spans="14:34" s="315" customFormat="1">
      <c r="N185" s="519"/>
    </row>
    <row r="186" spans="14:34" s="315" customFormat="1">
      <c r="N186" s="519"/>
    </row>
    <row r="187" spans="14:34" s="315" customFormat="1">
      <c r="N187" s="519"/>
    </row>
    <row r="188" spans="14:34" s="315" customFormat="1">
      <c r="N188" s="519"/>
    </row>
    <row r="189" spans="14:34" s="315" customFormat="1">
      <c r="N189" s="519"/>
    </row>
    <row r="190" spans="14:34" s="315" customFormat="1">
      <c r="N190" s="519"/>
    </row>
    <row r="191" spans="14:34" s="513" customFormat="1">
      <c r="N191" s="511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512"/>
    </row>
  </sheetData>
  <mergeCells count="7">
    <mergeCell ref="F92:H92"/>
    <mergeCell ref="B93:C93"/>
    <mergeCell ref="D93:E93"/>
    <mergeCell ref="F93:G93"/>
    <mergeCell ref="B94:C94"/>
    <mergeCell ref="D94:E94"/>
    <mergeCell ref="F94:G94"/>
  </mergeCells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49" orientation="landscape" cellComments="atEnd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2C9B-5CBA-5642-9963-CDB69CE9EA9C}">
  <sheetPr>
    <tabColor rgb="FFFF0000"/>
    <pageSetUpPr fitToPage="1"/>
  </sheetPr>
  <dimension ref="B1:AA41"/>
  <sheetViews>
    <sheetView topLeftCell="D1" zoomScale="94" workbookViewId="0">
      <selection activeCell="S9" sqref="S9"/>
    </sheetView>
  </sheetViews>
  <sheetFormatPr baseColWidth="10" defaultColWidth="9.1640625" defaultRowHeight="15"/>
  <cols>
    <col min="1" max="1" width="9.1640625" style="418" customWidth="1"/>
    <col min="2" max="2" width="0.1640625" style="418" customWidth="1"/>
    <col min="3" max="3" width="1" style="418" hidden="1" customWidth="1"/>
    <col min="4" max="4" width="76.1640625" style="418" customWidth="1"/>
    <col min="5" max="5" width="16.5" style="418" bestFit="1" customWidth="1"/>
    <col min="6" max="14" width="9.1640625" style="418"/>
    <col min="15" max="15" width="16.1640625" style="418" customWidth="1"/>
    <col min="16" max="16384" width="9.1640625" style="418"/>
  </cols>
  <sheetData>
    <row r="1" spans="4:20" ht="26">
      <c r="D1" s="474" t="s">
        <v>446</v>
      </c>
      <c r="F1" s="474"/>
      <c r="G1" s="474" t="s">
        <v>447</v>
      </c>
    </row>
    <row r="2" spans="4:20" ht="16" thickBot="1"/>
    <row r="3" spans="4:20" ht="19">
      <c r="D3" s="475"/>
      <c r="E3" s="476" t="s">
        <v>194</v>
      </c>
      <c r="G3" s="477"/>
      <c r="H3" s="478"/>
      <c r="I3" s="478"/>
      <c r="J3" s="478"/>
      <c r="K3" s="478"/>
      <c r="L3" s="478"/>
      <c r="M3" s="478"/>
      <c r="N3" s="478"/>
      <c r="O3" s="479"/>
      <c r="Q3" s="503" t="s">
        <v>296</v>
      </c>
      <c r="R3" s="420"/>
      <c r="S3" s="420"/>
      <c r="T3" s="420"/>
    </row>
    <row r="4" spans="4:20" ht="19">
      <c r="D4" s="480" t="s">
        <v>448</v>
      </c>
      <c r="E4" s="481">
        <f>'Budget lejebolig'!N88</f>
        <v>38866.410600000025</v>
      </c>
      <c r="G4" s="482" t="s">
        <v>449</v>
      </c>
      <c r="O4" s="483" t="e">
        <v>#DIV/0!</v>
      </c>
      <c r="Q4" s="503" t="s">
        <v>463</v>
      </c>
      <c r="R4" s="420"/>
      <c r="S4" s="420"/>
      <c r="T4" s="420"/>
    </row>
    <row r="5" spans="4:20" ht="19">
      <c r="D5" s="480" t="s">
        <v>450</v>
      </c>
      <c r="E5" s="484">
        <f>'Budget med hus'!N88</f>
        <v>32981.869797017403</v>
      </c>
      <c r="G5" s="485"/>
      <c r="O5" s="486"/>
      <c r="Q5" s="504" t="s">
        <v>297</v>
      </c>
      <c r="R5" s="420"/>
      <c r="S5" s="420"/>
      <c r="T5" s="420"/>
    </row>
    <row r="6" spans="4:20" ht="19">
      <c r="D6" s="480" t="s">
        <v>451</v>
      </c>
      <c r="E6" s="484">
        <f>E5+'Realkredit finansiering (2)'!E28-'Realkredit finansiering (2)'!F28</f>
        <v>34787.311161694844</v>
      </c>
      <c r="G6" s="482" t="s">
        <v>452</v>
      </c>
      <c r="O6" s="483">
        <f>'Realkredit finansiering (2)'!E3/(Ægtepar!C20+Ægtepar!D20)</f>
        <v>3.7970074057947074</v>
      </c>
      <c r="Q6" s="504"/>
      <c r="R6" s="420"/>
      <c r="S6" s="420"/>
      <c r="T6" s="420"/>
    </row>
    <row r="7" spans="4:20" ht="19">
      <c r="D7" s="480" t="s">
        <v>453</v>
      </c>
      <c r="E7" s="484">
        <f>E5+'Realkredit finansiering (2)'!E28-'Realkredit finansiering (2)'!G28</f>
        <v>39520.077973842366</v>
      </c>
      <c r="G7" s="485"/>
      <c r="O7" s="486"/>
      <c r="Q7" s="505" t="s">
        <v>298</v>
      </c>
      <c r="R7" s="420"/>
      <c r="S7" s="420"/>
      <c r="T7" s="420"/>
    </row>
    <row r="8" spans="4:20" ht="20" thickBot="1">
      <c r="D8" s="487" t="s">
        <v>454</v>
      </c>
      <c r="E8" s="488">
        <f>E5+'Realkredit finansiering (2)'!E28-'Realkredit finansiering (2)'!H28</f>
        <v>38702.620170769849</v>
      </c>
      <c r="G8" s="489"/>
      <c r="H8" s="490"/>
      <c r="I8" s="490"/>
      <c r="J8" s="490"/>
      <c r="K8" s="490"/>
      <c r="L8" s="490"/>
      <c r="M8" s="490"/>
      <c r="N8" s="490"/>
      <c r="O8" s="491"/>
      <c r="Q8" s="420"/>
      <c r="R8" s="420"/>
      <c r="S8" s="420"/>
      <c r="T8" s="420"/>
    </row>
    <row r="9" spans="4:20" ht="21">
      <c r="H9" s="419"/>
      <c r="Q9" s="506" t="s">
        <v>299</v>
      </c>
      <c r="R9" s="420"/>
      <c r="S9" s="507" t="s">
        <v>462</v>
      </c>
      <c r="T9" s="420"/>
    </row>
    <row r="10" spans="4:20" ht="26">
      <c r="G10" s="474" t="s">
        <v>455</v>
      </c>
      <c r="Q10" s="504"/>
      <c r="R10" s="420"/>
      <c r="S10" s="508"/>
      <c r="T10" s="420"/>
    </row>
    <row r="11" spans="4:20" ht="20" thickBot="1">
      <c r="Q11" s="509"/>
      <c r="R11" s="420"/>
      <c r="S11" s="508"/>
      <c r="T11" s="420"/>
    </row>
    <row r="12" spans="4:20" ht="19">
      <c r="G12" s="492" t="s">
        <v>456</v>
      </c>
      <c r="H12" s="478"/>
      <c r="I12" s="478"/>
      <c r="J12" s="478"/>
      <c r="K12" s="478"/>
      <c r="L12" s="478"/>
      <c r="M12" s="478"/>
      <c r="N12" s="478"/>
      <c r="O12" s="479"/>
      <c r="Q12" s="506" t="s">
        <v>300</v>
      </c>
      <c r="R12" s="420"/>
      <c r="S12" s="508" t="s">
        <v>301</v>
      </c>
      <c r="T12" s="420"/>
    </row>
    <row r="13" spans="4:20" ht="19">
      <c r="G13" s="482" t="s">
        <v>457</v>
      </c>
      <c r="O13" s="486"/>
      <c r="Q13" s="510"/>
      <c r="R13" s="420"/>
      <c r="S13" s="508"/>
      <c r="T13" s="420"/>
    </row>
    <row r="14" spans="4:20" ht="19">
      <c r="G14" s="485"/>
      <c r="O14" s="486"/>
      <c r="Q14" s="506" t="s">
        <v>302</v>
      </c>
      <c r="R14" s="420"/>
      <c r="S14" s="508" t="s">
        <v>303</v>
      </c>
      <c r="T14" s="420"/>
    </row>
    <row r="15" spans="4:20" ht="19">
      <c r="G15" s="493" t="s">
        <v>458</v>
      </c>
      <c r="O15" s="486"/>
      <c r="Q15" s="504"/>
      <c r="R15" s="420"/>
      <c r="S15" s="508"/>
      <c r="T15" s="420"/>
    </row>
    <row r="16" spans="4:20" ht="19">
      <c r="G16" s="493" t="s">
        <v>459</v>
      </c>
      <c r="O16" s="486"/>
      <c r="Q16" s="507" t="s">
        <v>304</v>
      </c>
      <c r="R16" s="420"/>
      <c r="S16" s="508" t="s">
        <v>305</v>
      </c>
      <c r="T16" s="420"/>
    </row>
    <row r="17" spans="4:20" ht="19">
      <c r="G17" s="493" t="s">
        <v>460</v>
      </c>
      <c r="O17" s="486"/>
      <c r="Q17" s="502"/>
      <c r="R17" s="502"/>
      <c r="S17" s="502"/>
      <c r="T17" s="502"/>
    </row>
    <row r="18" spans="4:20" ht="19">
      <c r="G18" s="493"/>
      <c r="O18" s="486"/>
    </row>
    <row r="19" spans="4:20" ht="20" thickBot="1">
      <c r="G19" s="494" t="s">
        <v>461</v>
      </c>
      <c r="H19" s="490"/>
      <c r="I19" s="490"/>
      <c r="J19" s="490"/>
      <c r="K19" s="490"/>
      <c r="L19" s="490"/>
      <c r="M19" s="490"/>
      <c r="N19" s="490"/>
      <c r="O19" s="491"/>
    </row>
    <row r="30" spans="4:20">
      <c r="T30" s="495"/>
    </row>
    <row r="31" spans="4:20">
      <c r="H31" s="495"/>
    </row>
    <row r="32" spans="4:20" ht="19">
      <c r="D32" s="496"/>
      <c r="E32" s="497"/>
      <c r="F32" s="496"/>
    </row>
    <row r="33" spans="2:27" ht="19">
      <c r="B33" s="498"/>
      <c r="C33" s="498"/>
      <c r="D33" s="499"/>
      <c r="E33" s="500"/>
      <c r="F33" s="496"/>
      <c r="Q33" s="501"/>
      <c r="R33" s="501"/>
      <c r="S33" s="501"/>
      <c r="T33" s="501"/>
      <c r="U33" s="501"/>
      <c r="V33" s="501"/>
      <c r="W33" s="501"/>
      <c r="X33" s="501"/>
      <c r="Y33" s="501"/>
      <c r="Z33" s="501"/>
      <c r="AA33" s="501"/>
    </row>
    <row r="35" spans="2:27" ht="19">
      <c r="H35" s="423"/>
      <c r="I35" s="501"/>
      <c r="J35" s="501"/>
      <c r="K35" s="501"/>
      <c r="L35" s="501"/>
      <c r="M35" s="501"/>
      <c r="N35" s="501"/>
      <c r="O35" s="501"/>
      <c r="P35" s="501"/>
    </row>
    <row r="36" spans="2:27">
      <c r="I36" s="501"/>
      <c r="J36" s="501"/>
      <c r="K36" s="501"/>
      <c r="L36" s="501"/>
      <c r="M36" s="501"/>
      <c r="N36" s="501"/>
      <c r="O36" s="501"/>
      <c r="P36" s="501"/>
    </row>
    <row r="37" spans="2:27">
      <c r="I37" s="501"/>
      <c r="J37" s="501"/>
      <c r="K37" s="501"/>
      <c r="L37" s="501"/>
      <c r="M37" s="501"/>
      <c r="N37" s="501"/>
      <c r="O37" s="501"/>
      <c r="P37" s="501"/>
    </row>
    <row r="38" spans="2:27">
      <c r="I38" s="501"/>
      <c r="J38" s="501"/>
      <c r="K38" s="501"/>
      <c r="L38" s="501"/>
      <c r="M38" s="501"/>
      <c r="N38" s="501"/>
      <c r="O38" s="501"/>
      <c r="P38" s="501"/>
    </row>
    <row r="39" spans="2:27">
      <c r="H39" s="501"/>
    </row>
    <row r="40" spans="2:27">
      <c r="H40" s="501"/>
    </row>
    <row r="41" spans="2:27">
      <c r="H41" s="501"/>
    </row>
  </sheetData>
  <pageMargins left="0.70866141732283472" right="0.70866141732283472" top="0.74803149606299213" bottom="0.74803149606299213" header="0.31496062992125984" footer="0.31496062992125984"/>
  <pageSetup scale="5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BD83-43AC-4A42-9D7C-CF8272836FB8}">
  <dimension ref="B2:J103"/>
  <sheetViews>
    <sheetView zoomScale="130" zoomScaleNormal="130" workbookViewId="0">
      <selection sqref="A1:XFD1048576"/>
    </sheetView>
  </sheetViews>
  <sheetFormatPr baseColWidth="10" defaultColWidth="8.6640625" defaultRowHeight="16"/>
  <cols>
    <col min="1" max="1" width="8.6640625" style="4"/>
    <col min="2" max="2" width="16.1640625" style="4" bestFit="1" customWidth="1"/>
    <col min="3" max="3" width="11" style="4" customWidth="1"/>
    <col min="4" max="4" width="9" style="4"/>
    <col min="5" max="5" width="12.1640625" style="177" customWidth="1"/>
    <col min="6" max="6" width="9.1640625" style="4" customWidth="1"/>
    <col min="7" max="7" width="53.6640625" style="4" customWidth="1"/>
    <col min="8" max="8" width="20.1640625" style="4" customWidth="1"/>
    <col min="9" max="10" width="9.1640625" style="4" customWidth="1"/>
    <col min="11" max="16384" width="8.6640625" style="4"/>
  </cols>
  <sheetData>
    <row r="2" spans="2:10">
      <c r="G2" s="8"/>
    </row>
    <row r="3" spans="2:10" ht="27" customHeight="1">
      <c r="B3" s="551" t="s">
        <v>306</v>
      </c>
      <c r="C3" s="551"/>
      <c r="D3" s="551"/>
      <c r="E3" s="551"/>
      <c r="G3" s="164" t="s">
        <v>307</v>
      </c>
      <c r="H3" s="178">
        <v>0.08</v>
      </c>
    </row>
    <row r="4" spans="2:10">
      <c r="B4" s="179"/>
      <c r="G4" s="167" t="s">
        <v>308</v>
      </c>
      <c r="H4" s="180">
        <v>2.23</v>
      </c>
    </row>
    <row r="5" spans="2:10" ht="28">
      <c r="B5" s="181" t="s">
        <v>309</v>
      </c>
      <c r="C5" s="182" t="s">
        <v>310</v>
      </c>
      <c r="D5" s="182" t="s">
        <v>311</v>
      </c>
      <c r="E5" s="183" t="s">
        <v>312</v>
      </c>
      <c r="G5" s="167" t="s">
        <v>313</v>
      </c>
      <c r="H5" s="184">
        <v>24</v>
      </c>
    </row>
    <row r="6" spans="2:10" ht="17.25" customHeight="1">
      <c r="B6" s="48" t="s">
        <v>314</v>
      </c>
      <c r="C6" s="472">
        <v>25.6</v>
      </c>
      <c r="D6" s="4">
        <v>0.8</v>
      </c>
      <c r="E6" s="185">
        <v>9.1</v>
      </c>
      <c r="G6" s="167" t="s">
        <v>315</v>
      </c>
      <c r="H6" s="184">
        <v>120</v>
      </c>
    </row>
    <row r="7" spans="2:10" ht="17.25" customHeight="1">
      <c r="B7" s="48" t="s">
        <v>316</v>
      </c>
      <c r="C7" s="472">
        <v>25.3</v>
      </c>
      <c r="D7" s="4">
        <v>0.57999999999999996</v>
      </c>
      <c r="E7" s="185">
        <v>8</v>
      </c>
      <c r="G7" s="167" t="s">
        <v>317</v>
      </c>
      <c r="H7" s="180">
        <v>1.1200000000000001</v>
      </c>
    </row>
    <row r="8" spans="2:10" ht="17.25" customHeight="1">
      <c r="B8" s="48" t="s">
        <v>318</v>
      </c>
      <c r="C8" s="472">
        <v>26.1</v>
      </c>
      <c r="D8" s="4">
        <v>0.98</v>
      </c>
      <c r="E8" s="185">
        <v>11.2</v>
      </c>
      <c r="G8" s="167" t="s">
        <v>319</v>
      </c>
      <c r="H8" s="186">
        <v>325800</v>
      </c>
    </row>
    <row r="9" spans="2:10" ht="17.25" customHeight="1">
      <c r="B9" s="48" t="s">
        <v>320</v>
      </c>
      <c r="C9" s="472">
        <v>25.5</v>
      </c>
      <c r="D9" s="4">
        <v>0.75</v>
      </c>
      <c r="E9" s="185">
        <v>8.3000000000000007</v>
      </c>
      <c r="G9" s="167" t="s">
        <v>321</v>
      </c>
      <c r="H9" s="187">
        <v>0.123</v>
      </c>
      <c r="I9" s="473"/>
    </row>
    <row r="10" spans="2:10" ht="17.25" customHeight="1">
      <c r="B10" s="48" t="s">
        <v>322</v>
      </c>
      <c r="C10" s="472">
        <v>24</v>
      </c>
      <c r="D10" s="4">
        <v>0.89</v>
      </c>
      <c r="E10" s="185">
        <v>7.2</v>
      </c>
      <c r="G10" s="167" t="s">
        <v>323</v>
      </c>
      <c r="H10" s="186">
        <v>55600</v>
      </c>
      <c r="J10" s="4" t="s">
        <v>85</v>
      </c>
    </row>
    <row r="11" spans="2:10" ht="17.25" customHeight="1">
      <c r="B11" s="48" t="s">
        <v>324</v>
      </c>
      <c r="C11" s="472">
        <v>26.2</v>
      </c>
      <c r="D11" s="4">
        <v>0</v>
      </c>
      <c r="E11" s="185">
        <v>10.7</v>
      </c>
      <c r="G11" s="132" t="s">
        <v>13</v>
      </c>
      <c r="H11" s="187">
        <v>0.1201</v>
      </c>
    </row>
    <row r="12" spans="2:10" ht="17.25" customHeight="1">
      <c r="B12" s="48" t="s">
        <v>325</v>
      </c>
      <c r="C12" s="472">
        <v>24.3</v>
      </c>
      <c r="D12" s="4">
        <v>0.8</v>
      </c>
      <c r="E12" s="185">
        <v>4.9000000000000004</v>
      </c>
      <c r="G12" s="188" t="s">
        <v>326</v>
      </c>
      <c r="H12" s="189">
        <v>5.1000000000000004E-3</v>
      </c>
      <c r="I12" s="4" t="s">
        <v>85</v>
      </c>
      <c r="J12" s="4" t="s">
        <v>85</v>
      </c>
    </row>
    <row r="13" spans="2:10" ht="17.25" customHeight="1">
      <c r="B13" s="48" t="s">
        <v>327</v>
      </c>
      <c r="C13" s="472">
        <v>26.3</v>
      </c>
      <c r="D13" s="4">
        <v>1.06</v>
      </c>
      <c r="E13" s="185">
        <v>17.100000000000001</v>
      </c>
      <c r="G13" s="188" t="s">
        <v>328</v>
      </c>
      <c r="H13" s="189">
        <v>1.4E-2</v>
      </c>
    </row>
    <row r="14" spans="2:10" ht="17.25" customHeight="1">
      <c r="B14" s="48" t="s">
        <v>329</v>
      </c>
      <c r="C14" s="472">
        <v>24.8</v>
      </c>
      <c r="D14" s="4">
        <v>0.61</v>
      </c>
      <c r="E14" s="185">
        <v>8.1</v>
      </c>
      <c r="G14" s="188" t="s">
        <v>330</v>
      </c>
      <c r="H14" s="190">
        <v>11500000</v>
      </c>
      <c r="J14" s="4" t="s">
        <v>85</v>
      </c>
    </row>
    <row r="15" spans="2:10" ht="17.25" customHeight="1">
      <c r="B15" s="48" t="s">
        <v>331</v>
      </c>
      <c r="C15" s="472">
        <v>25.7</v>
      </c>
      <c r="D15" s="4">
        <v>0.76</v>
      </c>
      <c r="E15" s="185">
        <v>8.8000000000000007</v>
      </c>
      <c r="G15" s="188" t="s">
        <v>332</v>
      </c>
      <c r="H15" s="191">
        <v>0.12</v>
      </c>
    </row>
    <row r="16" spans="2:10" ht="17.25" customHeight="1">
      <c r="B16" s="48" t="s">
        <v>333</v>
      </c>
      <c r="C16" s="472">
        <v>26.1</v>
      </c>
      <c r="D16" s="4">
        <v>0.81</v>
      </c>
      <c r="E16" s="185">
        <v>9.9</v>
      </c>
      <c r="G16" s="188" t="s">
        <v>334</v>
      </c>
      <c r="H16" s="186">
        <v>10056</v>
      </c>
    </row>
    <row r="17" spans="2:9" ht="17.25" customHeight="1">
      <c r="B17" s="48" t="s">
        <v>335</v>
      </c>
      <c r="C17" s="472">
        <v>26.1</v>
      </c>
      <c r="D17" s="4">
        <v>1.05</v>
      </c>
      <c r="E17" s="185">
        <v>8.5</v>
      </c>
      <c r="G17" s="188" t="s">
        <v>336</v>
      </c>
      <c r="H17" s="191">
        <v>0.32</v>
      </c>
    </row>
    <row r="18" spans="2:9" ht="17.25" customHeight="1">
      <c r="B18" s="48" t="s">
        <v>337</v>
      </c>
      <c r="C18" s="472">
        <v>25.7</v>
      </c>
      <c r="D18" s="4">
        <v>1.1399999999999999</v>
      </c>
      <c r="E18" s="185">
        <v>12.5</v>
      </c>
      <c r="G18" s="188" t="s">
        <v>338</v>
      </c>
      <c r="H18" s="186">
        <v>26816</v>
      </c>
    </row>
    <row r="19" spans="2:9" ht="17.25" customHeight="1">
      <c r="B19" s="48" t="s">
        <v>339</v>
      </c>
      <c r="C19" s="472">
        <v>25.8</v>
      </c>
      <c r="D19" s="4">
        <v>0.96</v>
      </c>
      <c r="E19" s="185">
        <v>10.6</v>
      </c>
      <c r="G19" s="132" t="s">
        <v>340</v>
      </c>
      <c r="H19" s="186">
        <v>7000</v>
      </c>
    </row>
    <row r="20" spans="2:9" ht="17.25" customHeight="1">
      <c r="B20" s="48" t="s">
        <v>341</v>
      </c>
      <c r="C20" s="472">
        <v>25.3</v>
      </c>
      <c r="D20" s="4">
        <v>1.08</v>
      </c>
      <c r="E20" s="185">
        <v>8</v>
      </c>
      <c r="G20" s="188" t="s">
        <v>342</v>
      </c>
      <c r="H20" s="192">
        <v>300000</v>
      </c>
    </row>
    <row r="21" spans="2:9" ht="17.25" customHeight="1">
      <c r="B21" s="48" t="s">
        <v>343</v>
      </c>
      <c r="C21" s="472">
        <v>25.5</v>
      </c>
      <c r="D21" s="4">
        <v>0.62</v>
      </c>
      <c r="E21" s="185">
        <v>8.3000000000000007</v>
      </c>
      <c r="G21" s="188" t="s">
        <v>344</v>
      </c>
      <c r="H21" s="193">
        <v>0.22500000000000001</v>
      </c>
    </row>
    <row r="22" spans="2:9" ht="17.25" customHeight="1">
      <c r="B22" s="48" t="s">
        <v>345</v>
      </c>
      <c r="C22" s="472">
        <v>24.57</v>
      </c>
      <c r="D22" s="4">
        <v>0.88</v>
      </c>
      <c r="E22" s="185">
        <v>13</v>
      </c>
      <c r="G22" s="188" t="s">
        <v>346</v>
      </c>
      <c r="H22" s="193">
        <v>0.22500000000000001</v>
      </c>
    </row>
    <row r="23" spans="2:9" ht="17.25" customHeight="1">
      <c r="B23" s="48" t="s">
        <v>347</v>
      </c>
      <c r="C23" s="472">
        <v>26.2</v>
      </c>
      <c r="D23" s="4">
        <v>0.5</v>
      </c>
      <c r="E23" s="185">
        <v>3.1</v>
      </c>
      <c r="G23" s="188" t="s">
        <v>348</v>
      </c>
      <c r="H23" s="191">
        <v>0.8</v>
      </c>
    </row>
    <row r="24" spans="2:9" ht="17.25" customHeight="1">
      <c r="B24" s="48" t="s">
        <v>349</v>
      </c>
      <c r="C24" s="472">
        <v>25.7</v>
      </c>
      <c r="D24" s="4">
        <v>1.03</v>
      </c>
      <c r="E24" s="185">
        <v>13.4</v>
      </c>
      <c r="G24" s="194" t="s">
        <v>350</v>
      </c>
      <c r="H24" s="190">
        <v>3300</v>
      </c>
      <c r="I24" s="4" t="s">
        <v>85</v>
      </c>
    </row>
    <row r="25" spans="2:9" ht="17.25" customHeight="1">
      <c r="B25" s="48" t="s">
        <v>351</v>
      </c>
      <c r="C25" s="472">
        <v>24.88</v>
      </c>
      <c r="D25" s="4">
        <v>0.96</v>
      </c>
      <c r="E25" s="185">
        <v>12</v>
      </c>
      <c r="G25" s="188" t="s">
        <v>352</v>
      </c>
      <c r="H25" s="195">
        <v>0</v>
      </c>
    </row>
    <row r="26" spans="2:9" ht="17.25" customHeight="1">
      <c r="B26" s="48" t="s">
        <v>353</v>
      </c>
      <c r="C26" s="472">
        <v>26.1</v>
      </c>
      <c r="D26" s="4">
        <v>0.65</v>
      </c>
      <c r="E26" s="185">
        <v>7</v>
      </c>
      <c r="G26" s="188" t="s">
        <v>354</v>
      </c>
      <c r="H26" s="190"/>
    </row>
    <row r="27" spans="2:9" ht="17.25" customHeight="1">
      <c r="B27" s="48" t="s">
        <v>355</v>
      </c>
      <c r="C27" s="472">
        <v>24.24</v>
      </c>
      <c r="D27" s="4">
        <v>0.39</v>
      </c>
      <c r="E27" s="185">
        <v>5.0999999999999996</v>
      </c>
      <c r="G27" s="188" t="s">
        <v>356</v>
      </c>
      <c r="H27" s="190"/>
    </row>
    <row r="28" spans="2:9" ht="17.25" customHeight="1">
      <c r="B28" s="48" t="s">
        <v>357</v>
      </c>
      <c r="C28" s="472">
        <v>23.6</v>
      </c>
      <c r="D28" s="4">
        <v>0.75</v>
      </c>
      <c r="E28" s="185">
        <v>5.9</v>
      </c>
      <c r="G28" s="188" t="s">
        <v>358</v>
      </c>
      <c r="H28" s="189"/>
    </row>
    <row r="29" spans="2:9" ht="17.25" customHeight="1">
      <c r="B29" s="48" t="s">
        <v>359</v>
      </c>
      <c r="C29" s="472">
        <v>24.6</v>
      </c>
      <c r="D29" s="4">
        <v>0.8</v>
      </c>
      <c r="E29" s="185">
        <v>6.5</v>
      </c>
      <c r="G29" s="188" t="s">
        <v>360</v>
      </c>
      <c r="H29" s="187">
        <v>4.4999999999999998E-2</v>
      </c>
    </row>
    <row r="30" spans="2:9" ht="17.25" customHeight="1">
      <c r="B30" s="48" t="s">
        <v>361</v>
      </c>
      <c r="C30" s="472">
        <v>24.59</v>
      </c>
      <c r="D30" s="4">
        <v>0.81</v>
      </c>
      <c r="E30" s="185">
        <v>5.5</v>
      </c>
      <c r="G30" s="188" t="s">
        <v>362</v>
      </c>
      <c r="H30" s="190">
        <v>224500</v>
      </c>
    </row>
    <row r="31" spans="2:9" ht="17.25" customHeight="1">
      <c r="B31" s="48" t="s">
        <v>363</v>
      </c>
      <c r="C31" s="472">
        <v>25.4</v>
      </c>
      <c r="D31" s="4">
        <v>0.85</v>
      </c>
      <c r="E31" s="185">
        <v>11.1</v>
      </c>
      <c r="G31" s="188" t="s">
        <v>364</v>
      </c>
      <c r="H31" s="186">
        <v>2900</v>
      </c>
    </row>
    <row r="32" spans="2:9" ht="17.25" customHeight="1">
      <c r="B32" s="48" t="s">
        <v>365</v>
      </c>
      <c r="C32" s="472">
        <v>25.8</v>
      </c>
      <c r="D32" s="4">
        <v>1.1599999999999999</v>
      </c>
      <c r="E32" s="185">
        <v>15.9</v>
      </c>
      <c r="G32" s="132" t="s">
        <v>366</v>
      </c>
      <c r="H32" s="186">
        <v>104800</v>
      </c>
    </row>
    <row r="33" spans="2:9" ht="17.25" customHeight="1">
      <c r="B33" s="48" t="s">
        <v>367</v>
      </c>
      <c r="C33" s="472">
        <v>26.3</v>
      </c>
      <c r="D33" s="4">
        <v>0.95</v>
      </c>
      <c r="E33" s="185">
        <v>12.7</v>
      </c>
      <c r="G33" s="132" t="s">
        <v>368</v>
      </c>
      <c r="H33" s="186">
        <v>52400</v>
      </c>
    </row>
    <row r="34" spans="2:9" ht="17.25" customHeight="1">
      <c r="B34" s="48" t="s">
        <v>369</v>
      </c>
      <c r="C34" s="472">
        <v>25.7</v>
      </c>
      <c r="D34" s="4">
        <v>0.85</v>
      </c>
      <c r="E34" s="185">
        <v>10.9</v>
      </c>
      <c r="G34" s="167" t="s">
        <v>370</v>
      </c>
      <c r="H34" s="186">
        <v>51600</v>
      </c>
    </row>
    <row r="35" spans="2:9" ht="17.25" customHeight="1">
      <c r="B35" s="48" t="s">
        <v>371</v>
      </c>
      <c r="C35" s="472">
        <v>25.52</v>
      </c>
      <c r="D35" s="4">
        <v>0.98</v>
      </c>
      <c r="E35" s="185">
        <v>7.9</v>
      </c>
      <c r="G35" s="188" t="s">
        <v>372</v>
      </c>
      <c r="H35" s="186">
        <v>611800</v>
      </c>
      <c r="I35" s="4" t="s">
        <v>85</v>
      </c>
    </row>
    <row r="36" spans="2:9" ht="17.25" customHeight="1">
      <c r="B36" s="48" t="s">
        <v>373</v>
      </c>
      <c r="C36" s="472">
        <v>25.82</v>
      </c>
      <c r="D36" s="4">
        <v>0.63</v>
      </c>
      <c r="E36" s="185">
        <v>9.5</v>
      </c>
      <c r="G36" s="132" t="s">
        <v>374</v>
      </c>
      <c r="H36" s="186">
        <v>65500</v>
      </c>
    </row>
    <row r="37" spans="2:9" ht="17.25" customHeight="1">
      <c r="B37" s="48" t="s">
        <v>375</v>
      </c>
      <c r="C37" s="472">
        <v>23.7</v>
      </c>
      <c r="D37" s="4">
        <v>0.75</v>
      </c>
      <c r="E37" s="185">
        <v>5.4</v>
      </c>
      <c r="G37" s="167" t="s">
        <v>376</v>
      </c>
      <c r="H37" s="187">
        <v>0.52070000000000005</v>
      </c>
    </row>
    <row r="38" spans="2:9" ht="17.25" customHeight="1">
      <c r="B38" s="48" t="s">
        <v>377</v>
      </c>
      <c r="C38" s="472">
        <v>25.4</v>
      </c>
      <c r="D38" s="4">
        <v>0.99</v>
      </c>
      <c r="E38" s="185">
        <v>9.9</v>
      </c>
      <c r="G38" s="167" t="s">
        <v>378</v>
      </c>
      <c r="H38" s="187">
        <v>0.42</v>
      </c>
    </row>
    <row r="39" spans="2:9" ht="17.25" customHeight="1">
      <c r="B39" s="48" t="s">
        <v>379</v>
      </c>
      <c r="C39" s="472">
        <v>25.6</v>
      </c>
      <c r="D39" s="4">
        <v>0.69</v>
      </c>
      <c r="E39" s="185">
        <v>6.6</v>
      </c>
      <c r="G39" s="132" t="s">
        <v>18</v>
      </c>
      <c r="H39" s="191">
        <v>0</v>
      </c>
    </row>
    <row r="40" spans="2:9" ht="17.25" customHeight="1">
      <c r="B40" s="48" t="s">
        <v>380</v>
      </c>
      <c r="C40" s="472">
        <v>26.21</v>
      </c>
      <c r="D40" s="4">
        <v>1.19</v>
      </c>
      <c r="E40" s="185">
        <v>16.5</v>
      </c>
      <c r="G40" s="188" t="s">
        <v>381</v>
      </c>
      <c r="H40" s="196">
        <v>0.08</v>
      </c>
    </row>
    <row r="41" spans="2:9" ht="17.25" customHeight="1">
      <c r="B41" s="48" t="s">
        <v>382</v>
      </c>
      <c r="C41" s="472">
        <v>25.3</v>
      </c>
      <c r="D41" s="4">
        <v>0.96</v>
      </c>
      <c r="E41" s="185">
        <v>8.1</v>
      </c>
      <c r="G41" s="188" t="s">
        <v>383</v>
      </c>
      <c r="H41" s="186">
        <v>-100000</v>
      </c>
    </row>
    <row r="42" spans="2:9" ht="17.25" customHeight="1">
      <c r="B42" s="48" t="s">
        <v>384</v>
      </c>
      <c r="C42" s="472">
        <v>25.5</v>
      </c>
      <c r="D42" s="4">
        <v>1.08</v>
      </c>
      <c r="E42" s="185">
        <v>11.5</v>
      </c>
      <c r="G42" s="188" t="s">
        <v>385</v>
      </c>
      <c r="H42" s="186">
        <v>-50000</v>
      </c>
    </row>
    <row r="43" spans="2:9" ht="17.25" customHeight="1">
      <c r="B43" s="48" t="s">
        <v>386</v>
      </c>
      <c r="C43" s="472">
        <v>25.69</v>
      </c>
      <c r="D43" s="4">
        <v>0.79</v>
      </c>
      <c r="E43" s="185">
        <v>8.6999999999999993</v>
      </c>
      <c r="G43" s="158" t="s">
        <v>16</v>
      </c>
      <c r="H43" s="197">
        <v>0.15</v>
      </c>
    </row>
    <row r="44" spans="2:9" ht="17.25" customHeight="1">
      <c r="B44" s="48" t="s">
        <v>387</v>
      </c>
      <c r="C44" s="472">
        <v>25.4</v>
      </c>
      <c r="D44" s="4">
        <v>0.72</v>
      </c>
      <c r="E44" s="185">
        <v>6.5</v>
      </c>
    </row>
    <row r="45" spans="2:9" ht="17.25" customHeight="1">
      <c r="B45" s="48" t="s">
        <v>388</v>
      </c>
      <c r="C45" s="472">
        <v>24.6</v>
      </c>
      <c r="D45" s="4">
        <v>0.8</v>
      </c>
      <c r="E45" s="185">
        <v>6.3</v>
      </c>
    </row>
    <row r="46" spans="2:9" ht="17.25" customHeight="1">
      <c r="B46" s="48" t="s">
        <v>389</v>
      </c>
      <c r="C46" s="472">
        <v>23.7</v>
      </c>
      <c r="D46" s="4">
        <v>0.62</v>
      </c>
      <c r="E46" s="185">
        <v>8.5</v>
      </c>
    </row>
    <row r="47" spans="2:9" ht="17.25" customHeight="1">
      <c r="B47" s="48" t="s">
        <v>390</v>
      </c>
      <c r="C47" s="472">
        <v>25.1</v>
      </c>
      <c r="D47" s="4">
        <v>0.97</v>
      </c>
      <c r="E47" s="185">
        <v>9.1</v>
      </c>
    </row>
    <row r="48" spans="2:9" ht="17.25" customHeight="1">
      <c r="B48" s="48" t="s">
        <v>391</v>
      </c>
      <c r="C48" s="472">
        <v>25</v>
      </c>
      <c r="D48" s="4">
        <v>0.9</v>
      </c>
      <c r="E48" s="185">
        <v>6.5</v>
      </c>
    </row>
    <row r="49" spans="2:5" ht="17.25" customHeight="1">
      <c r="B49" s="48" t="s">
        <v>392</v>
      </c>
      <c r="C49" s="472">
        <v>25.7</v>
      </c>
      <c r="D49" s="4">
        <v>1.2</v>
      </c>
      <c r="E49" s="185">
        <v>13.2</v>
      </c>
    </row>
    <row r="50" spans="2:5" ht="17.25" customHeight="1">
      <c r="B50" s="48" t="s">
        <v>393</v>
      </c>
      <c r="C50" s="472">
        <v>24.2</v>
      </c>
      <c r="D50" s="4">
        <v>1.01</v>
      </c>
      <c r="E50" s="185">
        <v>16.600000000000001</v>
      </c>
    </row>
    <row r="51" spans="2:5" ht="17.25" customHeight="1">
      <c r="B51" s="48" t="s">
        <v>394</v>
      </c>
      <c r="C51" s="472">
        <v>26.1</v>
      </c>
      <c r="D51" s="4">
        <v>0.98</v>
      </c>
      <c r="E51" s="185">
        <v>12.4</v>
      </c>
    </row>
    <row r="52" spans="2:5" ht="17.25" customHeight="1">
      <c r="B52" s="48" t="s">
        <v>395</v>
      </c>
      <c r="C52" s="472">
        <v>25.5</v>
      </c>
      <c r="D52" s="4">
        <v>0.92</v>
      </c>
      <c r="E52" s="185">
        <v>11.1</v>
      </c>
    </row>
    <row r="53" spans="2:5" ht="17.25" customHeight="1">
      <c r="B53" s="48" t="s">
        <v>27</v>
      </c>
      <c r="C53" s="472">
        <v>23.5</v>
      </c>
      <c r="D53" s="4">
        <v>0.8</v>
      </c>
      <c r="E53" s="185">
        <v>5.0999999999999996</v>
      </c>
    </row>
    <row r="54" spans="2:5" ht="17.25" customHeight="1">
      <c r="B54" s="48" t="s">
        <v>396</v>
      </c>
      <c r="C54" s="472">
        <v>25.26</v>
      </c>
      <c r="D54" s="4">
        <v>0.87</v>
      </c>
      <c r="E54" s="185">
        <v>5.3</v>
      </c>
    </row>
    <row r="55" spans="2:5" ht="17.25" customHeight="1">
      <c r="B55" s="48" t="s">
        <v>397</v>
      </c>
      <c r="C55" s="472">
        <v>26.3</v>
      </c>
      <c r="D55" s="4">
        <v>1.1399999999999999</v>
      </c>
      <c r="E55" s="185">
        <v>12.2</v>
      </c>
    </row>
    <row r="56" spans="2:5" ht="17.25" customHeight="1">
      <c r="B56" s="48" t="s">
        <v>398</v>
      </c>
      <c r="C56" s="472">
        <v>25.31</v>
      </c>
      <c r="D56" s="4">
        <v>1.05</v>
      </c>
      <c r="E56" s="185">
        <v>9.6</v>
      </c>
    </row>
    <row r="57" spans="2:5" ht="17.25" customHeight="1">
      <c r="B57" s="48" t="s">
        <v>399</v>
      </c>
      <c r="C57" s="472">
        <v>25.7</v>
      </c>
      <c r="D57" s="4">
        <v>1.27</v>
      </c>
      <c r="E57" s="185">
        <v>15.4</v>
      </c>
    </row>
    <row r="58" spans="2:5" ht="17.25" customHeight="1">
      <c r="B58" s="48" t="s">
        <v>400</v>
      </c>
      <c r="C58" s="472">
        <v>26.3</v>
      </c>
      <c r="D58" s="4">
        <v>1.23</v>
      </c>
      <c r="E58" s="185">
        <v>17.399999999999999</v>
      </c>
    </row>
    <row r="59" spans="2:5" ht="17.25" customHeight="1">
      <c r="B59" s="48" t="s">
        <v>401</v>
      </c>
      <c r="C59" s="472">
        <v>24.38</v>
      </c>
      <c r="D59" s="4">
        <v>0.6</v>
      </c>
      <c r="E59" s="185">
        <v>6.7</v>
      </c>
    </row>
    <row r="60" spans="2:5" ht="17.25" customHeight="1">
      <c r="B60" s="48" t="s">
        <v>402</v>
      </c>
      <c r="C60" s="472">
        <v>26.3</v>
      </c>
      <c r="D60" s="4">
        <v>1.3</v>
      </c>
      <c r="E60" s="185">
        <v>12.7</v>
      </c>
    </row>
    <row r="61" spans="2:5" ht="17.25" customHeight="1">
      <c r="B61" s="48" t="s">
        <v>403</v>
      </c>
      <c r="C61" s="472">
        <v>25.9</v>
      </c>
      <c r="D61" s="4">
        <v>1.1499999999999999</v>
      </c>
      <c r="E61" s="185">
        <v>15.7</v>
      </c>
    </row>
    <row r="62" spans="2:5" ht="17.25" customHeight="1">
      <c r="B62" s="48" t="s">
        <v>404</v>
      </c>
      <c r="C62" s="472">
        <v>25.8</v>
      </c>
      <c r="D62" s="4">
        <v>0.9</v>
      </c>
      <c r="E62" s="185">
        <v>6.8</v>
      </c>
    </row>
    <row r="63" spans="2:5" ht="17.25" customHeight="1">
      <c r="B63" s="48" t="s">
        <v>405</v>
      </c>
      <c r="C63" s="472">
        <v>25.8</v>
      </c>
      <c r="D63" s="4">
        <v>1.2</v>
      </c>
      <c r="E63" s="185">
        <v>15.3</v>
      </c>
    </row>
    <row r="64" spans="2:5" ht="17.25" customHeight="1">
      <c r="B64" s="48" t="s">
        <v>406</v>
      </c>
      <c r="C64" s="472">
        <v>26</v>
      </c>
      <c r="D64" s="4">
        <v>1</v>
      </c>
      <c r="E64" s="185">
        <v>16.8</v>
      </c>
    </row>
    <row r="65" spans="2:5" ht="17.25" customHeight="1">
      <c r="B65" s="48" t="s">
        <v>407</v>
      </c>
      <c r="C65" s="472">
        <v>26</v>
      </c>
      <c r="D65" s="4">
        <v>1.04</v>
      </c>
      <c r="E65" s="185">
        <v>15.1</v>
      </c>
    </row>
    <row r="66" spans="2:5" ht="17.25" customHeight="1">
      <c r="B66" s="48" t="s">
        <v>408</v>
      </c>
      <c r="C66" s="472">
        <v>26.3</v>
      </c>
      <c r="D66" s="4">
        <v>1</v>
      </c>
      <c r="E66" s="185">
        <v>12.8</v>
      </c>
    </row>
    <row r="67" spans="2:5" ht="17.25" customHeight="1">
      <c r="B67" s="48" t="s">
        <v>409</v>
      </c>
      <c r="C67" s="472">
        <v>25</v>
      </c>
      <c r="D67" s="4">
        <v>0.98</v>
      </c>
      <c r="E67" s="185">
        <v>9.8000000000000007</v>
      </c>
    </row>
    <row r="68" spans="2:5" ht="17.25" customHeight="1">
      <c r="B68" s="48" t="s">
        <v>410</v>
      </c>
      <c r="C68" s="472">
        <v>25.1</v>
      </c>
      <c r="D68" s="4">
        <v>0.95</v>
      </c>
      <c r="E68" s="185">
        <v>14.4</v>
      </c>
    </row>
    <row r="69" spans="2:5" ht="17.25" customHeight="1">
      <c r="B69" s="48" t="s">
        <v>411</v>
      </c>
      <c r="C69" s="472">
        <v>25.5</v>
      </c>
      <c r="D69" s="4">
        <v>0.68</v>
      </c>
      <c r="E69" s="185">
        <v>5.7</v>
      </c>
    </row>
    <row r="70" spans="2:5" ht="17.25" customHeight="1">
      <c r="B70" s="48" t="s">
        <v>412</v>
      </c>
      <c r="C70" s="472">
        <v>26.3</v>
      </c>
      <c r="D70" s="4">
        <v>0.98</v>
      </c>
      <c r="E70" s="185">
        <v>12.3</v>
      </c>
    </row>
    <row r="71" spans="2:5" ht="17.25" customHeight="1">
      <c r="B71" s="48" t="s">
        <v>413</v>
      </c>
      <c r="C71" s="472">
        <v>26</v>
      </c>
      <c r="D71" s="4">
        <v>0.89</v>
      </c>
      <c r="E71" s="185">
        <v>13.9</v>
      </c>
    </row>
    <row r="72" spans="2:5" ht="17.25" customHeight="1">
      <c r="B72" s="48" t="s">
        <v>414</v>
      </c>
      <c r="C72" s="472">
        <v>25.83</v>
      </c>
      <c r="D72" s="4">
        <v>1.2</v>
      </c>
      <c r="E72" s="185">
        <v>8.9</v>
      </c>
    </row>
    <row r="73" spans="2:5" ht="17.25" customHeight="1">
      <c r="B73" s="48" t="s">
        <v>415</v>
      </c>
      <c r="C73" s="472">
        <v>25</v>
      </c>
      <c r="D73" s="4">
        <v>1.05</v>
      </c>
      <c r="E73" s="185">
        <v>16.399999999999999</v>
      </c>
    </row>
    <row r="74" spans="2:5" ht="17.25" customHeight="1">
      <c r="B74" s="48" t="s">
        <v>416</v>
      </c>
      <c r="C74" s="472">
        <v>26.1</v>
      </c>
      <c r="D74" s="4">
        <v>0.95</v>
      </c>
      <c r="E74" s="185">
        <v>7</v>
      </c>
    </row>
    <row r="75" spans="2:5" ht="17.25" customHeight="1">
      <c r="B75" s="48" t="s">
        <v>417</v>
      </c>
      <c r="C75" s="472">
        <v>25.2</v>
      </c>
      <c r="D75" s="4">
        <v>0.84</v>
      </c>
      <c r="E75" s="185">
        <v>7.4</v>
      </c>
    </row>
    <row r="76" spans="2:5" ht="17.25" customHeight="1">
      <c r="B76" s="48" t="s">
        <v>418</v>
      </c>
      <c r="C76" s="472">
        <v>23.52</v>
      </c>
      <c r="D76" s="4">
        <v>0.56999999999999995</v>
      </c>
      <c r="E76" s="185">
        <v>9.5</v>
      </c>
    </row>
    <row r="77" spans="2:5" ht="17.25" customHeight="1">
      <c r="B77" s="48" t="s">
        <v>419</v>
      </c>
      <c r="C77" s="472">
        <v>25.7</v>
      </c>
      <c r="D77" s="4">
        <v>0.72</v>
      </c>
      <c r="E77" s="185">
        <v>7.8</v>
      </c>
    </row>
    <row r="78" spans="2:5" ht="17.25" customHeight="1">
      <c r="B78" s="48" t="s">
        <v>420</v>
      </c>
      <c r="C78" s="472">
        <v>25.9</v>
      </c>
      <c r="D78" s="4">
        <v>1.2</v>
      </c>
      <c r="E78" s="185">
        <v>10.5</v>
      </c>
    </row>
    <row r="79" spans="2:5" ht="17.25" customHeight="1">
      <c r="B79" s="48" t="s">
        <v>421</v>
      </c>
      <c r="C79" s="472">
        <v>25.5</v>
      </c>
      <c r="D79" s="4">
        <v>0.95</v>
      </c>
      <c r="E79" s="185">
        <v>11</v>
      </c>
    </row>
    <row r="80" spans="2:5" ht="17.25" customHeight="1">
      <c r="B80" s="48" t="s">
        <v>422</v>
      </c>
      <c r="C80" s="472">
        <v>26</v>
      </c>
      <c r="D80" s="4">
        <v>0.86</v>
      </c>
      <c r="E80" s="185">
        <v>8.6</v>
      </c>
    </row>
    <row r="81" spans="2:5" ht="17.25" customHeight="1">
      <c r="B81" s="48" t="s">
        <v>423</v>
      </c>
      <c r="C81" s="472">
        <v>25.5</v>
      </c>
      <c r="D81" s="4">
        <v>1.0900000000000001</v>
      </c>
      <c r="E81" s="185">
        <v>11.6</v>
      </c>
    </row>
    <row r="82" spans="2:5" ht="17.25" customHeight="1">
      <c r="B82" s="48" t="s">
        <v>424</v>
      </c>
      <c r="C82" s="472">
        <v>26.1</v>
      </c>
      <c r="D82" s="4">
        <v>0.96</v>
      </c>
      <c r="E82" s="185">
        <v>11.1</v>
      </c>
    </row>
    <row r="83" spans="2:5" ht="17.25" customHeight="1">
      <c r="B83" s="48" t="s">
        <v>425</v>
      </c>
      <c r="C83" s="472">
        <v>24.99</v>
      </c>
      <c r="D83" s="4">
        <v>0.89</v>
      </c>
      <c r="E83" s="185">
        <v>7.9</v>
      </c>
    </row>
    <row r="84" spans="2:5" ht="17.25" customHeight="1">
      <c r="B84" s="48" t="s">
        <v>426</v>
      </c>
      <c r="C84" s="472">
        <v>26.3</v>
      </c>
      <c r="D84" s="4">
        <v>0.95</v>
      </c>
      <c r="E84" s="185">
        <v>9.8000000000000007</v>
      </c>
    </row>
    <row r="85" spans="2:5" ht="17.25" customHeight="1">
      <c r="B85" s="48" t="s">
        <v>427</v>
      </c>
      <c r="C85" s="472">
        <v>26</v>
      </c>
      <c r="D85" s="4">
        <v>1.1000000000000001</v>
      </c>
      <c r="E85" s="185">
        <v>8.3000000000000007</v>
      </c>
    </row>
    <row r="86" spans="2:5" ht="17.25" customHeight="1">
      <c r="B86" s="48" t="s">
        <v>428</v>
      </c>
      <c r="C86" s="472">
        <v>25.3</v>
      </c>
      <c r="D86" s="4">
        <v>1.2</v>
      </c>
      <c r="E86" s="185">
        <v>15.5</v>
      </c>
    </row>
    <row r="87" spans="2:5" ht="17.25" customHeight="1">
      <c r="B87" s="48" t="s">
        <v>429</v>
      </c>
      <c r="C87" s="472">
        <v>26.3</v>
      </c>
      <c r="D87" s="4">
        <v>1.02</v>
      </c>
      <c r="E87" s="185">
        <v>8.8000000000000007</v>
      </c>
    </row>
    <row r="88" spans="2:5" ht="17.25" customHeight="1">
      <c r="B88" s="48" t="s">
        <v>430</v>
      </c>
      <c r="C88" s="472">
        <v>25.9</v>
      </c>
      <c r="D88" s="4">
        <v>0.98</v>
      </c>
      <c r="E88" s="185">
        <v>14.2</v>
      </c>
    </row>
    <row r="89" spans="2:5" ht="17.25" customHeight="1">
      <c r="B89" s="48" t="s">
        <v>431</v>
      </c>
      <c r="C89" s="472">
        <v>25.7</v>
      </c>
      <c r="D89" s="4">
        <v>0.91</v>
      </c>
      <c r="E89" s="185">
        <v>13.5</v>
      </c>
    </row>
    <row r="90" spans="2:5" ht="17.25" customHeight="1">
      <c r="B90" s="48" t="s">
        <v>432</v>
      </c>
      <c r="C90" s="472">
        <v>25.5</v>
      </c>
      <c r="D90" s="4">
        <v>1.27</v>
      </c>
      <c r="E90" s="185">
        <v>11.2</v>
      </c>
    </row>
    <row r="91" spans="2:5" ht="17.25" customHeight="1">
      <c r="B91" s="48" t="s">
        <v>433</v>
      </c>
      <c r="C91" s="472">
        <v>25.3</v>
      </c>
      <c r="D91" s="4">
        <v>0.61</v>
      </c>
      <c r="E91" s="185">
        <v>6</v>
      </c>
    </row>
    <row r="92" spans="2:5" ht="17.25" customHeight="1">
      <c r="B92" s="48" t="s">
        <v>434</v>
      </c>
      <c r="C92" s="472">
        <v>24.1</v>
      </c>
      <c r="D92" s="4">
        <v>1.1599999999999999</v>
      </c>
      <c r="E92" s="185">
        <v>10.8</v>
      </c>
    </row>
    <row r="93" spans="2:5" ht="17.25" customHeight="1">
      <c r="B93" s="48" t="s">
        <v>435</v>
      </c>
      <c r="C93" s="472">
        <v>25.6</v>
      </c>
      <c r="D93" s="4">
        <v>0.8</v>
      </c>
      <c r="E93" s="185">
        <v>8.6</v>
      </c>
    </row>
    <row r="94" spans="2:5" ht="17.25" customHeight="1">
      <c r="B94" s="48" t="s">
        <v>436</v>
      </c>
      <c r="C94" s="472">
        <v>25.1</v>
      </c>
      <c r="D94" s="4">
        <v>0.95</v>
      </c>
      <c r="E94" s="185">
        <v>17.7</v>
      </c>
    </row>
    <row r="95" spans="2:5" ht="17.25" customHeight="1">
      <c r="B95" s="48" t="s">
        <v>437</v>
      </c>
      <c r="C95" s="472">
        <v>25.8</v>
      </c>
      <c r="D95" s="4">
        <v>1.06</v>
      </c>
      <c r="E95" s="185">
        <v>9</v>
      </c>
    </row>
    <row r="96" spans="2:5" ht="17.25" customHeight="1">
      <c r="B96" s="48" t="s">
        <v>438</v>
      </c>
      <c r="C96" s="472">
        <v>23.4</v>
      </c>
      <c r="D96" s="4">
        <v>0.89</v>
      </c>
      <c r="E96" s="185">
        <v>10.5</v>
      </c>
    </row>
    <row r="97" spans="2:5" ht="17.25" customHeight="1">
      <c r="B97" s="48" t="s">
        <v>439</v>
      </c>
      <c r="C97" s="472">
        <v>26.3</v>
      </c>
      <c r="D97" s="4">
        <v>1.18</v>
      </c>
      <c r="E97" s="185">
        <v>9.3000000000000007</v>
      </c>
    </row>
    <row r="98" spans="2:5" ht="17.25" customHeight="1">
      <c r="B98" s="48" t="s">
        <v>440</v>
      </c>
      <c r="C98" s="472">
        <v>25.5</v>
      </c>
      <c r="D98" s="4">
        <v>0.93</v>
      </c>
      <c r="E98" s="185">
        <v>11.5</v>
      </c>
    </row>
    <row r="99" spans="2:5" ht="17.25" customHeight="1">
      <c r="B99" s="48" t="s">
        <v>441</v>
      </c>
      <c r="C99" s="472">
        <v>26.3</v>
      </c>
      <c r="D99" s="4">
        <v>1.02</v>
      </c>
      <c r="E99" s="185">
        <v>13.5</v>
      </c>
    </row>
    <row r="100" spans="2:5" ht="17.25" customHeight="1">
      <c r="B100" s="48" t="s">
        <v>442</v>
      </c>
      <c r="C100" s="472">
        <v>26.1</v>
      </c>
      <c r="D100" s="4">
        <v>1.05</v>
      </c>
      <c r="E100" s="185">
        <v>11.1</v>
      </c>
    </row>
    <row r="101" spans="2:5" ht="17.25" customHeight="1">
      <c r="B101" s="48" t="s">
        <v>443</v>
      </c>
      <c r="C101" s="472">
        <v>25.6</v>
      </c>
      <c r="D101" s="4">
        <v>0.95</v>
      </c>
      <c r="E101" s="185">
        <v>7.8</v>
      </c>
    </row>
    <row r="102" spans="2:5" ht="17.25" customHeight="1">
      <c r="B102" s="48" t="s">
        <v>444</v>
      </c>
      <c r="C102" s="472">
        <v>25.6</v>
      </c>
      <c r="D102" s="4">
        <v>0.98</v>
      </c>
      <c r="E102" s="185">
        <v>7.4</v>
      </c>
    </row>
    <row r="103" spans="2:5" ht="17.25" customHeight="1">
      <c r="B103" s="64" t="s">
        <v>445</v>
      </c>
      <c r="C103" s="472">
        <v>24.52</v>
      </c>
      <c r="D103" s="198">
        <v>0.74</v>
      </c>
      <c r="E103" s="199">
        <v>6</v>
      </c>
    </row>
  </sheetData>
  <mergeCells count="1">
    <mergeCell ref="B3:E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5C2E-130D-D94F-A116-B4F1ACD396FF}">
  <dimension ref="A1"/>
  <sheetViews>
    <sheetView workbookViewId="0"/>
  </sheetViews>
  <sheetFormatPr baseColWidth="10" defaultColWidth="11" defaultRowHeight="1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3c11eb6-de36-4131-bab2-6a22847efc48" xsi:nil="true"/>
    <_ip_UnifiedCompliancePolicyProperties xmlns="http://schemas.microsoft.com/sharepoint/v3" xsi:nil="true"/>
    <lcf76f155ced4ddcb4097134ff3c332f xmlns="c7e2ecf6-e361-4159-9367-86aa4c26842f">
      <Terms xmlns="http://schemas.microsoft.com/office/infopath/2007/PartnerControls"/>
    </lcf76f155ced4ddcb4097134ff3c332f>
    <Flow xmlns="c7e2ecf6-e361-4159-9367-86aa4c26842f" xsi:nil="true"/>
    <Subjekt xmlns="c7e2ecf6-e361-4159-9367-86aa4c2684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2150DA7EBAE146A0008195A4976989" ma:contentTypeVersion="22" ma:contentTypeDescription="Opret et nyt dokument." ma:contentTypeScope="" ma:versionID="bb49a8d41e2132d2fd9bf186ff06d321">
  <xsd:schema xmlns:xsd="http://www.w3.org/2001/XMLSchema" xmlns:xs="http://www.w3.org/2001/XMLSchema" xmlns:p="http://schemas.microsoft.com/office/2006/metadata/properties" xmlns:ns1="http://schemas.microsoft.com/sharepoint/v3" xmlns:ns2="0ff1153b-be98-465d-a7ff-36bc3c69af6c" xmlns:ns3="c7e2ecf6-e361-4159-9367-86aa4c26842f" xmlns:ns4="c3c11eb6-de36-4131-bab2-6a22847efc48" targetNamespace="http://schemas.microsoft.com/office/2006/metadata/properties" ma:root="true" ma:fieldsID="17e0d2fe9dcd414a9c9b93b92d334190" ns1:_="" ns2:_="" ns3:_="" ns4:_="">
    <xsd:import namespace="http://schemas.microsoft.com/sharepoint/v3"/>
    <xsd:import namespace="0ff1153b-be98-465d-a7ff-36bc3c69af6c"/>
    <xsd:import namespace="c7e2ecf6-e361-4159-9367-86aa4c26842f"/>
    <xsd:import namespace="c3c11eb6-de36-4131-bab2-6a22847efc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Flow" minOccurs="0"/>
                <xsd:element ref="ns3:Subjekt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153b-be98-465d-a7ff-36bc3c69af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2ecf6-e361-4159-9367-86aa4c26842f" elementFormDefault="qualified">
    <xsd:import namespace="http://schemas.microsoft.com/office/2006/documentManagement/types"/>
    <xsd:import namespace="http://schemas.microsoft.com/office/infopath/2007/PartnerControls"/>
    <xsd:element name="Flow" ma:index="10" nillable="true" ma:displayName="Flow" ma:internalName="Flow">
      <xsd:simpleType>
        <xsd:restriction base="dms:Text"/>
      </xsd:simpleType>
    </xsd:element>
    <xsd:element name="Subjekt" ma:index="11" nillable="true" ma:displayName="Subjekt" ma:internalName="Subjekt">
      <xsd:simpleType>
        <xsd:restriction base="dms:Text"/>
      </xsd:simpleType>
    </xsd:element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11eb6-de36-4131-bab2-6a22847efc4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ksonomiopsamlingskolonne" ma:hidden="true" ma:list="{a1a370a8-317b-4539-b185-7c03a802e66e}" ma:internalName="TaxCatchAll" ma:showField="CatchAllData" ma:web="c3c11eb6-de36-4131-bab2-6a22847ef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9A99FA-0B0B-44A8-A8A5-64C166ECA0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2E3760-F5E7-4BFA-BF67-197E3A6108E1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c3c11eb6-de36-4131-bab2-6a22847efc48"/>
    <ds:schemaRef ds:uri="c7e2ecf6-e361-4159-9367-86aa4c26842f"/>
    <ds:schemaRef ds:uri="http://schemas.microsoft.com/sharepoint/v3"/>
    <ds:schemaRef ds:uri="http://schemas.microsoft.com/office/2006/metadata/properties"/>
    <ds:schemaRef ds:uri="0ff1153b-be98-465d-a7ff-36bc3c69af6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47B07B3-1C18-4A16-96F2-4D923D3A07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f1153b-be98-465d-a7ff-36bc3c69af6c"/>
    <ds:schemaRef ds:uri="c7e2ecf6-e361-4159-9367-86aa4c26842f"/>
    <ds:schemaRef ds:uri="c3c11eb6-de36-4131-bab2-6a22847ef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29427a-4ed3-4f0e-a3ff-ced1342f64ac}" enabled="0" method="" siteId="{1b29427a-4ed3-4f0e-a3ff-ced1342f64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43</vt:i4>
      </vt:variant>
    </vt:vector>
  </HeadingPairs>
  <TitlesOfParts>
    <vt:vector size="53" baseType="lpstr">
      <vt:lpstr>Ægtepar</vt:lpstr>
      <vt:lpstr>Budget lejebolig</vt:lpstr>
      <vt:lpstr>Hvordan finansieres boligen</vt:lpstr>
      <vt:lpstr>Banklån (2)</vt:lpstr>
      <vt:lpstr>Realkredit finansiering (2)</vt:lpstr>
      <vt:lpstr>F5 (2)</vt:lpstr>
      <vt:lpstr>Budget med hus</vt:lpstr>
      <vt:lpstr>Rådighedsbeløb og gældsfaktor</vt:lpstr>
      <vt:lpstr>Skattesatser</vt:lpstr>
      <vt:lpstr>Ark1</vt:lpstr>
      <vt:lpstr>ArbBidrag</vt:lpstr>
      <vt:lpstr>BeFradragHojSats</vt:lpstr>
      <vt:lpstr>BeFradragKmMax</vt:lpstr>
      <vt:lpstr>BeFradragKmMin</vt:lpstr>
      <vt:lpstr>BeFradragLavSats</vt:lpstr>
      <vt:lpstr>BFradragMax</vt:lpstr>
      <vt:lpstr>BFradragProc</vt:lpstr>
      <vt:lpstr>Bundskat</vt:lpstr>
      <vt:lpstr>EjVSkatGranse</vt:lpstr>
      <vt:lpstr>EjVSkatMax</vt:lpstr>
      <vt:lpstr>EjVSkatMin</vt:lpstr>
      <vt:lpstr>EPENfradragMax</vt:lpstr>
      <vt:lpstr>EPENfradragProc</vt:lpstr>
      <vt:lpstr>EPENSeniorMax</vt:lpstr>
      <vt:lpstr>EPENSeniorProc</vt:lpstr>
      <vt:lpstr>FagforeningMax</vt:lpstr>
      <vt:lpstr>FirmabilGranse</vt:lpstr>
      <vt:lpstr>FirmabilHoj</vt:lpstr>
      <vt:lpstr>FirmabilLav</vt:lpstr>
      <vt:lpstr>Forsigtighed</vt:lpstr>
      <vt:lpstr>FriTelefon</vt:lpstr>
      <vt:lpstr>GranseForhBFdrag</vt:lpstr>
      <vt:lpstr>GranseNegKIEnlig</vt:lpstr>
      <vt:lpstr>GranseNegKIPar</vt:lpstr>
      <vt:lpstr>GronCheck</vt:lpstr>
      <vt:lpstr>GronSkatMax</vt:lpstr>
      <vt:lpstr>GronSkatMin</vt:lpstr>
      <vt:lpstr>GronSkatMod</vt:lpstr>
      <vt:lpstr>Jfradraggranse</vt:lpstr>
      <vt:lpstr>JfradragMax</vt:lpstr>
      <vt:lpstr>Jfradragproc</vt:lpstr>
      <vt:lpstr>KItilTopskatEnlig</vt:lpstr>
      <vt:lpstr>KItilTopskatPar</vt:lpstr>
      <vt:lpstr>Personfradrag</vt:lpstr>
      <vt:lpstr>'Budget lejebolig'!Print_Area</vt:lpstr>
      <vt:lpstr>'Budget med hus'!Print_Area</vt:lpstr>
      <vt:lpstr>RatepensionMax</vt:lpstr>
      <vt:lpstr>SkraatSkatteloftKI</vt:lpstr>
      <vt:lpstr>SkraatSkatteloftPI</vt:lpstr>
      <vt:lpstr>Sundhedsbidrag</vt:lpstr>
      <vt:lpstr>TillagNegKI</vt:lpstr>
      <vt:lpstr>Topskat</vt:lpstr>
      <vt:lpstr>TopSkatGranse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Engstrøm (ENG - Adjunkt - Cphbusiness)</dc:creator>
  <cp:keywords/>
  <dc:description/>
  <cp:lastModifiedBy>Thomas Petersen</cp:lastModifiedBy>
  <cp:revision/>
  <dcterms:created xsi:type="dcterms:W3CDTF">2024-01-17T12:16:32Z</dcterms:created>
  <dcterms:modified xsi:type="dcterms:W3CDTF">2025-02-12T22:12:31Z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0x010100A42150DA7EBAE146A0008195A4976989</vt:lpwstr>
  </property>
  <property fmtid="{D5CDD505-2E9C-101B-9397-08002B2CF9AE}" pid="3" name="MediaServiceImageTags">
    <vt:lpwstr/>
  </property>
</Properties>
</file>