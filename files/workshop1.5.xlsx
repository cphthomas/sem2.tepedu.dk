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thomas/GIT/opg2/files/"/>
    </mc:Choice>
  </mc:AlternateContent>
  <xr:revisionPtr revIDLastSave="0" documentId="13_ncr:1_{445EA576-FD2C-4241-A9FC-49E65928F9F7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Andelsværdiberegner " sheetId="5" r:id="rId1"/>
    <sheet name="Overblik andel vs andel" sheetId="1" r:id="rId2"/>
    <sheet name="Lån Øresundsvej" sheetId="4" r:id="rId3"/>
    <sheet name="Lån Holmbladsgade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5" l="1"/>
  <c r="J41" i="5"/>
  <c r="M38" i="5"/>
  <c r="N27" i="5"/>
  <c r="H19" i="5"/>
  <c r="H21" i="5" s="1"/>
  <c r="M21" i="5" s="1"/>
  <c r="E31" i="5" s="1"/>
  <c r="J9" i="5"/>
  <c r="K31" i="5" s="1"/>
  <c r="B5" i="5"/>
  <c r="H31" i="5" l="1"/>
  <c r="O31" i="5" s="1"/>
  <c r="M37" i="5"/>
  <c r="Q37" i="5" s="1"/>
  <c r="O41" i="5" s="1"/>
  <c r="Q41" i="5" s="1"/>
  <c r="C9" i="3" l="1"/>
  <c r="C9" i="4"/>
  <c r="C6" i="4"/>
  <c r="H4" i="4"/>
  <c r="D21" i="4" s="1"/>
  <c r="C21" i="4" s="1"/>
  <c r="C20" i="3"/>
  <c r="H4" i="3"/>
  <c r="D21" i="3"/>
  <c r="C21" i="3" s="1"/>
  <c r="C6" i="3"/>
  <c r="C12" i="4" l="1"/>
  <c r="C14" i="4" s="1"/>
  <c r="D22" i="4"/>
  <c r="C22" i="4" s="1"/>
  <c r="C20" i="4"/>
  <c r="C12" i="3"/>
  <c r="C14" i="3" s="1"/>
  <c r="C16" i="3" s="1"/>
  <c r="C17" i="3" s="1"/>
  <c r="D20" i="3"/>
  <c r="D22" i="3"/>
  <c r="C22" i="3" s="1"/>
  <c r="C23" i="3" s="1"/>
  <c r="F26" i="1" s="1"/>
  <c r="C23" i="4" l="1"/>
  <c r="D26" i="1" s="1"/>
  <c r="C16" i="4"/>
  <c r="C17" i="4" s="1"/>
  <c r="D20" i="4"/>
  <c r="D23" i="4" s="1"/>
  <c r="D23" i="3"/>
  <c r="F29" i="1" l="1"/>
  <c r="D29" i="1"/>
  <c r="F22" i="1"/>
  <c r="D22" i="1"/>
  <c r="F11" i="1" l="1"/>
  <c r="D11" i="1"/>
</calcChain>
</file>

<file path=xl/sharedStrings.xml><?xml version="1.0" encoding="utf-8"?>
<sst xmlns="http://schemas.openxmlformats.org/spreadsheetml/2006/main" count="125" uniqueCount="82">
  <si>
    <t>Tillægsspørgsmål Opgave II</t>
  </si>
  <si>
    <t>Øresundsvej</t>
  </si>
  <si>
    <t>Holmbladsgade</t>
  </si>
  <si>
    <t>Teknisk pris</t>
  </si>
  <si>
    <t>antal m2</t>
  </si>
  <si>
    <t>Pris pr teknisk m2</t>
  </si>
  <si>
    <t>Vi skal også huske at kigge på m2-pris for ejerlejligheder i Holmbladsgade!!!!</t>
  </si>
  <si>
    <t>Hvordan påvirkes rådighedsbeløbet?</t>
  </si>
  <si>
    <t>Man skal altid komme med min. 5 pct. af den tekniske pris i udbetaling!!!!</t>
  </si>
  <si>
    <t>Boligafgift</t>
  </si>
  <si>
    <t>Ydelse på lån efter skat</t>
  </si>
  <si>
    <t>Boligudgift før vand, varme og el</t>
  </si>
  <si>
    <t>Effekten på rådighedsbeløbet er mindst på Øresundsvej!!! Det taler også for Øresundsvej</t>
  </si>
  <si>
    <t>Konklusion: Køb Øresundsvej hvis du skal have andel, men husk at check vs. Ejer og foreningslån i forening!!</t>
  </si>
  <si>
    <t>lige attraktiv!</t>
  </si>
  <si>
    <t>Lånets størrelse (hovedstolen)</t>
  </si>
  <si>
    <t>Pris på andel</t>
  </si>
  <si>
    <t>Løbetid, år</t>
  </si>
  <si>
    <t xml:space="preserve"> - Udbetaling</t>
  </si>
  <si>
    <t>Antal terminer pr. år</t>
  </si>
  <si>
    <t xml:space="preserve"> = provenu-behov</t>
  </si>
  <si>
    <t>Rente pr år, (pålydende/nominel)</t>
  </si>
  <si>
    <t>gode kunder med høj udbetaling</t>
  </si>
  <si>
    <t>Effektiv rente pr. år</t>
  </si>
  <si>
    <t>Etableringsomkostninger:</t>
  </si>
  <si>
    <t>Staten, tinglysning</t>
  </si>
  <si>
    <t>1825+1,45%*1.284.000</t>
  </si>
  <si>
    <t>Pengeinstitut, etablering</t>
  </si>
  <si>
    <t>anslået</t>
  </si>
  <si>
    <t>Andet</t>
  </si>
  <si>
    <t>Etableringsomkostninger i alt</t>
  </si>
  <si>
    <t>Provenu (hvad får jeg i hånden)</t>
  </si>
  <si>
    <t>Omkostninger i procent pr. termin</t>
  </si>
  <si>
    <t>ÅOP</t>
  </si>
  <si>
    <t>Pr. termin</t>
  </si>
  <si>
    <t>Pr.år</t>
  </si>
  <si>
    <t>Ydelse pr. termin før skat</t>
  </si>
  <si>
    <t>Renteudgifter år 1</t>
  </si>
  <si>
    <t>Skattefar betaler 1/3</t>
  </si>
  <si>
    <t>Ydelse pr. termin efter skat</t>
  </si>
  <si>
    <t/>
  </si>
  <si>
    <t>1825+1,45%*966.000</t>
  </si>
  <si>
    <t>Målsøgning</t>
  </si>
  <si>
    <t>SKRIV KUN I DE GULE FELTER (medmindre man gør det bevidst)</t>
  </si>
  <si>
    <t>Beregn fordelingstal</t>
  </si>
  <si>
    <t>=</t>
  </si>
  <si>
    <t>(Opr.  bolig indskud)</t>
  </si>
  <si>
    <t xml:space="preserve">eller </t>
  </si>
  <si>
    <t>Bolig KVM</t>
  </si>
  <si>
    <t>Brug en af de tre forholdstal</t>
  </si>
  <si>
    <t>(Opr.  samlede indskud)</t>
  </si>
  <si>
    <t>Samlede KVM</t>
  </si>
  <si>
    <t>Eller det forholdstal som står i salgsopstillingen</t>
  </si>
  <si>
    <t>Andelsboligens andel af andelsforeningen (fordelingstal)</t>
  </si>
  <si>
    <t>Fordelingstal bruges bl.a til at opgøre den enkeltes andelshavers andel af:</t>
  </si>
  <si>
    <t>1) Foreningens gæld og formue, 2) andel af den samlede husleje</t>
  </si>
  <si>
    <t>Beregn andelsværdi og maksimalpris</t>
  </si>
  <si>
    <t>Ejendommens samlede værdi + øvrige aktiver</t>
  </si>
  <si>
    <t>Forbedringer på boligen</t>
  </si>
  <si>
    <t>Heraf øvrige aktiver (hvis det er oplyst)</t>
  </si>
  <si>
    <t>Foreningens samlede gæld</t>
  </si>
  <si>
    <t>Boligens andelsværdi</t>
  </si>
  <si>
    <t>Maksimalpris</t>
  </si>
  <si>
    <t>(Ejendommens samlede værdi + øvrige aktiver - foreningens samlede gæld * fordelingstal)</t>
  </si>
  <si>
    <t>Boligens andelsværdi + forbedringer</t>
  </si>
  <si>
    <t>Beregn teknisk pris</t>
  </si>
  <si>
    <t>Købspris = maksimal pris
minus evt afslag</t>
  </si>
  <si>
    <t>+</t>
  </si>
  <si>
    <t>Boligens andel af foreningens gæld</t>
  </si>
  <si>
    <t>-</t>
  </si>
  <si>
    <t>Boligens andel af øvrige aktiver</t>
  </si>
  <si>
    <t>=&gt;</t>
  </si>
  <si>
    <t>Evt. afslag:</t>
  </si>
  <si>
    <t>Andelsværdi beregnet ud fra andelskronen (bare en anden måde at gøre det på)</t>
  </si>
  <si>
    <t>Andelskrone</t>
  </si>
  <si>
    <t>Ejendommensværdi + øvrige aktiver - foreningens gæld</t>
  </si>
  <si>
    <t>Andelskronen er et udtryk for værdien pr. kvm. eller pr. oprindeligt indskudt krone</t>
  </si>
  <si>
    <r>
      <rPr>
        <b/>
        <sz val="10"/>
        <color rgb="FF000000"/>
        <rFont val="Arial"/>
        <family val="2"/>
      </rPr>
      <t>Opr. Samlet indskud</t>
    </r>
    <r>
      <rPr>
        <sz val="10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eller</t>
    </r>
    <r>
      <rPr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Samlede KVM</t>
    </r>
  </si>
  <si>
    <r>
      <t xml:space="preserve">Opr. bolig Indskud </t>
    </r>
    <r>
      <rPr>
        <i/>
        <sz val="10"/>
        <color rgb="FF000000"/>
        <rFont val="Arial"/>
        <family val="2"/>
      </rPr>
      <t xml:space="preserve">eller </t>
    </r>
    <r>
      <rPr>
        <b/>
        <sz val="10"/>
        <color rgb="FF000000"/>
        <rFont val="Arial"/>
        <family val="2"/>
      </rPr>
      <t>bolig kvm.</t>
    </r>
  </si>
  <si>
    <t>*</t>
  </si>
  <si>
    <t>Kunderne kommer med en udbetaling på 750.000 kr.</t>
  </si>
  <si>
    <t>Øresundsvej har laveste tekniske pris pr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</si>
</sst>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k_r_._-;\-* #,##0.00\ _k_r_._-;_-* &quot;-&quot;??\ _k_r_._-;_-@_-"/>
    <numFmt numFmtId="165" formatCode="_-* #,##0_-;\-* #,##0_-;_-* &quot;-&quot;??_-;_-@_-"/>
    <numFmt numFmtId="166" formatCode="_ * #,##0.00_ ;_ * \-#,##0.00_ ;_ * &quot;-&quot;??_ ;_ @_ "/>
    <numFmt numFmtId="167" formatCode="_ * #,##0_ ;_ * \-#,##0_ ;_ * &quot;-&quot;??_ ;_ @_ "/>
    <numFmt numFmtId="168" formatCode="&quot;kr.&quot;\ #,##0;[Red]&quot;kr.&quot;\ \-#,##0"/>
    <numFmt numFmtId="169" formatCode="&quot;kr.&quot;\ #,##0.00;[Red]&quot;kr.&quot;\ \-#,##0.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i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43" fontId="3" fillId="0" borderId="0" xfId="1" applyFont="1"/>
    <xf numFmtId="0" fontId="3" fillId="2" borderId="0" xfId="0" applyFont="1" applyFill="1"/>
    <xf numFmtId="0" fontId="4" fillId="2" borderId="0" xfId="0" applyFont="1" applyFill="1"/>
    <xf numFmtId="43" fontId="4" fillId="2" borderId="0" xfId="1" applyFont="1" applyFill="1"/>
    <xf numFmtId="0" fontId="5" fillId="0" borderId="0" xfId="0" applyFont="1"/>
    <xf numFmtId="165" fontId="3" fillId="0" borderId="0" xfId="1" applyNumberFormat="1" applyFont="1"/>
    <xf numFmtId="165" fontId="4" fillId="2" borderId="0" xfId="0" applyNumberFormat="1" applyFont="1" applyFill="1"/>
    <xf numFmtId="0" fontId="2" fillId="2" borderId="0" xfId="0" applyFont="1" applyFill="1"/>
    <xf numFmtId="10" fontId="3" fillId="0" borderId="0" xfId="2" applyNumberFormat="1" applyFont="1"/>
    <xf numFmtId="164" fontId="3" fillId="0" borderId="0" xfId="0" applyNumberFormat="1" applyFont="1"/>
    <xf numFmtId="0" fontId="3" fillId="0" borderId="0" xfId="0" quotePrefix="1" applyFont="1"/>
    <xf numFmtId="165" fontId="4" fillId="2" borderId="0" xfId="1" applyNumberFormat="1" applyFont="1" applyFill="1"/>
    <xf numFmtId="0" fontId="6" fillId="2" borderId="0" xfId="0" applyFont="1" applyFill="1"/>
    <xf numFmtId="0" fontId="2" fillId="0" borderId="0" xfId="0" applyFont="1"/>
    <xf numFmtId="167" fontId="0" fillId="2" borderId="0" xfId="3" applyNumberFormat="1" applyFont="1" applyFill="1"/>
    <xf numFmtId="0" fontId="0" fillId="2" borderId="0" xfId="0" applyFill="1"/>
    <xf numFmtId="10" fontId="0" fillId="2" borderId="0" xfId="0" applyNumberFormat="1" applyFill="1"/>
    <xf numFmtId="10" fontId="2" fillId="0" borderId="0" xfId="2" applyNumberFormat="1" applyFont="1"/>
    <xf numFmtId="10" fontId="0" fillId="0" borderId="0" xfId="2" applyNumberFormat="1" applyFont="1"/>
    <xf numFmtId="0" fontId="0" fillId="0" borderId="1" xfId="0" applyBorder="1"/>
    <xf numFmtId="167" fontId="0" fillId="0" borderId="0" xfId="0" applyNumberFormat="1"/>
    <xf numFmtId="0" fontId="7" fillId="0" borderId="0" xfId="0" applyFont="1"/>
    <xf numFmtId="167" fontId="0" fillId="2" borderId="1" xfId="3" applyNumberFormat="1" applyFont="1" applyFill="1" applyBorder="1"/>
    <xf numFmtId="167" fontId="2" fillId="0" borderId="0" xfId="2" applyNumberFormat="1" applyFont="1"/>
    <xf numFmtId="0" fontId="2" fillId="3" borderId="0" xfId="0" applyFont="1" applyFill="1"/>
    <xf numFmtId="10" fontId="2" fillId="3" borderId="0" xfId="2" applyNumberFormat="1" applyFont="1" applyFill="1"/>
    <xf numFmtId="10" fontId="0" fillId="0" borderId="1" xfId="2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168" fontId="2" fillId="0" borderId="0" xfId="0" applyNumberFormat="1" applyFont="1"/>
    <xf numFmtId="167" fontId="0" fillId="0" borderId="0" xfId="3" applyNumberFormat="1" applyFont="1"/>
    <xf numFmtId="168" fontId="2" fillId="3" borderId="0" xfId="0" applyNumberFormat="1" applyFont="1" applyFill="1"/>
    <xf numFmtId="0" fontId="0" fillId="0" borderId="0" xfId="0" quotePrefix="1"/>
    <xf numFmtId="169" fontId="0" fillId="0" borderId="0" xfId="0" applyNumberFormat="1"/>
    <xf numFmtId="10" fontId="0" fillId="0" borderId="0" xfId="0" applyNumberFormat="1"/>
    <xf numFmtId="170" fontId="0" fillId="0" borderId="0" xfId="2" applyNumberFormat="1" applyFont="1"/>
    <xf numFmtId="165" fontId="2" fillId="0" borderId="0" xfId="1" applyNumberFormat="1" applyFont="1"/>
    <xf numFmtId="0" fontId="2" fillId="0" borderId="0" xfId="0" quotePrefix="1" applyFont="1"/>
    <xf numFmtId="0" fontId="8" fillId="0" borderId="0" xfId="4"/>
    <xf numFmtId="0" fontId="10" fillId="0" borderId="5" xfId="4" applyFont="1" applyBorder="1"/>
    <xf numFmtId="0" fontId="8" fillId="0" borderId="6" xfId="4" applyBorder="1"/>
    <xf numFmtId="0" fontId="8" fillId="0" borderId="7" xfId="4" applyBorder="1"/>
    <xf numFmtId="0" fontId="8" fillId="0" borderId="0" xfId="4" quotePrefix="1" applyAlignment="1">
      <alignment horizontal="center" vertical="center"/>
    </xf>
    <xf numFmtId="0" fontId="8" fillId="0" borderId="0" xfId="4" applyAlignment="1">
      <alignment horizontal="center" vertical="center"/>
    </xf>
    <xf numFmtId="0" fontId="8" fillId="0" borderId="0" xfId="4" applyAlignment="1">
      <alignment vertical="center"/>
    </xf>
    <xf numFmtId="0" fontId="11" fillId="0" borderId="0" xfId="4" applyFont="1"/>
    <xf numFmtId="0" fontId="11" fillId="0" borderId="10" xfId="4" applyFont="1" applyBorder="1"/>
    <xf numFmtId="0" fontId="10" fillId="0" borderId="11" xfId="4" applyFont="1" applyBorder="1"/>
    <xf numFmtId="0" fontId="10" fillId="0" borderId="12" xfId="4" applyFont="1" applyBorder="1"/>
    <xf numFmtId="0" fontId="10" fillId="0" borderId="13" xfId="4" applyFont="1" applyBorder="1"/>
    <xf numFmtId="0" fontId="8" fillId="0" borderId="8" xfId="4" applyBorder="1" applyAlignment="1">
      <alignment horizontal="center" vertical="center"/>
    </xf>
    <xf numFmtId="0" fontId="8" fillId="0" borderId="0" xfId="4" applyAlignment="1">
      <alignment horizontal="center"/>
    </xf>
    <xf numFmtId="0" fontId="9" fillId="0" borderId="0" xfId="4" applyFont="1" applyAlignment="1">
      <alignment horizontal="center"/>
    </xf>
    <xf numFmtId="0" fontId="9" fillId="0" borderId="10" xfId="4" applyFont="1" applyBorder="1" applyAlignment="1">
      <alignment horizontal="center"/>
    </xf>
    <xf numFmtId="0" fontId="8" fillId="0" borderId="8" xfId="4" applyBorder="1"/>
    <xf numFmtId="0" fontId="8" fillId="0" borderId="10" xfId="4" applyBorder="1"/>
    <xf numFmtId="0" fontId="10" fillId="0" borderId="6" xfId="4" applyFont="1" applyBorder="1"/>
    <xf numFmtId="0" fontId="10" fillId="0" borderId="7" xfId="4" applyFont="1" applyBorder="1"/>
    <xf numFmtId="0" fontId="8" fillId="0" borderId="19" xfId="4" applyBorder="1"/>
    <xf numFmtId="0" fontId="8" fillId="0" borderId="20" xfId="4" applyBorder="1"/>
    <xf numFmtId="0" fontId="8" fillId="0" borderId="21" xfId="4" applyBorder="1"/>
    <xf numFmtId="0" fontId="10" fillId="0" borderId="19" xfId="4" applyFont="1" applyBorder="1"/>
    <xf numFmtId="0" fontId="10" fillId="0" borderId="20" xfId="4" applyFont="1" applyBorder="1"/>
    <xf numFmtId="0" fontId="10" fillId="0" borderId="21" xfId="4" applyFont="1" applyBorder="1"/>
    <xf numFmtId="0" fontId="10" fillId="0" borderId="0" xfId="4" applyFont="1"/>
    <xf numFmtId="0" fontId="12" fillId="0" borderId="8" xfId="4" applyFont="1" applyBorder="1"/>
    <xf numFmtId="3" fontId="8" fillId="2" borderId="0" xfId="4" applyNumberFormat="1" applyFill="1"/>
    <xf numFmtId="3" fontId="8" fillId="0" borderId="0" xfId="4" applyNumberFormat="1"/>
    <xf numFmtId="3" fontId="12" fillId="0" borderId="0" xfId="4" applyNumberFormat="1" applyFont="1"/>
    <xf numFmtId="3" fontId="13" fillId="0" borderId="0" xfId="4" applyNumberFormat="1" applyFont="1"/>
    <xf numFmtId="3" fontId="8" fillId="5" borderId="0" xfId="4" applyNumberFormat="1" applyFill="1"/>
    <xf numFmtId="0" fontId="14" fillId="0" borderId="0" xfId="4" applyFont="1" applyAlignment="1">
      <alignment horizontal="left" wrapText="1"/>
    </xf>
    <xf numFmtId="0" fontId="15" fillId="0" borderId="0" xfId="4" applyFont="1"/>
    <xf numFmtId="0" fontId="10" fillId="0" borderId="14" xfId="4" applyFont="1" applyBorder="1"/>
    <xf numFmtId="0" fontId="8" fillId="0" borderId="22" xfId="4" applyBorder="1"/>
    <xf numFmtId="0" fontId="8" fillId="0" borderId="15" xfId="4" applyBorder="1"/>
    <xf numFmtId="0" fontId="11" fillId="0" borderId="23" xfId="4" applyFont="1" applyBorder="1" applyAlignment="1">
      <alignment horizontal="center" vertical="center"/>
    </xf>
    <xf numFmtId="0" fontId="8" fillId="0" borderId="24" xfId="4" applyBorder="1"/>
    <xf numFmtId="0" fontId="8" fillId="0" borderId="23" xfId="4" applyBorder="1"/>
    <xf numFmtId="0" fontId="8" fillId="0" borderId="17" xfId="4" applyBorder="1"/>
    <xf numFmtId="0" fontId="8" fillId="0" borderId="1" xfId="4" applyBorder="1"/>
    <xf numFmtId="0" fontId="8" fillId="0" borderId="18" xfId="4" applyBorder="1"/>
    <xf numFmtId="0" fontId="16" fillId="0" borderId="0" xfId="4" applyFont="1" applyAlignment="1">
      <alignment wrapText="1"/>
    </xf>
    <xf numFmtId="10" fontId="9" fillId="0" borderId="22" xfId="5" applyNumberFormat="1" applyFont="1" applyBorder="1"/>
    <xf numFmtId="0" fontId="8" fillId="0" borderId="24" xfId="4" applyBorder="1" applyAlignment="1">
      <alignment horizontal="center" vertical="center"/>
    </xf>
    <xf numFmtId="0" fontId="20" fillId="0" borderId="23" xfId="4" applyFont="1" applyBorder="1" applyAlignment="1">
      <alignment vertical="top"/>
    </xf>
    <xf numFmtId="0" fontId="20" fillId="0" borderId="0" xfId="4" applyFont="1" applyAlignment="1">
      <alignment vertical="top"/>
    </xf>
    <xf numFmtId="0" fontId="8" fillId="0" borderId="1" xfId="4" applyBorder="1" applyAlignment="1">
      <alignment vertical="center"/>
    </xf>
    <xf numFmtId="0" fontId="9" fillId="6" borderId="0" xfId="4" applyFont="1" applyFill="1" applyAlignment="1">
      <alignment horizontal="center" vertical="center"/>
    </xf>
    <xf numFmtId="0" fontId="8" fillId="6" borderId="0" xfId="4" applyFill="1" applyAlignment="1">
      <alignment horizontal="center" vertical="center"/>
    </xf>
    <xf numFmtId="4" fontId="8" fillId="4" borderId="0" xfId="4" applyNumberFormat="1" applyFill="1" applyAlignment="1">
      <alignment horizontal="center" vertical="center"/>
    </xf>
    <xf numFmtId="0" fontId="9" fillId="0" borderId="0" xfId="4" quotePrefix="1" applyFont="1" applyAlignment="1">
      <alignment horizontal="center" vertical="center"/>
    </xf>
    <xf numFmtId="0" fontId="8" fillId="0" borderId="0" xfId="4" applyAlignment="1">
      <alignment horizontal="center" vertical="center"/>
    </xf>
    <xf numFmtId="3" fontId="11" fillId="4" borderId="14" xfId="4" applyNumberFormat="1" applyFont="1" applyFill="1" applyBorder="1" applyAlignment="1">
      <alignment horizontal="center" vertical="center"/>
    </xf>
    <xf numFmtId="3" fontId="11" fillId="4" borderId="15" xfId="4" applyNumberFormat="1" applyFont="1" applyFill="1" applyBorder="1" applyAlignment="1">
      <alignment horizontal="center" vertical="center"/>
    </xf>
    <xf numFmtId="3" fontId="11" fillId="4" borderId="17" xfId="4" applyNumberFormat="1" applyFont="1" applyFill="1" applyBorder="1" applyAlignment="1">
      <alignment horizontal="center" vertical="center"/>
    </xf>
    <xf numFmtId="3" fontId="11" fillId="4" borderId="18" xfId="4" applyNumberFormat="1" applyFont="1" applyFill="1" applyBorder="1" applyAlignment="1">
      <alignment horizontal="center" vertical="center"/>
    </xf>
    <xf numFmtId="164" fontId="11" fillId="4" borderId="14" xfId="6" applyNumberFormat="1" applyFont="1" applyFill="1" applyBorder="1" applyAlignment="1">
      <alignment horizontal="center" vertical="center"/>
    </xf>
    <xf numFmtId="164" fontId="11" fillId="4" borderId="15" xfId="6" applyNumberFormat="1" applyFont="1" applyFill="1" applyBorder="1" applyAlignment="1">
      <alignment horizontal="center" vertical="center"/>
    </xf>
    <xf numFmtId="164" fontId="11" fillId="4" borderId="17" xfId="6" applyNumberFormat="1" applyFont="1" applyFill="1" applyBorder="1" applyAlignment="1">
      <alignment horizontal="center" vertical="center"/>
    </xf>
    <xf numFmtId="164" fontId="11" fillId="4" borderId="18" xfId="6" applyNumberFormat="1" applyFont="1" applyFill="1" applyBorder="1" applyAlignment="1">
      <alignment horizontal="center" vertical="center"/>
    </xf>
    <xf numFmtId="0" fontId="17" fillId="0" borderId="0" xfId="4" applyFont="1" applyAlignment="1">
      <alignment horizontal="center"/>
    </xf>
    <xf numFmtId="0" fontId="9" fillId="0" borderId="0" xfId="4" applyFont="1" applyAlignment="1">
      <alignment horizontal="center"/>
    </xf>
    <xf numFmtId="3" fontId="8" fillId="4" borderId="16" xfId="4" applyNumberFormat="1" applyFill="1" applyBorder="1" applyAlignment="1">
      <alignment horizontal="center"/>
    </xf>
    <xf numFmtId="0" fontId="8" fillId="4" borderId="16" xfId="4" applyFill="1" applyBorder="1" applyAlignment="1">
      <alignment horizontal="center"/>
    </xf>
    <xf numFmtId="0" fontId="11" fillId="0" borderId="23" xfId="4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8" fillId="0" borderId="0" xfId="4" applyFont="1" applyAlignment="1">
      <alignment horizontal="center" vertical="center" wrapText="1"/>
    </xf>
    <xf numFmtId="0" fontId="9" fillId="0" borderId="0" xfId="4" applyFont="1" applyAlignment="1">
      <alignment horizontal="center" vertical="center"/>
    </xf>
    <xf numFmtId="3" fontId="8" fillId="4" borderId="0" xfId="4" applyNumberFormat="1" applyFill="1" applyAlignment="1">
      <alignment horizontal="center" vertical="center"/>
    </xf>
    <xf numFmtId="3" fontId="11" fillId="4" borderId="0" xfId="4" applyNumberFormat="1" applyFont="1" applyFill="1" applyAlignment="1">
      <alignment horizontal="center" vertical="center" wrapText="1"/>
    </xf>
    <xf numFmtId="3" fontId="11" fillId="5" borderId="14" xfId="4" applyNumberFormat="1" applyFont="1" applyFill="1" applyBorder="1" applyAlignment="1">
      <alignment horizontal="center" vertical="center"/>
    </xf>
    <xf numFmtId="3" fontId="11" fillId="5" borderId="15" xfId="4" applyNumberFormat="1" applyFont="1" applyFill="1" applyBorder="1" applyAlignment="1">
      <alignment horizontal="center" vertical="center"/>
    </xf>
    <xf numFmtId="3" fontId="11" fillId="5" borderId="17" xfId="4" applyNumberFormat="1" applyFont="1" applyFill="1" applyBorder="1" applyAlignment="1">
      <alignment horizontal="center" vertical="center"/>
    </xf>
    <xf numFmtId="3" fontId="11" fillId="5" borderId="18" xfId="4" applyNumberFormat="1" applyFont="1" applyFill="1" applyBorder="1" applyAlignment="1">
      <alignment horizontal="center" vertical="center"/>
    </xf>
    <xf numFmtId="0" fontId="11" fillId="0" borderId="9" xfId="4" applyFont="1" applyBorder="1" applyAlignment="1">
      <alignment horizontal="center"/>
    </xf>
    <xf numFmtId="3" fontId="8" fillId="4" borderId="9" xfId="4" applyNumberFormat="1" applyFill="1" applyBorder="1" applyAlignment="1">
      <alignment horizontal="center"/>
    </xf>
    <xf numFmtId="0" fontId="11" fillId="0" borderId="0" xfId="4" applyFont="1" applyAlignment="1">
      <alignment horizontal="center" vertical="center" wrapText="1"/>
    </xf>
    <xf numFmtId="3" fontId="11" fillId="4" borderId="0" xfId="4" applyNumberFormat="1" applyFont="1" applyFill="1" applyAlignment="1">
      <alignment horizontal="center" vertical="center"/>
    </xf>
    <xf numFmtId="0" fontId="14" fillId="0" borderId="8" xfId="4" applyFont="1" applyBorder="1" applyAlignment="1">
      <alignment horizontal="left" wrapText="1"/>
    </xf>
    <xf numFmtId="0" fontId="14" fillId="0" borderId="0" xfId="4" applyFont="1" applyAlignment="1">
      <alignment horizontal="left" wrapText="1"/>
    </xf>
    <xf numFmtId="0" fontId="14" fillId="0" borderId="19" xfId="4" applyFont="1" applyBorder="1" applyAlignment="1">
      <alignment horizontal="left" wrapText="1"/>
    </xf>
    <xf numFmtId="0" fontId="14" fillId="0" borderId="20" xfId="4" applyFont="1" applyBorder="1" applyAlignment="1">
      <alignment horizontal="left" wrapText="1"/>
    </xf>
    <xf numFmtId="0" fontId="11" fillId="0" borderId="8" xfId="4" applyFont="1" applyBorder="1" applyAlignment="1">
      <alignment horizontal="center" vertical="center" wrapText="1"/>
    </xf>
    <xf numFmtId="0" fontId="8" fillId="0" borderId="0" xfId="4" quotePrefix="1" applyAlignment="1">
      <alignment horizontal="center" vertical="center"/>
    </xf>
    <xf numFmtId="3" fontId="8" fillId="2" borderId="9" xfId="4" applyNumberFormat="1" applyFill="1" applyBorder="1" applyAlignment="1">
      <alignment horizontal="center"/>
    </xf>
    <xf numFmtId="170" fontId="11" fillId="4" borderId="14" xfId="5" applyNumberFormat="1" applyFont="1" applyFill="1" applyBorder="1" applyAlignment="1">
      <alignment horizontal="center" vertical="center"/>
    </xf>
    <xf numFmtId="170" fontId="11" fillId="4" borderId="15" xfId="5" applyNumberFormat="1" applyFont="1" applyFill="1" applyBorder="1" applyAlignment="1">
      <alignment horizontal="center" vertical="center"/>
    </xf>
    <xf numFmtId="170" fontId="11" fillId="4" borderId="17" xfId="5" applyNumberFormat="1" applyFont="1" applyFill="1" applyBorder="1" applyAlignment="1">
      <alignment horizontal="center" vertical="center"/>
    </xf>
    <xf numFmtId="170" fontId="11" fillId="4" borderId="18" xfId="5" applyNumberFormat="1" applyFont="1" applyFill="1" applyBorder="1" applyAlignment="1">
      <alignment horizontal="center" vertical="center"/>
    </xf>
    <xf numFmtId="4" fontId="8" fillId="2" borderId="16" xfId="4" applyNumberFormat="1" applyFill="1" applyBorder="1" applyAlignment="1">
      <alignment horizontal="center"/>
    </xf>
    <xf numFmtId="0" fontId="9" fillId="2" borderId="2" xfId="4" applyFont="1" applyFill="1" applyBorder="1" applyAlignment="1">
      <alignment horizontal="center"/>
    </xf>
    <xf numFmtId="0" fontId="8" fillId="2" borderId="3" xfId="4" applyFill="1" applyBorder="1" applyAlignment="1">
      <alignment horizontal="center"/>
    </xf>
    <xf numFmtId="0" fontId="8" fillId="2" borderId="4" xfId="4" applyFill="1" applyBorder="1" applyAlignment="1">
      <alignment horizontal="center"/>
    </xf>
    <xf numFmtId="0" fontId="11" fillId="0" borderId="0" xfId="4" applyFont="1" applyAlignment="1">
      <alignment horizontal="center"/>
    </xf>
  </cellXfs>
  <cellStyles count="7">
    <cellStyle name="Comma" xfId="1" builtinId="3"/>
    <cellStyle name="Komma 2" xfId="3" xr:uid="{00000000-0005-0000-0000-000001000000}"/>
    <cellStyle name="Komma 8" xfId="6" xr:uid="{EF49B9B3-E2ED-3E45-8430-248580AB1C37}"/>
    <cellStyle name="Normal" xfId="0" builtinId="0"/>
    <cellStyle name="Normal 7" xfId="4" xr:uid="{D8D2C704-ECB3-8448-9AD0-D9475974DEFE}"/>
    <cellStyle name="Percent" xfId="2" builtinId="5"/>
    <cellStyle name="Procent 7" xfId="5" xr:uid="{DD7FE1A5-A494-A748-950E-23E61C7059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0184-C65B-3941-B9B0-FC000EB6D85B}">
  <dimension ref="B1:AC43"/>
  <sheetViews>
    <sheetView tabSelected="1" workbookViewId="0">
      <selection activeCell="G21" sqref="G21"/>
    </sheetView>
  </sheetViews>
  <sheetFormatPr baseColWidth="10" defaultColWidth="7.6640625" defaultRowHeight="16" x14ac:dyDescent="0.2"/>
  <cols>
    <col min="1" max="1" width="4.6640625" style="39" customWidth="1"/>
    <col min="2" max="2" width="11.33203125" style="39" customWidth="1"/>
    <col min="3" max="3" width="8.83203125" style="39" customWidth="1"/>
    <col min="4" max="4" width="7.6640625" style="39"/>
    <col min="5" max="5" width="11.33203125" style="39" customWidth="1"/>
    <col min="6" max="6" width="8.83203125" style="39" customWidth="1"/>
    <col min="7" max="7" width="8.1640625" style="39" customWidth="1"/>
    <col min="8" max="8" width="12.83203125" style="39" customWidth="1"/>
    <col min="9" max="9" width="10.83203125" style="39" customWidth="1"/>
    <col min="10" max="11" width="7.6640625" style="39"/>
    <col min="12" max="12" width="16.33203125" style="39" customWidth="1"/>
    <col min="13" max="13" width="12.1640625" style="39" bestFit="1" customWidth="1"/>
    <col min="14" max="14" width="2.1640625" style="39" customWidth="1"/>
    <col min="15" max="15" width="12.1640625" style="39" bestFit="1" customWidth="1"/>
    <col min="16" max="21" width="7.6640625" style="39"/>
    <col min="22" max="22" width="10.1640625" style="39" bestFit="1" customWidth="1"/>
    <col min="23" max="16384" width="7.6640625" style="39"/>
  </cols>
  <sheetData>
    <row r="1" spans="2:28" ht="17" thickBot="1" x14ac:dyDescent="0.25"/>
    <row r="2" spans="2:28" ht="17" thickBot="1" x14ac:dyDescent="0.25">
      <c r="B2" s="132" t="s">
        <v>43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4"/>
    </row>
    <row r="3" spans="2:28" ht="17" thickBot="1" x14ac:dyDescent="0.25"/>
    <row r="4" spans="2:28" ht="17" thickBot="1" x14ac:dyDescent="0.25">
      <c r="B4" s="40" t="s">
        <v>44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2"/>
    </row>
    <row r="5" spans="2:28" ht="17" thickBot="1" x14ac:dyDescent="0.25">
      <c r="B5" s="124" t="str">
        <f>B9</f>
        <v>Andelsboligens andel af andelsforeningen (fordelingstal)</v>
      </c>
      <c r="C5" s="118"/>
      <c r="D5" s="118"/>
      <c r="E5" s="118"/>
      <c r="F5" s="125" t="s">
        <v>45</v>
      </c>
      <c r="G5" s="116" t="s">
        <v>46</v>
      </c>
      <c r="H5" s="116"/>
      <c r="I5" s="93" t="s">
        <v>47</v>
      </c>
      <c r="J5" s="116" t="s">
        <v>48</v>
      </c>
      <c r="K5" s="116"/>
      <c r="L5" s="45"/>
      <c r="M5" s="46"/>
      <c r="N5" s="46"/>
      <c r="O5" s="46"/>
      <c r="P5" s="45"/>
      <c r="Q5" s="46"/>
      <c r="R5" s="47"/>
      <c r="T5" s="48" t="s">
        <v>49</v>
      </c>
      <c r="U5" s="49"/>
      <c r="V5" s="49"/>
      <c r="W5" s="50"/>
    </row>
    <row r="6" spans="2:28" x14ac:dyDescent="0.2">
      <c r="B6" s="124"/>
      <c r="C6" s="118"/>
      <c r="D6" s="118"/>
      <c r="E6" s="118"/>
      <c r="F6" s="125"/>
      <c r="G6" s="135" t="s">
        <v>50</v>
      </c>
      <c r="H6" s="135"/>
      <c r="I6" s="93"/>
      <c r="J6" s="135" t="s">
        <v>51</v>
      </c>
      <c r="K6" s="135"/>
      <c r="L6" s="45"/>
      <c r="M6" s="46" t="s">
        <v>52</v>
      </c>
      <c r="N6" s="46"/>
      <c r="O6" s="46"/>
      <c r="P6" s="45"/>
      <c r="Q6" s="46"/>
      <c r="R6" s="47"/>
    </row>
    <row r="7" spans="2:28" x14ac:dyDescent="0.2">
      <c r="B7" s="51"/>
      <c r="C7" s="44"/>
      <c r="D7" s="44"/>
      <c r="E7" s="44"/>
      <c r="F7" s="43"/>
      <c r="G7" s="52"/>
      <c r="H7" s="52"/>
      <c r="I7" s="44"/>
      <c r="J7" s="53"/>
      <c r="K7" s="53"/>
      <c r="L7" s="44"/>
      <c r="M7" s="53"/>
      <c r="N7" s="53"/>
      <c r="O7" s="53"/>
      <c r="P7" s="44"/>
      <c r="Q7" s="53"/>
      <c r="R7" s="54"/>
    </row>
    <row r="8" spans="2:28" ht="17" thickBot="1" x14ac:dyDescent="0.25">
      <c r="B8" s="55"/>
      <c r="R8" s="56"/>
    </row>
    <row r="9" spans="2:28" ht="17" thickBot="1" x14ac:dyDescent="0.25">
      <c r="B9" s="124" t="s">
        <v>53</v>
      </c>
      <c r="C9" s="118"/>
      <c r="D9" s="118"/>
      <c r="E9" s="118"/>
      <c r="F9" s="125" t="s">
        <v>45</v>
      </c>
      <c r="G9" s="126">
        <v>88</v>
      </c>
      <c r="H9" s="126"/>
      <c r="I9" s="92" t="s">
        <v>45</v>
      </c>
      <c r="J9" s="127">
        <f>G9/G10</f>
        <v>5.775907900523114E-2</v>
      </c>
      <c r="K9" s="128"/>
      <c r="R9" s="56"/>
    </row>
    <row r="10" spans="2:28" ht="17" thickBot="1" x14ac:dyDescent="0.25">
      <c r="B10" s="124"/>
      <c r="C10" s="118"/>
      <c r="D10" s="118"/>
      <c r="E10" s="118"/>
      <c r="F10" s="125"/>
      <c r="G10" s="131">
        <v>1523.57</v>
      </c>
      <c r="H10" s="131"/>
      <c r="I10" s="93"/>
      <c r="J10" s="129"/>
      <c r="K10" s="130"/>
      <c r="R10" s="56"/>
      <c r="T10" s="40" t="s">
        <v>54</v>
      </c>
      <c r="U10" s="57"/>
      <c r="V10" s="57"/>
      <c r="W10" s="57"/>
      <c r="X10" s="57"/>
      <c r="Y10" s="57"/>
      <c r="Z10" s="57"/>
      <c r="AA10" s="57"/>
      <c r="AB10" s="58"/>
    </row>
    <row r="11" spans="2:28" ht="17" thickBot="1" x14ac:dyDescent="0.25"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1"/>
      <c r="T11" s="62" t="s">
        <v>55</v>
      </c>
      <c r="U11" s="63"/>
      <c r="V11" s="63"/>
      <c r="W11" s="63"/>
      <c r="X11" s="63"/>
      <c r="Y11" s="63"/>
      <c r="Z11" s="63"/>
      <c r="AA11" s="63"/>
      <c r="AB11" s="64"/>
    </row>
    <row r="12" spans="2:28" x14ac:dyDescent="0.2">
      <c r="T12" s="65"/>
      <c r="U12" s="65"/>
      <c r="V12" s="65"/>
      <c r="W12" s="65"/>
      <c r="X12" s="65"/>
      <c r="Y12" s="65"/>
      <c r="Z12" s="65"/>
      <c r="AA12" s="65"/>
      <c r="AB12" s="65"/>
    </row>
    <row r="13" spans="2:28" ht="17" thickBot="1" x14ac:dyDescent="0.25">
      <c r="T13" s="65"/>
      <c r="U13" s="65"/>
      <c r="V13" s="65"/>
      <c r="W13" s="65"/>
      <c r="X13" s="65"/>
      <c r="Y13" s="65"/>
      <c r="Z13" s="65"/>
      <c r="AA13" s="65"/>
      <c r="AB13" s="65"/>
    </row>
    <row r="14" spans="2:28" x14ac:dyDescent="0.2">
      <c r="B14" s="40" t="s">
        <v>56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2"/>
      <c r="T14" s="65"/>
      <c r="U14" s="65"/>
      <c r="V14" s="65"/>
      <c r="W14" s="65"/>
      <c r="X14" s="65"/>
      <c r="Y14" s="65"/>
      <c r="Z14" s="65"/>
      <c r="AA14" s="65"/>
      <c r="AB14" s="65"/>
    </row>
    <row r="15" spans="2:28" x14ac:dyDescent="0.2">
      <c r="B15" s="55"/>
      <c r="R15" s="56"/>
      <c r="T15" s="65"/>
      <c r="U15" s="65"/>
      <c r="V15" s="65"/>
      <c r="W15" s="65"/>
      <c r="X15" s="65"/>
      <c r="Y15" s="65"/>
      <c r="Z15" s="65"/>
      <c r="AA15" s="65"/>
      <c r="AB15" s="65"/>
    </row>
    <row r="16" spans="2:28" x14ac:dyDescent="0.2">
      <c r="B16" s="66" t="s">
        <v>57</v>
      </c>
      <c r="H16" s="67">
        <v>40450000</v>
      </c>
      <c r="I16" s="68"/>
      <c r="J16" s="68"/>
      <c r="K16" s="69" t="s">
        <v>58</v>
      </c>
      <c r="L16" s="68"/>
      <c r="M16" s="67">
        <v>937496</v>
      </c>
      <c r="R16" s="56"/>
      <c r="T16" s="65"/>
      <c r="U16" s="65"/>
      <c r="V16" s="65"/>
      <c r="W16" s="65"/>
      <c r="X16" s="65"/>
      <c r="Y16" s="65"/>
      <c r="Z16" s="65"/>
      <c r="AA16" s="65"/>
      <c r="AB16" s="65"/>
    </row>
    <row r="17" spans="2:28" x14ac:dyDescent="0.2">
      <c r="B17" s="55" t="s">
        <v>59</v>
      </c>
      <c r="H17" s="67">
        <v>2355290</v>
      </c>
      <c r="I17" s="68"/>
      <c r="J17" s="68"/>
      <c r="K17" s="70"/>
      <c r="L17" s="68"/>
      <c r="M17" s="68"/>
      <c r="R17" s="56"/>
      <c r="T17" s="65"/>
      <c r="U17" s="65"/>
      <c r="V17" s="65"/>
      <c r="W17" s="65"/>
      <c r="X17" s="65"/>
      <c r="Y17" s="65"/>
      <c r="Z17" s="65"/>
      <c r="AA17" s="65"/>
      <c r="AB17" s="65"/>
    </row>
    <row r="18" spans="2:28" x14ac:dyDescent="0.2">
      <c r="B18" s="66"/>
      <c r="H18" s="68"/>
      <c r="I18" s="68"/>
      <c r="J18" s="68"/>
      <c r="K18" s="69"/>
      <c r="L18" s="68"/>
      <c r="M18" s="68"/>
      <c r="R18" s="56"/>
      <c r="T18" s="65"/>
      <c r="U18" s="65"/>
      <c r="V18" s="65"/>
      <c r="W18" s="65"/>
      <c r="X18" s="65"/>
      <c r="Y18" s="65"/>
      <c r="Z18" s="65"/>
      <c r="AA18" s="65"/>
      <c r="AB18" s="65"/>
    </row>
    <row r="19" spans="2:28" x14ac:dyDescent="0.2">
      <c r="B19" s="66" t="s">
        <v>60</v>
      </c>
      <c r="H19" s="67">
        <f>22860145</f>
        <v>22860145</v>
      </c>
      <c r="I19" s="68"/>
      <c r="J19" s="68"/>
      <c r="K19" s="69"/>
      <c r="L19" s="68"/>
      <c r="M19" s="68"/>
      <c r="R19" s="56"/>
      <c r="T19" s="65"/>
      <c r="U19" s="65"/>
      <c r="V19" s="65"/>
      <c r="W19" s="65"/>
      <c r="X19" s="65"/>
      <c r="Y19" s="65"/>
      <c r="Z19" s="65"/>
      <c r="AA19" s="65"/>
      <c r="AB19" s="65"/>
    </row>
    <row r="20" spans="2:28" x14ac:dyDescent="0.2">
      <c r="B20" s="66"/>
      <c r="H20" s="68"/>
      <c r="I20" s="68"/>
      <c r="J20" s="68"/>
      <c r="K20" s="69"/>
      <c r="L20" s="68"/>
      <c r="M20" s="68"/>
      <c r="R20" s="56"/>
      <c r="T20" s="65"/>
      <c r="U20" s="68"/>
      <c r="V20" s="65"/>
      <c r="W20" s="65"/>
      <c r="X20" s="65"/>
      <c r="Y20" s="65"/>
      <c r="Z20" s="65"/>
      <c r="AA20" s="65"/>
      <c r="AB20" s="65"/>
    </row>
    <row r="21" spans="2:28" x14ac:dyDescent="0.2">
      <c r="B21" s="66" t="s">
        <v>61</v>
      </c>
      <c r="H21" s="71">
        <f>(H16-H19)*J9</f>
        <v>1015973.82463556</v>
      </c>
      <c r="I21" s="68"/>
      <c r="J21" s="68"/>
      <c r="K21" s="69" t="s">
        <v>62</v>
      </c>
      <c r="L21" s="68"/>
      <c r="M21" s="71">
        <f>H21+M16</f>
        <v>1953469.8246355602</v>
      </c>
      <c r="R21" s="56"/>
      <c r="T21" s="65"/>
      <c r="U21" s="65"/>
      <c r="V21" s="65"/>
      <c r="W21" s="65"/>
      <c r="X21" s="65"/>
      <c r="Y21" s="65"/>
      <c r="Z21" s="65"/>
      <c r="AA21" s="65"/>
      <c r="AB21" s="65"/>
    </row>
    <row r="22" spans="2:28" x14ac:dyDescent="0.2">
      <c r="B22" s="120" t="s">
        <v>63</v>
      </c>
      <c r="C22" s="121"/>
      <c r="D22" s="121"/>
      <c r="E22" s="121"/>
      <c r="K22" s="73" t="s">
        <v>64</v>
      </c>
      <c r="R22" s="56"/>
      <c r="T22" s="65"/>
      <c r="U22" s="65"/>
      <c r="V22" s="65"/>
      <c r="W22" s="65"/>
      <c r="X22" s="65"/>
      <c r="Y22" s="65"/>
      <c r="Z22" s="65"/>
      <c r="AA22" s="65"/>
      <c r="AB22" s="65"/>
    </row>
    <row r="23" spans="2:28" ht="17" thickBot="1" x14ac:dyDescent="0.25">
      <c r="B23" s="122"/>
      <c r="C23" s="123"/>
      <c r="D23" s="123"/>
      <c r="E23" s="123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1"/>
      <c r="T23" s="65"/>
      <c r="U23" s="65"/>
      <c r="V23" s="65"/>
      <c r="W23" s="65"/>
      <c r="X23" s="65"/>
      <c r="Y23" s="65"/>
      <c r="Z23" s="65"/>
      <c r="AA23" s="65"/>
      <c r="AB23" s="65"/>
    </row>
    <row r="24" spans="2:28" x14ac:dyDescent="0.2">
      <c r="B24" s="72"/>
      <c r="C24" s="72"/>
      <c r="D24" s="72"/>
      <c r="E24" s="72"/>
      <c r="T24" s="65"/>
      <c r="U24" s="65"/>
      <c r="V24" s="65"/>
      <c r="W24" s="65"/>
      <c r="X24" s="65"/>
      <c r="Y24" s="65"/>
      <c r="Z24" s="65"/>
      <c r="AA24" s="65"/>
      <c r="AB24" s="65"/>
    </row>
    <row r="25" spans="2:28" ht="17" thickBot="1" x14ac:dyDescent="0.25"/>
    <row r="26" spans="2:28" x14ac:dyDescent="0.2">
      <c r="B26" s="74" t="s">
        <v>65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6"/>
    </row>
    <row r="27" spans="2:28" x14ac:dyDescent="0.2">
      <c r="B27" s="106" t="s">
        <v>3</v>
      </c>
      <c r="C27" s="107"/>
      <c r="D27" s="92" t="s">
        <v>45</v>
      </c>
      <c r="E27" s="118" t="s">
        <v>66</v>
      </c>
      <c r="F27" s="107"/>
      <c r="G27" s="92" t="s">
        <v>67</v>
      </c>
      <c r="H27" s="118" t="s">
        <v>68</v>
      </c>
      <c r="I27" s="118"/>
      <c r="J27" s="92" t="s">
        <v>69</v>
      </c>
      <c r="K27" s="118" t="s">
        <v>70</v>
      </c>
      <c r="L27" s="118"/>
      <c r="M27" s="92" t="s">
        <v>71</v>
      </c>
      <c r="N27" s="107" t="str">
        <f>B27</f>
        <v>Teknisk pris</v>
      </c>
      <c r="O27" s="107"/>
      <c r="R27" s="78"/>
    </row>
    <row r="28" spans="2:28" x14ac:dyDescent="0.2">
      <c r="B28" s="106"/>
      <c r="C28" s="107"/>
      <c r="D28" s="93"/>
      <c r="E28" s="107"/>
      <c r="F28" s="107"/>
      <c r="G28" s="93"/>
      <c r="H28" s="118"/>
      <c r="I28" s="118"/>
      <c r="J28" s="93"/>
      <c r="K28" s="118"/>
      <c r="L28" s="118"/>
      <c r="M28" s="93"/>
      <c r="N28" s="107"/>
      <c r="O28" s="107"/>
      <c r="R28" s="78"/>
    </row>
    <row r="29" spans="2:28" x14ac:dyDescent="0.2">
      <c r="B29" s="79"/>
      <c r="E29" s="39" t="s">
        <v>72</v>
      </c>
      <c r="F29" s="67">
        <v>258469</v>
      </c>
      <c r="R29" s="78"/>
    </row>
    <row r="30" spans="2:28" ht="17" thickBot="1" x14ac:dyDescent="0.25">
      <c r="B30" s="79"/>
      <c r="L30" s="68"/>
      <c r="R30" s="78"/>
    </row>
    <row r="31" spans="2:28" x14ac:dyDescent="0.2">
      <c r="B31" s="106" t="s">
        <v>3</v>
      </c>
      <c r="C31" s="107"/>
      <c r="D31" s="92" t="s">
        <v>45</v>
      </c>
      <c r="E31" s="119">
        <f>M21-F29</f>
        <v>1695000.8246355602</v>
      </c>
      <c r="F31" s="119"/>
      <c r="G31" s="92" t="s">
        <v>67</v>
      </c>
      <c r="H31" s="111">
        <f>H19*J9</f>
        <v>1320380.9211260397</v>
      </c>
      <c r="I31" s="111"/>
      <c r="J31" s="92" t="s">
        <v>69</v>
      </c>
      <c r="K31" s="111">
        <f>H17*J9</f>
        <v>136039.38119023084</v>
      </c>
      <c r="L31" s="111"/>
      <c r="M31" s="92" t="s">
        <v>45</v>
      </c>
      <c r="O31" s="112">
        <f>E31+H31-K31</f>
        <v>2879342.3645713693</v>
      </c>
      <c r="P31" s="113"/>
      <c r="R31" s="78"/>
    </row>
    <row r="32" spans="2:28" ht="17" thickBot="1" x14ac:dyDescent="0.25">
      <c r="B32" s="106"/>
      <c r="C32" s="107"/>
      <c r="D32" s="93"/>
      <c r="E32" s="119"/>
      <c r="F32" s="119"/>
      <c r="G32" s="93"/>
      <c r="H32" s="111"/>
      <c r="I32" s="111"/>
      <c r="J32" s="93"/>
      <c r="K32" s="111"/>
      <c r="L32" s="111"/>
      <c r="M32" s="93"/>
      <c r="O32" s="114"/>
      <c r="P32" s="115"/>
      <c r="R32" s="78"/>
    </row>
    <row r="33" spans="2:29" ht="17" thickBot="1" x14ac:dyDescent="0.25"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2"/>
    </row>
    <row r="35" spans="2:29" ht="17" thickBot="1" x14ac:dyDescent="0.25">
      <c r="E35" s="83"/>
    </row>
    <row r="36" spans="2:29" ht="17" thickBot="1" x14ac:dyDescent="0.25">
      <c r="B36" s="74" t="s">
        <v>73</v>
      </c>
      <c r="C36" s="8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6"/>
    </row>
    <row r="37" spans="2:29" x14ac:dyDescent="0.2">
      <c r="B37" s="106" t="s">
        <v>74</v>
      </c>
      <c r="C37" s="92" t="s">
        <v>45</v>
      </c>
      <c r="D37" s="116" t="s">
        <v>75</v>
      </c>
      <c r="E37" s="116"/>
      <c r="F37" s="116"/>
      <c r="G37" s="116"/>
      <c r="H37" s="116"/>
      <c r="I37" s="116"/>
      <c r="J37" s="116"/>
      <c r="K37" s="116"/>
      <c r="L37" s="92" t="s">
        <v>71</v>
      </c>
      <c r="M37" s="117">
        <f>H16-H19</f>
        <v>17589855</v>
      </c>
      <c r="N37" s="117"/>
      <c r="O37" s="117"/>
      <c r="P37" s="92" t="s">
        <v>45</v>
      </c>
      <c r="Q37" s="98">
        <f>M37/M38</f>
        <v>11545.157098131363</v>
      </c>
      <c r="R37" s="99"/>
      <c r="T37" s="40" t="s">
        <v>76</v>
      </c>
      <c r="U37" s="41"/>
      <c r="V37" s="41"/>
      <c r="W37" s="41"/>
      <c r="X37" s="41"/>
      <c r="Y37" s="41"/>
      <c r="Z37" s="41"/>
      <c r="AA37" s="41"/>
      <c r="AB37" s="41"/>
      <c r="AC37" s="42"/>
    </row>
    <row r="38" spans="2:29" ht="17" thickBot="1" x14ac:dyDescent="0.25">
      <c r="B38" s="106"/>
      <c r="C38" s="93"/>
      <c r="D38" s="102" t="s">
        <v>77</v>
      </c>
      <c r="E38" s="103"/>
      <c r="F38" s="103"/>
      <c r="G38" s="103"/>
      <c r="H38" s="103"/>
      <c r="I38" s="103"/>
      <c r="J38" s="103"/>
      <c r="K38" s="103"/>
      <c r="L38" s="93"/>
      <c r="M38" s="104">
        <f>G10</f>
        <v>1523.57</v>
      </c>
      <c r="N38" s="105"/>
      <c r="O38" s="105"/>
      <c r="P38" s="93"/>
      <c r="Q38" s="100"/>
      <c r="R38" s="101"/>
      <c r="T38" s="62"/>
      <c r="U38" s="60"/>
      <c r="V38" s="60"/>
      <c r="W38" s="60"/>
      <c r="X38" s="60"/>
      <c r="Y38" s="60"/>
      <c r="Z38" s="60"/>
      <c r="AA38" s="60"/>
      <c r="AB38" s="60"/>
      <c r="AC38" s="61"/>
    </row>
    <row r="39" spans="2:29" x14ac:dyDescent="0.2">
      <c r="B39" s="77"/>
      <c r="C39" s="44"/>
      <c r="D39" s="53"/>
      <c r="E39" s="53"/>
      <c r="F39" s="53"/>
      <c r="G39" s="53"/>
      <c r="H39" s="53"/>
      <c r="I39" s="53"/>
      <c r="J39" s="53"/>
      <c r="K39" s="53"/>
      <c r="L39" s="44"/>
      <c r="M39" s="44"/>
      <c r="N39" s="44"/>
      <c r="O39" s="44"/>
      <c r="P39" s="44"/>
      <c r="Q39" s="44"/>
      <c r="R39" s="85"/>
      <c r="S39" s="86"/>
      <c r="T39" s="87"/>
      <c r="U39" s="45"/>
    </row>
    <row r="40" spans="2:29" ht="17" thickBot="1" x14ac:dyDescent="0.25">
      <c r="B40" s="79"/>
      <c r="R40" s="78"/>
      <c r="S40" s="86"/>
      <c r="T40" s="87"/>
      <c r="U40" s="45"/>
    </row>
    <row r="41" spans="2:29" x14ac:dyDescent="0.2">
      <c r="B41" s="106" t="s">
        <v>61</v>
      </c>
      <c r="C41" s="107"/>
      <c r="D41" s="92" t="s">
        <v>45</v>
      </c>
      <c r="E41" s="108" t="s">
        <v>78</v>
      </c>
      <c r="F41" s="108"/>
      <c r="G41" s="108"/>
      <c r="H41" s="108"/>
      <c r="I41" s="109" t="s">
        <v>79</v>
      </c>
      <c r="J41" s="107" t="str">
        <f>B37</f>
        <v>Andelskrone</v>
      </c>
      <c r="K41" s="107"/>
      <c r="L41" s="92" t="s">
        <v>71</v>
      </c>
      <c r="M41" s="110">
        <f>G9</f>
        <v>88</v>
      </c>
      <c r="N41" s="89" t="s">
        <v>79</v>
      </c>
      <c r="O41" s="91">
        <f>Q37</f>
        <v>11545.157098131363</v>
      </c>
      <c r="P41" s="92" t="s">
        <v>45</v>
      </c>
      <c r="Q41" s="94">
        <f>M41*O41</f>
        <v>1015973.8246355599</v>
      </c>
      <c r="R41" s="95"/>
      <c r="S41" s="86"/>
      <c r="T41" s="87"/>
      <c r="U41" s="45"/>
    </row>
    <row r="42" spans="2:29" ht="17" thickBot="1" x14ac:dyDescent="0.25">
      <c r="B42" s="106"/>
      <c r="C42" s="107"/>
      <c r="D42" s="93"/>
      <c r="E42" s="108"/>
      <c r="F42" s="108"/>
      <c r="G42" s="108"/>
      <c r="H42" s="108"/>
      <c r="I42" s="93"/>
      <c r="J42" s="107"/>
      <c r="K42" s="107"/>
      <c r="L42" s="92"/>
      <c r="M42" s="110"/>
      <c r="N42" s="90"/>
      <c r="O42" s="91"/>
      <c r="P42" s="93"/>
      <c r="Q42" s="96"/>
      <c r="R42" s="97"/>
      <c r="S42" s="86"/>
      <c r="T42" s="87"/>
      <c r="U42" s="45"/>
    </row>
    <row r="43" spans="2:29" ht="17" thickBot="1" x14ac:dyDescent="0.25">
      <c r="B43" s="80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8"/>
      <c r="P43" s="81"/>
      <c r="Q43" s="81"/>
      <c r="R43" s="82"/>
    </row>
  </sheetData>
  <mergeCells count="53">
    <mergeCell ref="B2:R2"/>
    <mergeCell ref="B5:E6"/>
    <mergeCell ref="F5:F6"/>
    <mergeCell ref="G5:H5"/>
    <mergeCell ref="I5:I6"/>
    <mergeCell ref="J5:K5"/>
    <mergeCell ref="G6:H6"/>
    <mergeCell ref="J6:K6"/>
    <mergeCell ref="B9:E10"/>
    <mergeCell ref="F9:F10"/>
    <mergeCell ref="G9:H9"/>
    <mergeCell ref="I9:I10"/>
    <mergeCell ref="J9:K10"/>
    <mergeCell ref="G10:H10"/>
    <mergeCell ref="B22:E23"/>
    <mergeCell ref="B27:C28"/>
    <mergeCell ref="D27:D28"/>
    <mergeCell ref="E27:F28"/>
    <mergeCell ref="G27:G28"/>
    <mergeCell ref="J27:J28"/>
    <mergeCell ref="K27:L28"/>
    <mergeCell ref="M27:M28"/>
    <mergeCell ref="N27:O28"/>
    <mergeCell ref="B31:C32"/>
    <mergeCell ref="D31:D32"/>
    <mergeCell ref="E31:F32"/>
    <mergeCell ref="G31:G32"/>
    <mergeCell ref="H31:I32"/>
    <mergeCell ref="J31:J32"/>
    <mergeCell ref="H27:I28"/>
    <mergeCell ref="K31:L32"/>
    <mergeCell ref="M31:M32"/>
    <mergeCell ref="O31:P32"/>
    <mergeCell ref="B37:B38"/>
    <mergeCell ref="C37:C38"/>
    <mergeCell ref="D37:K37"/>
    <mergeCell ref="L37:L38"/>
    <mergeCell ref="M37:O37"/>
    <mergeCell ref="P37:P38"/>
    <mergeCell ref="D38:K38"/>
    <mergeCell ref="M38:O38"/>
    <mergeCell ref="B41:C42"/>
    <mergeCell ref="D41:D42"/>
    <mergeCell ref="E41:H42"/>
    <mergeCell ref="I41:I42"/>
    <mergeCell ref="J41:K42"/>
    <mergeCell ref="L41:L42"/>
    <mergeCell ref="M41:M42"/>
    <mergeCell ref="N41:N42"/>
    <mergeCell ref="O41:O42"/>
    <mergeCell ref="P41:P42"/>
    <mergeCell ref="Q41:R42"/>
    <mergeCell ref="Q37:R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"/>
  <sheetViews>
    <sheetView workbookViewId="0">
      <selection activeCell="C14" sqref="C14"/>
    </sheetView>
  </sheetViews>
  <sheetFormatPr baseColWidth="10" defaultColWidth="8.83203125" defaultRowHeight="15" x14ac:dyDescent="0.2"/>
  <cols>
    <col min="3" max="3" width="48" customWidth="1"/>
    <col min="4" max="4" width="19.5" bestFit="1" customWidth="1"/>
    <col min="6" max="6" width="18.6640625" bestFit="1" customWidth="1"/>
  </cols>
  <sheetData>
    <row r="1" spans="1:18" ht="26" x14ac:dyDescent="0.3">
      <c r="A1" s="1"/>
      <c r="B1" s="1"/>
      <c r="C1" s="1"/>
      <c r="D1" s="14" t="s">
        <v>0</v>
      </c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" x14ac:dyDescent="0.25">
      <c r="A5" s="1"/>
      <c r="B5" s="1"/>
      <c r="C5" s="1"/>
      <c r="D5" s="1" t="s">
        <v>1</v>
      </c>
      <c r="E5" s="1"/>
      <c r="F5" s="1" t="s">
        <v>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9" x14ac:dyDescent="0.25">
      <c r="A7" s="1"/>
      <c r="B7" s="1"/>
      <c r="C7" s="1" t="s">
        <v>3</v>
      </c>
      <c r="D7" s="2">
        <v>2493840</v>
      </c>
      <c r="E7" s="2"/>
      <c r="F7" s="2">
        <v>2879341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9" x14ac:dyDescent="0.25">
      <c r="A8" s="1"/>
      <c r="B8" s="1"/>
      <c r="C8" s="1" t="s">
        <v>4</v>
      </c>
      <c r="D8" s="1">
        <v>90</v>
      </c>
      <c r="E8" s="1"/>
      <c r="F8" s="1">
        <v>88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9" x14ac:dyDescent="0.25">
      <c r="A11" s="1"/>
      <c r="B11" s="1"/>
      <c r="C11" s="4" t="s">
        <v>5</v>
      </c>
      <c r="D11" s="5">
        <f>D7/D8</f>
        <v>27709.333333333332</v>
      </c>
      <c r="E11" s="4"/>
      <c r="F11" s="5">
        <f>F7/F8</f>
        <v>32719.784090909092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9" x14ac:dyDescent="0.25">
      <c r="A13" s="1"/>
      <c r="B13" s="1"/>
      <c r="C13" s="1" t="s">
        <v>81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9" x14ac:dyDescent="0.25">
      <c r="A14" s="1"/>
      <c r="B14" s="1"/>
      <c r="C14" s="1" t="s">
        <v>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9" x14ac:dyDescent="0.25">
      <c r="A18" s="1"/>
      <c r="B18" s="1"/>
      <c r="C18" s="6" t="s">
        <v>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9" x14ac:dyDescent="0.25">
      <c r="A19" s="1"/>
      <c r="B19" s="1"/>
      <c r="C19" s="1" t="s">
        <v>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9" x14ac:dyDescent="0.25">
      <c r="A20" s="1"/>
      <c r="B20" s="1"/>
      <c r="C20" s="1" t="s">
        <v>80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9" x14ac:dyDescent="0.25">
      <c r="A22" s="1"/>
      <c r="B22" s="1"/>
      <c r="C22" s="1"/>
      <c r="D22" s="1" t="str">
        <f>D5</f>
        <v>Øresundsvej</v>
      </c>
      <c r="E22" s="1"/>
      <c r="F22" s="1" t="str">
        <f>F5</f>
        <v>Holmbladsgade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9" x14ac:dyDescent="0.25">
      <c r="A24" s="1"/>
      <c r="B24" s="1"/>
      <c r="C24" s="1" t="s">
        <v>9</v>
      </c>
      <c r="D24" s="7">
        <v>5438</v>
      </c>
      <c r="E24" s="7"/>
      <c r="F24" s="7">
        <v>8067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9" x14ac:dyDescent="0.25">
      <c r="C25" s="1"/>
      <c r="D25" s="1"/>
      <c r="E25" s="1"/>
      <c r="F25" s="1"/>
    </row>
    <row r="26" spans="1:18" ht="19" x14ac:dyDescent="0.25">
      <c r="C26" s="1" t="s">
        <v>10</v>
      </c>
      <c r="D26" s="7">
        <f>-'Lån Øresundsvej'!C23</f>
        <v>5121.7831337259395</v>
      </c>
      <c r="E26" s="7"/>
      <c r="F26" s="7">
        <f>-'Lån Holmbladsgade'!C23</f>
        <v>3852.3410033850469</v>
      </c>
    </row>
    <row r="27" spans="1:18" ht="19" x14ac:dyDescent="0.25">
      <c r="C27" s="1"/>
      <c r="D27" s="1"/>
      <c r="E27" s="1"/>
      <c r="F27" s="1"/>
    </row>
    <row r="28" spans="1:18" ht="19" x14ac:dyDescent="0.25">
      <c r="C28" s="1"/>
      <c r="D28" s="1"/>
      <c r="E28" s="1"/>
      <c r="F28" s="1"/>
    </row>
    <row r="29" spans="1:18" ht="19" x14ac:dyDescent="0.25">
      <c r="C29" s="4" t="s">
        <v>11</v>
      </c>
      <c r="D29" s="8">
        <f>D26+D24</f>
        <v>10559.783133725939</v>
      </c>
      <c r="E29" s="3"/>
      <c r="F29" s="8">
        <f>F26+F24</f>
        <v>11919.341003385047</v>
      </c>
    </row>
    <row r="30" spans="1:18" ht="19" x14ac:dyDescent="0.25">
      <c r="C30" s="1"/>
      <c r="D30" s="1"/>
      <c r="E30" s="1"/>
      <c r="F30" s="1"/>
    </row>
    <row r="31" spans="1:18" ht="19" x14ac:dyDescent="0.25">
      <c r="C31" s="1"/>
      <c r="D31" s="1"/>
      <c r="E31" s="1"/>
      <c r="F31" s="1"/>
    </row>
    <row r="32" spans="1:18" ht="19" x14ac:dyDescent="0.25">
      <c r="C32" s="1" t="s">
        <v>12</v>
      </c>
      <c r="D32" s="1"/>
      <c r="E32" s="1"/>
      <c r="F32" s="1"/>
    </row>
    <row r="33" spans="3:8" ht="19" x14ac:dyDescent="0.25">
      <c r="C33" s="1"/>
      <c r="D33" s="1"/>
      <c r="E33" s="1"/>
      <c r="F33" s="1"/>
    </row>
    <row r="34" spans="3:8" ht="19" x14ac:dyDescent="0.25">
      <c r="C34" s="1"/>
      <c r="D34" s="1"/>
      <c r="E34" s="1"/>
      <c r="F34" s="1"/>
    </row>
    <row r="35" spans="3:8" ht="19" x14ac:dyDescent="0.25">
      <c r="C35" s="4" t="s">
        <v>13</v>
      </c>
      <c r="D35" s="4"/>
      <c r="E35" s="4"/>
      <c r="F35" s="4"/>
      <c r="G35" s="9"/>
      <c r="H35" s="9"/>
    </row>
    <row r="36" spans="3:8" ht="19" x14ac:dyDescent="0.25">
      <c r="C36" s="4" t="s">
        <v>14</v>
      </c>
      <c r="D36" s="9"/>
      <c r="E36" s="9"/>
      <c r="F36" s="9"/>
      <c r="G36" s="9"/>
      <c r="H36" s="9"/>
    </row>
    <row r="40" spans="3:8" ht="19" x14ac:dyDescent="0.25">
      <c r="C40" s="1"/>
      <c r="D40" s="1"/>
      <c r="E40" s="1"/>
      <c r="F40" s="1"/>
      <c r="G40" s="1"/>
    </row>
    <row r="41" spans="3:8" ht="19" x14ac:dyDescent="0.25">
      <c r="C41" s="1"/>
      <c r="D41" s="1"/>
      <c r="E41" s="1"/>
      <c r="F41" s="1"/>
      <c r="G41" s="1"/>
    </row>
    <row r="42" spans="3:8" ht="19" x14ac:dyDescent="0.25">
      <c r="C42" s="1"/>
      <c r="D42" s="1"/>
      <c r="E42" s="1"/>
      <c r="F42" s="1"/>
      <c r="G42" s="1"/>
    </row>
    <row r="43" spans="3:8" ht="19" x14ac:dyDescent="0.25">
      <c r="C43" s="1"/>
      <c r="D43" s="1"/>
      <c r="E43" s="1"/>
      <c r="F43" s="1"/>
      <c r="G43" s="1"/>
    </row>
    <row r="44" spans="3:8" ht="19" x14ac:dyDescent="0.25">
      <c r="C44" s="1"/>
      <c r="D44" s="7"/>
      <c r="E44" s="1"/>
      <c r="F44" s="1"/>
      <c r="G44" s="1"/>
    </row>
    <row r="45" spans="3:8" ht="19" x14ac:dyDescent="0.25">
      <c r="C45" s="1"/>
      <c r="D45" s="1"/>
      <c r="E45" s="1"/>
      <c r="F45" s="1"/>
      <c r="G45" s="1"/>
    </row>
    <row r="46" spans="3:8" ht="19" x14ac:dyDescent="0.25">
      <c r="C46" s="1"/>
      <c r="D46" s="10"/>
      <c r="E46" s="1"/>
      <c r="F46" s="1"/>
      <c r="G46" s="1"/>
    </row>
    <row r="47" spans="3:8" ht="19" x14ac:dyDescent="0.25">
      <c r="C47" s="1"/>
      <c r="D47" s="1"/>
      <c r="E47" s="1"/>
      <c r="F47" s="1"/>
      <c r="G47" s="1"/>
    </row>
    <row r="48" spans="3:8" ht="19" x14ac:dyDescent="0.25">
      <c r="C48" s="1"/>
      <c r="D48" s="11"/>
      <c r="E48" s="1"/>
      <c r="F48" s="1"/>
      <c r="G48" s="1"/>
    </row>
    <row r="49" spans="3:7" ht="19" x14ac:dyDescent="0.25">
      <c r="C49" s="1"/>
      <c r="D49" s="1"/>
      <c r="E49" s="1"/>
      <c r="F49" s="1"/>
      <c r="G49" s="1"/>
    </row>
    <row r="50" spans="3:7" ht="19" x14ac:dyDescent="0.25">
      <c r="C50" s="1"/>
      <c r="D50" s="1"/>
      <c r="E50" s="1"/>
      <c r="F50" s="1"/>
      <c r="G50" s="1"/>
    </row>
    <row r="51" spans="3:7" ht="19" x14ac:dyDescent="0.25">
      <c r="C51" s="1"/>
      <c r="D51" s="7"/>
      <c r="E51" s="1"/>
      <c r="F51" s="1"/>
      <c r="G51" s="1"/>
    </row>
    <row r="52" spans="3:7" ht="19" x14ac:dyDescent="0.25">
      <c r="C52" s="12"/>
      <c r="D52" s="7"/>
      <c r="E52" s="1"/>
      <c r="F52" s="1"/>
      <c r="G52" s="1"/>
    </row>
    <row r="53" spans="3:7" ht="19" x14ac:dyDescent="0.25">
      <c r="C53" s="12"/>
      <c r="D53" s="13"/>
      <c r="E53" s="1"/>
      <c r="F53" s="1"/>
      <c r="G53" s="1"/>
    </row>
    <row r="54" spans="3:7" ht="19" x14ac:dyDescent="0.25">
      <c r="C54" s="1"/>
      <c r="D54" s="13"/>
      <c r="E54" s="1"/>
      <c r="F54" s="1"/>
      <c r="G54" s="1"/>
    </row>
    <row r="55" spans="3:7" ht="19" x14ac:dyDescent="0.25">
      <c r="C55" s="1"/>
      <c r="D55" s="13"/>
      <c r="E55" s="1"/>
      <c r="F55" s="1"/>
      <c r="G55" s="1"/>
    </row>
    <row r="56" spans="3:7" ht="19" x14ac:dyDescent="0.25">
      <c r="C56" s="1"/>
      <c r="D56" s="1"/>
      <c r="E56" s="1"/>
      <c r="F56" s="1"/>
      <c r="G56" s="1"/>
    </row>
    <row r="57" spans="3:7" ht="19" x14ac:dyDescent="0.25">
      <c r="C57" s="1"/>
      <c r="D57" s="1"/>
      <c r="E57" s="1"/>
      <c r="F57" s="1"/>
      <c r="G57" s="1"/>
    </row>
    <row r="58" spans="3:7" ht="19" x14ac:dyDescent="0.25">
      <c r="C58" s="1"/>
      <c r="D58" s="1"/>
      <c r="E58" s="1"/>
      <c r="F58" s="1"/>
      <c r="G58" s="1"/>
    </row>
    <row r="59" spans="3:7" ht="19" x14ac:dyDescent="0.25">
      <c r="C59" s="1"/>
      <c r="D59" s="1"/>
      <c r="E59" s="1"/>
      <c r="F59" s="1"/>
      <c r="G59" s="1"/>
    </row>
    <row r="60" spans="3:7" ht="19" x14ac:dyDescent="0.25">
      <c r="C60" s="1"/>
      <c r="D60" s="1"/>
      <c r="E60" s="1"/>
      <c r="F60" s="1"/>
      <c r="G60" s="1"/>
    </row>
    <row r="61" spans="3:7" ht="19" x14ac:dyDescent="0.25">
      <c r="C61" s="1"/>
      <c r="D61" s="1"/>
      <c r="E61" s="1"/>
      <c r="F61" s="1"/>
      <c r="G61" s="1"/>
    </row>
    <row r="62" spans="3:7" ht="19" x14ac:dyDescent="0.25">
      <c r="C62" s="1"/>
      <c r="D62" s="1"/>
      <c r="E62" s="1"/>
      <c r="F62" s="1"/>
      <c r="G62" s="1"/>
    </row>
    <row r="63" spans="3:7" ht="19" x14ac:dyDescent="0.25">
      <c r="C63" s="1"/>
      <c r="D63" s="1"/>
      <c r="E63" s="1"/>
      <c r="F63" s="1"/>
      <c r="G63" s="1"/>
    </row>
    <row r="64" spans="3:7" ht="19" x14ac:dyDescent="0.25">
      <c r="C64" s="1"/>
      <c r="D64" s="1"/>
      <c r="E64" s="1"/>
      <c r="F64" s="1"/>
      <c r="G64" s="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9"/>
  <sheetViews>
    <sheetView zoomScale="120" zoomScaleNormal="120" workbookViewId="0">
      <selection activeCell="C5" sqref="C5"/>
    </sheetView>
  </sheetViews>
  <sheetFormatPr baseColWidth="10" defaultColWidth="8.83203125" defaultRowHeight="15" x14ac:dyDescent="0.2"/>
  <cols>
    <col min="1" max="1" width="2" customWidth="1"/>
    <col min="2" max="2" width="32.33203125" customWidth="1"/>
    <col min="3" max="3" width="16.33203125" customWidth="1"/>
    <col min="4" max="4" width="16.6640625" customWidth="1"/>
    <col min="7" max="7" width="15.33203125" customWidth="1"/>
    <col min="8" max="8" width="13.6640625" bestFit="1" customWidth="1"/>
  </cols>
  <sheetData>
    <row r="2" spans="2:8" x14ac:dyDescent="0.2">
      <c r="B2" s="15" t="s">
        <v>15</v>
      </c>
      <c r="C2" s="16">
        <v>1284094.3683409437</v>
      </c>
      <c r="G2" s="15" t="s">
        <v>16</v>
      </c>
      <c r="H2" s="37">
        <v>2008650</v>
      </c>
    </row>
    <row r="3" spans="2:8" x14ac:dyDescent="0.2">
      <c r="B3" t="s">
        <v>17</v>
      </c>
      <c r="C3" s="17">
        <v>30</v>
      </c>
      <c r="G3" s="38" t="s">
        <v>18</v>
      </c>
      <c r="H3" s="37">
        <v>750000</v>
      </c>
    </row>
    <row r="4" spans="2:8" x14ac:dyDescent="0.2">
      <c r="B4" t="s">
        <v>19</v>
      </c>
      <c r="C4" s="17">
        <v>12</v>
      </c>
      <c r="G4" s="38" t="s">
        <v>20</v>
      </c>
      <c r="H4" s="37">
        <f>H2-H3</f>
        <v>1258650</v>
      </c>
    </row>
    <row r="5" spans="2:8" x14ac:dyDescent="0.2">
      <c r="B5" t="s">
        <v>21</v>
      </c>
      <c r="C5" s="18">
        <v>0.05</v>
      </c>
      <c r="D5" t="s">
        <v>22</v>
      </c>
    </row>
    <row r="6" spans="2:8" x14ac:dyDescent="0.2">
      <c r="B6" t="s">
        <v>23</v>
      </c>
      <c r="C6" s="19">
        <f>(1+C5/C4)^C4-1</f>
        <v>5.116189788173342E-2</v>
      </c>
    </row>
    <row r="7" spans="2:8" x14ac:dyDescent="0.2">
      <c r="C7" s="20"/>
    </row>
    <row r="8" spans="2:8" ht="16" thickBot="1" x14ac:dyDescent="0.25">
      <c r="B8" s="21" t="s">
        <v>24</v>
      </c>
      <c r="C8" s="20"/>
    </row>
    <row r="9" spans="2:8" x14ac:dyDescent="0.2">
      <c r="B9" t="s">
        <v>25</v>
      </c>
      <c r="C9" s="22">
        <f>1825+1.45%*C2</f>
        <v>20444.368340943682</v>
      </c>
      <c r="D9" t="s">
        <v>26</v>
      </c>
    </row>
    <row r="10" spans="2:8" x14ac:dyDescent="0.2">
      <c r="B10" t="s">
        <v>27</v>
      </c>
      <c r="C10" s="16">
        <v>5000</v>
      </c>
      <c r="D10" s="23" t="s">
        <v>28</v>
      </c>
    </row>
    <row r="11" spans="2:8" ht="16" thickBot="1" x14ac:dyDescent="0.25">
      <c r="B11" t="s">
        <v>29</v>
      </c>
      <c r="C11" s="24">
        <v>0</v>
      </c>
    </row>
    <row r="12" spans="2:8" x14ac:dyDescent="0.2">
      <c r="B12" t="s">
        <v>30</v>
      </c>
      <c r="C12" s="25">
        <f>SUM(C9:C11)</f>
        <v>25444.368340943682</v>
      </c>
    </row>
    <row r="13" spans="2:8" x14ac:dyDescent="0.2">
      <c r="C13" s="20"/>
    </row>
    <row r="14" spans="2:8" x14ac:dyDescent="0.2">
      <c r="B14" s="15" t="s">
        <v>31</v>
      </c>
      <c r="C14" s="25">
        <f>C2-C12</f>
        <v>1258650</v>
      </c>
      <c r="E14" s="23" t="s">
        <v>42</v>
      </c>
    </row>
    <row r="15" spans="2:8" x14ac:dyDescent="0.2">
      <c r="C15" s="25"/>
    </row>
    <row r="16" spans="2:8" x14ac:dyDescent="0.2">
      <c r="B16" t="s">
        <v>32</v>
      </c>
      <c r="C16" s="20">
        <f>RATE(C3*C4,C20,C14)</f>
        <v>4.3139353360933967E-3</v>
      </c>
    </row>
    <row r="17" spans="2:4" x14ac:dyDescent="0.2">
      <c r="B17" s="26" t="s">
        <v>33</v>
      </c>
      <c r="C17" s="27">
        <f>(1+C16)^C4-1</f>
        <v>5.3013321321226714E-2</v>
      </c>
    </row>
    <row r="18" spans="2:4" x14ac:dyDescent="0.2">
      <c r="C18" s="25"/>
    </row>
    <row r="19" spans="2:4" ht="16" thickBot="1" x14ac:dyDescent="0.25">
      <c r="C19" s="28" t="s">
        <v>34</v>
      </c>
      <c r="D19" s="29" t="s">
        <v>35</v>
      </c>
    </row>
    <row r="20" spans="2:4" x14ac:dyDescent="0.2">
      <c r="B20" t="s">
        <v>36</v>
      </c>
      <c r="C20" s="30">
        <f>PMT(C5/C4,C3*C4,C2)</f>
        <v>-6893.2962291353297</v>
      </c>
      <c r="D20" s="30">
        <f>C4*C20</f>
        <v>-82719.55474962396</v>
      </c>
    </row>
    <row r="21" spans="2:4" x14ac:dyDescent="0.2">
      <c r="B21" t="s">
        <v>37</v>
      </c>
      <c r="C21" s="31">
        <f>D21/C4</f>
        <v>-5314.5392862281706</v>
      </c>
      <c r="D21" s="31">
        <f>CUMIPMT(C5/C4,C3*C4,C2,1,C4,0)</f>
        <v>-63774.47143473805</v>
      </c>
    </row>
    <row r="22" spans="2:4" x14ac:dyDescent="0.2">
      <c r="B22" t="s">
        <v>38</v>
      </c>
      <c r="C22" s="22">
        <f>D22/C4</f>
        <v>-1771.5130954093902</v>
      </c>
      <c r="D22" s="22">
        <f>1/3*D21</f>
        <v>-21258.157144912682</v>
      </c>
    </row>
    <row r="23" spans="2:4" x14ac:dyDescent="0.2">
      <c r="B23" s="26" t="s">
        <v>39</v>
      </c>
      <c r="C23" s="32">
        <f>C20-C22</f>
        <v>-5121.7831337259395</v>
      </c>
      <c r="D23" s="32">
        <f>D20-D22</f>
        <v>-61461.397604711281</v>
      </c>
    </row>
    <row r="24" spans="2:4" x14ac:dyDescent="0.2">
      <c r="B24" s="33" t="s">
        <v>40</v>
      </c>
    </row>
    <row r="25" spans="2:4" x14ac:dyDescent="0.2">
      <c r="B25" s="34"/>
    </row>
    <row r="27" spans="2:4" x14ac:dyDescent="0.2">
      <c r="B27" s="35"/>
    </row>
    <row r="29" spans="2:4" x14ac:dyDescent="0.2">
      <c r="B29" s="3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9"/>
  <sheetViews>
    <sheetView zoomScale="120" zoomScaleNormal="120" workbookViewId="0">
      <selection activeCell="E14" sqref="E14"/>
    </sheetView>
  </sheetViews>
  <sheetFormatPr baseColWidth="10" defaultColWidth="8.83203125" defaultRowHeight="15" x14ac:dyDescent="0.2"/>
  <cols>
    <col min="1" max="1" width="2" customWidth="1"/>
    <col min="2" max="2" width="32.33203125" customWidth="1"/>
    <col min="3" max="3" width="16.33203125" customWidth="1"/>
    <col min="4" max="4" width="16.6640625" customWidth="1"/>
    <col min="7" max="7" width="15.33203125" customWidth="1"/>
    <col min="8" max="8" width="13.6640625" bestFit="1" customWidth="1"/>
  </cols>
  <sheetData>
    <row r="2" spans="2:8" x14ac:dyDescent="0.2">
      <c r="B2" s="15" t="s">
        <v>15</v>
      </c>
      <c r="C2" s="16">
        <v>965829.52815829532</v>
      </c>
      <c r="G2" s="15" t="s">
        <v>16</v>
      </c>
      <c r="H2" s="37">
        <v>1695000</v>
      </c>
    </row>
    <row r="3" spans="2:8" x14ac:dyDescent="0.2">
      <c r="B3" t="s">
        <v>17</v>
      </c>
      <c r="C3" s="17">
        <v>30</v>
      </c>
      <c r="G3" s="38" t="s">
        <v>18</v>
      </c>
      <c r="H3" s="37">
        <v>750000</v>
      </c>
    </row>
    <row r="4" spans="2:8" x14ac:dyDescent="0.2">
      <c r="B4" t="s">
        <v>19</v>
      </c>
      <c r="C4" s="17">
        <v>12</v>
      </c>
      <c r="G4" s="38" t="s">
        <v>20</v>
      </c>
      <c r="H4" s="37">
        <f>H2-H3</f>
        <v>945000</v>
      </c>
    </row>
    <row r="5" spans="2:8" x14ac:dyDescent="0.2">
      <c r="B5" t="s">
        <v>21</v>
      </c>
      <c r="C5" s="18">
        <v>0.05</v>
      </c>
      <c r="D5" t="s">
        <v>22</v>
      </c>
    </row>
    <row r="6" spans="2:8" x14ac:dyDescent="0.2">
      <c r="B6" t="s">
        <v>23</v>
      </c>
      <c r="C6" s="19">
        <f>(1+C5/C4)^C4-1</f>
        <v>5.116189788173342E-2</v>
      </c>
    </row>
    <row r="7" spans="2:8" x14ac:dyDescent="0.2">
      <c r="C7" s="20"/>
    </row>
    <row r="8" spans="2:8" ht="16" thickBot="1" x14ac:dyDescent="0.25">
      <c r="B8" s="21" t="s">
        <v>24</v>
      </c>
      <c r="C8" s="20"/>
    </row>
    <row r="9" spans="2:8" x14ac:dyDescent="0.2">
      <c r="B9" t="s">
        <v>25</v>
      </c>
      <c r="C9" s="22">
        <f>1825+1.45%*C2</f>
        <v>15829.528158295281</v>
      </c>
      <c r="D9" t="s">
        <v>41</v>
      </c>
    </row>
    <row r="10" spans="2:8" x14ac:dyDescent="0.2">
      <c r="B10" t="s">
        <v>27</v>
      </c>
      <c r="C10" s="16">
        <v>5000</v>
      </c>
      <c r="D10" s="23" t="s">
        <v>28</v>
      </c>
    </row>
    <row r="11" spans="2:8" ht="16" thickBot="1" x14ac:dyDescent="0.25">
      <c r="B11" t="s">
        <v>29</v>
      </c>
      <c r="C11" s="24">
        <v>0</v>
      </c>
    </row>
    <row r="12" spans="2:8" x14ac:dyDescent="0.2">
      <c r="B12" t="s">
        <v>30</v>
      </c>
      <c r="C12" s="25">
        <f>SUM(C9:C11)</f>
        <v>20829.528158295281</v>
      </c>
    </row>
    <row r="13" spans="2:8" x14ac:dyDescent="0.2">
      <c r="C13" s="20"/>
    </row>
    <row r="14" spans="2:8" x14ac:dyDescent="0.2">
      <c r="B14" s="15" t="s">
        <v>31</v>
      </c>
      <c r="C14" s="25">
        <f>C2-C12</f>
        <v>945000</v>
      </c>
      <c r="E14" s="23" t="s">
        <v>42</v>
      </c>
    </row>
    <row r="15" spans="2:8" x14ac:dyDescent="0.2">
      <c r="C15" s="25"/>
    </row>
    <row r="16" spans="2:8" x14ac:dyDescent="0.2">
      <c r="B16" t="s">
        <v>32</v>
      </c>
      <c r="C16" s="20">
        <f>RATE(C3*C4,C20,C14)</f>
        <v>4.3271709447508895E-3</v>
      </c>
    </row>
    <row r="17" spans="2:4" x14ac:dyDescent="0.2">
      <c r="B17" s="26" t="s">
        <v>33</v>
      </c>
      <c r="C17" s="27">
        <f>(1+C16)^C4-1</f>
        <v>5.3179862264296718E-2</v>
      </c>
    </row>
    <row r="18" spans="2:4" x14ac:dyDescent="0.2">
      <c r="C18" s="25"/>
    </row>
    <row r="19" spans="2:4" ht="16" thickBot="1" x14ac:dyDescent="0.25">
      <c r="C19" s="28" t="s">
        <v>34</v>
      </c>
      <c r="D19" s="29" t="s">
        <v>35</v>
      </c>
    </row>
    <row r="20" spans="2:4" x14ac:dyDescent="0.2">
      <c r="B20" t="s">
        <v>36</v>
      </c>
      <c r="C20" s="30">
        <f>PMT(C5/C4,C3*C4,C2)</f>
        <v>-5184.7817485898458</v>
      </c>
      <c r="D20" s="30">
        <f>C4*C20</f>
        <v>-62217.380983078154</v>
      </c>
    </row>
    <row r="21" spans="2:4" x14ac:dyDescent="0.2">
      <c r="B21" t="s">
        <v>37</v>
      </c>
      <c r="C21" s="31">
        <f>D21/C4</f>
        <v>-3997.3222356143965</v>
      </c>
      <c r="D21" s="31">
        <f>CUMIPMT(C5/C4,C3*C4,C2,1,C4,0)</f>
        <v>-47967.86682737276</v>
      </c>
    </row>
    <row r="22" spans="2:4" x14ac:dyDescent="0.2">
      <c r="B22" t="s">
        <v>38</v>
      </c>
      <c r="C22" s="22">
        <f>D22/C4</f>
        <v>-1332.4407452047988</v>
      </c>
      <c r="D22" s="22">
        <f>1/3*D21</f>
        <v>-15989.288942457586</v>
      </c>
    </row>
    <row r="23" spans="2:4" x14ac:dyDescent="0.2">
      <c r="B23" s="26" t="s">
        <v>39</v>
      </c>
      <c r="C23" s="32">
        <f>C20-C22</f>
        <v>-3852.3410033850469</v>
      </c>
      <c r="D23" s="32">
        <f>D20-D22</f>
        <v>-46228.09204062057</v>
      </c>
    </row>
    <row r="24" spans="2:4" x14ac:dyDescent="0.2">
      <c r="B24" s="33" t="s">
        <v>40</v>
      </c>
    </row>
    <row r="25" spans="2:4" x14ac:dyDescent="0.2">
      <c r="B25" s="34"/>
    </row>
    <row r="27" spans="2:4" x14ac:dyDescent="0.2">
      <c r="B27" s="35"/>
    </row>
    <row r="29" spans="2:4" x14ac:dyDescent="0.2">
      <c r="B29" s="3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2150DA7EBAE146A0008195A4976989" ma:contentTypeVersion="22" ma:contentTypeDescription="Opret et nyt dokument." ma:contentTypeScope="" ma:versionID="bb49a8d41e2132d2fd9bf186ff06d321">
  <xsd:schema xmlns:xsd="http://www.w3.org/2001/XMLSchema" xmlns:xs="http://www.w3.org/2001/XMLSchema" xmlns:p="http://schemas.microsoft.com/office/2006/metadata/properties" xmlns:ns1="http://schemas.microsoft.com/sharepoint/v3" xmlns:ns2="0ff1153b-be98-465d-a7ff-36bc3c69af6c" xmlns:ns3="c7e2ecf6-e361-4159-9367-86aa4c26842f" xmlns:ns4="c3c11eb6-de36-4131-bab2-6a22847efc48" targetNamespace="http://schemas.microsoft.com/office/2006/metadata/properties" ma:root="true" ma:fieldsID="17e0d2fe9dcd414a9c9b93b92d334190" ns1:_="" ns2:_="" ns3:_="" ns4:_="">
    <xsd:import namespace="http://schemas.microsoft.com/sharepoint/v3"/>
    <xsd:import namespace="0ff1153b-be98-465d-a7ff-36bc3c69af6c"/>
    <xsd:import namespace="c7e2ecf6-e361-4159-9367-86aa4c26842f"/>
    <xsd:import namespace="c3c11eb6-de36-4131-bab2-6a22847efc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Flow" minOccurs="0"/>
                <xsd:element ref="ns3:Subjekt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153b-be98-465d-a7ff-36bc3c69af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2ecf6-e361-4159-9367-86aa4c26842f" elementFormDefault="qualified">
    <xsd:import namespace="http://schemas.microsoft.com/office/2006/documentManagement/types"/>
    <xsd:import namespace="http://schemas.microsoft.com/office/infopath/2007/PartnerControls"/>
    <xsd:element name="Flow" ma:index="10" nillable="true" ma:displayName="Flow" ma:internalName="Flow">
      <xsd:simpleType>
        <xsd:restriction base="dms:Text"/>
      </xsd:simpleType>
    </xsd:element>
    <xsd:element name="Subjekt" ma:index="11" nillable="true" ma:displayName="Subjekt" ma:internalName="Subjekt">
      <xsd:simpleType>
        <xsd:restriction base="dms:Text"/>
      </xsd:simpleType>
    </xsd:element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11eb6-de36-4131-bab2-6a22847efc4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ksonomiopsamlingskolonne" ma:hidden="true" ma:list="{a1a370a8-317b-4539-b185-7c03a802e66e}" ma:internalName="TaxCatchAll" ma:showField="CatchAllData" ma:web="c3c11eb6-de36-4131-bab2-6a22847ef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Flow xmlns="c7e2ecf6-e361-4159-9367-86aa4c26842f" xsi:nil="true"/>
    <Subjekt xmlns="c7e2ecf6-e361-4159-9367-86aa4c26842f" xsi:nil="true"/>
    <TaxCatchAll xmlns="c3c11eb6-de36-4131-bab2-6a22847efc48" xsi:nil="true"/>
    <lcf76f155ced4ddcb4097134ff3c332f xmlns="c7e2ecf6-e361-4159-9367-86aa4c2684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156BFF-F7D2-41D4-8D0D-055B8B99AF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71763E-9E81-4B06-A705-255E501EFD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f1153b-be98-465d-a7ff-36bc3c69af6c"/>
    <ds:schemaRef ds:uri="c7e2ecf6-e361-4159-9367-86aa4c26842f"/>
    <ds:schemaRef ds:uri="c3c11eb6-de36-4131-bab2-6a22847ef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532E0A-DA50-456A-B2F7-EA5903251FE5}">
  <ds:schemaRefs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c3c11eb6-de36-4131-bab2-6a22847efc48"/>
    <ds:schemaRef ds:uri="c7e2ecf6-e361-4159-9367-86aa4c26842f"/>
    <ds:schemaRef ds:uri="http://purl.org/dc/elements/1.1/"/>
    <ds:schemaRef ds:uri="http://purl.org/dc/dcmitype/"/>
    <ds:schemaRef ds:uri="0ff1153b-be98-465d-a7ff-36bc3c69af6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Andelsværdiberegner </vt:lpstr>
      <vt:lpstr>Overblik andel vs andel</vt:lpstr>
      <vt:lpstr>Lån Øresundsvej</vt:lpstr>
      <vt:lpstr>Lån Holmbladsgade</vt:lpstr>
    </vt:vector>
  </TitlesOfParts>
  <Manager/>
  <Company>Cphbusiness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Henrik Dyhr Møller (HEDM - Lektor - Cphbusiness)</dc:creator>
  <cp:keywords/>
  <dc:description/>
  <cp:lastModifiedBy>Thomas Petersen</cp:lastModifiedBy>
  <cp:revision/>
  <dcterms:created xsi:type="dcterms:W3CDTF">2021-09-10T06:36:42Z</dcterms:created>
  <dcterms:modified xsi:type="dcterms:W3CDTF">2025-02-15T11:48:49Z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0x010100A42150DA7EBAE146A0008195A4976989</vt:lpwstr>
  </property>
  <property fmtid="{D5CDD505-2E9C-101B-9397-08002B2CF9AE}" pid="3" name="MediaServiceImageTags">
    <vt:lpwstr/>
  </property>
</Properties>
</file>