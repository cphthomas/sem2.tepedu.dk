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CPH/CPH FIN F2024/ONLINE_Hillerød/PR/materialer/eng_1.sem/02. Budget og rådighedsbeløb/Opgaver/"/>
    </mc:Choice>
  </mc:AlternateContent>
  <xr:revisionPtr revIDLastSave="0" documentId="13_ncr:1_{5BEDFF56-4212-674A-B0B5-F0EE278535F9}" xr6:coauthVersionLast="47" xr6:coauthVersionMax="47" xr10:uidLastSave="{00000000-0000-0000-0000-000000000000}"/>
  <bookViews>
    <workbookView xWindow="0" yWindow="760" windowWidth="34560" windowHeight="21580" xr2:uid="{108ADBE1-4F3A-AA43-BA12-0F0C3B69FA75}"/>
  </bookViews>
  <sheets>
    <sheet name="Ægtepar" sheetId="2" r:id="rId1"/>
    <sheet name="1 - budget før barn" sheetId="4" r:id="rId2"/>
    <sheet name="2- nu med barn" sheetId="5" r:id="rId3"/>
    <sheet name="Skattesatser" sheetId="3" r:id="rId4"/>
  </sheets>
  <externalReferences>
    <externalReference r:id="rId5"/>
    <externalReference r:id="rId6"/>
    <externalReference r:id="rId7"/>
  </externalReferences>
  <definedNames>
    <definedName name="ArbBidrag" localSheetId="1">[1]Skattesatser!$C$3</definedName>
    <definedName name="ArbBidrag" localSheetId="2">[1]Skattesatser!$C$3</definedName>
    <definedName name="ArbBidrag">Skattesatser!$H$3</definedName>
    <definedName name="BeFradragHojSats" localSheetId="1">[1]Skattesatser!$C$4</definedName>
    <definedName name="BeFradragHojSats" localSheetId="2">[1]Skattesatser!$C$4</definedName>
    <definedName name="BeFradragHojSats">Skattesatser!$H$4</definedName>
    <definedName name="BeFradragKmMax" localSheetId="1">[1]Skattesatser!$C$6</definedName>
    <definedName name="BeFradragKmMax" localSheetId="2">[1]Skattesatser!$C$6</definedName>
    <definedName name="BeFradragKmMax">Skattesatser!$H$6</definedName>
    <definedName name="BeFradragKmMin" localSheetId="1">[1]Skattesatser!$C$5</definedName>
    <definedName name="BeFradragKmMin" localSheetId="2">[1]Skattesatser!$C$5</definedName>
    <definedName name="BeFradragKmMin">Skattesatser!$H$5</definedName>
    <definedName name="BeFradragLavSats" localSheetId="1">[1]Skattesatser!$C$7</definedName>
    <definedName name="BeFradragLavSats" localSheetId="2">[1]Skattesatser!$C$7</definedName>
    <definedName name="BeFradragLavSats">Skattesatser!$H$7</definedName>
    <definedName name="BFradragMax" localSheetId="1">[1]Skattesatser!$C$10</definedName>
    <definedName name="BFradragMax" localSheetId="2">[1]Skattesatser!$C$10</definedName>
    <definedName name="BFradragMax">Skattesatser!$H$10</definedName>
    <definedName name="BFradragProc" localSheetId="1">[1]Skattesatser!$C$9</definedName>
    <definedName name="BFradragProc" localSheetId="2">[1]Skattesatser!$C$9</definedName>
    <definedName name="BFradragProc">Skattesatser!$H$9</definedName>
    <definedName name="Bundskat" localSheetId="1">[1]Skattesatser!$C$11</definedName>
    <definedName name="Bundskat" localSheetId="2">[1]Skattesatser!$C$11</definedName>
    <definedName name="Bundskat">Skattesatser!$H$11</definedName>
    <definedName name="EjVSkatGranse">Skattesatser!$H$14</definedName>
    <definedName name="EjVSkatMax" localSheetId="1">[1]Skattesatser!$C$13</definedName>
    <definedName name="EjVSkatMax" localSheetId="2">[1]Skattesatser!$C$13</definedName>
    <definedName name="EjVSkatMax">Skattesatser!$H$13</definedName>
    <definedName name="EjVSkatMin" localSheetId="1">[1]Skattesatser!$C$12</definedName>
    <definedName name="EjVSkatMin" localSheetId="2">[1]Skattesatser!$C$12</definedName>
    <definedName name="EjVSkatMin">Skattesatser!$H$12</definedName>
    <definedName name="EPENfradragMax" localSheetId="1">[2]Skattesatser!$C$16</definedName>
    <definedName name="EPENfradragMax" localSheetId="2">[2]Skattesatser!$C$16</definedName>
    <definedName name="EPENfradragMax">Skattesatser!$H$16</definedName>
    <definedName name="EPENfradragProc" localSheetId="1">[2]Skattesatser!$C$15</definedName>
    <definedName name="EPENfradragProc" localSheetId="2">[2]Skattesatser!$C$15</definedName>
    <definedName name="EPENfradragProc">Skattesatser!$H$15</definedName>
    <definedName name="EPENSeniorMax" localSheetId="1">[2]Skattesatser!$C$18</definedName>
    <definedName name="EPENSeniorMax" localSheetId="2">[2]Skattesatser!$C$18</definedName>
    <definedName name="EPENSeniorMax">Skattesatser!$H$18</definedName>
    <definedName name="EPENSeniorProc" localSheetId="1">[2]Skattesatser!$C$17</definedName>
    <definedName name="EPENSeniorProc" localSheetId="2">[2]Skattesatser!$C$17</definedName>
    <definedName name="EPENSeniorProc">Skattesatser!$H$17</definedName>
    <definedName name="FagforeningMax" localSheetId="1">[1]Skattesatser!$C$15</definedName>
    <definedName name="FagforeningMax" localSheetId="2">[1]Skattesatser!$C$15</definedName>
    <definedName name="FagforeningMax">Skattesatser!$H$19</definedName>
    <definedName name="FirmabilGranse">Skattesatser!$H$20</definedName>
    <definedName name="FirmabilHoj">Skattesatser!$H$22</definedName>
    <definedName name="FirmabilLav">Skattesatser!$H$21</definedName>
    <definedName name="Forsigtighed">Skattesatser!$H$23</definedName>
    <definedName name="FriTelefon" localSheetId="1">[1]Skattesatser!$C$19</definedName>
    <definedName name="FriTelefon" localSheetId="2">[1]Skattesatser!$C$19</definedName>
    <definedName name="FriTelefon">Skattesatser!$H$24</definedName>
    <definedName name="GranseForhBFdrag">Skattesatser!$H$8</definedName>
    <definedName name="GranseNegKIEnlig">Skattesatser!$H$42</definedName>
    <definedName name="GranseNegKIPar" localSheetId="1">[1]Skattesatser!$C$33</definedName>
    <definedName name="GranseNegKIPar" localSheetId="2">[1]Skattesatser!$C$33</definedName>
    <definedName name="GranseNegKIPar">Skattesatser!$H$41</definedName>
    <definedName name="Grøn_check_antal_børn_max" localSheetId="1">[1]Skattesatser!#REF!</definedName>
    <definedName name="Grøn_check_antal_børn_max" localSheetId="2">[1]Skattesatser!#REF!</definedName>
    <definedName name="Grøn_check_antal_børn_max">Skattesatser!#REF!</definedName>
    <definedName name="GronCheck" localSheetId="1">[1]Skattesatser!$C$20</definedName>
    <definedName name="GronCheck" localSheetId="2">[1]Skattesatser!$C$20</definedName>
    <definedName name="GronCheck">Skattesatser!$H$25</definedName>
    <definedName name="GronSkatBorn" localSheetId="1">[1]Skattesatser!#REF!</definedName>
    <definedName name="GronSkatBorn" localSheetId="2">[1]Skattesatser!#REF!</definedName>
    <definedName name="GronSkatBorn">Skattesatser!#REF!</definedName>
    <definedName name="GronSkatBornexGranse" localSheetId="1">[1]Skattesatser!#REF!</definedName>
    <definedName name="GronSkatBornexGranse" localSheetId="2">[1]Skattesatser!#REF!</definedName>
    <definedName name="GronSkatBornexGranse">Skattesatser!#REF!</definedName>
    <definedName name="GronSkatexBorn" localSheetId="1">[1]Skattesatser!#REF!</definedName>
    <definedName name="GronSkatexBorn" localSheetId="2">[1]Skattesatser!#REF!</definedName>
    <definedName name="GronSkatexBorn">Skattesatser!#REF!</definedName>
    <definedName name="GronSkatMax" localSheetId="1">[1]Skattesatser!$C$22</definedName>
    <definedName name="GronSkatMax" localSheetId="2">[1]Skattesatser!$C$22</definedName>
    <definedName name="GronSkatMax">Skattesatser!$H$27</definedName>
    <definedName name="GronSkatMin" localSheetId="1">[1]Skattesatser!$C$21</definedName>
    <definedName name="GronSkatMin" localSheetId="2">[1]Skattesatser!$C$21</definedName>
    <definedName name="GronSkatMin">Skattesatser!$H$26</definedName>
    <definedName name="GronSkatMod" localSheetId="1">[1]Skattesatser!$C$23</definedName>
    <definedName name="GronSkatMod" localSheetId="2">[1]Skattesatser!$C$23</definedName>
    <definedName name="GronSkatMod">Skattesatser!$H$28</definedName>
    <definedName name="Intro" localSheetId="1">#REF!</definedName>
    <definedName name="Intro" localSheetId="2">#REF!</definedName>
    <definedName name="Intro">#REF!</definedName>
    <definedName name="Jfradraggranse" localSheetId="1">[2]Skattesatser!$C$29</definedName>
    <definedName name="Jfradraggranse" localSheetId="2">[2]Skattesatser!$C$29</definedName>
    <definedName name="Jfradraggranse">Skattesatser!$H$30</definedName>
    <definedName name="JfradragMax" localSheetId="1">[2]Skattesatser!$C$30</definedName>
    <definedName name="JfradragMax" localSheetId="2">[2]Skattesatser!$C$30</definedName>
    <definedName name="JfradragMax">Skattesatser!$H$31</definedName>
    <definedName name="Jfradragproc" localSheetId="1">[2]Skattesatser!$C$28</definedName>
    <definedName name="Jfradragproc" localSheetId="2">[2]Skattesatser!$C$28</definedName>
    <definedName name="Jfradragproc">Skattesatser!$H$29</definedName>
    <definedName name="KItilTopskatEnlig" localSheetId="1">[1]Skattesatser!$C$25</definedName>
    <definedName name="KItilTopskatEnlig" localSheetId="2">[1]Skattesatser!$C$25</definedName>
    <definedName name="KItilTopskatEnlig">Skattesatser!$H$33</definedName>
    <definedName name="KItilTopskatPar" localSheetId="1">[1]Skattesatser!$C$24</definedName>
    <definedName name="KItilTopskatPar" localSheetId="2">[1]Skattesatser!$C$24</definedName>
    <definedName name="KItilTopskatPar">Skattesatser!$H$32</definedName>
    <definedName name="Look1Area" localSheetId="1" hidden="1">#REF!</definedName>
    <definedName name="Look1Area" localSheetId="2" hidden="1">#REF!</definedName>
    <definedName name="Look1Area" hidden="1">#REF!</definedName>
    <definedName name="Look2Area" localSheetId="1" hidden="1">#REF!</definedName>
    <definedName name="Look2Area" localSheetId="2" hidden="1">#REF!</definedName>
    <definedName name="Look2Area" hidden="1">#REF!</definedName>
    <definedName name="Look3Area" localSheetId="1" hidden="1">#REF!</definedName>
    <definedName name="Look3Area" localSheetId="2" hidden="1">#REF!</definedName>
    <definedName name="Look3Area" hidden="1">#REF!</definedName>
    <definedName name="Look4Area" localSheetId="1" hidden="1">#REF!</definedName>
    <definedName name="Look4Area" localSheetId="2" hidden="1">#REF!</definedName>
    <definedName name="Look4Area" hidden="1">#REF!</definedName>
    <definedName name="Look5Area" localSheetId="1" hidden="1">#REF!</definedName>
    <definedName name="Look5Area" localSheetId="2" hidden="1">#REF!</definedName>
    <definedName name="Look5Area" hidden="1">#REF!</definedName>
    <definedName name="Personfradrag" localSheetId="1">[1]Skattesatser!$C$26</definedName>
    <definedName name="Personfradrag" localSheetId="2">[1]Skattesatser!$C$26</definedName>
    <definedName name="Personfradrag">Skattesatser!$H$34</definedName>
    <definedName name="_xlnm.Print_Area" localSheetId="1">'1 - budget før barn'!$A$1:$N$88</definedName>
    <definedName name="_xlnm.Print_Area" localSheetId="2">'2- nu med barn'!$A$1:$N$88</definedName>
    <definedName name="RatepensionMax" localSheetId="1">[1]Skattesatser!$C$28</definedName>
    <definedName name="RatepensionMax" localSheetId="2">[1]Skattesatser!$C$28</definedName>
    <definedName name="RatepensionMax">Skattesatser!$H$36</definedName>
    <definedName name="SkraatSkatteloftKI" localSheetId="1">[1]Skattesatser!$C$30</definedName>
    <definedName name="SkraatSkatteloftKI" localSheetId="2">[1]Skattesatser!$C$30</definedName>
    <definedName name="SkraatSkatteloftKI">Skattesatser!$H$38</definedName>
    <definedName name="SkraatSkatteloftPI" localSheetId="1">[1]Skattesatser!$C$29</definedName>
    <definedName name="SkraatSkatteloftPI" localSheetId="2">[1]Skattesatser!$C$29</definedName>
    <definedName name="SkraatSkatteloftPI">Skattesatser!$H$37</definedName>
    <definedName name="Sundhedsbidrag" localSheetId="1">[1]Skattesatser!$C$31</definedName>
    <definedName name="Sundhedsbidrag" localSheetId="2">[1]Skattesatser!$C$31</definedName>
    <definedName name="Sundhedsbidrag">Skattesatser!$H$39</definedName>
    <definedName name="TillagNegKI" localSheetId="1">[1]Skattesatser!$C$32</definedName>
    <definedName name="TillagNegKI" localSheetId="2">[1]Skattesatser!$C$32</definedName>
    <definedName name="TillagNegKI">Skattesatser!$H$40</definedName>
    <definedName name="Topskat" localSheetId="1">[1]Skattesatser!$C$35</definedName>
    <definedName name="Topskat" localSheetId="2">[1]Skattesatser!$C$35</definedName>
    <definedName name="Topskat">Skattesatser!$H$43</definedName>
    <definedName name="TopSkatGranse" localSheetId="1">[1]Skattesatser!$C$27</definedName>
    <definedName name="TopSkatGranse" localSheetId="2">[1]Skattesatser!$C$27</definedName>
    <definedName name="TopSkatGranse">Skattesatser!$H$35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2" l="1"/>
  <c r="D37" i="2"/>
  <c r="K95" i="5" l="1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B80" i="5"/>
  <c r="C79" i="5"/>
  <c r="C78" i="5"/>
  <c r="C77" i="5"/>
  <c r="C80" i="5" s="1"/>
  <c r="M74" i="5"/>
  <c r="L74" i="5"/>
  <c r="K74" i="5"/>
  <c r="J74" i="5"/>
  <c r="I74" i="5"/>
  <c r="H74" i="5"/>
  <c r="G74" i="5"/>
  <c r="F74" i="5"/>
  <c r="E74" i="5"/>
  <c r="D74" i="5"/>
  <c r="C74" i="5"/>
  <c r="B74" i="5"/>
  <c r="N73" i="5"/>
  <c r="N72" i="5"/>
  <c r="N74" i="5" s="1"/>
  <c r="B69" i="5"/>
  <c r="N68" i="5"/>
  <c r="N67" i="5"/>
  <c r="C66" i="5"/>
  <c r="D66" i="5" s="1"/>
  <c r="E66" i="5" s="1"/>
  <c r="F66" i="5" s="1"/>
  <c r="G66" i="5" s="1"/>
  <c r="H66" i="5" s="1"/>
  <c r="I66" i="5" s="1"/>
  <c r="J66" i="5" s="1"/>
  <c r="K66" i="5" s="1"/>
  <c r="L66" i="5" s="1"/>
  <c r="M66" i="5" s="1"/>
  <c r="C65" i="5"/>
  <c r="D65" i="5" s="1"/>
  <c r="E65" i="5" s="1"/>
  <c r="F65" i="5" s="1"/>
  <c r="G65" i="5" s="1"/>
  <c r="H65" i="5" s="1"/>
  <c r="I65" i="5" s="1"/>
  <c r="J65" i="5" s="1"/>
  <c r="K65" i="5" s="1"/>
  <c r="L65" i="5" s="1"/>
  <c r="M65" i="5" s="1"/>
  <c r="C64" i="5"/>
  <c r="D64" i="5" s="1"/>
  <c r="N60" i="5"/>
  <c r="C59" i="5"/>
  <c r="N58" i="5"/>
  <c r="N57" i="5"/>
  <c r="C56" i="5"/>
  <c r="D56" i="5" s="1"/>
  <c r="E56" i="5" s="1"/>
  <c r="F56" i="5" s="1"/>
  <c r="G56" i="5" s="1"/>
  <c r="H56" i="5" s="1"/>
  <c r="I56" i="5" s="1"/>
  <c r="J56" i="5" s="1"/>
  <c r="K56" i="5" s="1"/>
  <c r="L56" i="5" s="1"/>
  <c r="M56" i="5" s="1"/>
  <c r="B55" i="5"/>
  <c r="C55" i="5" s="1"/>
  <c r="D55" i="5" s="1"/>
  <c r="E55" i="5" s="1"/>
  <c r="F55" i="5" s="1"/>
  <c r="G55" i="5" s="1"/>
  <c r="H55" i="5" s="1"/>
  <c r="I55" i="5" s="1"/>
  <c r="J55" i="5" s="1"/>
  <c r="K55" i="5" s="1"/>
  <c r="L55" i="5" s="1"/>
  <c r="M55" i="5" s="1"/>
  <c r="B54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C52" i="5"/>
  <c r="B49" i="5"/>
  <c r="N48" i="5"/>
  <c r="C47" i="5"/>
  <c r="C46" i="5"/>
  <c r="C45" i="5"/>
  <c r="C44" i="5"/>
  <c r="B41" i="5"/>
  <c r="N40" i="5"/>
  <c r="C39" i="5"/>
  <c r="B36" i="5"/>
  <c r="C35" i="5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C34" i="5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3" i="5"/>
  <c r="C32" i="5"/>
  <c r="D32" i="5" s="1"/>
  <c r="N31" i="5"/>
  <c r="N30" i="5"/>
  <c r="B27" i="5"/>
  <c r="N26" i="5"/>
  <c r="N25" i="5"/>
  <c r="N24" i="5"/>
  <c r="N23" i="5"/>
  <c r="C22" i="5"/>
  <c r="N21" i="5"/>
  <c r="N20" i="5"/>
  <c r="N19" i="5"/>
  <c r="E18" i="5"/>
  <c r="H18" i="5" s="1"/>
  <c r="N17" i="5"/>
  <c r="C16" i="5"/>
  <c r="C15" i="5"/>
  <c r="N9" i="5"/>
  <c r="N8" i="5"/>
  <c r="E7" i="5"/>
  <c r="H7" i="5" s="1"/>
  <c r="K7" i="5" s="1"/>
  <c r="B6" i="5"/>
  <c r="N6" i="5" s="1"/>
  <c r="B5" i="5"/>
  <c r="C5" i="5" s="1"/>
  <c r="D5" i="5" s="1"/>
  <c r="E5" i="5" s="1"/>
  <c r="F5" i="5" s="1"/>
  <c r="G5" i="5" s="1"/>
  <c r="H5" i="5" s="1"/>
  <c r="I5" i="5" s="1"/>
  <c r="J5" i="5" s="1"/>
  <c r="K5" i="5" s="1"/>
  <c r="L5" i="5" s="1"/>
  <c r="M5" i="5" s="1"/>
  <c r="B4" i="5"/>
  <c r="B10" i="5" s="1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B80" i="4"/>
  <c r="C79" i="4"/>
  <c r="D79" i="4" s="1"/>
  <c r="E79" i="4" s="1"/>
  <c r="F79" i="4" s="1"/>
  <c r="G79" i="4" s="1"/>
  <c r="H79" i="4" s="1"/>
  <c r="I79" i="4" s="1"/>
  <c r="J79" i="4" s="1"/>
  <c r="K79" i="4" s="1"/>
  <c r="L79" i="4" s="1"/>
  <c r="M79" i="4" s="1"/>
  <c r="C78" i="4"/>
  <c r="D78" i="4" s="1"/>
  <c r="E78" i="4" s="1"/>
  <c r="F78" i="4" s="1"/>
  <c r="G78" i="4" s="1"/>
  <c r="H78" i="4" s="1"/>
  <c r="I78" i="4" s="1"/>
  <c r="J78" i="4" s="1"/>
  <c r="K78" i="4" s="1"/>
  <c r="L78" i="4" s="1"/>
  <c r="M78" i="4" s="1"/>
  <c r="C77" i="4"/>
  <c r="M74" i="4"/>
  <c r="L74" i="4"/>
  <c r="K74" i="4"/>
  <c r="J74" i="4"/>
  <c r="I74" i="4"/>
  <c r="H74" i="4"/>
  <c r="G74" i="4"/>
  <c r="F74" i="4"/>
  <c r="E74" i="4"/>
  <c r="D74" i="4"/>
  <c r="C74" i="4"/>
  <c r="B74" i="4"/>
  <c r="N73" i="4"/>
  <c r="N72" i="4"/>
  <c r="N74" i="4" s="1"/>
  <c r="B69" i="4"/>
  <c r="N68" i="4"/>
  <c r="N67" i="4"/>
  <c r="C66" i="4"/>
  <c r="D66" i="4" s="1"/>
  <c r="E66" i="4" s="1"/>
  <c r="F66" i="4" s="1"/>
  <c r="G66" i="4" s="1"/>
  <c r="H66" i="4" s="1"/>
  <c r="I66" i="4" s="1"/>
  <c r="J66" i="4" s="1"/>
  <c r="K66" i="4" s="1"/>
  <c r="L66" i="4" s="1"/>
  <c r="M66" i="4" s="1"/>
  <c r="C65" i="4"/>
  <c r="D65" i="4" s="1"/>
  <c r="E65" i="4" s="1"/>
  <c r="F65" i="4" s="1"/>
  <c r="C64" i="4"/>
  <c r="D64" i="4" s="1"/>
  <c r="E64" i="4" s="1"/>
  <c r="E69" i="4" s="1"/>
  <c r="N60" i="4"/>
  <c r="C59" i="4"/>
  <c r="D59" i="4" s="1"/>
  <c r="E59" i="4" s="1"/>
  <c r="F59" i="4" s="1"/>
  <c r="G59" i="4" s="1"/>
  <c r="H59" i="4" s="1"/>
  <c r="I59" i="4" s="1"/>
  <c r="J59" i="4" s="1"/>
  <c r="K59" i="4" s="1"/>
  <c r="L59" i="4" s="1"/>
  <c r="M59" i="4" s="1"/>
  <c r="N58" i="4"/>
  <c r="N57" i="4"/>
  <c r="C56" i="4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B55" i="4"/>
  <c r="B54" i="4"/>
  <c r="C54" i="4" s="1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B53" i="4"/>
  <c r="C53" i="4" s="1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C52" i="4"/>
  <c r="D52" i="4" s="1"/>
  <c r="E52" i="4" s="1"/>
  <c r="F52" i="4" s="1"/>
  <c r="G52" i="4" s="1"/>
  <c r="H52" i="4" s="1"/>
  <c r="B49" i="4"/>
  <c r="N48" i="4"/>
  <c r="C47" i="4"/>
  <c r="D47" i="4" s="1"/>
  <c r="C46" i="4"/>
  <c r="D46" i="4" s="1"/>
  <c r="C45" i="4"/>
  <c r="D45" i="4" s="1"/>
  <c r="C44" i="4"/>
  <c r="C49" i="4" s="1"/>
  <c r="B41" i="4"/>
  <c r="N40" i="4"/>
  <c r="C39" i="4"/>
  <c r="C41" i="4" s="1"/>
  <c r="B36" i="4"/>
  <c r="C35" i="4"/>
  <c r="C34" i="4"/>
  <c r="N33" i="4"/>
  <c r="C32" i="4"/>
  <c r="N31" i="4"/>
  <c r="N30" i="4"/>
  <c r="B27" i="4"/>
  <c r="N26" i="4"/>
  <c r="N25" i="4"/>
  <c r="N24" i="4"/>
  <c r="N23" i="4"/>
  <c r="C22" i="4"/>
  <c r="N21" i="4"/>
  <c r="N20" i="4"/>
  <c r="N19" i="4"/>
  <c r="E18" i="4"/>
  <c r="H18" i="4" s="1"/>
  <c r="K18" i="4" s="1"/>
  <c r="N17" i="4"/>
  <c r="C16" i="4"/>
  <c r="D16" i="4" s="1"/>
  <c r="E16" i="4" s="1"/>
  <c r="F16" i="4" s="1"/>
  <c r="G16" i="4" s="1"/>
  <c r="H16" i="4" s="1"/>
  <c r="I16" i="4" s="1"/>
  <c r="J16" i="4" s="1"/>
  <c r="K16" i="4" s="1"/>
  <c r="L16" i="4" s="1"/>
  <c r="M16" i="4" s="1"/>
  <c r="C15" i="4"/>
  <c r="N9" i="4"/>
  <c r="N8" i="4"/>
  <c r="N7" i="4"/>
  <c r="B6" i="4"/>
  <c r="N6" i="4" s="1"/>
  <c r="D20" i="2"/>
  <c r="K28" i="2" s="1"/>
  <c r="L28" i="2" s="1"/>
  <c r="C20" i="2"/>
  <c r="E72" i="2"/>
  <c r="E71" i="2"/>
  <c r="C71" i="2"/>
  <c r="D71" i="2" s="1"/>
  <c r="D64" i="2"/>
  <c r="F63" i="2"/>
  <c r="E63" i="2"/>
  <c r="E64" i="2" s="1"/>
  <c r="G64" i="2" s="1"/>
  <c r="D63" i="2"/>
  <c r="D55" i="2"/>
  <c r="C55" i="2"/>
  <c r="C64" i="2" s="1"/>
  <c r="F54" i="2"/>
  <c r="E54" i="2"/>
  <c r="E55" i="2" s="1"/>
  <c r="G55" i="2" s="1"/>
  <c r="D54" i="2"/>
  <c r="C54" i="2"/>
  <c r="C63" i="2" s="1"/>
  <c r="D40" i="2"/>
  <c r="C40" i="2"/>
  <c r="D35" i="2"/>
  <c r="D79" i="2" s="1"/>
  <c r="C35" i="2"/>
  <c r="AA29" i="2" s="1"/>
  <c r="D30" i="2"/>
  <c r="C30" i="2"/>
  <c r="D29" i="2"/>
  <c r="C29" i="2"/>
  <c r="I28" i="2"/>
  <c r="J28" i="2" s="1"/>
  <c r="K26" i="2"/>
  <c r="I26" i="2"/>
  <c r="D24" i="2"/>
  <c r="C24" i="2"/>
  <c r="D22" i="2"/>
  <c r="C22" i="2"/>
  <c r="I29" i="2" s="1"/>
  <c r="J21" i="2"/>
  <c r="L21" i="2" s="1"/>
  <c r="C15" i="2"/>
  <c r="C72" i="2" s="1"/>
  <c r="F72" i="2" s="1"/>
  <c r="J20" i="2" s="1"/>
  <c r="L20" i="2" s="1"/>
  <c r="D14" i="2"/>
  <c r="C14" i="2"/>
  <c r="G9" i="2" s="1"/>
  <c r="C13" i="2"/>
  <c r="G8" i="2" s="1"/>
  <c r="D12" i="2"/>
  <c r="D13" i="2" s="1"/>
  <c r="H9" i="2"/>
  <c r="H8" i="2"/>
  <c r="H7" i="2"/>
  <c r="G7" i="2"/>
  <c r="H6" i="2"/>
  <c r="G6" i="2"/>
  <c r="H5" i="2"/>
  <c r="G5" i="2"/>
  <c r="K2" i="2"/>
  <c r="I2" i="2"/>
  <c r="G63" i="2" l="1"/>
  <c r="F71" i="2"/>
  <c r="J19" i="2" s="1"/>
  <c r="L19" i="2" s="1"/>
  <c r="C27" i="4"/>
  <c r="D15" i="4"/>
  <c r="D22" i="4"/>
  <c r="D32" i="4"/>
  <c r="C36" i="4"/>
  <c r="D34" i="4"/>
  <c r="D35" i="4"/>
  <c r="B61" i="4"/>
  <c r="C55" i="4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C80" i="4"/>
  <c r="D77" i="4"/>
  <c r="E77" i="4" s="1"/>
  <c r="D36" i="5"/>
  <c r="E32" i="5"/>
  <c r="E36" i="5" s="1"/>
  <c r="C41" i="5"/>
  <c r="D39" i="5"/>
  <c r="D52" i="5"/>
  <c r="E52" i="5" s="1"/>
  <c r="C54" i="5"/>
  <c r="E45" i="4"/>
  <c r="F45" i="4" s="1"/>
  <c r="G45" i="4" s="1"/>
  <c r="H45" i="4" s="1"/>
  <c r="I45" i="4" s="1"/>
  <c r="J45" i="4" s="1"/>
  <c r="K45" i="4" s="1"/>
  <c r="L45" i="4" s="1"/>
  <c r="M45" i="4" s="1"/>
  <c r="E46" i="4"/>
  <c r="D36" i="4"/>
  <c r="E32" i="4"/>
  <c r="E47" i="4"/>
  <c r="F47" i="4" s="1"/>
  <c r="G47" i="4" s="1"/>
  <c r="H47" i="4" s="1"/>
  <c r="I47" i="4" s="1"/>
  <c r="J47" i="4" s="1"/>
  <c r="K47" i="4" s="1"/>
  <c r="L47" i="4" s="1"/>
  <c r="M47" i="4" s="1"/>
  <c r="N16" i="4"/>
  <c r="N18" i="4"/>
  <c r="B82" i="4"/>
  <c r="D44" i="4"/>
  <c r="E61" i="4"/>
  <c r="N56" i="4"/>
  <c r="C61" i="4"/>
  <c r="D69" i="4"/>
  <c r="D80" i="4"/>
  <c r="N5" i="5"/>
  <c r="H61" i="4"/>
  <c r="N54" i="4"/>
  <c r="D25" i="2"/>
  <c r="E15" i="4"/>
  <c r="D39" i="4"/>
  <c r="I52" i="4"/>
  <c r="N55" i="4"/>
  <c r="G61" i="4"/>
  <c r="G65" i="4"/>
  <c r="H65" i="4" s="1"/>
  <c r="I65" i="4" s="1"/>
  <c r="J65" i="4" s="1"/>
  <c r="K65" i="4" s="1"/>
  <c r="L65" i="4" s="1"/>
  <c r="M65" i="4" s="1"/>
  <c r="N78" i="4"/>
  <c r="F61" i="4"/>
  <c r="E80" i="4"/>
  <c r="F77" i="4"/>
  <c r="N79" i="4"/>
  <c r="D61" i="4"/>
  <c r="N59" i="4"/>
  <c r="F64" i="4"/>
  <c r="N66" i="4"/>
  <c r="C69" i="4"/>
  <c r="C82" i="4" s="1"/>
  <c r="K18" i="5"/>
  <c r="N18" i="5" s="1"/>
  <c r="N7" i="5"/>
  <c r="D15" i="5"/>
  <c r="D16" i="5"/>
  <c r="E16" i="5" s="1"/>
  <c r="F16" i="5" s="1"/>
  <c r="G16" i="5" s="1"/>
  <c r="H16" i="5" s="1"/>
  <c r="I16" i="5" s="1"/>
  <c r="J16" i="5" s="1"/>
  <c r="K16" i="5" s="1"/>
  <c r="L16" i="5" s="1"/>
  <c r="M16" i="5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C27" i="5"/>
  <c r="N34" i="5"/>
  <c r="E64" i="5"/>
  <c r="D69" i="5"/>
  <c r="N53" i="4"/>
  <c r="C4" i="5"/>
  <c r="F32" i="5"/>
  <c r="N53" i="5"/>
  <c r="C36" i="5"/>
  <c r="N35" i="5"/>
  <c r="N55" i="5"/>
  <c r="N56" i="5"/>
  <c r="D59" i="5"/>
  <c r="E59" i="5" s="1"/>
  <c r="F59" i="5" s="1"/>
  <c r="G59" i="5" s="1"/>
  <c r="H59" i="5" s="1"/>
  <c r="I59" i="5" s="1"/>
  <c r="J59" i="5" s="1"/>
  <c r="K59" i="5" s="1"/>
  <c r="L59" i="5" s="1"/>
  <c r="M59" i="5" s="1"/>
  <c r="B61" i="5"/>
  <c r="B82" i="5" s="1"/>
  <c r="B86" i="5" s="1"/>
  <c r="B88" i="5" s="1"/>
  <c r="N65" i="5"/>
  <c r="N66" i="5"/>
  <c r="C69" i="5"/>
  <c r="D77" i="5"/>
  <c r="D78" i="5"/>
  <c r="E78" i="5" s="1"/>
  <c r="F78" i="5" s="1"/>
  <c r="G78" i="5" s="1"/>
  <c r="H78" i="5" s="1"/>
  <c r="I78" i="5" s="1"/>
  <c r="J78" i="5" s="1"/>
  <c r="K78" i="5" s="1"/>
  <c r="L78" i="5" s="1"/>
  <c r="M78" i="5" s="1"/>
  <c r="D79" i="5"/>
  <c r="D44" i="5"/>
  <c r="D45" i="5"/>
  <c r="E45" i="5" s="1"/>
  <c r="F45" i="5" s="1"/>
  <c r="G45" i="5" s="1"/>
  <c r="H45" i="5" s="1"/>
  <c r="I45" i="5" s="1"/>
  <c r="J45" i="5" s="1"/>
  <c r="K45" i="5" s="1"/>
  <c r="L45" i="5" s="1"/>
  <c r="M45" i="5" s="1"/>
  <c r="D46" i="5"/>
  <c r="E46" i="5" s="1"/>
  <c r="F46" i="5" s="1"/>
  <c r="G46" i="5" s="1"/>
  <c r="H46" i="5" s="1"/>
  <c r="I46" i="5" s="1"/>
  <c r="J46" i="5" s="1"/>
  <c r="K46" i="5" s="1"/>
  <c r="L46" i="5" s="1"/>
  <c r="M46" i="5" s="1"/>
  <c r="D47" i="5"/>
  <c r="E47" i="5" s="1"/>
  <c r="F47" i="5" s="1"/>
  <c r="G47" i="5" s="1"/>
  <c r="H47" i="5" s="1"/>
  <c r="I47" i="5" s="1"/>
  <c r="J47" i="5" s="1"/>
  <c r="K47" i="5" s="1"/>
  <c r="L47" i="5" s="1"/>
  <c r="M47" i="5" s="1"/>
  <c r="F52" i="5"/>
  <c r="C49" i="5"/>
  <c r="AC28" i="2"/>
  <c r="J12" i="2"/>
  <c r="D81" i="2"/>
  <c r="K13" i="2" s="1"/>
  <c r="H64" i="2"/>
  <c r="H63" i="2"/>
  <c r="H65" i="2" s="1"/>
  <c r="D41" i="2" s="1"/>
  <c r="J29" i="2"/>
  <c r="D38" i="2"/>
  <c r="D27" i="2"/>
  <c r="D31" i="2" s="1"/>
  <c r="AD29" i="2"/>
  <c r="AC29" i="2"/>
  <c r="H55" i="2"/>
  <c r="K29" i="2"/>
  <c r="L29" i="2" s="1"/>
  <c r="C39" i="2"/>
  <c r="C80" i="2"/>
  <c r="C25" i="2"/>
  <c r="D39" i="2"/>
  <c r="C81" i="2"/>
  <c r="G54" i="2"/>
  <c r="H54" i="2" s="1"/>
  <c r="C79" i="2"/>
  <c r="E79" i="5" l="1"/>
  <c r="F79" i="5" s="1"/>
  <c r="G79" i="5" s="1"/>
  <c r="H79" i="5" s="1"/>
  <c r="I79" i="5" s="1"/>
  <c r="J79" i="5" s="1"/>
  <c r="K79" i="5" s="1"/>
  <c r="L79" i="5" s="1"/>
  <c r="M79" i="5" s="1"/>
  <c r="N79" i="5"/>
  <c r="F46" i="4"/>
  <c r="G46" i="4" s="1"/>
  <c r="H46" i="4" s="1"/>
  <c r="I46" i="4" s="1"/>
  <c r="J46" i="4" s="1"/>
  <c r="K46" i="4" s="1"/>
  <c r="L46" i="4" s="1"/>
  <c r="M46" i="4" s="1"/>
  <c r="N46" i="4"/>
  <c r="D54" i="5"/>
  <c r="C61" i="5"/>
  <c r="D41" i="5"/>
  <c r="E39" i="5"/>
  <c r="E35" i="4"/>
  <c r="F35" i="4" s="1"/>
  <c r="G35" i="4" s="1"/>
  <c r="H35" i="4" s="1"/>
  <c r="I35" i="4" s="1"/>
  <c r="J35" i="4" s="1"/>
  <c r="K35" i="4" s="1"/>
  <c r="L35" i="4" s="1"/>
  <c r="M35" i="4" s="1"/>
  <c r="N35" i="4"/>
  <c r="E34" i="4"/>
  <c r="F34" i="4" s="1"/>
  <c r="G34" i="4" s="1"/>
  <c r="H34" i="4" s="1"/>
  <c r="I34" i="4" s="1"/>
  <c r="J34" i="4" s="1"/>
  <c r="K34" i="4" s="1"/>
  <c r="L34" i="4" s="1"/>
  <c r="M34" i="4" s="1"/>
  <c r="N34" i="4"/>
  <c r="E22" i="4"/>
  <c r="F22" i="4" s="1"/>
  <c r="G22" i="4" s="1"/>
  <c r="H22" i="4" s="1"/>
  <c r="I22" i="4" s="1"/>
  <c r="J22" i="4" s="1"/>
  <c r="K22" i="4" s="1"/>
  <c r="L22" i="4" s="1"/>
  <c r="M22" i="4" s="1"/>
  <c r="N22" i="4"/>
  <c r="D27" i="4"/>
  <c r="N46" i="5"/>
  <c r="D27" i="5"/>
  <c r="E15" i="5"/>
  <c r="E39" i="4"/>
  <c r="D41" i="4"/>
  <c r="N65" i="4"/>
  <c r="N78" i="5"/>
  <c r="F36" i="5"/>
  <c r="G32" i="5"/>
  <c r="E69" i="5"/>
  <c r="F64" i="5"/>
  <c r="C82" i="5"/>
  <c r="E27" i="4"/>
  <c r="F15" i="4"/>
  <c r="N47" i="4"/>
  <c r="E36" i="4"/>
  <c r="F32" i="4"/>
  <c r="D4" i="5"/>
  <c r="C10" i="5"/>
  <c r="N22" i="5"/>
  <c r="E44" i="4"/>
  <c r="D49" i="4"/>
  <c r="G52" i="5"/>
  <c r="D49" i="5"/>
  <c r="E44" i="5"/>
  <c r="D80" i="5"/>
  <c r="E77" i="5"/>
  <c r="N59" i="5"/>
  <c r="N45" i="5"/>
  <c r="N47" i="5"/>
  <c r="F69" i="4"/>
  <c r="G64" i="4"/>
  <c r="F80" i="4"/>
  <c r="G77" i="4"/>
  <c r="I61" i="4"/>
  <c r="J52" i="4"/>
  <c r="N16" i="5"/>
  <c r="N45" i="4"/>
  <c r="H56" i="2"/>
  <c r="C41" i="2" s="1"/>
  <c r="D76" i="2"/>
  <c r="D77" i="2"/>
  <c r="I13" i="2"/>
  <c r="I14" i="2"/>
  <c r="D43" i="2"/>
  <c r="D45" i="2" s="1"/>
  <c r="C38" i="2"/>
  <c r="C27" i="2"/>
  <c r="C31" i="2" s="1"/>
  <c r="E41" i="5" l="1"/>
  <c r="F39" i="5"/>
  <c r="E54" i="5"/>
  <c r="D61" i="5"/>
  <c r="F44" i="5"/>
  <c r="E49" i="5"/>
  <c r="F44" i="4"/>
  <c r="E49" i="4"/>
  <c r="D10" i="5"/>
  <c r="E4" i="5"/>
  <c r="F69" i="5"/>
  <c r="G64" i="5"/>
  <c r="E27" i="5"/>
  <c r="F15" i="5"/>
  <c r="G80" i="4"/>
  <c r="H77" i="4"/>
  <c r="F27" i="4"/>
  <c r="G15" i="4"/>
  <c r="D82" i="5"/>
  <c r="E80" i="5"/>
  <c r="F77" i="5"/>
  <c r="G32" i="4"/>
  <c r="F36" i="4"/>
  <c r="G36" i="5"/>
  <c r="H32" i="5"/>
  <c r="D82" i="4"/>
  <c r="K52" i="4"/>
  <c r="J61" i="4"/>
  <c r="H64" i="4"/>
  <c r="G69" i="4"/>
  <c r="H52" i="5"/>
  <c r="C86" i="5"/>
  <c r="C88" i="5" s="1"/>
  <c r="E41" i="4"/>
  <c r="E82" i="4" s="1"/>
  <c r="F39" i="4"/>
  <c r="C76" i="2"/>
  <c r="C77" i="2"/>
  <c r="AB29" i="2"/>
  <c r="K8" i="2" s="1"/>
  <c r="L8" i="2" s="1"/>
  <c r="AB44" i="2"/>
  <c r="AB45" i="2"/>
  <c r="AB43" i="2"/>
  <c r="K6" i="2"/>
  <c r="L6" i="2" s="1"/>
  <c r="AB41" i="2"/>
  <c r="K5" i="2"/>
  <c r="L5" i="2" s="1"/>
  <c r="C43" i="2"/>
  <c r="C45" i="2" s="1"/>
  <c r="D83" i="2"/>
  <c r="L13" i="2" s="1"/>
  <c r="D82" i="2"/>
  <c r="F54" i="5" l="1"/>
  <c r="E61" i="5"/>
  <c r="F41" i="5"/>
  <c r="G39" i="5"/>
  <c r="F41" i="4"/>
  <c r="G39" i="4"/>
  <c r="F80" i="5"/>
  <c r="G77" i="5"/>
  <c r="H64" i="5"/>
  <c r="G69" i="5"/>
  <c r="F27" i="5"/>
  <c r="G15" i="5"/>
  <c r="G44" i="4"/>
  <c r="F49" i="4"/>
  <c r="L52" i="4"/>
  <c r="K61" i="4"/>
  <c r="H80" i="4"/>
  <c r="I77" i="4"/>
  <c r="E82" i="5"/>
  <c r="E10" i="5"/>
  <c r="F4" i="5"/>
  <c r="I52" i="5"/>
  <c r="I64" i="4"/>
  <c r="H69" i="4"/>
  <c r="H36" i="5"/>
  <c r="I32" i="5"/>
  <c r="G36" i="4"/>
  <c r="H32" i="4"/>
  <c r="G27" i="4"/>
  <c r="H15" i="4"/>
  <c r="D86" i="5"/>
  <c r="D88" i="5" s="1"/>
  <c r="F49" i="5"/>
  <c r="G44" i="5"/>
  <c r="I5" i="2"/>
  <c r="J5" i="2" s="1"/>
  <c r="I9" i="2"/>
  <c r="J9" i="2" s="1"/>
  <c r="I7" i="2"/>
  <c r="J7" i="2" s="1"/>
  <c r="I8" i="2"/>
  <c r="J8" i="2" s="1"/>
  <c r="K9" i="2"/>
  <c r="L9" i="2" s="1"/>
  <c r="C83" i="2"/>
  <c r="J13" i="2" s="1"/>
  <c r="C78" i="2"/>
  <c r="K7" i="2"/>
  <c r="L7" i="2" s="1"/>
  <c r="F82" i="4" l="1"/>
  <c r="H39" i="5"/>
  <c r="G41" i="5"/>
  <c r="G54" i="5"/>
  <c r="F61" i="5"/>
  <c r="J32" i="5"/>
  <c r="I36" i="5"/>
  <c r="J52" i="5"/>
  <c r="F10" i="5"/>
  <c r="G4" i="5"/>
  <c r="L61" i="4"/>
  <c r="M52" i="4"/>
  <c r="M61" i="4" s="1"/>
  <c r="N52" i="4"/>
  <c r="N61" i="4" s="1"/>
  <c r="G49" i="5"/>
  <c r="H44" i="5"/>
  <c r="E86" i="5"/>
  <c r="E88" i="5" s="1"/>
  <c r="G27" i="5"/>
  <c r="H15" i="5"/>
  <c r="I64" i="5"/>
  <c r="H69" i="5"/>
  <c r="H27" i="4"/>
  <c r="I15" i="4"/>
  <c r="H36" i="4"/>
  <c r="I32" i="4"/>
  <c r="F82" i="5"/>
  <c r="I69" i="4"/>
  <c r="J64" i="4"/>
  <c r="I80" i="4"/>
  <c r="J77" i="4"/>
  <c r="G49" i="4"/>
  <c r="H44" i="4"/>
  <c r="G80" i="5"/>
  <c r="H77" i="5"/>
  <c r="G41" i="4"/>
  <c r="G82" i="4" s="1"/>
  <c r="H39" i="4"/>
  <c r="L10" i="2"/>
  <c r="L15" i="2" s="1"/>
  <c r="L18" i="2" s="1"/>
  <c r="L23" i="2" s="1"/>
  <c r="K30" i="2" s="1"/>
  <c r="L30" i="2" s="1"/>
  <c r="C82" i="2"/>
  <c r="C84" i="2" s="1"/>
  <c r="J14" i="2" s="1"/>
  <c r="I6" i="2"/>
  <c r="J6" i="2" s="1"/>
  <c r="J10" i="2" s="1"/>
  <c r="H54" i="5" l="1"/>
  <c r="G61" i="5"/>
  <c r="H41" i="5"/>
  <c r="I39" i="5"/>
  <c r="F86" i="5"/>
  <c r="F88" i="5" s="1"/>
  <c r="H27" i="5"/>
  <c r="I15" i="5"/>
  <c r="H4" i="5"/>
  <c r="G10" i="5"/>
  <c r="H49" i="4"/>
  <c r="I44" i="4"/>
  <c r="J69" i="4"/>
  <c r="K64" i="4"/>
  <c r="H49" i="5"/>
  <c r="I44" i="5"/>
  <c r="I39" i="4"/>
  <c r="H41" i="4"/>
  <c r="H82" i="4" s="1"/>
  <c r="I36" i="4"/>
  <c r="J32" i="4"/>
  <c r="G82" i="5"/>
  <c r="H80" i="5"/>
  <c r="I77" i="5"/>
  <c r="J80" i="4"/>
  <c r="K77" i="4"/>
  <c r="I27" i="4"/>
  <c r="J15" i="4"/>
  <c r="I69" i="5"/>
  <c r="J64" i="5"/>
  <c r="K52" i="5"/>
  <c r="J36" i="5"/>
  <c r="K32" i="5"/>
  <c r="K31" i="2"/>
  <c r="L31" i="2" s="1"/>
  <c r="B5" i="4" s="1"/>
  <c r="J15" i="2"/>
  <c r="J18" i="2" s="1"/>
  <c r="J23" i="2" s="1"/>
  <c r="I30" i="2" s="1"/>
  <c r="I31" i="2" s="1"/>
  <c r="J31" i="2" l="1"/>
  <c r="B4" i="4" s="1"/>
  <c r="C4" i="4" s="1"/>
  <c r="B10" i="4"/>
  <c r="B86" i="4" s="1"/>
  <c r="B88" i="4" s="1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I41" i="5"/>
  <c r="J39" i="5"/>
  <c r="I54" i="5"/>
  <c r="H61" i="5"/>
  <c r="K36" i="5"/>
  <c r="L32" i="5"/>
  <c r="K80" i="4"/>
  <c r="L77" i="4"/>
  <c r="J44" i="5"/>
  <c r="I49" i="5"/>
  <c r="L64" i="4"/>
  <c r="K69" i="4"/>
  <c r="H82" i="5"/>
  <c r="I80" i="5"/>
  <c r="J77" i="5"/>
  <c r="K32" i="4"/>
  <c r="J36" i="4"/>
  <c r="H10" i="5"/>
  <c r="I4" i="5"/>
  <c r="J69" i="5"/>
  <c r="K64" i="5"/>
  <c r="I41" i="4"/>
  <c r="J39" i="4"/>
  <c r="I49" i="4"/>
  <c r="J44" i="4"/>
  <c r="I27" i="5"/>
  <c r="J15" i="5"/>
  <c r="L52" i="5"/>
  <c r="J27" i="4"/>
  <c r="K15" i="4"/>
  <c r="G86" i="5"/>
  <c r="G88" i="5" s="1"/>
  <c r="J30" i="2"/>
  <c r="N5" i="4" l="1"/>
  <c r="I82" i="4"/>
  <c r="J54" i="5"/>
  <c r="I61" i="5"/>
  <c r="I82" i="5" s="1"/>
  <c r="J41" i="5"/>
  <c r="K39" i="5"/>
  <c r="D4" i="4"/>
  <c r="C10" i="4"/>
  <c r="C86" i="4" s="1"/>
  <c r="C88" i="4" s="1"/>
  <c r="I10" i="5"/>
  <c r="I86" i="5" s="1"/>
  <c r="I88" i="5" s="1"/>
  <c r="J4" i="5"/>
  <c r="J49" i="5"/>
  <c r="K44" i="5"/>
  <c r="K44" i="4"/>
  <c r="J49" i="4"/>
  <c r="H86" i="5"/>
  <c r="H88" i="5" s="1"/>
  <c r="J80" i="5"/>
  <c r="K77" i="5"/>
  <c r="L15" i="4"/>
  <c r="K27" i="4"/>
  <c r="M52" i="5"/>
  <c r="L64" i="5"/>
  <c r="K69" i="5"/>
  <c r="M64" i="4"/>
  <c r="L69" i="4"/>
  <c r="L36" i="5"/>
  <c r="M32" i="5"/>
  <c r="J27" i="5"/>
  <c r="K15" i="5"/>
  <c r="K39" i="4"/>
  <c r="J41" i="4"/>
  <c r="K36" i="4"/>
  <c r="L32" i="4"/>
  <c r="L80" i="4"/>
  <c r="M77" i="4"/>
  <c r="J82" i="4" l="1"/>
  <c r="E4" i="4"/>
  <c r="D10" i="4"/>
  <c r="D86" i="4" s="1"/>
  <c r="D88" i="4" s="1"/>
  <c r="L39" i="5"/>
  <c r="K41" i="5"/>
  <c r="K54" i="5"/>
  <c r="J61" i="5"/>
  <c r="M32" i="4"/>
  <c r="L36" i="4"/>
  <c r="K27" i="5"/>
  <c r="L15" i="5"/>
  <c r="J82" i="5"/>
  <c r="L27" i="4"/>
  <c r="M15" i="4"/>
  <c r="J10" i="5"/>
  <c r="K4" i="5"/>
  <c r="M80" i="4"/>
  <c r="N77" i="4"/>
  <c r="N80" i="4" s="1"/>
  <c r="K49" i="4"/>
  <c r="L44" i="4"/>
  <c r="K80" i="5"/>
  <c r="L77" i="5"/>
  <c r="M64" i="5"/>
  <c r="L69" i="5"/>
  <c r="N52" i="5"/>
  <c r="K41" i="4"/>
  <c r="K82" i="4" s="1"/>
  <c r="L39" i="4"/>
  <c r="M36" i="5"/>
  <c r="N36" i="5" s="1"/>
  <c r="N32" i="5"/>
  <c r="M69" i="4"/>
  <c r="N64" i="4"/>
  <c r="N69" i="4" s="1"/>
  <c r="K49" i="5"/>
  <c r="L44" i="5"/>
  <c r="L54" i="5" l="1"/>
  <c r="K61" i="5"/>
  <c r="L41" i="5"/>
  <c r="M39" i="5"/>
  <c r="E10" i="4"/>
  <c r="E86" i="4" s="1"/>
  <c r="E88" i="4" s="1"/>
  <c r="F4" i="4"/>
  <c r="L49" i="4"/>
  <c r="M44" i="4"/>
  <c r="M49" i="4" s="1"/>
  <c r="N44" i="4"/>
  <c r="N49" i="4" s="1"/>
  <c r="M36" i="4"/>
  <c r="N36" i="4" s="1"/>
  <c r="N32" i="4"/>
  <c r="L49" i="5"/>
  <c r="M44" i="5"/>
  <c r="M39" i="4"/>
  <c r="L41" i="4"/>
  <c r="J86" i="5"/>
  <c r="J88" i="5" s="1"/>
  <c r="L27" i="5"/>
  <c r="M15" i="5"/>
  <c r="L82" i="4"/>
  <c r="L80" i="5"/>
  <c r="M77" i="5"/>
  <c r="L4" i="5"/>
  <c r="K10" i="5"/>
  <c r="M69" i="5"/>
  <c r="N64" i="5"/>
  <c r="N69" i="5" s="1"/>
  <c r="M27" i="4"/>
  <c r="N15" i="4"/>
  <c r="N27" i="4" s="1"/>
  <c r="K82" i="5"/>
  <c r="F10" i="4" l="1"/>
  <c r="F86" i="4" s="1"/>
  <c r="F88" i="4" s="1"/>
  <c r="G4" i="4"/>
  <c r="M41" i="5"/>
  <c r="N41" i="5" s="1"/>
  <c r="N39" i="5"/>
  <c r="M54" i="5"/>
  <c r="L61" i="5"/>
  <c r="L82" i="5" s="1"/>
  <c r="K86" i="5"/>
  <c r="K88" i="5" s="1"/>
  <c r="M27" i="5"/>
  <c r="N15" i="5"/>
  <c r="N27" i="5" s="1"/>
  <c r="M41" i="4"/>
  <c r="N41" i="4" s="1"/>
  <c r="N82" i="4" s="1"/>
  <c r="N39" i="4"/>
  <c r="L10" i="5"/>
  <c r="M4" i="5"/>
  <c r="M49" i="5"/>
  <c r="N44" i="5"/>
  <c r="N49" i="5" s="1"/>
  <c r="M80" i="5"/>
  <c r="N77" i="5"/>
  <c r="N80" i="5" s="1"/>
  <c r="L86" i="5" l="1"/>
  <c r="L88" i="5" s="1"/>
  <c r="M61" i="5"/>
  <c r="N54" i="5"/>
  <c r="N61" i="5" s="1"/>
  <c r="H4" i="4"/>
  <c r="G10" i="4"/>
  <c r="M10" i="5"/>
  <c r="N4" i="5"/>
  <c r="M82" i="4"/>
  <c r="N82" i="5"/>
  <c r="M82" i="5"/>
  <c r="G86" i="4" l="1"/>
  <c r="G88" i="4" s="1"/>
  <c r="I4" i="4"/>
  <c r="H10" i="4"/>
  <c r="M86" i="5"/>
  <c r="M88" i="5" s="1"/>
  <c r="N10" i="5"/>
  <c r="N86" i="5" s="1"/>
  <c r="N87" i="5" s="1"/>
  <c r="N88" i="5" s="1"/>
  <c r="H86" i="4" l="1"/>
  <c r="H88" i="4" s="1"/>
  <c r="I10" i="4"/>
  <c r="J4" i="4"/>
  <c r="J10" i="4" l="1"/>
  <c r="J86" i="4" s="1"/>
  <c r="J88" i="4" s="1"/>
  <c r="K4" i="4"/>
  <c r="I86" i="4"/>
  <c r="I88" i="4" s="1"/>
  <c r="L4" i="4" l="1"/>
  <c r="K10" i="4"/>
  <c r="K86" i="4" l="1"/>
  <c r="K88" i="4" s="1"/>
  <c r="M4" i="4"/>
  <c r="L10" i="4"/>
  <c r="L86" i="4" l="1"/>
  <c r="L88" i="4" s="1"/>
  <c r="M10" i="4"/>
  <c r="N4" i="4"/>
  <c r="M86" i="4" l="1"/>
  <c r="M88" i="4" s="1"/>
  <c r="N10" i="4"/>
  <c r="N86" i="4" s="1"/>
  <c r="N87" i="4" s="1"/>
  <c r="N88" i="4" s="1"/>
</calcChain>
</file>

<file path=xl/sharedStrings.xml><?xml version="1.0" encoding="utf-8"?>
<sst xmlns="http://schemas.openxmlformats.org/spreadsheetml/2006/main" count="493" uniqueCount="333">
  <si>
    <t>Skatteberegningsprogram - par</t>
  </si>
  <si>
    <t>År 2025</t>
  </si>
  <si>
    <t>Person 1, er den med højest indkomst</t>
  </si>
  <si>
    <t>Jesper</t>
  </si>
  <si>
    <t>Anne</t>
  </si>
  <si>
    <t>Privat indskud på ratepension (og ophørende livrente)</t>
  </si>
  <si>
    <t>Beregnings-grundlag</t>
  </si>
  <si>
    <t>Beregnet skat</t>
  </si>
  <si>
    <t>Privat indskud på livrente</t>
  </si>
  <si>
    <t>Beregning af skat</t>
  </si>
  <si>
    <t>Procent</t>
  </si>
  <si>
    <t>Fradrag</t>
  </si>
  <si>
    <t>Alder</t>
  </si>
  <si>
    <t>Bundskat</t>
  </si>
  <si>
    <t>Har fri telefon (ja/nej)</t>
  </si>
  <si>
    <t>ja</t>
  </si>
  <si>
    <t>nej</t>
  </si>
  <si>
    <t>Topskat</t>
  </si>
  <si>
    <t>Fagforening</t>
  </si>
  <si>
    <t>Sundhedsbidrag</t>
  </si>
  <si>
    <t>A-kasse og efterløn</t>
  </si>
  <si>
    <t>Kommuneskat</t>
  </si>
  <si>
    <t>Antal km til arbejde (tur/retur)</t>
  </si>
  <si>
    <t>Kirkeskat</t>
  </si>
  <si>
    <t>Antal arbejdsdage</t>
  </si>
  <si>
    <t>Medlem af Folkekirken (ja/nej)</t>
  </si>
  <si>
    <t>Vælg Kommune</t>
  </si>
  <si>
    <t>Aarhus</t>
  </si>
  <si>
    <t>Evt skattetillæg af neg. KI under 50.000</t>
  </si>
  <si>
    <t>Kommuneskattesats</t>
  </si>
  <si>
    <t>Evt. nedslag i topskatten (lønindkomst)</t>
  </si>
  <si>
    <t>Kirkeskattesats</t>
  </si>
  <si>
    <t>Evt. nedslag i topskatten (kapitalindkomst)</t>
  </si>
  <si>
    <t>Grundskyldssats</t>
  </si>
  <si>
    <t>Ejendomsværdi (offentlig)</t>
  </si>
  <si>
    <t>Grundværdi (offentlig)</t>
  </si>
  <si>
    <r>
      <t>Evt skatterabat (</t>
    </r>
    <r>
      <rPr>
        <i/>
        <sz val="10"/>
        <rFont val="Arial"/>
        <family val="2"/>
      </rPr>
      <t>bolig købt før 1.jan.2024</t>
    </r>
    <r>
      <rPr>
        <sz val="10"/>
        <rFont val="Arial"/>
        <family val="2"/>
      </rPr>
      <t>)</t>
    </r>
  </si>
  <si>
    <t>Indkomstskat i alt (incl. AM-bidrag)</t>
  </si>
  <si>
    <t>Ejendomsværdiskat</t>
  </si>
  <si>
    <r>
      <t>Lønindkomst    (</t>
    </r>
    <r>
      <rPr>
        <b/>
        <i/>
        <sz val="8"/>
        <rFont val="Arial"/>
        <family val="2"/>
      </rPr>
      <t>efter evt. ATP</t>
    </r>
    <r>
      <rPr>
        <b/>
        <sz val="10"/>
        <rFont val="Arial"/>
        <family val="2"/>
      </rPr>
      <t>)</t>
    </r>
  </si>
  <si>
    <t>Grundskyld</t>
  </si>
  <si>
    <r>
      <t xml:space="preserve">  arbejdsgiverpensionsordning %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</si>
  <si>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Skatterabat</t>
  </si>
  <si>
    <r>
      <t>- arbejdsgiverpensionsordning DKK   (</t>
    </r>
    <r>
      <rPr>
        <i/>
        <sz val="8"/>
        <rFont val="Arial"/>
        <family val="2"/>
      </rPr>
      <t>kun eget indskud</t>
    </r>
    <r>
      <rPr>
        <sz val="10"/>
        <rFont val="Arial"/>
        <family val="2"/>
      </rPr>
      <t>)</t>
    </r>
  </si>
  <si>
    <t>+ anden AM-pligtig indkomst</t>
  </si>
  <si>
    <t>Skat i alt</t>
  </si>
  <si>
    <t>+ fri telefon</t>
  </si>
  <si>
    <t>= Beregningsgrundlag for AM-bidrag</t>
  </si>
  <si>
    <t>Udbetalt efter skat</t>
  </si>
  <si>
    <t>Uudnyttet</t>
  </si>
  <si>
    <t>Udligning af KI til brug for bundskat</t>
  </si>
  <si>
    <t>- AM-bidrag</t>
  </si>
  <si>
    <t>Pr. år</t>
  </si>
  <si>
    <t>Pr. måned</t>
  </si>
  <si>
    <t>KI</t>
  </si>
  <si>
    <t>P1</t>
  </si>
  <si>
    <t>P2</t>
  </si>
  <si>
    <r>
      <t>+ Ikke AM-pligtig indkomst (</t>
    </r>
    <r>
      <rPr>
        <i/>
        <sz val="9"/>
        <rFont val="Arial"/>
        <family val="2"/>
      </rPr>
      <t>SU, dagpenge, pension etc.</t>
    </r>
    <r>
      <rPr>
        <sz val="10"/>
        <rFont val="Arial"/>
        <family val="2"/>
      </rPr>
      <t>)</t>
    </r>
  </si>
  <si>
    <t>Lønindkomst</t>
  </si>
  <si>
    <t>person 2</t>
  </si>
  <si>
    <r>
      <t>- Eget indskud på ratepension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</si>
  <si>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arbejdsgiver pensionsordning</t>
  </si>
  <si>
    <r>
      <t>- Eget indskud på livrente    (</t>
    </r>
    <r>
      <rPr>
        <b/>
        <i/>
        <sz val="8"/>
        <rFont val="Arial"/>
        <family val="2"/>
      </rPr>
      <t>husk</t>
    </r>
    <r>
      <rPr>
        <i/>
        <sz val="8"/>
        <rFont val="Arial"/>
        <family val="2"/>
      </rPr>
      <t xml:space="preserve"> også at indtaste i budget</t>
    </r>
    <r>
      <rPr>
        <sz val="10"/>
        <rFont val="Arial"/>
        <family val="2"/>
      </rPr>
      <t>)</t>
    </r>
  </si>
  <si>
    <t>- skat</t>
  </si>
  <si>
    <t>= Personlig indkomst (PI)</t>
  </si>
  <si>
    <t>+ Renteindtægter</t>
  </si>
  <si>
    <t>-  Renteudgfter</t>
  </si>
  <si>
    <t>+ Kapitalindkomst (KI)  i alt</t>
  </si>
  <si>
    <t>Beskæftigelsesfradrag</t>
  </si>
  <si>
    <t>Jobfradrag</t>
  </si>
  <si>
    <t>Ekstra pensionsfradrag</t>
  </si>
  <si>
    <t xml:space="preserve">fradrag </t>
  </si>
  <si>
    <t>Fagforening, A-kasse og efterløn</t>
  </si>
  <si>
    <t>Befordring</t>
  </si>
  <si>
    <t>Andre ligningsmæssige fradrag</t>
  </si>
  <si>
    <t>- Ligningsmæssige fradrag i alt</t>
  </si>
  <si>
    <t>= Skattepligtig indkomst (SI)</t>
  </si>
  <si>
    <t>BEREGNINGSOMRÅDE (INDTAST IKKE NOGET)</t>
  </si>
  <si>
    <t>Person1</t>
  </si>
  <si>
    <t>sats</t>
  </si>
  <si>
    <t>dage</t>
  </si>
  <si>
    <t>km/dag</t>
  </si>
  <si>
    <t>min.</t>
  </si>
  <si>
    <t>frad./dag</t>
  </si>
  <si>
    <t>fradrag i alt</t>
  </si>
  <si>
    <t xml:space="preserve"> </t>
  </si>
  <si>
    <t>Befordring for km under standardgrænse</t>
  </si>
  <si>
    <t>Befordring for km over standardgrænse</t>
  </si>
  <si>
    <t>Samlet befordringsfradrag</t>
  </si>
  <si>
    <t>Evt. forhøjelser skal laves manuelt</t>
  </si>
  <si>
    <t>Person2</t>
  </si>
  <si>
    <t>Ejendomsskatter</t>
  </si>
  <si>
    <t>Sats</t>
  </si>
  <si>
    <t>Høj sats</t>
  </si>
  <si>
    <t>Ejendomsværdi</t>
  </si>
  <si>
    <t>I alt</t>
  </si>
  <si>
    <t>Mellemregninger</t>
  </si>
  <si>
    <t>Person 1</t>
  </si>
  <si>
    <t>Person 2</t>
  </si>
  <si>
    <t>Værdi af personlig indkomst</t>
  </si>
  <si>
    <t>Værdi af personlig indkomst plus positiv kapitalindkomst</t>
  </si>
  <si>
    <t>Værdi af PI plus KI &gt; min grænse</t>
  </si>
  <si>
    <t>Positiv kapitalindkomst</t>
  </si>
  <si>
    <t>Positiv kapitalindkomst over fælles min grænse</t>
  </si>
  <si>
    <t>Sum af skatteprocenter</t>
  </si>
  <si>
    <t>Topskatteberegningsgrundlag</t>
  </si>
  <si>
    <t xml:space="preserve"> - andel som vedrører lønindkomst</t>
  </si>
  <si>
    <t xml:space="preserve"> - andel som vedrører kapitalindkomst</t>
  </si>
  <si>
    <t>Privatbudget</t>
  </si>
  <si>
    <t>Indtægter</t>
  </si>
  <si>
    <t>jan</t>
  </si>
  <si>
    <t>feb</t>
  </si>
  <si>
    <t>mar</t>
  </si>
  <si>
    <t>apr</t>
  </si>
  <si>
    <t>maj</t>
  </si>
  <si>
    <t xml:space="preserve">juni </t>
  </si>
  <si>
    <t>juli</t>
  </si>
  <si>
    <t>aug</t>
  </si>
  <si>
    <t>sept</t>
  </si>
  <si>
    <t>okt</t>
  </si>
  <si>
    <t>nov</t>
  </si>
  <si>
    <t>dec</t>
  </si>
  <si>
    <t>TOTAL</t>
  </si>
  <si>
    <t>Løn, efter skat</t>
  </si>
  <si>
    <t>Renter/udbytte</t>
  </si>
  <si>
    <t>Børnefamilie ydelser</t>
  </si>
  <si>
    <t>Børnebidrag</t>
  </si>
  <si>
    <t>Diverse</t>
  </si>
  <si>
    <t>Indtægter i alt</t>
  </si>
  <si>
    <t>Udgifter</t>
  </si>
  <si>
    <t>Bolig</t>
  </si>
  <si>
    <t>Prioritetsydelser ejerbolig</t>
  </si>
  <si>
    <t>Husleje lejebolig</t>
  </si>
  <si>
    <t>Renovation</t>
  </si>
  <si>
    <t>Varme</t>
  </si>
  <si>
    <t>Elektricitet</t>
  </si>
  <si>
    <t>Vand</t>
  </si>
  <si>
    <t>Fællesudgifter</t>
  </si>
  <si>
    <t>Grundejerforening</t>
  </si>
  <si>
    <t>Vedligeholdelse</t>
  </si>
  <si>
    <t>Hus forsikring</t>
  </si>
  <si>
    <t>Ejerudgift</t>
  </si>
  <si>
    <t>Bolig i alt</t>
  </si>
  <si>
    <t xml:space="preserve">Bil </t>
  </si>
  <si>
    <t>Forsikring</t>
  </si>
  <si>
    <t>Vægtafgift</t>
  </si>
  <si>
    <t>Benzin</t>
  </si>
  <si>
    <t>Falck</t>
  </si>
  <si>
    <t xml:space="preserve">Billån </t>
  </si>
  <si>
    <t>Vedligehold/reparation</t>
  </si>
  <si>
    <t>Biludgifter i alt</t>
  </si>
  <si>
    <t>Transport øvrig</t>
  </si>
  <si>
    <t>Offentlig transport</t>
  </si>
  <si>
    <t>Transport i alt</t>
  </si>
  <si>
    <t>Kommunikation/TV</t>
  </si>
  <si>
    <t>Fastnettelefon</t>
  </si>
  <si>
    <t>Mobiltelefon</t>
  </si>
  <si>
    <t>Internet</t>
  </si>
  <si>
    <t>Hybridnet/kabel-TV</t>
  </si>
  <si>
    <t xml:space="preserve">Kommun./TV i alt </t>
  </si>
  <si>
    <t>Forsikringer</t>
  </si>
  <si>
    <t>A-kasse &amp; Efterløn</t>
  </si>
  <si>
    <t>Familieforsikring</t>
  </si>
  <si>
    <t>Ulykkesforsikring</t>
  </si>
  <si>
    <t>Sygeforsikring Danmark</t>
  </si>
  <si>
    <t>Receptpligtig medecin</t>
  </si>
  <si>
    <t>Forsikringer i alt</t>
  </si>
  <si>
    <t>Børneudgifter</t>
  </si>
  <si>
    <t>SFO</t>
  </si>
  <si>
    <t>Vuggestue/børnehave</t>
  </si>
  <si>
    <t>Transport</t>
  </si>
  <si>
    <t>Skoleudgifter</t>
  </si>
  <si>
    <t>Børneudgifter i alt</t>
  </si>
  <si>
    <t>Gældsforpligtelser</t>
  </si>
  <si>
    <t>Forpligtelser i alt</t>
  </si>
  <si>
    <t>Ratepension</t>
  </si>
  <si>
    <t>Andre udgifter</t>
  </si>
  <si>
    <t>Diverse i alt</t>
  </si>
  <si>
    <t>Udgifter i alt</t>
  </si>
  <si>
    <t>Oversigt</t>
  </si>
  <si>
    <t>Overskud/underskud</t>
  </si>
  <si>
    <t>Årligt rådighedsbeløb</t>
  </si>
  <si>
    <t>Månedligt rådighedsbeløb</t>
  </si>
  <si>
    <t xml:space="preserve">rådighedsbeløb, som klart overstiger </t>
  </si>
  <si>
    <t>anbefalede kr. 11.400 for par</t>
  </si>
  <si>
    <t>borger.dk</t>
  </si>
  <si>
    <t>De har fortsat et rigtig fint</t>
  </si>
  <si>
    <t>anbefalede 11.400 + 3.000 for par med et barn</t>
  </si>
  <si>
    <t>Husk altid at spørge ind om alle faste udgifter er med.</t>
  </si>
  <si>
    <t>Fianstilsynets tommelfinger regel er en rettesnor. Nogle gange er det vigtigere</t>
  </si>
  <si>
    <t>at kigge på størrelsen i nedgangen i rådighedsbeløb ved lånoptagelse end selve nivauet.</t>
  </si>
  <si>
    <t>Kommuneskattesatser 2025</t>
  </si>
  <si>
    <t>Arbejdsmarkedsbidrag</t>
  </si>
  <si>
    <t>Befordringsfradrag høje sats</t>
  </si>
  <si>
    <t>Kommunenavn</t>
  </si>
  <si>
    <t>Kommune</t>
  </si>
  <si>
    <t>Kirke</t>
  </si>
  <si>
    <t>Grundskyld (promille)</t>
  </si>
  <si>
    <t>Befordringsfradrag min km for høj sats</t>
  </si>
  <si>
    <t>Albertslund</t>
  </si>
  <si>
    <t>Befordringsfradrag max km for høj sats</t>
  </si>
  <si>
    <t>Allerød</t>
  </si>
  <si>
    <t>Befordringsfradrag lave sats</t>
  </si>
  <si>
    <t>Assens</t>
  </si>
  <si>
    <t>Befordringsfradrag Indtægtsgrænse for forhøjet  (før AM-bidrag)</t>
  </si>
  <si>
    <t>Ballerup</t>
  </si>
  <si>
    <t>Beskæftigelsesfradrag (%)</t>
  </si>
  <si>
    <t>Billund</t>
  </si>
  <si>
    <t>Beskæftigelsesfradrag (max)</t>
  </si>
  <si>
    <t>Bornholm</t>
  </si>
  <si>
    <t>Brøndby</t>
  </si>
  <si>
    <t>Ejendomsværdiskat - lave sats</t>
  </si>
  <si>
    <t>Brønderslev</t>
  </si>
  <si>
    <t>Ejendomsværdiskat - høje sats</t>
  </si>
  <si>
    <t>Dragør</t>
  </si>
  <si>
    <t>Ejendomsværdiskat - skillegrænse</t>
  </si>
  <si>
    <t>Egedal</t>
  </si>
  <si>
    <t>Ekstra pensionsfradrag (%)</t>
  </si>
  <si>
    <t>Esbjerg</t>
  </si>
  <si>
    <t>Ekstra pensionsfradrag (max)</t>
  </si>
  <si>
    <t>Fanø</t>
  </si>
  <si>
    <t>Ekstra pensionsfradrag (%) Senior</t>
  </si>
  <si>
    <t>Favrskov</t>
  </si>
  <si>
    <t>Ekstra pensionsfradrag (max) Senior</t>
  </si>
  <si>
    <t>Faxe</t>
  </si>
  <si>
    <t>Fagforening Max</t>
  </si>
  <si>
    <t>Fredensborg</t>
  </si>
  <si>
    <t>Firmabil grænse</t>
  </si>
  <si>
    <t>Fredericia</t>
  </si>
  <si>
    <t>Firmabil lave sats</t>
  </si>
  <si>
    <t>Frederiksberg</t>
  </si>
  <si>
    <t>Firmabil høje sats</t>
  </si>
  <si>
    <t>Frederikshavn</t>
  </si>
  <si>
    <t>Forsigtighedssats (Ejendomsskatter)</t>
  </si>
  <si>
    <t>Frederikssund</t>
  </si>
  <si>
    <t>Fri telefon</t>
  </si>
  <si>
    <t>Furesø</t>
  </si>
  <si>
    <t>Grøn check</t>
  </si>
  <si>
    <t>Faaborg-Midtfyn</t>
  </si>
  <si>
    <t>Grøn check modregning Start</t>
  </si>
  <si>
    <t>Gentofte</t>
  </si>
  <si>
    <t>Grøn check modregning Slut</t>
  </si>
  <si>
    <t>Gladsaxe</t>
  </si>
  <si>
    <t>Grøn check modregning Sats</t>
  </si>
  <si>
    <t>Glostrup</t>
  </si>
  <si>
    <t>Jobfradrag (%)</t>
  </si>
  <si>
    <t>Greve</t>
  </si>
  <si>
    <t>Jobfradraggrænse</t>
  </si>
  <si>
    <t>Gribskov</t>
  </si>
  <si>
    <t>Jobfradrag (max)</t>
  </si>
  <si>
    <t>Guldborgsund</t>
  </si>
  <si>
    <t>Kapitalindkomstgrænse til Topskat Par</t>
  </si>
  <si>
    <t>Haderslev</t>
  </si>
  <si>
    <t>Kapitalindkomstgrænse til Topskat Enlig</t>
  </si>
  <si>
    <t>Halsnæs</t>
  </si>
  <si>
    <t>Personfradrag</t>
  </si>
  <si>
    <t>Hedensted</t>
  </si>
  <si>
    <t>Personfradrag topskat</t>
  </si>
  <si>
    <t>Helsingør</t>
  </si>
  <si>
    <t>Ratepension Max indskud</t>
  </si>
  <si>
    <t>Herlev</t>
  </si>
  <si>
    <t>Skrå Skatteloft - personlig indkomst</t>
  </si>
  <si>
    <t>Herning</t>
  </si>
  <si>
    <t>Skrå Skatteloft - kapitalindkomst</t>
  </si>
  <si>
    <t>Hillerød</t>
  </si>
  <si>
    <t>Hjørring</t>
  </si>
  <si>
    <t>Tillæg for negativ kapitalindkomst procent</t>
  </si>
  <si>
    <t>Holbæk</t>
  </si>
  <si>
    <t>Tillæg for negativ kapitalindkomst grænse par</t>
  </si>
  <si>
    <t>Holstebro</t>
  </si>
  <si>
    <t>Tillæg for negativ kapitalindkomst grænse enlig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</si>
  <si>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</si>
  <si>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</si>
  <si>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</si>
  <si>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</si>
  <si>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</si>
  <si>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</si>
  <si>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</si>
  <si>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</si>
  <si>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</si>
  <si>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</si>
  <si>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</si>
  <si>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</si>
  <si>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</si>
  <si>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</si>
  <si>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</si>
  <si>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</si>
  <si>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</si>
  <si>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</si>
  <si>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</si>
  <si>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</si>
  <si>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</si>
  <si>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</si>
  <si>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</si>
  <si>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</si>
  <si>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</si>
  <si>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</si>
  <si>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</si>
  <si>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</si>
  <si>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</si>
  <si>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</si>
  <si>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</si>
  <si>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</si>
  <si>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</si>
  <si>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</si>
  <si>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</si>
  <si>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</si>
  <si>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</si>
  <si>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</si>
  <si>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</si>
  <si>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</si>
  <si>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</si>
  <si>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</si>
  <si>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</si>
  <si>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</si>
  <si>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</si>
  <si>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</si>
  <si>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</si>
  <si>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</si>
  <si>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</si>
  <si>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</si>
  <si>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</si>
  <si>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</si>
  <si>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</si>
  <si>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</si>
  <si>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</t>
  </si>
  <si>
    <t>Viborg</t>
  </si>
  <si>
    <t>Vordingborg</t>
  </si>
  <si>
    <t>Ærø</t>
  </si>
  <si>
    <t>Aabenraa</t>
  </si>
  <si>
    <t>Aalborg</t>
  </si>
  <si>
    <t>anslået, da Anne nogle gange kører i den gamle Opel</t>
  </si>
  <si>
    <t>Estimeret ud fra søgning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</si>
</sst>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"/>
    <numFmt numFmtId="166" formatCode="_(* #,##0_);_(* \(#,##0\);_(* &quot;-&quot;??_);_(@_)"/>
    <numFmt numFmtId="167" formatCode="&quot;kr&quot;\ #,##0.00"/>
    <numFmt numFmtId="168" formatCode="0.0%"/>
    <numFmt numFmtId="169" formatCode="0.0000%"/>
    <numFmt numFmtId="170" formatCode="0.0000"/>
    <numFmt numFmtId="171" formatCode="_(* #,##0.0_);_(* \(#,##0.0\);_(* &quot;-&quot;??_);_(@_)"/>
  </numFmts>
  <fonts count="43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0"/>
      <color rgb="FF0000FF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10"/>
      <color indexed="10"/>
      <name val="Arial"/>
      <family val="2"/>
    </font>
    <font>
      <sz val="10"/>
      <color rgb="FF0000FF"/>
      <name val="Arial"/>
      <family val="2"/>
    </font>
    <font>
      <sz val="10"/>
      <color indexed="12"/>
      <name val="MS Sans Serif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indexed="10"/>
      <name val="Arial"/>
      <family val="2"/>
    </font>
    <font>
      <sz val="18"/>
      <color rgb="FFFF0000"/>
      <name val="Arial"/>
      <family val="2"/>
    </font>
    <font>
      <sz val="12"/>
      <color rgb="FF14143C"/>
      <name val="Arial"/>
      <family val="2"/>
    </font>
    <font>
      <sz val="10"/>
      <color rgb="FF14143C"/>
      <name val="Arial"/>
      <family val="2"/>
    </font>
    <font>
      <sz val="10"/>
      <color rgb="FFFF0000"/>
      <name val="Arial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0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8"/>
      <name val="Verdana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rgb="FFE5E5E5"/>
      </right>
      <top style="medium">
        <color indexed="64"/>
      </top>
      <bottom/>
      <diagonal/>
    </border>
    <border>
      <left/>
      <right style="medium">
        <color rgb="FFE5E5E5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9"/>
      </bottom>
      <diagonal/>
    </border>
    <border>
      <left/>
      <right/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 style="thin">
        <color indexed="23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9"/>
      </bottom>
      <diagonal/>
    </border>
    <border>
      <left/>
      <right/>
      <top style="thin">
        <color indexed="55"/>
      </top>
      <bottom style="thin">
        <color indexed="9"/>
      </bottom>
      <diagonal/>
    </border>
    <border>
      <left/>
      <right style="thin">
        <color indexed="8"/>
      </right>
      <top style="thin">
        <color indexed="55"/>
      </top>
      <bottom style="thin">
        <color indexed="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23"/>
      </top>
      <bottom style="thin">
        <color indexed="9"/>
      </bottom>
      <diagonal/>
    </border>
    <border>
      <left/>
      <right style="thin">
        <color indexed="64"/>
      </right>
      <top style="thin">
        <color indexed="55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thin">
        <color indexed="9"/>
      </top>
      <bottom style="thin">
        <color indexed="55"/>
      </bottom>
      <diagonal/>
    </border>
    <border>
      <left/>
      <right style="thin">
        <color indexed="64"/>
      </right>
      <top style="thin">
        <color indexed="9"/>
      </top>
      <bottom style="thin">
        <color indexed="55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63"/>
      </right>
      <top style="thin">
        <color indexed="55"/>
      </top>
      <bottom style="thin">
        <color indexed="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/>
  </cellStyleXfs>
  <cellXfs count="321">
    <xf numFmtId="0" fontId="0" fillId="0" borderId="0" xfId="0"/>
    <xf numFmtId="0" fontId="2" fillId="0" borderId="0" xfId="1" applyFont="1" applyAlignment="1">
      <alignment horizontal="right"/>
    </xf>
    <xf numFmtId="3" fontId="3" fillId="0" borderId="0" xfId="1" applyNumberFormat="1" applyFont="1"/>
    <xf numFmtId="3" fontId="1" fillId="0" borderId="0" xfId="1" applyNumberFormat="1"/>
    <xf numFmtId="0" fontId="1" fillId="0" borderId="0" xfId="1"/>
    <xf numFmtId="3" fontId="4" fillId="2" borderId="0" xfId="1" applyNumberFormat="1" applyFont="1" applyFill="1" applyAlignment="1">
      <alignment horizontal="center"/>
    </xf>
    <xf numFmtId="3" fontId="2" fillId="3" borderId="2" xfId="1" applyNumberFormat="1" applyFont="1" applyFill="1" applyBorder="1" applyAlignment="1">
      <alignment horizontal="center"/>
    </xf>
    <xf numFmtId="3" fontId="2" fillId="3" borderId="3" xfId="1" applyNumberFormat="1" applyFont="1" applyFill="1" applyBorder="1" applyAlignment="1">
      <alignment horizontal="center"/>
    </xf>
    <xf numFmtId="3" fontId="2" fillId="0" borderId="0" xfId="1" applyNumberFormat="1" applyFont="1"/>
    <xf numFmtId="0" fontId="1" fillId="0" borderId="2" xfId="1" applyBorder="1"/>
    <xf numFmtId="3" fontId="6" fillId="5" borderId="2" xfId="2" applyNumberFormat="1" applyFont="1" applyFill="1" applyBorder="1"/>
    <xf numFmtId="0" fontId="1" fillId="4" borderId="4" xfId="1" applyFill="1" applyBorder="1"/>
    <xf numFmtId="0" fontId="2" fillId="4" borderId="4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1" fillId="0" borderId="7" xfId="1" applyBorder="1"/>
    <xf numFmtId="3" fontId="6" fillId="5" borderId="7" xfId="2" applyNumberFormat="1" applyFont="1" applyFill="1" applyBorder="1"/>
    <xf numFmtId="3" fontId="6" fillId="5" borderId="6" xfId="2" applyNumberFormat="1" applyFont="1" applyFill="1" applyBorder="1"/>
    <xf numFmtId="0" fontId="2" fillId="4" borderId="8" xfId="1" applyFont="1" applyFill="1" applyBorder="1"/>
    <xf numFmtId="0" fontId="7" fillId="4" borderId="8" xfId="1" applyFont="1" applyFill="1" applyBorder="1" applyAlignment="1">
      <alignment horizontal="center"/>
    </xf>
    <xf numFmtId="3" fontId="7" fillId="4" borderId="9" xfId="1" quotePrefix="1" applyNumberFormat="1" applyFont="1" applyFill="1" applyBorder="1" applyAlignment="1">
      <alignment horizontal="center"/>
    </xf>
    <xf numFmtId="10" fontId="6" fillId="0" borderId="10" xfId="3" applyNumberFormat="1" applyFont="1" applyFill="1" applyBorder="1"/>
    <xf numFmtId="3" fontId="6" fillId="0" borderId="3" xfId="2" applyNumberFormat="1" applyFont="1" applyBorder="1"/>
    <xf numFmtId="3" fontId="1" fillId="0" borderId="4" xfId="1" applyNumberFormat="1" applyBorder="1"/>
    <xf numFmtId="3" fontId="2" fillId="0" borderId="3" xfId="1" applyNumberFormat="1" applyFont="1" applyBorder="1"/>
    <xf numFmtId="3" fontId="1" fillId="0" borderId="5" xfId="1" applyNumberFormat="1" applyBorder="1"/>
    <xf numFmtId="3" fontId="1" fillId="0" borderId="6" xfId="1" applyNumberFormat="1" applyBorder="1"/>
    <xf numFmtId="3" fontId="6" fillId="5" borderId="7" xfId="2" applyNumberFormat="1" applyFont="1" applyFill="1" applyBorder="1" applyAlignment="1">
      <alignment horizontal="right"/>
    </xf>
    <xf numFmtId="3" fontId="6" fillId="5" borderId="6" xfId="2" applyNumberFormat="1" applyFont="1" applyFill="1" applyBorder="1" applyAlignment="1">
      <alignment horizontal="right"/>
    </xf>
    <xf numFmtId="10" fontId="6" fillId="0" borderId="0" xfId="3" applyNumberFormat="1" applyFont="1" applyFill="1" applyBorder="1"/>
    <xf numFmtId="3" fontId="6" fillId="0" borderId="6" xfId="2" applyNumberFormat="1" applyFont="1" applyBorder="1"/>
    <xf numFmtId="3" fontId="2" fillId="0" borderId="6" xfId="1" applyNumberFormat="1" applyFont="1" applyBorder="1"/>
    <xf numFmtId="0" fontId="1" fillId="0" borderId="7" xfId="1" applyBorder="1" applyAlignment="1">
      <alignment horizontal="left"/>
    </xf>
    <xf numFmtId="165" fontId="6" fillId="5" borderId="7" xfId="2" applyNumberFormat="1" applyFont="1" applyFill="1" applyBorder="1"/>
    <xf numFmtId="165" fontId="6" fillId="5" borderId="6" xfId="2" applyNumberFormat="1" applyFont="1" applyFill="1" applyBorder="1"/>
    <xf numFmtId="0" fontId="1" fillId="0" borderId="11" xfId="1" applyBorder="1"/>
    <xf numFmtId="10" fontId="6" fillId="0" borderId="12" xfId="3" applyNumberFormat="1" applyFont="1" applyBorder="1"/>
    <xf numFmtId="3" fontId="1" fillId="0" borderId="12" xfId="1" applyNumberFormat="1" applyBorder="1"/>
    <xf numFmtId="3" fontId="1" fillId="0" borderId="11" xfId="1" applyNumberFormat="1" applyBorder="1"/>
    <xf numFmtId="3" fontId="2" fillId="0" borderId="13" xfId="1" applyNumberFormat="1" applyFont="1" applyBorder="1"/>
    <xf numFmtId="0" fontId="7" fillId="0" borderId="4" xfId="1" applyFont="1" applyBorder="1" applyAlignment="1">
      <alignment horizontal="center"/>
    </xf>
    <xf numFmtId="0" fontId="1" fillId="0" borderId="3" xfId="1" applyBorder="1"/>
    <xf numFmtId="0" fontId="7" fillId="0" borderId="0" xfId="1" applyFont="1" applyAlignment="1">
      <alignment horizontal="center"/>
    </xf>
    <xf numFmtId="0" fontId="1" fillId="0" borderId="6" xfId="1" applyBorder="1"/>
    <xf numFmtId="0" fontId="1" fillId="0" borderId="14" xfId="1" applyBorder="1"/>
    <xf numFmtId="0" fontId="1" fillId="0" borderId="5" xfId="1" quotePrefix="1" applyBorder="1" applyAlignment="1">
      <alignment horizontal="left"/>
    </xf>
    <xf numFmtId="3" fontId="9" fillId="0" borderId="6" xfId="1" applyNumberFormat="1" applyFont="1" applyBorder="1"/>
    <xf numFmtId="10" fontId="6" fillId="6" borderId="2" xfId="3" applyNumberFormat="1" applyFont="1" applyFill="1" applyBorder="1"/>
    <xf numFmtId="0" fontId="1" fillId="0" borderId="5" xfId="1" applyBorder="1"/>
    <xf numFmtId="10" fontId="10" fillId="0" borderId="5" xfId="1" applyNumberFormat="1" applyFont="1" applyBorder="1"/>
    <xf numFmtId="10" fontId="10" fillId="0" borderId="0" xfId="1" applyNumberFormat="1" applyFont="1"/>
    <xf numFmtId="3" fontId="2" fillId="0" borderId="0" xfId="1" applyNumberFormat="1" applyFont="1" applyAlignment="1">
      <alignment horizontal="right"/>
    </xf>
    <xf numFmtId="10" fontId="6" fillId="6" borderId="7" xfId="3" applyNumberFormat="1" applyFont="1" applyFill="1" applyBorder="1"/>
    <xf numFmtId="0" fontId="1" fillId="0" borderId="0" xfId="1" applyAlignment="1">
      <alignment horizontal="right"/>
    </xf>
    <xf numFmtId="10" fontId="6" fillId="6" borderId="14" xfId="3" applyNumberFormat="1" applyFont="1" applyFill="1" applyBorder="1"/>
    <xf numFmtId="10" fontId="6" fillId="7" borderId="14" xfId="3" applyNumberFormat="1" applyFont="1" applyFill="1" applyBorder="1"/>
    <xf numFmtId="3" fontId="11" fillId="0" borderId="5" xfId="2" applyNumberFormat="1" applyFont="1" applyBorder="1"/>
    <xf numFmtId="0" fontId="1" fillId="0" borderId="4" xfId="1" applyBorder="1"/>
    <xf numFmtId="3" fontId="6" fillId="7" borderId="7" xfId="2" applyNumberFormat="1" applyFont="1" applyFill="1" applyBorder="1"/>
    <xf numFmtId="10" fontId="1" fillId="0" borderId="0" xfId="1" applyNumberFormat="1"/>
    <xf numFmtId="10" fontId="1" fillId="0" borderId="6" xfId="1" applyNumberFormat="1" applyBorder="1"/>
    <xf numFmtId="0" fontId="1" fillId="0" borderId="4" xfId="1" applyBorder="1" applyAlignment="1">
      <alignment horizontal="left"/>
    </xf>
    <xf numFmtId="0" fontId="1" fillId="0" borderId="10" xfId="1" applyBorder="1" applyAlignment="1">
      <alignment horizontal="right"/>
    </xf>
    <xf numFmtId="0" fontId="1" fillId="0" borderId="4" xfId="1" applyBorder="1" applyAlignment="1">
      <alignment horizontal="right"/>
    </xf>
    <xf numFmtId="0" fontId="1" fillId="0" borderId="8" xfId="1" applyBorder="1"/>
    <xf numFmtId="3" fontId="6" fillId="5" borderId="14" xfId="2" applyNumberFormat="1" applyFont="1" applyFill="1" applyBorder="1"/>
    <xf numFmtId="3" fontId="6" fillId="7" borderId="14" xfId="2" applyNumberFormat="1" applyFont="1" applyFill="1" applyBorder="1"/>
    <xf numFmtId="0" fontId="1" fillId="0" borderId="5" xfId="1" applyBorder="1" applyAlignment="1">
      <alignment horizontal="right"/>
    </xf>
    <xf numFmtId="0" fontId="9" fillId="0" borderId="0" xfId="1" applyFont="1" applyAlignment="1">
      <alignment horizontal="right"/>
    </xf>
    <xf numFmtId="0" fontId="13" fillId="0" borderId="0" xfId="1" applyFont="1"/>
    <xf numFmtId="0" fontId="1" fillId="0" borderId="5" xfId="1" applyBorder="1" applyAlignment="1">
      <alignment horizontal="left"/>
    </xf>
    <xf numFmtId="0" fontId="13" fillId="0" borderId="5" xfId="1" applyFont="1" applyBorder="1"/>
    <xf numFmtId="0" fontId="2" fillId="0" borderId="4" xfId="1" applyFont="1" applyBorder="1" applyAlignment="1">
      <alignment horizontal="left"/>
    </xf>
    <xf numFmtId="3" fontId="15" fillId="5" borderId="2" xfId="1" applyNumberFormat="1" applyFont="1" applyFill="1" applyBorder="1" applyAlignment="1">
      <alignment horizontal="right"/>
    </xf>
    <xf numFmtId="3" fontId="15" fillId="5" borderId="3" xfId="1" applyNumberFormat="1" applyFont="1" applyFill="1" applyBorder="1" applyAlignment="1">
      <alignment horizontal="right"/>
    </xf>
    <xf numFmtId="3" fontId="9" fillId="0" borderId="0" xfId="1" applyNumberFormat="1" applyFont="1"/>
    <xf numFmtId="9" fontId="1" fillId="5" borderId="7" xfId="1" applyNumberFormat="1" applyFill="1" applyBorder="1" applyAlignment="1">
      <alignment horizontal="right"/>
    </xf>
    <xf numFmtId="9" fontId="1" fillId="5" borderId="6" xfId="1" applyNumberFormat="1" applyFill="1" applyBorder="1" applyAlignment="1">
      <alignment horizontal="right"/>
    </xf>
    <xf numFmtId="3" fontId="15" fillId="6" borderId="7" xfId="1" applyNumberFormat="1" applyFont="1" applyFill="1" applyBorder="1" applyAlignment="1">
      <alignment horizontal="right"/>
    </xf>
    <xf numFmtId="3" fontId="15" fillId="6" borderId="6" xfId="1" applyNumberFormat="1" applyFont="1" applyFill="1" applyBorder="1" applyAlignment="1">
      <alignment horizontal="right"/>
    </xf>
    <xf numFmtId="3" fontId="15" fillId="5" borderId="7" xfId="1" applyNumberFormat="1" applyFont="1" applyFill="1" applyBorder="1" applyAlignment="1">
      <alignment horizontal="right"/>
    </xf>
    <xf numFmtId="3" fontId="15" fillId="5" borderId="6" xfId="1" applyNumberFormat="1" applyFont="1" applyFill="1" applyBorder="1" applyAlignment="1">
      <alignment horizontal="right"/>
    </xf>
    <xf numFmtId="0" fontId="17" fillId="4" borderId="11" xfId="1" applyFont="1" applyFill="1" applyBorder="1"/>
    <xf numFmtId="3" fontId="1" fillId="4" borderId="12" xfId="1" applyNumberFormat="1" applyFill="1" applyBorder="1"/>
    <xf numFmtId="0" fontId="1" fillId="4" borderId="11" xfId="1" applyFill="1" applyBorder="1"/>
    <xf numFmtId="3" fontId="17" fillId="4" borderId="13" xfId="1" applyNumberFormat="1" applyFont="1" applyFill="1" applyBorder="1"/>
    <xf numFmtId="0" fontId="1" fillId="0" borderId="8" xfId="1" quotePrefix="1" applyBorder="1" applyAlignment="1">
      <alignment horizontal="left"/>
    </xf>
    <xf numFmtId="3" fontId="15" fillId="0" borderId="14" xfId="1" applyNumberFormat="1" applyFont="1" applyBorder="1" applyAlignment="1">
      <alignment horizontal="right"/>
    </xf>
    <xf numFmtId="3" fontId="15" fillId="0" borderId="9" xfId="1" applyNumberFormat="1" applyFont="1" applyBorder="1" applyAlignment="1">
      <alignment horizontal="right"/>
    </xf>
    <xf numFmtId="2" fontId="9" fillId="0" borderId="0" xfId="1" applyNumberFormat="1" applyFont="1" applyAlignment="1">
      <alignment horizontal="right"/>
    </xf>
    <xf numFmtId="0" fontId="9" fillId="0" borderId="15" xfId="1" quotePrefix="1" applyFont="1" applyBorder="1" applyAlignment="1">
      <alignment horizontal="left"/>
    </xf>
    <xf numFmtId="3" fontId="18" fillId="0" borderId="16" xfId="2" applyNumberFormat="1" applyFont="1" applyBorder="1"/>
    <xf numFmtId="0" fontId="9" fillId="0" borderId="5" xfId="1" quotePrefix="1" applyFont="1" applyBorder="1" applyAlignment="1">
      <alignment horizontal="left"/>
    </xf>
    <xf numFmtId="0" fontId="9" fillId="0" borderId="7" xfId="1" applyFont="1" applyBorder="1"/>
    <xf numFmtId="0" fontId="9" fillId="0" borderId="6" xfId="1" applyFont="1" applyBorder="1"/>
    <xf numFmtId="0" fontId="2" fillId="4" borderId="2" xfId="1" applyFont="1" applyFill="1" applyBorder="1" applyAlignment="1">
      <alignment horizontal="center"/>
    </xf>
    <xf numFmtId="3" fontId="1" fillId="0" borderId="7" xfId="1" applyNumberFormat="1" applyBorder="1"/>
    <xf numFmtId="0" fontId="20" fillId="4" borderId="5" xfId="1" applyFont="1" applyFill="1" applyBorder="1" applyAlignment="1">
      <alignment horizontal="center"/>
    </xf>
    <xf numFmtId="3" fontId="20" fillId="4" borderId="6" xfId="1" applyNumberFormat="1" applyFont="1" applyFill="1" applyBorder="1" applyAlignment="1">
      <alignment horizontal="center"/>
    </xf>
    <xf numFmtId="0" fontId="2" fillId="4" borderId="7" xfId="1" applyFont="1" applyFill="1" applyBorder="1" applyAlignment="1">
      <alignment horizontal="center"/>
    </xf>
    <xf numFmtId="0" fontId="22" fillId="0" borderId="4" xfId="1" applyFont="1" applyBorder="1"/>
    <xf numFmtId="3" fontId="1" fillId="0" borderId="10" xfId="1" applyNumberFormat="1" applyBorder="1"/>
    <xf numFmtId="3" fontId="1" fillId="0" borderId="3" xfId="1" applyNumberFormat="1" applyBorder="1"/>
    <xf numFmtId="0" fontId="22" fillId="0" borderId="5" xfId="1" quotePrefix="1" applyFont="1" applyBorder="1"/>
    <xf numFmtId="3" fontId="23" fillId="0" borderId="17" xfId="1" applyNumberFormat="1" applyFont="1" applyBorder="1"/>
    <xf numFmtId="166" fontId="0" fillId="0" borderId="14" xfId="2" applyNumberFormat="1" applyFont="1" applyBorder="1"/>
    <xf numFmtId="10" fontId="0" fillId="0" borderId="0" xfId="3" applyNumberFormat="1" applyFont="1"/>
    <xf numFmtId="3" fontId="18" fillId="0" borderId="18" xfId="2" applyNumberFormat="1" applyFont="1" applyBorder="1"/>
    <xf numFmtId="0" fontId="24" fillId="4" borderId="11" xfId="1" applyFont="1" applyFill="1" applyBorder="1"/>
    <xf numFmtId="3" fontId="1" fillId="4" borderId="13" xfId="1" applyNumberFormat="1" applyFill="1" applyBorder="1"/>
    <xf numFmtId="3" fontId="25" fillId="8" borderId="11" xfId="1" applyNumberFormat="1" applyFont="1" applyFill="1" applyBorder="1"/>
    <xf numFmtId="3" fontId="25" fillId="8" borderId="13" xfId="1" applyNumberFormat="1" applyFont="1" applyFill="1" applyBorder="1"/>
    <xf numFmtId="3" fontId="2" fillId="0" borderId="0" xfId="1" applyNumberFormat="1" applyFont="1" applyAlignment="1">
      <alignment horizontal="left"/>
    </xf>
    <xf numFmtId="0" fontId="1" fillId="0" borderId="5" xfId="1" quotePrefix="1" applyBorder="1"/>
    <xf numFmtId="3" fontId="18" fillId="0" borderId="19" xfId="2" applyNumberFormat="1" applyFont="1" applyBorder="1"/>
    <xf numFmtId="3" fontId="9" fillId="0" borderId="7" xfId="2" applyNumberFormat="1" applyFont="1" applyBorder="1"/>
    <xf numFmtId="3" fontId="9" fillId="0" borderId="6" xfId="2" applyNumberFormat="1" applyFont="1" applyBorder="1"/>
    <xf numFmtId="3" fontId="13" fillId="0" borderId="0" xfId="1" applyNumberFormat="1" applyFont="1"/>
    <xf numFmtId="166" fontId="0" fillId="0" borderId="7" xfId="2" applyNumberFormat="1" applyFont="1" applyBorder="1"/>
    <xf numFmtId="166" fontId="1" fillId="4" borderId="7" xfId="2" applyNumberFormat="1" applyFont="1" applyFill="1" applyBorder="1"/>
    <xf numFmtId="0" fontId="2" fillId="0" borderId="5" xfId="1" quotePrefix="1" applyFont="1" applyBorder="1" applyAlignment="1">
      <alignment horizontal="left"/>
    </xf>
    <xf numFmtId="3" fontId="2" fillId="0" borderId="7" xfId="1" applyNumberFormat="1" applyFont="1" applyBorder="1"/>
    <xf numFmtId="0" fontId="9" fillId="0" borderId="11" xfId="1" quotePrefix="1" applyFont="1" applyBorder="1" applyAlignment="1">
      <alignment horizontal="left"/>
    </xf>
    <xf numFmtId="3" fontId="17" fillId="0" borderId="17" xfId="2" applyNumberFormat="1" applyFont="1" applyBorder="1"/>
    <xf numFmtId="3" fontId="17" fillId="0" borderId="13" xfId="2" applyNumberFormat="1" applyFont="1" applyBorder="1"/>
    <xf numFmtId="0" fontId="2" fillId="4" borderId="17" xfId="1" applyFont="1" applyFill="1" applyBorder="1"/>
    <xf numFmtId="3" fontId="1" fillId="0" borderId="0" xfId="1" quotePrefix="1" applyNumberFormat="1" applyAlignment="1">
      <alignment horizontal="center"/>
    </xf>
    <xf numFmtId="3" fontId="2" fillId="3" borderId="17" xfId="1" applyNumberFormat="1" applyFont="1" applyFill="1" applyBorder="1" applyAlignment="1">
      <alignment horizontal="center"/>
    </xf>
    <xf numFmtId="0" fontId="1" fillId="4" borderId="10" xfId="1" applyFill="1" applyBorder="1" applyAlignment="1">
      <alignment horizontal="right"/>
    </xf>
    <xf numFmtId="0" fontId="1" fillId="4" borderId="10" xfId="1" quotePrefix="1" applyFill="1" applyBorder="1" applyAlignment="1">
      <alignment horizontal="right"/>
    </xf>
    <xf numFmtId="3" fontId="1" fillId="4" borderId="10" xfId="1" quotePrefix="1" applyNumberFormat="1" applyFill="1" applyBorder="1" applyAlignment="1">
      <alignment horizontal="right"/>
    </xf>
    <xf numFmtId="3" fontId="1" fillId="4" borderId="3" xfId="1" applyNumberFormat="1" applyFill="1" applyBorder="1" applyAlignment="1">
      <alignment horizontal="right"/>
    </xf>
    <xf numFmtId="0" fontId="1" fillId="4" borderId="5" xfId="1" applyFill="1" applyBorder="1"/>
    <xf numFmtId="167" fontId="11" fillId="4" borderId="0" xfId="1" applyNumberFormat="1" applyFont="1" applyFill="1"/>
    <xf numFmtId="3" fontId="11" fillId="4" borderId="0" xfId="2" applyNumberFormat="1" applyFont="1" applyFill="1" applyBorder="1"/>
    <xf numFmtId="165" fontId="11" fillId="4" borderId="0" xfId="2" applyNumberFormat="1" applyFont="1" applyFill="1" applyBorder="1"/>
    <xf numFmtId="165" fontId="1" fillId="4" borderId="0" xfId="1" applyNumberFormat="1" applyFill="1"/>
    <xf numFmtId="3" fontId="1" fillId="4" borderId="6" xfId="1" applyNumberFormat="1" applyFill="1" applyBorder="1"/>
    <xf numFmtId="0" fontId="2" fillId="4" borderId="5" xfId="1" applyFont="1" applyFill="1" applyBorder="1"/>
    <xf numFmtId="3" fontId="1" fillId="4" borderId="0" xfId="1" applyNumberFormat="1" applyFill="1"/>
    <xf numFmtId="0" fontId="17" fillId="0" borderId="0" xfId="1" applyFont="1" applyAlignment="1">
      <alignment horizontal="right"/>
    </xf>
    <xf numFmtId="0" fontId="1" fillId="4" borderId="8" xfId="1" quotePrefix="1" applyFill="1" applyBorder="1"/>
    <xf numFmtId="168" fontId="11" fillId="4" borderId="1" xfId="3" applyNumberFormat="1" applyFont="1" applyFill="1" applyBorder="1"/>
    <xf numFmtId="3" fontId="1" fillId="4" borderId="1" xfId="1" applyNumberFormat="1" applyFill="1" applyBorder="1"/>
    <xf numFmtId="3" fontId="11" fillId="4" borderId="1" xfId="2" applyNumberFormat="1" applyFont="1" applyFill="1" applyBorder="1"/>
    <xf numFmtId="3" fontId="1" fillId="4" borderId="9" xfId="1" applyNumberFormat="1" applyFill="1" applyBorder="1"/>
    <xf numFmtId="0" fontId="26" fillId="0" borderId="0" xfId="1" applyFont="1"/>
    <xf numFmtId="3" fontId="26" fillId="0" borderId="0" xfId="1" applyNumberFormat="1" applyFont="1"/>
    <xf numFmtId="167" fontId="11" fillId="0" borderId="0" xfId="1" applyNumberFormat="1" applyFont="1"/>
    <xf numFmtId="3" fontId="11" fillId="0" borderId="0" xfId="2" applyNumberFormat="1" applyFont="1"/>
    <xf numFmtId="3" fontId="17" fillId="0" borderId="0" xfId="1" applyNumberFormat="1" applyFont="1"/>
    <xf numFmtId="169" fontId="0" fillId="0" borderId="0" xfId="3" applyNumberFormat="1" applyFont="1"/>
    <xf numFmtId="0" fontId="2" fillId="4" borderId="4" xfId="1" applyFont="1" applyFill="1" applyBorder="1"/>
    <xf numFmtId="0" fontId="1" fillId="4" borderId="10" xfId="1" applyFill="1" applyBorder="1" applyAlignment="1">
      <alignment horizontal="center"/>
    </xf>
    <xf numFmtId="3" fontId="1" fillId="4" borderId="3" xfId="1" applyNumberFormat="1" applyFill="1" applyBorder="1" applyAlignment="1">
      <alignment horizontal="center"/>
    </xf>
    <xf numFmtId="10" fontId="11" fillId="4" borderId="0" xfId="3" applyNumberFormat="1" applyFont="1" applyFill="1" applyBorder="1" applyAlignment="1">
      <alignment horizontal="center"/>
    </xf>
    <xf numFmtId="3" fontId="11" fillId="4" borderId="0" xfId="2" applyNumberFormat="1" applyFont="1" applyFill="1" applyBorder="1" applyAlignment="1">
      <alignment horizontal="center"/>
    </xf>
    <xf numFmtId="3" fontId="1" fillId="4" borderId="6" xfId="1" applyNumberFormat="1" applyFill="1" applyBorder="1" applyAlignment="1">
      <alignment horizontal="center"/>
    </xf>
    <xf numFmtId="0" fontId="1" fillId="4" borderId="8" xfId="1" applyFill="1" applyBorder="1"/>
    <xf numFmtId="10" fontId="11" fillId="4" borderId="1" xfId="3" applyNumberFormat="1" applyFont="1" applyFill="1" applyBorder="1" applyAlignment="1">
      <alignment horizontal="center"/>
    </xf>
    <xf numFmtId="3" fontId="11" fillId="4" borderId="1" xfId="2" applyNumberFormat="1" applyFont="1" applyFill="1" applyBorder="1" applyAlignment="1">
      <alignment horizontal="center"/>
    </xf>
    <xf numFmtId="3" fontId="1" fillId="4" borderId="9" xfId="1" applyNumberFormat="1" applyFill="1" applyBorder="1" applyAlignment="1">
      <alignment horizontal="center"/>
    </xf>
    <xf numFmtId="0" fontId="2" fillId="0" borderId="0" xfId="1" applyFont="1"/>
    <xf numFmtId="3" fontId="2" fillId="3" borderId="13" xfId="1" applyNumberFormat="1" applyFont="1" applyFill="1" applyBorder="1" applyAlignment="1">
      <alignment horizontal="center"/>
    </xf>
    <xf numFmtId="0" fontId="1" fillId="4" borderId="4" xfId="1" applyFill="1" applyBorder="1" applyAlignment="1">
      <alignment horizontal="left"/>
    </xf>
    <xf numFmtId="3" fontId="1" fillId="4" borderId="2" xfId="1" applyNumberFormat="1" applyFill="1" applyBorder="1"/>
    <xf numFmtId="3" fontId="1" fillId="4" borderId="3" xfId="1" applyNumberFormat="1" applyFill="1" applyBorder="1"/>
    <xf numFmtId="0" fontId="1" fillId="4" borderId="5" xfId="1" applyFill="1" applyBorder="1" applyAlignment="1">
      <alignment horizontal="left"/>
    </xf>
    <xf numFmtId="3" fontId="1" fillId="4" borderId="7" xfId="1" applyNumberFormat="1" applyFill="1" applyBorder="1"/>
    <xf numFmtId="3" fontId="1" fillId="9" borderId="6" xfId="1" applyNumberFormat="1" applyFill="1" applyBorder="1"/>
    <xf numFmtId="170" fontId="1" fillId="0" borderId="0" xfId="1" applyNumberFormat="1"/>
    <xf numFmtId="10" fontId="1" fillId="4" borderId="7" xfId="1" applyNumberFormat="1" applyFill="1" applyBorder="1"/>
    <xf numFmtId="10" fontId="1" fillId="4" borderId="6" xfId="1" applyNumberFormat="1" applyFill="1" applyBorder="1"/>
    <xf numFmtId="0" fontId="1" fillId="4" borderId="5" xfId="1" quotePrefix="1" applyFill="1" applyBorder="1" applyAlignment="1">
      <alignment horizontal="left"/>
    </xf>
    <xf numFmtId="0" fontId="1" fillId="4" borderId="8" xfId="1" quotePrefix="1" applyFill="1" applyBorder="1" applyAlignment="1">
      <alignment horizontal="left"/>
    </xf>
    <xf numFmtId="3" fontId="1" fillId="4" borderId="14" xfId="1" applyNumberFormat="1" applyFill="1" applyBorder="1"/>
    <xf numFmtId="3" fontId="1" fillId="9" borderId="9" xfId="1" applyNumberFormat="1" applyFill="1" applyBorder="1"/>
    <xf numFmtId="171" fontId="0" fillId="0" borderId="0" xfId="2" applyNumberFormat="1" applyFont="1"/>
    <xf numFmtId="10" fontId="6" fillId="4" borderId="3" xfId="3" applyNumberFormat="1" applyFont="1" applyFill="1" applyBorder="1"/>
    <xf numFmtId="0" fontId="28" fillId="0" borderId="0" xfId="1" applyFont="1" applyAlignment="1">
      <alignment vertical="center" wrapText="1"/>
    </xf>
    <xf numFmtId="164" fontId="10" fillId="4" borderId="6" xfId="2" applyFont="1" applyFill="1" applyBorder="1"/>
    <xf numFmtId="0" fontId="29" fillId="10" borderId="20" xfId="1" applyFont="1" applyFill="1" applyBorder="1" applyAlignment="1">
      <alignment horizontal="left" vertical="top" wrapText="1"/>
    </xf>
    <xf numFmtId="0" fontId="29" fillId="10" borderId="21" xfId="1" applyFont="1" applyFill="1" applyBorder="1" applyAlignment="1">
      <alignment horizontal="left" vertical="top" wrapText="1"/>
    </xf>
    <xf numFmtId="171" fontId="29" fillId="10" borderId="3" xfId="2" applyNumberFormat="1" applyFont="1" applyFill="1" applyBorder="1" applyAlignment="1">
      <alignment horizontal="left" vertical="top" wrapText="1"/>
    </xf>
    <xf numFmtId="166" fontId="10" fillId="4" borderId="6" xfId="2" applyNumberFormat="1" applyFont="1" applyFill="1" applyBorder="1"/>
    <xf numFmtId="171" fontId="1" fillId="0" borderId="6" xfId="2" applyNumberFormat="1" applyFont="1" applyFill="1" applyBorder="1"/>
    <xf numFmtId="3" fontId="6" fillId="4" borderId="6" xfId="2" applyNumberFormat="1" applyFont="1" applyFill="1" applyBorder="1"/>
    <xf numFmtId="10" fontId="6" fillId="4" borderId="6" xfId="3" applyNumberFormat="1" applyFont="1" applyFill="1" applyBorder="1"/>
    <xf numFmtId="10" fontId="1" fillId="4" borderId="5" xfId="3" applyNumberFormat="1" applyFont="1" applyFill="1" applyBorder="1" applyAlignment="1">
      <alignment horizontal="left"/>
    </xf>
    <xf numFmtId="10" fontId="10" fillId="4" borderId="6" xfId="3" applyNumberFormat="1" applyFont="1" applyFill="1" applyBorder="1"/>
    <xf numFmtId="3" fontId="10" fillId="4" borderId="6" xfId="2" applyNumberFormat="1" applyFont="1" applyFill="1" applyBorder="1"/>
    <xf numFmtId="9" fontId="6" fillId="4" borderId="6" xfId="3" applyFont="1" applyFill="1" applyBorder="1"/>
    <xf numFmtId="3" fontId="30" fillId="4" borderId="6" xfId="2" applyNumberFormat="1" applyFont="1" applyFill="1" applyBorder="1"/>
    <xf numFmtId="168" fontId="30" fillId="4" borderId="6" xfId="3" applyNumberFormat="1" applyFont="1" applyFill="1" applyBorder="1"/>
    <xf numFmtId="3" fontId="1" fillId="4" borderId="5" xfId="1" applyNumberFormat="1" applyFill="1" applyBorder="1" applyAlignment="1">
      <alignment horizontal="left"/>
    </xf>
    <xf numFmtId="3" fontId="10" fillId="4" borderId="6" xfId="1" applyNumberFormat="1" applyFont="1" applyFill="1" applyBorder="1"/>
    <xf numFmtId="9" fontId="10" fillId="4" borderId="6" xfId="3" applyFont="1" applyFill="1" applyBorder="1"/>
    <xf numFmtId="9" fontId="6" fillId="4" borderId="9" xfId="3" applyFont="1" applyFill="1" applyBorder="1"/>
    <xf numFmtId="0" fontId="1" fillId="0" borderId="1" xfId="1" applyBorder="1"/>
    <xf numFmtId="171" fontId="1" fillId="0" borderId="9" xfId="2" applyNumberFormat="1" applyFont="1" applyFill="1" applyBorder="1"/>
    <xf numFmtId="3" fontId="31" fillId="11" borderId="0" xfId="1" applyNumberFormat="1" applyFont="1" applyFill="1"/>
    <xf numFmtId="3" fontId="32" fillId="11" borderId="0" xfId="1" applyNumberFormat="1" applyFont="1" applyFill="1"/>
    <xf numFmtId="3" fontId="33" fillId="11" borderId="0" xfId="1" applyNumberFormat="1" applyFont="1" applyFill="1"/>
    <xf numFmtId="3" fontId="33" fillId="11" borderId="22" xfId="1" applyNumberFormat="1" applyFont="1" applyFill="1" applyBorder="1"/>
    <xf numFmtId="3" fontId="34" fillId="12" borderId="23" xfId="1" applyNumberFormat="1" applyFont="1" applyFill="1" applyBorder="1"/>
    <xf numFmtId="3" fontId="35" fillId="12" borderId="24" xfId="1" applyNumberFormat="1" applyFont="1" applyFill="1" applyBorder="1" applyAlignment="1">
      <alignment horizontal="center"/>
    </xf>
    <xf numFmtId="1" fontId="35" fillId="12" borderId="24" xfId="1" applyNumberFormat="1" applyFont="1" applyFill="1" applyBorder="1" applyAlignment="1">
      <alignment horizontal="center"/>
    </xf>
    <xf numFmtId="1" fontId="35" fillId="12" borderId="25" xfId="1" applyNumberFormat="1" applyFont="1" applyFill="1" applyBorder="1" applyAlignment="1">
      <alignment horizontal="center"/>
    </xf>
    <xf numFmtId="3" fontId="33" fillId="11" borderId="26" xfId="1" applyNumberFormat="1" applyFont="1" applyFill="1" applyBorder="1"/>
    <xf numFmtId="3" fontId="33" fillId="11" borderId="27" xfId="1" applyNumberFormat="1" applyFont="1" applyFill="1" applyBorder="1"/>
    <xf numFmtId="3" fontId="33" fillId="12" borderId="28" xfId="1" applyNumberFormat="1" applyFont="1" applyFill="1" applyBorder="1" applyAlignment="1" applyProtection="1">
      <alignment horizontal="left"/>
      <protection locked="0" hidden="1"/>
    </xf>
    <xf numFmtId="3" fontId="33" fillId="12" borderId="29" xfId="1" applyNumberFormat="1" applyFont="1" applyFill="1" applyBorder="1" applyProtection="1">
      <protection locked="0" hidden="1"/>
    </xf>
    <xf numFmtId="3" fontId="33" fillId="12" borderId="30" xfId="1" applyNumberFormat="1" applyFont="1" applyFill="1" applyBorder="1" applyProtection="1">
      <protection locked="0" hidden="1"/>
    </xf>
    <xf numFmtId="3" fontId="35" fillId="12" borderId="31" xfId="1" applyNumberFormat="1" applyFont="1" applyFill="1" applyBorder="1" applyProtection="1">
      <protection hidden="1"/>
    </xf>
    <xf numFmtId="3" fontId="33" fillId="12" borderId="0" xfId="1" applyNumberFormat="1" applyFont="1" applyFill="1" applyProtection="1">
      <protection locked="0" hidden="1"/>
    </xf>
    <xf numFmtId="3" fontId="35" fillId="12" borderId="32" xfId="1" applyNumberFormat="1" applyFont="1" applyFill="1" applyBorder="1" applyProtection="1">
      <protection hidden="1"/>
    </xf>
    <xf numFmtId="3" fontId="34" fillId="12" borderId="28" xfId="1" applyNumberFormat="1" applyFont="1" applyFill="1" applyBorder="1" applyAlignment="1" applyProtection="1">
      <alignment horizontal="left"/>
      <protection locked="0" hidden="1"/>
    </xf>
    <xf numFmtId="3" fontId="35" fillId="12" borderId="33" xfId="1" applyNumberFormat="1" applyFont="1" applyFill="1" applyBorder="1" applyProtection="1">
      <protection locked="0" hidden="1"/>
    </xf>
    <xf numFmtId="3" fontId="35" fillId="12" borderId="34" xfId="1" applyNumberFormat="1" applyFont="1" applyFill="1" applyBorder="1" applyProtection="1">
      <protection locked="0" hidden="1"/>
    </xf>
    <xf numFmtId="3" fontId="35" fillId="12" borderId="35" xfId="1" applyNumberFormat="1" applyFont="1" applyFill="1" applyBorder="1" applyProtection="1">
      <protection hidden="1"/>
    </xf>
    <xf numFmtId="3" fontId="35" fillId="11" borderId="0" xfId="1" applyNumberFormat="1" applyFont="1" applyFill="1"/>
    <xf numFmtId="3" fontId="35" fillId="11" borderId="26" xfId="1" applyNumberFormat="1" applyFont="1" applyFill="1" applyBorder="1"/>
    <xf numFmtId="3" fontId="35" fillId="11" borderId="27" xfId="1" applyNumberFormat="1" applyFont="1" applyFill="1" applyBorder="1"/>
    <xf numFmtId="3" fontId="36" fillId="12" borderId="36" xfId="1" applyNumberFormat="1" applyFont="1" applyFill="1" applyBorder="1" applyAlignment="1" applyProtection="1">
      <alignment horizontal="left"/>
      <protection locked="0" hidden="1"/>
    </xf>
    <xf numFmtId="3" fontId="37" fillId="12" borderId="37" xfId="1" applyNumberFormat="1" applyFont="1" applyFill="1" applyBorder="1" applyProtection="1">
      <protection locked="0" hidden="1"/>
    </xf>
    <xf numFmtId="3" fontId="37" fillId="12" borderId="38" xfId="1" applyNumberFormat="1" applyFont="1" applyFill="1" applyBorder="1" applyProtection="1">
      <protection hidden="1"/>
    </xf>
    <xf numFmtId="3" fontId="36" fillId="11" borderId="0" xfId="1" applyNumberFormat="1" applyFont="1" applyFill="1"/>
    <xf numFmtId="3" fontId="36" fillId="11" borderId="39" xfId="1" applyNumberFormat="1" applyFont="1" applyFill="1" applyBorder="1"/>
    <xf numFmtId="3" fontId="33" fillId="13" borderId="0" xfId="1" applyNumberFormat="1" applyFont="1" applyFill="1" applyAlignment="1" applyProtection="1">
      <alignment horizontal="left"/>
      <protection locked="0" hidden="1"/>
    </xf>
    <xf numFmtId="3" fontId="33" fillId="13" borderId="0" xfId="1" applyNumberFormat="1" applyFont="1" applyFill="1" applyProtection="1">
      <protection locked="0" hidden="1"/>
    </xf>
    <xf numFmtId="3" fontId="33" fillId="13" borderId="0" xfId="1" applyNumberFormat="1" applyFont="1" applyFill="1" applyProtection="1">
      <protection hidden="1"/>
    </xf>
    <xf numFmtId="3" fontId="33" fillId="11" borderId="39" xfId="1" applyNumberFormat="1" applyFont="1" applyFill="1" applyBorder="1"/>
    <xf numFmtId="3" fontId="34" fillId="12" borderId="40" xfId="1" applyNumberFormat="1" applyFont="1" applyFill="1" applyBorder="1" applyAlignment="1" applyProtection="1">
      <alignment horizontal="left" vertical="center"/>
      <protection locked="0" hidden="1"/>
    </xf>
    <xf numFmtId="3" fontId="35" fillId="12" borderId="39" xfId="1" applyNumberFormat="1" applyFont="1" applyFill="1" applyBorder="1" applyAlignment="1">
      <alignment horizontal="center"/>
    </xf>
    <xf numFmtId="1" fontId="35" fillId="12" borderId="39" xfId="1" applyNumberFormat="1" applyFont="1" applyFill="1" applyBorder="1" applyAlignment="1">
      <alignment horizontal="center"/>
    </xf>
    <xf numFmtId="1" fontId="35" fillId="12" borderId="41" xfId="1" applyNumberFormat="1" applyFont="1" applyFill="1" applyBorder="1" applyAlignment="1">
      <alignment horizontal="center"/>
    </xf>
    <xf numFmtId="3" fontId="33" fillId="11" borderId="0" xfId="1" applyNumberFormat="1" applyFont="1" applyFill="1" applyAlignment="1">
      <alignment vertical="center"/>
    </xf>
    <xf numFmtId="3" fontId="33" fillId="11" borderId="39" xfId="1" applyNumberFormat="1" applyFont="1" applyFill="1" applyBorder="1" applyAlignment="1">
      <alignment vertical="center"/>
    </xf>
    <xf numFmtId="3" fontId="35" fillId="12" borderId="42" xfId="1" applyNumberFormat="1" applyFont="1" applyFill="1" applyBorder="1" applyAlignment="1" applyProtection="1">
      <alignment horizontal="left"/>
      <protection locked="0" hidden="1"/>
    </xf>
    <xf numFmtId="3" fontId="33" fillId="12" borderId="0" xfId="1" applyNumberFormat="1" applyFont="1" applyFill="1"/>
    <xf numFmtId="3" fontId="33" fillId="12" borderId="43" xfId="1" applyNumberFormat="1" applyFont="1" applyFill="1" applyBorder="1"/>
    <xf numFmtId="3" fontId="33" fillId="12" borderId="42" xfId="1" applyNumberFormat="1" applyFont="1" applyFill="1" applyBorder="1" applyAlignment="1" applyProtection="1">
      <alignment horizontal="left"/>
      <protection locked="0" hidden="1"/>
    </xf>
    <xf numFmtId="3" fontId="35" fillId="12" borderId="44" xfId="1" applyNumberFormat="1" applyFont="1" applyFill="1" applyBorder="1" applyProtection="1">
      <protection locked="0" hidden="1"/>
    </xf>
    <xf numFmtId="3" fontId="35" fillId="12" borderId="43" xfId="1" applyNumberFormat="1" applyFont="1" applyFill="1" applyBorder="1" applyProtection="1">
      <protection locked="0" hidden="1"/>
    </xf>
    <xf numFmtId="3" fontId="35" fillId="12" borderId="44" xfId="1" applyNumberFormat="1" applyFont="1" applyFill="1" applyBorder="1" applyProtection="1">
      <protection hidden="1"/>
    </xf>
    <xf numFmtId="3" fontId="35" fillId="12" borderId="43" xfId="1" applyNumberFormat="1" applyFont="1" applyFill="1" applyBorder="1" applyProtection="1">
      <protection hidden="1"/>
    </xf>
    <xf numFmtId="3" fontId="35" fillId="12" borderId="33" xfId="1" applyNumberFormat="1" applyFont="1" applyFill="1" applyBorder="1" applyProtection="1">
      <protection hidden="1"/>
    </xf>
    <xf numFmtId="3" fontId="35" fillId="12" borderId="34" xfId="1" applyNumberFormat="1" applyFont="1" applyFill="1" applyBorder="1" applyProtection="1">
      <protection hidden="1"/>
    </xf>
    <xf numFmtId="3" fontId="35" fillId="12" borderId="45" xfId="1" applyNumberFormat="1" applyFont="1" applyFill="1" applyBorder="1" applyProtection="1">
      <protection hidden="1"/>
    </xf>
    <xf numFmtId="3" fontId="36" fillId="12" borderId="42" xfId="1" applyNumberFormat="1" applyFont="1" applyFill="1" applyBorder="1" applyAlignment="1" applyProtection="1">
      <alignment horizontal="left"/>
      <protection locked="0" hidden="1"/>
    </xf>
    <xf numFmtId="3" fontId="37" fillId="12" borderId="0" xfId="1" applyNumberFormat="1" applyFont="1" applyFill="1" applyProtection="1">
      <protection hidden="1"/>
    </xf>
    <xf numFmtId="3" fontId="36" fillId="12" borderId="43" xfId="1" applyNumberFormat="1" applyFont="1" applyFill="1" applyBorder="1" applyProtection="1">
      <protection hidden="1"/>
    </xf>
    <xf numFmtId="3" fontId="36" fillId="11" borderId="26" xfId="1" applyNumberFormat="1" applyFont="1" applyFill="1" applyBorder="1"/>
    <xf numFmtId="3" fontId="36" fillId="11" borderId="27" xfId="1" applyNumberFormat="1" applyFont="1" applyFill="1" applyBorder="1"/>
    <xf numFmtId="3" fontId="35" fillId="12" borderId="43" xfId="1" applyNumberFormat="1" applyFont="1" applyFill="1" applyBorder="1"/>
    <xf numFmtId="3" fontId="33" fillId="12" borderId="46" xfId="1" applyNumberFormat="1" applyFont="1" applyFill="1" applyBorder="1" applyProtection="1">
      <protection locked="0" hidden="1"/>
    </xf>
    <xf numFmtId="3" fontId="33" fillId="12" borderId="47" xfId="1" applyNumberFormat="1" applyFont="1" applyFill="1" applyBorder="1" applyProtection="1">
      <protection locked="0" hidden="1"/>
    </xf>
    <xf numFmtId="3" fontId="35" fillId="12" borderId="48" xfId="1" applyNumberFormat="1" applyFont="1" applyFill="1" applyBorder="1" applyProtection="1">
      <protection hidden="1"/>
    </xf>
    <xf numFmtId="3" fontId="33" fillId="12" borderId="49" xfId="1" applyNumberFormat="1" applyFont="1" applyFill="1" applyBorder="1" applyProtection="1">
      <protection locked="0" hidden="1"/>
    </xf>
    <xf numFmtId="3" fontId="35" fillId="12" borderId="50" xfId="1" applyNumberFormat="1" applyFont="1" applyFill="1" applyBorder="1" applyProtection="1">
      <protection hidden="1"/>
    </xf>
    <xf numFmtId="3" fontId="33" fillId="12" borderId="33" xfId="1" applyNumberFormat="1" applyFont="1" applyFill="1" applyBorder="1" applyProtection="1">
      <protection locked="0" hidden="1"/>
    </xf>
    <xf numFmtId="3" fontId="33" fillId="12" borderId="34" xfId="1" applyNumberFormat="1" applyFont="1" applyFill="1" applyBorder="1" applyProtection="1">
      <protection locked="0" hidden="1"/>
    </xf>
    <xf numFmtId="3" fontId="38" fillId="11" borderId="0" xfId="1" applyNumberFormat="1" applyFont="1" applyFill="1"/>
    <xf numFmtId="3" fontId="33" fillId="12" borderId="51" xfId="1" applyNumberFormat="1" applyFont="1" applyFill="1" applyBorder="1" applyProtection="1">
      <protection locked="0" hidden="1"/>
    </xf>
    <xf numFmtId="3" fontId="33" fillId="12" borderId="29" xfId="1" applyNumberFormat="1" applyFont="1" applyFill="1" applyBorder="1" applyProtection="1">
      <protection hidden="1"/>
    </xf>
    <xf numFmtId="3" fontId="33" fillId="12" borderId="30" xfId="1" applyNumberFormat="1" applyFont="1" applyFill="1" applyBorder="1" applyProtection="1">
      <protection hidden="1"/>
    </xf>
    <xf numFmtId="3" fontId="33" fillId="12" borderId="0" xfId="1" applyNumberFormat="1" applyFont="1" applyFill="1" applyProtection="1">
      <protection hidden="1"/>
    </xf>
    <xf numFmtId="3" fontId="35" fillId="12" borderId="0" xfId="1" applyNumberFormat="1" applyFont="1" applyFill="1" applyProtection="1">
      <protection hidden="1"/>
    </xf>
    <xf numFmtId="3" fontId="37" fillId="11" borderId="0" xfId="1" applyNumberFormat="1" applyFont="1" applyFill="1"/>
    <xf numFmtId="3" fontId="37" fillId="11" borderId="26" xfId="1" applyNumberFormat="1" applyFont="1" applyFill="1" applyBorder="1"/>
    <xf numFmtId="3" fontId="37" fillId="11" borderId="27" xfId="1" applyNumberFormat="1" applyFont="1" applyFill="1" applyBorder="1"/>
    <xf numFmtId="3" fontId="35" fillId="12" borderId="45" xfId="1" applyNumberFormat="1" applyFont="1" applyFill="1" applyBorder="1" applyProtection="1">
      <protection locked="0" hidden="1"/>
    </xf>
    <xf numFmtId="3" fontId="37" fillId="12" borderId="0" xfId="1" applyNumberFormat="1" applyFont="1" applyFill="1" applyProtection="1">
      <protection locked="0" hidden="1"/>
    </xf>
    <xf numFmtId="3" fontId="36" fillId="12" borderId="43" xfId="1" applyNumberFormat="1" applyFont="1" applyFill="1" applyBorder="1" applyProtection="1">
      <protection locked="0" hidden="1"/>
    </xf>
    <xf numFmtId="3" fontId="36" fillId="14" borderId="42" xfId="1" applyNumberFormat="1" applyFont="1" applyFill="1" applyBorder="1" applyProtection="1">
      <protection locked="0" hidden="1"/>
    </xf>
    <xf numFmtId="3" fontId="37" fillId="14" borderId="0" xfId="1" applyNumberFormat="1" applyFont="1" applyFill="1"/>
    <xf numFmtId="3" fontId="36" fillId="14" borderId="43" xfId="1" applyNumberFormat="1" applyFont="1" applyFill="1" applyBorder="1"/>
    <xf numFmtId="3" fontId="34" fillId="14" borderId="42" xfId="1" applyNumberFormat="1" applyFont="1" applyFill="1" applyBorder="1" applyProtection="1">
      <protection locked="0" hidden="1"/>
    </xf>
    <xf numFmtId="3" fontId="35" fillId="14" borderId="33" xfId="1" applyNumberFormat="1" applyFont="1" applyFill="1" applyBorder="1"/>
    <xf numFmtId="3" fontId="35" fillId="14" borderId="34" xfId="1" applyNumberFormat="1" applyFont="1" applyFill="1" applyBorder="1"/>
    <xf numFmtId="3" fontId="35" fillId="14" borderId="52" xfId="1" applyNumberFormat="1" applyFont="1" applyFill="1" applyBorder="1"/>
    <xf numFmtId="3" fontId="37" fillId="14" borderId="53" xfId="1" applyNumberFormat="1" applyFont="1" applyFill="1" applyBorder="1" applyProtection="1">
      <protection locked="0" hidden="1"/>
    </xf>
    <xf numFmtId="3" fontId="37" fillId="14" borderId="22" xfId="1" applyNumberFormat="1" applyFont="1" applyFill="1" applyBorder="1"/>
    <xf numFmtId="3" fontId="36" fillId="14" borderId="54" xfId="1" applyNumberFormat="1" applyFont="1" applyFill="1" applyBorder="1"/>
    <xf numFmtId="3" fontId="33" fillId="11" borderId="55" xfId="1" applyNumberFormat="1" applyFont="1" applyFill="1" applyBorder="1" applyProtection="1">
      <protection locked="0" hidden="1"/>
    </xf>
    <xf numFmtId="3" fontId="33" fillId="11" borderId="55" xfId="1" applyNumberFormat="1" applyFont="1" applyFill="1" applyBorder="1"/>
    <xf numFmtId="3" fontId="34" fillId="14" borderId="40" xfId="1" applyNumberFormat="1" applyFont="1" applyFill="1" applyBorder="1" applyProtection="1">
      <protection locked="0" hidden="1"/>
    </xf>
    <xf numFmtId="3" fontId="35" fillId="14" borderId="39" xfId="1" applyNumberFormat="1" applyFont="1" applyFill="1" applyBorder="1" applyAlignment="1" applyProtection="1">
      <alignment horizontal="center"/>
      <protection locked="0" hidden="1"/>
    </xf>
    <xf numFmtId="1" fontId="35" fillId="14" borderId="39" xfId="1" applyNumberFormat="1" applyFont="1" applyFill="1" applyBorder="1" applyAlignment="1" applyProtection="1">
      <alignment horizontal="center"/>
      <protection locked="0" hidden="1"/>
    </xf>
    <xf numFmtId="1" fontId="35" fillId="14" borderId="41" xfId="1" applyNumberFormat="1" applyFont="1" applyFill="1" applyBorder="1" applyAlignment="1" applyProtection="1">
      <alignment horizontal="center"/>
      <protection locked="0" hidden="1"/>
    </xf>
    <xf numFmtId="3" fontId="33" fillId="14" borderId="42" xfId="1" applyNumberFormat="1" applyFont="1" applyFill="1" applyBorder="1" applyProtection="1">
      <protection locked="0" hidden="1"/>
    </xf>
    <xf numFmtId="3" fontId="33" fillId="14" borderId="33" xfId="1" applyNumberFormat="1" applyFont="1" applyFill="1" applyBorder="1" applyProtection="1">
      <protection hidden="1"/>
    </xf>
    <xf numFmtId="3" fontId="33" fillId="14" borderId="34" xfId="1" applyNumberFormat="1" applyFont="1" applyFill="1" applyBorder="1" applyProtection="1">
      <protection hidden="1"/>
    </xf>
    <xf numFmtId="3" fontId="35" fillId="14" borderId="45" xfId="1" applyNumberFormat="1" applyFont="1" applyFill="1" applyBorder="1" applyProtection="1">
      <protection hidden="1"/>
    </xf>
    <xf numFmtId="3" fontId="33" fillId="14" borderId="42" xfId="1" applyNumberFormat="1" applyFont="1" applyFill="1" applyBorder="1" applyAlignment="1">
      <alignment horizontal="left"/>
    </xf>
    <xf numFmtId="3" fontId="35" fillId="14" borderId="0" xfId="1" applyNumberFormat="1" applyFont="1" applyFill="1" applyAlignment="1">
      <alignment horizontal="left"/>
    </xf>
    <xf numFmtId="3" fontId="35" fillId="14" borderId="43" xfId="1" applyNumberFormat="1" applyFont="1" applyFill="1" applyBorder="1"/>
    <xf numFmtId="3" fontId="33" fillId="14" borderId="33" xfId="1" applyNumberFormat="1" applyFont="1" applyFill="1" applyBorder="1"/>
    <xf numFmtId="3" fontId="33" fillId="14" borderId="34" xfId="1" applyNumberFormat="1" applyFont="1" applyFill="1" applyBorder="1"/>
    <xf numFmtId="3" fontId="39" fillId="5" borderId="45" xfId="1" applyNumberFormat="1" applyFont="1" applyFill="1" applyBorder="1"/>
    <xf numFmtId="3" fontId="33" fillId="14" borderId="53" xfId="1" applyNumberFormat="1" applyFont="1" applyFill="1" applyBorder="1"/>
    <xf numFmtId="3" fontId="33" fillId="14" borderId="22" xfId="1" applyNumberFormat="1" applyFont="1" applyFill="1" applyBorder="1"/>
    <xf numFmtId="3" fontId="35" fillId="14" borderId="54" xfId="1" applyNumberFormat="1" applyFont="1" applyFill="1" applyBorder="1"/>
    <xf numFmtId="3" fontId="39" fillId="11" borderId="0" xfId="1" applyNumberFormat="1" applyFont="1" applyFill="1"/>
    <xf numFmtId="3" fontId="35" fillId="11" borderId="56" xfId="1" applyNumberFormat="1" applyFont="1" applyFill="1" applyBorder="1"/>
    <xf numFmtId="0" fontId="40" fillId="0" borderId="0" xfId="4"/>
    <xf numFmtId="0" fontId="42" fillId="0" borderId="0" xfId="0" applyFont="1"/>
    <xf numFmtId="0" fontId="1" fillId="6" borderId="0" xfId="1" applyFill="1"/>
    <xf numFmtId="0" fontId="19" fillId="4" borderId="4" xfId="1" applyFont="1" applyFill="1" applyBorder="1" applyAlignment="1">
      <alignment horizontal="center" vertical="center" wrapText="1"/>
    </xf>
    <xf numFmtId="0" fontId="19" fillId="4" borderId="10" xfId="1" applyFont="1" applyFill="1" applyBorder="1" applyAlignment="1">
      <alignment horizontal="center" vertical="center" wrapText="1"/>
    </xf>
    <xf numFmtId="0" fontId="19" fillId="4" borderId="3" xfId="1" applyFont="1" applyFill="1" applyBorder="1" applyAlignment="1">
      <alignment horizontal="center" vertical="center" wrapText="1"/>
    </xf>
    <xf numFmtId="0" fontId="19" fillId="4" borderId="8" xfId="1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 wrapText="1"/>
    </xf>
    <xf numFmtId="0" fontId="19" fillId="4" borderId="9" xfId="1" applyFont="1" applyFill="1" applyBorder="1" applyAlignment="1">
      <alignment horizontal="center" vertical="center" wrapText="1"/>
    </xf>
    <xf numFmtId="3" fontId="5" fillId="4" borderId="4" xfId="1" applyNumberFormat="1" applyFont="1" applyFill="1" applyBorder="1" applyAlignment="1">
      <alignment horizontal="center"/>
    </xf>
    <xf numFmtId="3" fontId="5" fillId="4" borderId="3" xfId="1" applyNumberFormat="1" applyFont="1" applyFill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7" fillId="4" borderId="5" xfId="1" applyNumberFormat="1" applyFont="1" applyFill="1" applyBorder="1" applyAlignment="1">
      <alignment horizontal="center" wrapText="1"/>
    </xf>
    <xf numFmtId="3" fontId="7" fillId="4" borderId="8" xfId="1" applyNumberFormat="1" applyFont="1" applyFill="1" applyBorder="1" applyAlignment="1">
      <alignment horizontal="center" wrapText="1"/>
    </xf>
    <xf numFmtId="3" fontId="8" fillId="4" borderId="6" xfId="1" applyNumberFormat="1" applyFont="1" applyFill="1" applyBorder="1" applyAlignment="1">
      <alignment horizontal="center" wrapText="1"/>
    </xf>
    <xf numFmtId="3" fontId="8" fillId="4" borderId="9" xfId="1" applyNumberFormat="1" applyFont="1" applyFill="1" applyBorder="1" applyAlignment="1">
      <alignment horizontal="center" wrapText="1"/>
    </xf>
    <xf numFmtId="0" fontId="27" fillId="0" borderId="0" xfId="1" applyFont="1" applyAlignment="1">
      <alignment horizontal="left" vertical="center" wrapText="1"/>
    </xf>
  </cellXfs>
  <cellStyles count="6">
    <cellStyle name="Komma 2" xfId="2" xr:uid="{C85C11B1-5F2F-144F-96D2-E559DD4BA16F}"/>
    <cellStyle name="Link 2" xfId="4" xr:uid="{D25E2790-D7D9-FB4F-BFCA-F929345ABD18}"/>
    <cellStyle name="Normal" xfId="0" builtinId="0"/>
    <cellStyle name="Normal 2" xfId="1" xr:uid="{9CA6B9CA-BA43-5B4B-85B6-67FFE67BFFC8}"/>
    <cellStyle name="Normal 4 2" xfId="5" xr:uid="{5AE121F3-84D3-3A44-B664-8153CE33D71C}"/>
    <cellStyle name="Procent 2" xfId="3" xr:uid="{4A97D23B-8056-204B-A8E9-346AFBE35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hedm/OneDrive/Dokumenter/2017-2018/FIVI/1.semester/03.%20Budget%20og%20R&#229;dighedsbel&#248;b/Opgaver/L&#216;SNING%20-%20Opgave%20II%20R&#229;dighedsbel&#248;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526f89a6a6bc9b4/Dokumenter/2019-2020/FR/1.semester/03.%20Budget%20og%20R&#229;dighedsbel&#248;b/Opgaver/L&#216;SNING%20Opgave%20II%20Jesper%20og%20Ann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fif.sharepoint.com/Users/ENG/Downloads/L&#216;SNING%20Opgave%20II%20Jesper%20og%20Anne%20(1).xlsx" TargetMode="External"/><Relationship Id="rId1" Type="http://schemas.openxmlformats.org/officeDocument/2006/relationships/externalLinkPath" Target="https://efif.sharepoint.com/Users/ENG/Downloads/L&#216;SNING%20Opgave%20II%20Jesper%20og%20Ann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lig"/>
      <sheetName val="Skat - Jesper rate"/>
      <sheetName val="1 - budget før barn"/>
      <sheetName val="spm 2-4 budget efter børn"/>
      <sheetName val="Skattesatser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lig"/>
      <sheetName val="Spg. 1 &amp; 2"/>
      <sheetName val="Skat Jesper indbetaler rate"/>
      <sheetName val="Spg. 4"/>
      <sheetName val="1 - budget før barn"/>
      <sheetName val="spg. 3-4"/>
      <sheetName val="Skattesatse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lig"/>
      <sheetName val="Spg. 1 &amp; 2"/>
      <sheetName val="skat"/>
      <sheetName val="1 - budget før barn"/>
      <sheetName val="2- nu med barn"/>
      <sheetName val="spg. 3-4"/>
      <sheetName val="Spg. 4"/>
      <sheetName val="Skattesatser"/>
    </sheetNames>
    <sheetDataSet>
      <sheetData sheetId="0"/>
      <sheetData sheetId="1"/>
      <sheetData sheetId="2">
        <row r="7">
          <cell r="C7">
            <v>6000</v>
          </cell>
          <cell r="D7">
            <v>7200</v>
          </cell>
        </row>
        <row r="8">
          <cell r="D8">
            <v>9800</v>
          </cell>
        </row>
        <row r="28">
          <cell r="C28">
            <v>2400</v>
          </cell>
          <cell r="D28">
            <v>5000</v>
          </cell>
        </row>
        <row r="31">
          <cell r="J31">
            <v>36067.560366666665</v>
          </cell>
          <cell r="L31">
            <v>17833.36778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6A3-62D9-B94E-990D-7A44CCF03BF3}">
  <sheetPr>
    <pageSetUpPr fitToPage="1"/>
  </sheetPr>
  <dimension ref="A1:AN393"/>
  <sheetViews>
    <sheetView tabSelected="1" topLeftCell="B1" zoomScale="120" zoomScaleNormal="120" workbookViewId="0">
      <selection activeCell="G8" sqref="G8"/>
    </sheetView>
  </sheetViews>
  <sheetFormatPr baseColWidth="10" defaultColWidth="8.83203125" defaultRowHeight="13"/>
  <cols>
    <col min="1" max="1" width="1.6640625" style="1" customWidth="1"/>
    <col min="2" max="2" width="51.83203125" style="4" customWidth="1"/>
    <col min="3" max="3" width="14" style="4" customWidth="1"/>
    <col min="4" max="4" width="14.5" style="3" customWidth="1"/>
    <col min="5" max="5" width="6.83203125" style="3" customWidth="1"/>
    <col min="6" max="6" width="37.5" style="3" customWidth="1"/>
    <col min="7" max="7" width="9.5" style="3" customWidth="1"/>
    <col min="8" max="8" width="12.1640625" style="3" customWidth="1"/>
    <col min="9" max="9" width="12.5" style="4" customWidth="1"/>
    <col min="10" max="10" width="13.5" style="4" customWidth="1"/>
    <col min="11" max="11" width="11.83203125" style="4" customWidth="1"/>
    <col min="12" max="12" width="14.5" style="4" customWidth="1"/>
    <col min="13" max="25" width="13.5" style="4" customWidth="1"/>
    <col min="26" max="27" width="11" style="4" customWidth="1"/>
    <col min="28" max="28" width="14.1640625" style="4" customWidth="1"/>
    <col min="29" max="40" width="11" style="4" customWidth="1"/>
    <col min="41" max="16384" width="8.83203125" style="4"/>
  </cols>
  <sheetData>
    <row r="1" spans="1:32" ht="19" thickBot="1">
      <c r="B1" s="2" t="s">
        <v>0</v>
      </c>
      <c r="C1" s="315" t="s">
        <v>1</v>
      </c>
      <c r="D1" s="315"/>
      <c r="F1" s="4"/>
      <c r="G1" s="4"/>
      <c r="H1" s="4"/>
    </row>
    <row r="2" spans="1:32" ht="14" thickBot="1">
      <c r="B2" s="5" t="s">
        <v>2</v>
      </c>
      <c r="C2" s="6" t="s">
        <v>3</v>
      </c>
      <c r="D2" s="7" t="s">
        <v>4</v>
      </c>
      <c r="F2" s="8"/>
      <c r="I2" s="313" t="str">
        <f>C2</f>
        <v>Jesper</v>
      </c>
      <c r="J2" s="314"/>
      <c r="K2" s="313" t="str">
        <f>D2</f>
        <v>Anne</v>
      </c>
      <c r="L2" s="314"/>
    </row>
    <row r="3" spans="1:32">
      <c r="B3" s="9" t="s">
        <v>5</v>
      </c>
      <c r="C3" s="10">
        <v>0</v>
      </c>
      <c r="D3" s="10">
        <v>24000</v>
      </c>
      <c r="F3" s="11"/>
      <c r="G3" s="12"/>
      <c r="H3" s="13"/>
      <c r="I3" s="316" t="s">
        <v>6</v>
      </c>
      <c r="J3" s="318" t="s">
        <v>7</v>
      </c>
      <c r="K3" s="316" t="s">
        <v>6</v>
      </c>
      <c r="L3" s="318" t="s">
        <v>7</v>
      </c>
    </row>
    <row r="4" spans="1:32" ht="14" thickBot="1">
      <c r="B4" s="14" t="s">
        <v>8</v>
      </c>
      <c r="C4" s="15">
        <v>0</v>
      </c>
      <c r="D4" s="16">
        <v>0</v>
      </c>
      <c r="F4" s="17" t="s">
        <v>9</v>
      </c>
      <c r="G4" s="18" t="s">
        <v>10</v>
      </c>
      <c r="H4" s="19" t="s">
        <v>11</v>
      </c>
      <c r="I4" s="317"/>
      <c r="J4" s="319"/>
      <c r="K4" s="317"/>
      <c r="L4" s="319"/>
    </row>
    <row r="5" spans="1:32">
      <c r="B5" s="14" t="s">
        <v>12</v>
      </c>
      <c r="C5" s="15">
        <v>29</v>
      </c>
      <c r="D5" s="15">
        <v>27</v>
      </c>
      <c r="F5" s="9" t="s">
        <v>13</v>
      </c>
      <c r="G5" s="20">
        <f>Bundskat</f>
        <v>0.1201</v>
      </c>
      <c r="H5" s="21">
        <f>Personfradrag</f>
        <v>51600</v>
      </c>
      <c r="I5" s="22">
        <f>IF($AC$28=1,($C$31+$AC$29),$C$77)-($H$5+$AB$41)</f>
        <v>635556</v>
      </c>
      <c r="J5" s="23">
        <f>+IF(I5&gt;0,G5*I5,0)</f>
        <v>76330.275599999994</v>
      </c>
      <c r="K5" s="24">
        <f>IF(AC28=1,(D31+AD29),$D$77)-H5</f>
        <v>244040</v>
      </c>
      <c r="L5" s="25">
        <f>+IF(K5&gt;0,K5*G5,0)</f>
        <v>29309.203999999998</v>
      </c>
    </row>
    <row r="6" spans="1:32">
      <c r="B6" s="14" t="s">
        <v>14</v>
      </c>
      <c r="C6" s="26" t="s">
        <v>15</v>
      </c>
      <c r="D6" s="27" t="s">
        <v>16</v>
      </c>
      <c r="F6" s="14" t="s">
        <v>17</v>
      </c>
      <c r="G6" s="28">
        <f>Topskat</f>
        <v>0.15</v>
      </c>
      <c r="H6" s="29">
        <f>TopSkatGranse</f>
        <v>611800</v>
      </c>
      <c r="I6" s="24">
        <f>MAX((C78-$H$6),0)</f>
        <v>72956</v>
      </c>
      <c r="J6" s="30">
        <f>G6*I6</f>
        <v>10943.4</v>
      </c>
      <c r="K6" s="24">
        <f>MAX((D77-$H$6),0)</f>
        <v>0</v>
      </c>
      <c r="L6" s="30">
        <f>G6*K6</f>
        <v>0</v>
      </c>
    </row>
    <row r="7" spans="1:32">
      <c r="B7" s="14" t="s">
        <v>18</v>
      </c>
      <c r="C7" s="15">
        <v>6000</v>
      </c>
      <c r="D7" s="16">
        <v>7200</v>
      </c>
      <c r="F7" s="14" t="s">
        <v>19</v>
      </c>
      <c r="G7" s="28">
        <f>Sundhedsbidrag</f>
        <v>0</v>
      </c>
      <c r="H7" s="29">
        <f>Personfradrag</f>
        <v>51600</v>
      </c>
      <c r="I7" s="24">
        <f>($C$45+AB29)-(H7+AB43)</f>
        <v>561000</v>
      </c>
      <c r="J7" s="30">
        <f>+IF(I7&gt;0,I7*G7,0)</f>
        <v>0</v>
      </c>
      <c r="K7" s="24">
        <f>($D$45-AB29)-H7</f>
        <v>151821.6</v>
      </c>
      <c r="L7" s="30">
        <f>+IF(K7&gt;0,G7*K7,0)</f>
        <v>0</v>
      </c>
    </row>
    <row r="8" spans="1:32">
      <c r="B8" s="14" t="s">
        <v>20</v>
      </c>
      <c r="C8" s="15">
        <v>0</v>
      </c>
      <c r="D8" s="16">
        <v>9800</v>
      </c>
      <c r="F8" s="14" t="s">
        <v>21</v>
      </c>
      <c r="G8" s="28">
        <f>C13</f>
        <v>0.2452</v>
      </c>
      <c r="H8" s="29">
        <f>Personfradrag</f>
        <v>51600</v>
      </c>
      <c r="I8" s="24">
        <f>($C$45+AB29)-(H8+AB44)</f>
        <v>561000</v>
      </c>
      <c r="J8" s="30">
        <f>+IF(I8&gt;0,$C$13*I8,0)</f>
        <v>137557.20000000001</v>
      </c>
      <c r="K8" s="24">
        <f>($D$45-AB29)-H8</f>
        <v>151821.6</v>
      </c>
      <c r="L8" s="30">
        <f>+IF(K8&gt;0,$D$13*K8,0)</f>
        <v>37226.656320000002</v>
      </c>
    </row>
    <row r="9" spans="1:32" ht="14" thickBot="1">
      <c r="B9" s="31" t="s">
        <v>22</v>
      </c>
      <c r="C9" s="32">
        <v>5</v>
      </c>
      <c r="D9" s="33">
        <v>54</v>
      </c>
      <c r="F9" s="14" t="s">
        <v>23</v>
      </c>
      <c r="G9" s="28">
        <f>C14</f>
        <v>0</v>
      </c>
      <c r="H9" s="29">
        <f>Personfradrag</f>
        <v>51600</v>
      </c>
      <c r="I9" s="24">
        <f>($C$45+AB29)-(H9+AB45)</f>
        <v>561000</v>
      </c>
      <c r="J9" s="30">
        <f>+IF(I9&gt;0,$C$14*I9,0)</f>
        <v>0</v>
      </c>
      <c r="K9" s="24">
        <f>($D$45-AB29)-H9</f>
        <v>151821.6</v>
      </c>
      <c r="L9" s="30">
        <f>+IF(K9&gt;0,$D$14*K9,0)</f>
        <v>0</v>
      </c>
    </row>
    <row r="10" spans="1:32" ht="14" thickBot="1">
      <c r="B10" s="14" t="s">
        <v>24</v>
      </c>
      <c r="C10" s="15">
        <v>216</v>
      </c>
      <c r="D10" s="16">
        <v>216</v>
      </c>
      <c r="F10" s="34"/>
      <c r="G10" s="35"/>
      <c r="H10" s="36"/>
      <c r="I10" s="37"/>
      <c r="J10" s="38">
        <f>SUM(J5:J9)</f>
        <v>224830.8756</v>
      </c>
      <c r="K10" s="36"/>
      <c r="L10" s="38">
        <f>SUM(L5:L9)</f>
        <v>66535.860320000007</v>
      </c>
    </row>
    <row r="11" spans="1:32">
      <c r="B11" s="14" t="s">
        <v>25</v>
      </c>
      <c r="C11" s="26" t="s">
        <v>16</v>
      </c>
      <c r="D11" s="27" t="s">
        <v>16</v>
      </c>
      <c r="F11" s="24"/>
      <c r="I11" s="39"/>
      <c r="J11" s="40"/>
      <c r="K11" s="41"/>
      <c r="L11" s="42"/>
    </row>
    <row r="12" spans="1:32" ht="14" thickBot="1">
      <c r="B12" s="43" t="s">
        <v>26</v>
      </c>
      <c r="C12" s="26" t="s">
        <v>27</v>
      </c>
      <c r="D12" s="27" t="str">
        <f>C12</f>
        <v>Aarhus</v>
      </c>
      <c r="F12" s="44" t="s">
        <v>28</v>
      </c>
      <c r="G12" s="28"/>
      <c r="I12" s="24"/>
      <c r="J12" s="45">
        <f>IF(AA29&gt;=0,0,IF(AA29&gt;=GranseNegKIPar,TillagNegKI*AA29,TillagNegKI*GranseNegKIPar))</f>
        <v>0</v>
      </c>
      <c r="K12" s="3"/>
      <c r="L12" s="25"/>
    </row>
    <row r="13" spans="1:32">
      <c r="B13" s="14" t="s">
        <v>29</v>
      </c>
      <c r="C13" s="46">
        <f>VLOOKUP($C$12,Skattesatser!$B$6:$E$103,2)/100</f>
        <v>0.2452</v>
      </c>
      <c r="D13" s="46">
        <f>VLOOKUP($D$12,Skattesatser!$B$6:$E$103,2)/100</f>
        <v>0.2452</v>
      </c>
      <c r="F13" s="47" t="s">
        <v>30</v>
      </c>
      <c r="G13" s="4"/>
      <c r="I13" s="48">
        <f>IF($C$81&gt;SkraatSkatteloftPI,$C$81-SkraatSkatteloftPI,0)</f>
        <v>0</v>
      </c>
      <c r="J13" s="45">
        <f>-I13*C83</f>
        <v>0</v>
      </c>
      <c r="K13" s="49">
        <f>IF($D$81&gt;SkraatSkatteloftPI,$D$81-SkraatSkatteloftPI,0)</f>
        <v>0</v>
      </c>
      <c r="L13" s="45">
        <f>-K13*D83</f>
        <v>0</v>
      </c>
    </row>
    <row r="14" spans="1:32" s="52" customFormat="1">
      <c r="A14" s="50"/>
      <c r="B14" s="14" t="s">
        <v>31</v>
      </c>
      <c r="C14" s="51">
        <f>IF(C11="ja",VLOOKUP($C$12,Skattesatser!$B$6:$E$103,3)/100,0)</f>
        <v>0</v>
      </c>
      <c r="D14" s="51">
        <f>IF(D11="ja",VLOOKUP($C$12,Skattesatser!$B$6:$E$103,3)/100,0)</f>
        <v>0</v>
      </c>
      <c r="F14" s="47" t="s">
        <v>32</v>
      </c>
      <c r="G14" s="4"/>
      <c r="H14" s="3"/>
      <c r="I14" s="48">
        <f>IF($C$81&gt;SkraatSkatteloftKI,$C$81-SkraatSkatteloftKI,0)</f>
        <v>9.5299999999999996E-2</v>
      </c>
      <c r="J14" s="45">
        <f>-I14*C84</f>
        <v>0</v>
      </c>
      <c r="K14" s="3"/>
      <c r="L14" s="25"/>
    </row>
    <row r="15" spans="1:32" s="52" customFormat="1" ht="14" thickBot="1">
      <c r="A15" s="50"/>
      <c r="B15" s="14" t="s">
        <v>33</v>
      </c>
      <c r="C15" s="53">
        <f>VLOOKUP($C$12,Skattesatser!$B$6:$E$103,4)/1000</f>
        <v>6.0000000000000001E-3</v>
      </c>
      <c r="D15" s="54"/>
      <c r="F15" s="47"/>
      <c r="G15" s="4"/>
      <c r="H15" s="3"/>
      <c r="I15" s="55"/>
      <c r="J15" s="30">
        <f>SUM(J10:J14)</f>
        <v>224830.8756</v>
      </c>
      <c r="K15" s="3"/>
      <c r="L15" s="30">
        <f>SUM(L10:L14)</f>
        <v>66535.860320000007</v>
      </c>
    </row>
    <row r="16" spans="1:32" s="52" customFormat="1" ht="14" thickBot="1">
      <c r="A16" s="50"/>
      <c r="B16" s="56" t="s">
        <v>34</v>
      </c>
      <c r="C16" s="15">
        <v>0</v>
      </c>
      <c r="D16" s="57"/>
      <c r="F16" s="44"/>
      <c r="G16" s="58"/>
      <c r="H16" s="3"/>
      <c r="I16" s="55"/>
      <c r="J16" s="25"/>
      <c r="K16" s="3"/>
      <c r="L16" s="59"/>
      <c r="AF16" s="4"/>
    </row>
    <row r="17" spans="1:32" s="52" customFormat="1">
      <c r="A17" s="50"/>
      <c r="B17" s="47" t="s">
        <v>35</v>
      </c>
      <c r="C17" s="15">
        <v>0</v>
      </c>
      <c r="D17" s="57"/>
      <c r="F17" s="60"/>
      <c r="G17" s="61"/>
      <c r="H17" s="61"/>
      <c r="I17" s="62"/>
      <c r="J17" s="23"/>
      <c r="K17" s="62"/>
      <c r="L17" s="23"/>
      <c r="AF17" s="4"/>
    </row>
    <row r="18" spans="1:32" s="52" customFormat="1" ht="14" thickBot="1">
      <c r="A18" s="50"/>
      <c r="B18" s="63" t="s">
        <v>36</v>
      </c>
      <c r="C18" s="64">
        <v>0</v>
      </c>
      <c r="D18" s="65"/>
      <c r="F18" s="44" t="s">
        <v>37</v>
      </c>
      <c r="I18" s="66"/>
      <c r="J18" s="30">
        <f>J15+C27</f>
        <v>284374.87560000003</v>
      </c>
      <c r="K18" s="66"/>
      <c r="L18" s="30">
        <f>L15+D27</f>
        <v>93895.860320000007</v>
      </c>
      <c r="AF18" s="4"/>
    </row>
    <row r="19" spans="1:32" s="68" customFormat="1" ht="14" thickBot="1">
      <c r="A19" s="67"/>
      <c r="F19" s="69" t="s">
        <v>38</v>
      </c>
      <c r="I19" s="70"/>
      <c r="J19" s="30">
        <f>+F71/2</f>
        <v>0</v>
      </c>
      <c r="K19" s="70"/>
      <c r="L19" s="30">
        <f>J19</f>
        <v>0</v>
      </c>
      <c r="AF19" s="4"/>
    </row>
    <row r="20" spans="1:32" s="68" customFormat="1">
      <c r="A20" s="67"/>
      <c r="B20" s="71" t="s">
        <v>39</v>
      </c>
      <c r="C20" s="72">
        <f>12*65000</f>
        <v>780000</v>
      </c>
      <c r="D20" s="73">
        <f>12*30000</f>
        <v>360000</v>
      </c>
      <c r="E20" s="74"/>
      <c r="F20" s="44" t="s">
        <v>40</v>
      </c>
      <c r="I20" s="70"/>
      <c r="J20" s="30">
        <f>F72/2</f>
        <v>0</v>
      </c>
      <c r="K20" s="70"/>
      <c r="L20" s="30">
        <f>J20</f>
        <v>0</v>
      </c>
      <c r="AB20" s="4"/>
      <c r="AC20" s="4"/>
      <c r="AD20" s="4"/>
      <c r="AE20" s="4"/>
      <c r="AF20" s="4"/>
    </row>
    <row r="21" spans="1:32" s="68" customFormat="1">
      <c r="A21" s="67"/>
      <c r="B21" s="44" t="s">
        <v>41</v>
      </c>
      <c r="C21" s="75">
        <v>0.05</v>
      </c>
      <c r="D21" s="76">
        <v>0.05</v>
      </c>
      <c r="E21" s="74"/>
      <c r="F21" s="44" t="s">
        <v>42</v>
      </c>
      <c r="I21" s="70"/>
      <c r="J21" s="30">
        <f>-C18/2</f>
        <v>0</v>
      </c>
      <c r="K21" s="70"/>
      <c r="L21" s="30">
        <f>J21</f>
        <v>0</v>
      </c>
      <c r="AB21" s="4"/>
      <c r="AC21" s="4"/>
      <c r="AD21" s="4"/>
      <c r="AE21" s="4"/>
      <c r="AF21" s="4"/>
    </row>
    <row r="22" spans="1:32" ht="14" thickBot="1">
      <c r="B22" s="44" t="s">
        <v>43</v>
      </c>
      <c r="C22" s="77">
        <f>C21*C20</f>
        <v>39000</v>
      </c>
      <c r="D22" s="78">
        <f>D21*D20</f>
        <v>18000</v>
      </c>
      <c r="F22" s="44"/>
      <c r="G22" s="68"/>
      <c r="H22" s="68"/>
      <c r="I22" s="70"/>
      <c r="J22" s="30"/>
      <c r="K22" s="70"/>
      <c r="L22" s="30"/>
    </row>
    <row r="23" spans="1:32" ht="17" thickBot="1">
      <c r="B23" s="44" t="s">
        <v>44</v>
      </c>
      <c r="C23" s="79">
        <v>0</v>
      </c>
      <c r="D23" s="80">
        <v>0</v>
      </c>
      <c r="F23" s="81" t="s">
        <v>45</v>
      </c>
      <c r="G23" s="82"/>
      <c r="H23" s="82"/>
      <c r="I23" s="83"/>
      <c r="J23" s="84">
        <f>SUM(J18:J22)</f>
        <v>284374.87560000003</v>
      </c>
      <c r="K23" s="83"/>
      <c r="L23" s="84">
        <f>SUM(L18:L22)</f>
        <v>93895.860320000007</v>
      </c>
      <c r="M23" s="3"/>
    </row>
    <row r="24" spans="1:32" ht="14" thickBot="1">
      <c r="B24" s="85" t="s">
        <v>46</v>
      </c>
      <c r="C24" s="86">
        <f>IF(C6="ja",FriTelefon,0)</f>
        <v>3300</v>
      </c>
      <c r="D24" s="87">
        <f>IF(D6="ja",FriTelefon,0)</f>
        <v>0</v>
      </c>
    </row>
    <row r="25" spans="1:32" s="68" customFormat="1" ht="15" thickBot="1">
      <c r="A25" s="88"/>
      <c r="B25" s="89" t="s">
        <v>47</v>
      </c>
      <c r="C25" s="90">
        <f>C20-C22+C23+C24</f>
        <v>744300</v>
      </c>
      <c r="D25" s="90">
        <f>D20-D22+D23+D24</f>
        <v>342000</v>
      </c>
      <c r="E25" s="74"/>
      <c r="F25" s="3"/>
      <c r="G25" s="3"/>
      <c r="H25" s="3"/>
      <c r="I25" s="4"/>
      <c r="J25" s="4"/>
      <c r="K25" s="4"/>
      <c r="L25" s="4"/>
    </row>
    <row r="26" spans="1:32" ht="15.75" customHeight="1" thickTop="1">
      <c r="A26" s="50"/>
      <c r="B26" s="91"/>
      <c r="C26" s="92"/>
      <c r="D26" s="93"/>
      <c r="F26" s="307" t="s">
        <v>48</v>
      </c>
      <c r="G26" s="308"/>
      <c r="H26" s="309"/>
      <c r="I26" s="313" t="str">
        <f>C2</f>
        <v>Jesper</v>
      </c>
      <c r="J26" s="314"/>
      <c r="K26" s="313" t="str">
        <f>D2</f>
        <v>Anne</v>
      </c>
      <c r="L26" s="314"/>
      <c r="AB26" s="94" t="s">
        <v>49</v>
      </c>
      <c r="AC26" s="4" t="s">
        <v>50</v>
      </c>
    </row>
    <row r="27" spans="1:32" ht="14" thickBot="1">
      <c r="A27" s="50"/>
      <c r="B27" s="91" t="s">
        <v>51</v>
      </c>
      <c r="C27" s="95">
        <f>ArbBidrag*C25</f>
        <v>59544</v>
      </c>
      <c r="D27" s="95">
        <f>ArbBidrag*D25</f>
        <v>27360</v>
      </c>
      <c r="F27" s="310"/>
      <c r="G27" s="311"/>
      <c r="H27" s="312"/>
      <c r="I27" s="96" t="s">
        <v>52</v>
      </c>
      <c r="J27" s="97" t="s">
        <v>53</v>
      </c>
      <c r="K27" s="96" t="s">
        <v>52</v>
      </c>
      <c r="L27" s="97" t="s">
        <v>53</v>
      </c>
      <c r="AB27" s="98" t="s">
        <v>54</v>
      </c>
      <c r="AC27" s="4" t="s">
        <v>55</v>
      </c>
      <c r="AD27" s="4" t="s">
        <v>56</v>
      </c>
    </row>
    <row r="28" spans="1:32" ht="17" thickBot="1">
      <c r="A28" s="50"/>
      <c r="B28" s="44" t="s">
        <v>57</v>
      </c>
      <c r="C28" s="15">
        <v>0</v>
      </c>
      <c r="D28" s="16">
        <v>0</v>
      </c>
      <c r="F28" s="99" t="s">
        <v>58</v>
      </c>
      <c r="G28" s="100"/>
      <c r="H28" s="101"/>
      <c r="I28" s="22">
        <f>C20+C23+C28</f>
        <v>780000</v>
      </c>
      <c r="J28" s="101">
        <f>I28/12</f>
        <v>65000</v>
      </c>
      <c r="K28" s="22">
        <f>D20+D23+D28</f>
        <v>360000</v>
      </c>
      <c r="L28" s="101">
        <f>K28/12</f>
        <v>30000</v>
      </c>
      <c r="AB28" s="98" t="s">
        <v>59</v>
      </c>
      <c r="AC28" s="4">
        <f>IF(AA29&lt;0,0,IF((C35+0.00000001)*(D35+0.0000001)&lt;0,1,0))</f>
        <v>0</v>
      </c>
    </row>
    <row r="29" spans="1:32" ht="17" thickBot="1">
      <c r="A29" s="50"/>
      <c r="B29" s="44" t="s">
        <v>60</v>
      </c>
      <c r="C29" s="95">
        <f>IF(C3&gt;RatepensionMax,RatepensionMax,C3)</f>
        <v>0</v>
      </c>
      <c r="D29" s="95">
        <f>IF(D3&gt;RatepensionMax,RatepensionMax,D3)</f>
        <v>24000</v>
      </c>
      <c r="F29" s="102" t="s">
        <v>61</v>
      </c>
      <c r="H29" s="25"/>
      <c r="I29" s="24">
        <f>C22</f>
        <v>39000</v>
      </c>
      <c r="J29" s="25">
        <f>I29/12</f>
        <v>3250</v>
      </c>
      <c r="K29" s="24">
        <f>D22</f>
        <v>18000</v>
      </c>
      <c r="L29" s="25">
        <f>K29/12</f>
        <v>1500</v>
      </c>
      <c r="AA29" s="103">
        <f>SUM(C35:D35)</f>
        <v>7400</v>
      </c>
      <c r="AB29" s="104">
        <f>IF(D45&lt;0,IF(D31-D43&lt;0,D35,D35+D31-D43),0)</f>
        <v>0</v>
      </c>
      <c r="AC29" s="4">
        <f>IF(AC28=1,C35+D35,0)</f>
        <v>0</v>
      </c>
      <c r="AD29" s="4">
        <f>IF(AC28=1,0,D35)</f>
        <v>5000</v>
      </c>
    </row>
    <row r="30" spans="1:32" ht="17" thickBot="1">
      <c r="A30" s="50"/>
      <c r="B30" s="44" t="s">
        <v>62</v>
      </c>
      <c r="C30" s="95">
        <f>+C4</f>
        <v>0</v>
      </c>
      <c r="D30" s="25">
        <f>+D4</f>
        <v>0</v>
      </c>
      <c r="F30" s="102" t="s">
        <v>63</v>
      </c>
      <c r="H30" s="25"/>
      <c r="I30" s="24">
        <f>J23</f>
        <v>284374.87560000003</v>
      </c>
      <c r="J30" s="25">
        <f>I30/12</f>
        <v>23697.906300000002</v>
      </c>
      <c r="K30" s="24">
        <f>L23</f>
        <v>93895.860320000007</v>
      </c>
      <c r="L30" s="25">
        <f>K30/12</f>
        <v>7824.6550266666673</v>
      </c>
      <c r="M30" s="3"/>
      <c r="N30" s="105"/>
    </row>
    <row r="31" spans="1:32" ht="17" thickBot="1">
      <c r="A31" s="50"/>
      <c r="B31" s="89" t="s">
        <v>64</v>
      </c>
      <c r="C31" s="106">
        <f>C25-C27+C28-C29-C30</f>
        <v>684756</v>
      </c>
      <c r="D31" s="106">
        <f>D25-D27+D28-D29-D30</f>
        <v>290640</v>
      </c>
      <c r="F31" s="107" t="s">
        <v>48</v>
      </c>
      <c r="G31" s="82"/>
      <c r="H31" s="108"/>
      <c r="I31" s="109">
        <f>I28-I29-I30</f>
        <v>456625.12439999997</v>
      </c>
      <c r="J31" s="110">
        <f>I31/12</f>
        <v>38052.093699999998</v>
      </c>
      <c r="K31" s="109">
        <f>K28-K29-K30</f>
        <v>248104.13967999999</v>
      </c>
      <c r="L31" s="110">
        <f>K31/12</f>
        <v>20675.344973333333</v>
      </c>
      <c r="Z31" s="3"/>
    </row>
    <row r="32" spans="1:32" ht="14" thickTop="1">
      <c r="A32" s="50"/>
      <c r="B32" s="44"/>
      <c r="C32" s="14"/>
      <c r="D32" s="42"/>
      <c r="Z32" s="3"/>
    </row>
    <row r="33" spans="1:28">
      <c r="B33" s="44" t="s">
        <v>65</v>
      </c>
      <c r="C33" s="15">
        <v>2400</v>
      </c>
      <c r="D33" s="16">
        <v>5000</v>
      </c>
      <c r="H33" s="111"/>
    </row>
    <row r="34" spans="1:28" ht="14" thickBot="1">
      <c r="B34" s="112" t="s">
        <v>66</v>
      </c>
      <c r="C34" s="15">
        <v>0</v>
      </c>
      <c r="D34" s="16">
        <v>0</v>
      </c>
    </row>
    <row r="35" spans="1:28" ht="15" thickBot="1">
      <c r="B35" s="89" t="s">
        <v>67</v>
      </c>
      <c r="C35" s="106">
        <f>+C33-C34</f>
        <v>2400</v>
      </c>
      <c r="D35" s="113">
        <f>+D33-D34</f>
        <v>5000</v>
      </c>
      <c r="I35" s="3"/>
    </row>
    <row r="36" spans="1:28" ht="14" thickTop="1">
      <c r="B36" s="91"/>
      <c r="C36" s="114"/>
      <c r="D36" s="115"/>
    </row>
    <row r="37" spans="1:28" s="68" customFormat="1" ht="14" thickBot="1">
      <c r="A37" s="67"/>
      <c r="B37" s="69" t="s">
        <v>68</v>
      </c>
      <c r="C37" s="95">
        <f>MIN(+(C25+C22*3)*BFradragProc,BFradragMax)</f>
        <v>55600</v>
      </c>
      <c r="D37" s="95">
        <f>MIN(+(D25+D22*3)*BFradragProc,BFradragMax)</f>
        <v>48708</v>
      </c>
      <c r="E37" s="116"/>
      <c r="F37" s="116"/>
      <c r="H37" s="11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8">
      <c r="B38" s="69" t="s">
        <v>69</v>
      </c>
      <c r="C38" s="95">
        <f>MAX(0,MIN(+($C$25+C22*3-Jfradraggranse)*Jfradragproc,JfradragMax))</f>
        <v>2900</v>
      </c>
      <c r="D38" s="95">
        <f>MAX(0,MIN(+($D$25+D22*3-Jfradraggranse)*Jfradragproc,JfradragMax))</f>
        <v>2900</v>
      </c>
      <c r="AB38" s="94" t="s">
        <v>49</v>
      </c>
    </row>
    <row r="39" spans="1:28" ht="14.25" customHeight="1">
      <c r="B39" s="69" t="s">
        <v>70</v>
      </c>
      <c r="C39" s="95">
        <f>IF(C5&lt;=52,MIN(+(C3+C4+C22*3)*EPENfradragProc,EPENfradragMax),MIN(+(C3+C4+C22*3)*EPENSeniorProc,EPENSeniorMax))</f>
        <v>10056</v>
      </c>
      <c r="D39" s="95">
        <f>IF(D5&lt;=52,MIN(+(D3+D4+D22*3)*EPENfradragProc,EPENfradragMax),MIN(+(D3+D4+D22*3)*EPENSeniorProc,EPENSeniorMax))</f>
        <v>9360</v>
      </c>
      <c r="AB39" s="98" t="s">
        <v>71</v>
      </c>
    </row>
    <row r="40" spans="1:28">
      <c r="B40" s="69" t="s">
        <v>72</v>
      </c>
      <c r="C40" s="95">
        <f>IF(C7&gt;FagforeningMax,FagforeningMax,C7)+C8</f>
        <v>6000</v>
      </c>
      <c r="D40" s="95">
        <f>IF(D7&gt;FagforeningMax,FagforeningMax,D7)+D8</f>
        <v>16800</v>
      </c>
      <c r="AB40" s="98" t="s">
        <v>59</v>
      </c>
    </row>
    <row r="41" spans="1:28" ht="16">
      <c r="B41" s="69" t="s">
        <v>73</v>
      </c>
      <c r="C41" s="95">
        <f>+$H$56</f>
        <v>0</v>
      </c>
      <c r="D41" s="95">
        <f>H65</f>
        <v>14450.4</v>
      </c>
      <c r="AB41" s="117">
        <f>IF(D77&gt;H5,0,H5-D77)</f>
        <v>0</v>
      </c>
    </row>
    <row r="42" spans="1:28" ht="14" thickBot="1">
      <c r="B42" s="69" t="s">
        <v>74</v>
      </c>
      <c r="C42" s="15">
        <v>0</v>
      </c>
      <c r="D42" s="16">
        <v>0</v>
      </c>
      <c r="AB42" s="118"/>
    </row>
    <row r="43" spans="1:28" ht="17" thickBot="1">
      <c r="B43" s="89" t="s">
        <v>75</v>
      </c>
      <c r="C43" s="106">
        <f>SUM(C37:C42)</f>
        <v>74556</v>
      </c>
      <c r="D43" s="113">
        <f>SUM(D37:D42)</f>
        <v>92218.4</v>
      </c>
      <c r="AB43" s="117">
        <f>IF($D$45&lt;0,H7,IF($D$45&gt;H7,0,H7-$D$45))</f>
        <v>0</v>
      </c>
    </row>
    <row r="44" spans="1:28" ht="18" thickTop="1" thickBot="1">
      <c r="B44" s="119"/>
      <c r="C44" s="120"/>
      <c r="D44" s="30"/>
      <c r="AB44" s="117">
        <f>IF($D$45&lt;0,H8,IF($D$45&gt;H8,0,H8-$D$45))</f>
        <v>0</v>
      </c>
    </row>
    <row r="45" spans="1:28" ht="17" thickBot="1">
      <c r="B45" s="121" t="s">
        <v>76</v>
      </c>
      <c r="C45" s="122">
        <f>+C31+C35-C43</f>
        <v>612600</v>
      </c>
      <c r="D45" s="123">
        <f>+D31+D35-D43</f>
        <v>203421.6</v>
      </c>
      <c r="AB45" s="104">
        <f>IF($D$45&lt;0,H9,IF($D$45&gt;H9,0,H9-$D$45))</f>
        <v>0</v>
      </c>
    </row>
    <row r="49" spans="1:40" ht="14" thickBot="1"/>
    <row r="50" spans="1:40" ht="14" thickBot="1">
      <c r="B50" s="124" t="s">
        <v>77</v>
      </c>
      <c r="D50" s="125"/>
    </row>
    <row r="51" spans="1:40" ht="14" thickBot="1">
      <c r="D51" s="125"/>
    </row>
    <row r="52" spans="1:40" ht="14" thickBot="1">
      <c r="B52" s="126" t="s">
        <v>78</v>
      </c>
      <c r="D52" s="125"/>
    </row>
    <row r="53" spans="1:40">
      <c r="B53" s="11"/>
      <c r="C53" s="127" t="s">
        <v>79</v>
      </c>
      <c r="D53" s="127" t="s">
        <v>80</v>
      </c>
      <c r="E53" s="128" t="s">
        <v>81</v>
      </c>
      <c r="F53" s="129" t="s">
        <v>82</v>
      </c>
      <c r="G53" s="129" t="s">
        <v>83</v>
      </c>
      <c r="H53" s="130" t="s">
        <v>84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3"/>
      <c r="AA53" s="3" t="s">
        <v>85</v>
      </c>
    </row>
    <row r="54" spans="1:40">
      <c r="B54" s="131" t="s">
        <v>86</v>
      </c>
      <c r="C54" s="132">
        <f>BeFradragHojSats</f>
        <v>2.23</v>
      </c>
      <c r="D54" s="133">
        <f>C10</f>
        <v>216</v>
      </c>
      <c r="E54" s="134">
        <f>C9</f>
        <v>5</v>
      </c>
      <c r="F54" s="133">
        <f>BeFradragKmMin</f>
        <v>24</v>
      </c>
      <c r="G54" s="135">
        <f>IF(E54&gt;F54,MIN(E54,BeFradragKmMax)-F54,0)</f>
        <v>0</v>
      </c>
      <c r="H54" s="136">
        <f>+(D54*G54)*C54</f>
        <v>0</v>
      </c>
      <c r="I54" s="3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3"/>
    </row>
    <row r="55" spans="1:40">
      <c r="B55" s="131" t="s">
        <v>87</v>
      </c>
      <c r="C55" s="132">
        <f>BeFradragLavSats</f>
        <v>1.1200000000000001</v>
      </c>
      <c r="D55" s="133">
        <f>C10</f>
        <v>216</v>
      </c>
      <c r="E55" s="134">
        <f>MAX(E54-BeFradragKmMax,0)</f>
        <v>0</v>
      </c>
      <c r="F55" s="133"/>
      <c r="G55" s="135">
        <f>MAX(E55,0)</f>
        <v>0</v>
      </c>
      <c r="H55" s="136">
        <f>+(D55*G55)*C55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>
      <c r="B56" s="137" t="s">
        <v>88</v>
      </c>
      <c r="C56" s="132"/>
      <c r="D56" s="138"/>
      <c r="E56" s="138"/>
      <c r="F56" s="133"/>
      <c r="G56" s="138"/>
      <c r="H56" s="136">
        <f>SUM(H54:H55)</f>
        <v>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>
      <c r="B57" s="131"/>
      <c r="C57" s="132"/>
      <c r="D57" s="138"/>
      <c r="E57" s="138"/>
      <c r="F57" s="133"/>
      <c r="G57" s="138"/>
      <c r="H57" s="13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>
      <c r="B58" s="137" t="s">
        <v>89</v>
      </c>
      <c r="C58" s="132"/>
      <c r="D58" s="138"/>
      <c r="E58" s="138"/>
      <c r="F58" s="133"/>
      <c r="G58" s="138"/>
      <c r="H58" s="13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s="145" customFormat="1" ht="17" thickBot="1">
      <c r="A59" s="139"/>
      <c r="B59" s="140"/>
      <c r="C59" s="141"/>
      <c r="D59" s="142"/>
      <c r="E59" s="142"/>
      <c r="F59" s="143"/>
      <c r="G59" s="142"/>
      <c r="H59" s="144"/>
      <c r="I59" s="4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46"/>
      <c r="AK59" s="146"/>
      <c r="AL59" s="146"/>
      <c r="AM59" s="146"/>
      <c r="AN59" s="146"/>
    </row>
    <row r="60" spans="1:40" s="145" customFormat="1" ht="17" thickBot="1">
      <c r="A60" s="139"/>
      <c r="B60" s="4"/>
      <c r="C60" s="147"/>
      <c r="D60" s="148"/>
      <c r="E60" s="3"/>
      <c r="F60" s="148"/>
      <c r="G60" s="3"/>
      <c r="H60" s="3"/>
      <c r="I60" s="4"/>
      <c r="J60" s="149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</row>
    <row r="61" spans="1:40" s="145" customFormat="1" ht="17" thickBot="1">
      <c r="A61" s="139"/>
      <c r="B61" s="126" t="s">
        <v>90</v>
      </c>
      <c r="C61" s="4"/>
      <c r="D61" s="125"/>
      <c r="E61" s="3"/>
      <c r="F61" s="3"/>
      <c r="G61" s="3"/>
      <c r="H61" s="3"/>
      <c r="I61" s="146"/>
      <c r="J61" s="149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</row>
    <row r="62" spans="1:40" s="145" customFormat="1" ht="16">
      <c r="A62" s="139"/>
      <c r="B62" s="11"/>
      <c r="C62" s="127" t="s">
        <v>79</v>
      </c>
      <c r="D62" s="127" t="s">
        <v>80</v>
      </c>
      <c r="E62" s="128" t="s">
        <v>81</v>
      </c>
      <c r="F62" s="129" t="s">
        <v>82</v>
      </c>
      <c r="G62" s="129" t="s">
        <v>83</v>
      </c>
      <c r="H62" s="130" t="s">
        <v>84</v>
      </c>
      <c r="I62" s="146"/>
      <c r="J62" s="149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</row>
    <row r="63" spans="1:40" s="145" customFormat="1" ht="16">
      <c r="A63" s="139"/>
      <c r="B63" s="131" t="s">
        <v>86</v>
      </c>
      <c r="C63" s="132">
        <f>C54</f>
        <v>2.23</v>
      </c>
      <c r="D63" s="133">
        <f>D10</f>
        <v>216</v>
      </c>
      <c r="E63" s="134">
        <f>D9</f>
        <v>54</v>
      </c>
      <c r="F63" s="133">
        <f>BeFradragKmMin</f>
        <v>24</v>
      </c>
      <c r="G63" s="135">
        <f>IF(E63&gt;F63,MIN(E63,BeFradragKmMax)-F63,0)</f>
        <v>30</v>
      </c>
      <c r="H63" s="136">
        <f>+(D63*G63)*C63</f>
        <v>14450.4</v>
      </c>
      <c r="I63" s="146"/>
      <c r="J63" s="149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</row>
    <row r="64" spans="1:40" s="145" customFormat="1" ht="16">
      <c r="A64" s="139"/>
      <c r="B64" s="131" t="s">
        <v>87</v>
      </c>
      <c r="C64" s="132">
        <f>C55</f>
        <v>1.1200000000000001</v>
      </c>
      <c r="D64" s="133">
        <f>D10</f>
        <v>216</v>
      </c>
      <c r="E64" s="134">
        <f>MAX(E63-BeFradragKmMax,0)</f>
        <v>0</v>
      </c>
      <c r="F64" s="133"/>
      <c r="G64" s="135">
        <f>MAX(E64,0)</f>
        <v>0</v>
      </c>
      <c r="H64" s="136">
        <f>+(D64*G64)*C64</f>
        <v>0</v>
      </c>
      <c r="I64" s="146"/>
      <c r="J64" s="149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</row>
    <row r="65" spans="1:40" s="145" customFormat="1" ht="16">
      <c r="A65" s="139"/>
      <c r="B65" s="137" t="s">
        <v>88</v>
      </c>
      <c r="C65" s="132"/>
      <c r="D65" s="138"/>
      <c r="E65" s="138"/>
      <c r="F65" s="133"/>
      <c r="G65" s="138"/>
      <c r="H65" s="136">
        <f>SUM(H63:H64)</f>
        <v>14450.4</v>
      </c>
      <c r="I65" s="146"/>
      <c r="J65" s="149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</row>
    <row r="66" spans="1:40" ht="16">
      <c r="B66" s="131"/>
      <c r="C66" s="132"/>
      <c r="D66" s="138"/>
      <c r="E66" s="138"/>
      <c r="F66" s="133"/>
      <c r="G66" s="138"/>
      <c r="H66" s="136"/>
      <c r="I66" s="3"/>
      <c r="J66" s="3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>
      <c r="B67" s="137" t="s">
        <v>89</v>
      </c>
      <c r="C67" s="132"/>
      <c r="D67" s="138"/>
      <c r="E67" s="138"/>
      <c r="F67" s="133"/>
      <c r="G67" s="138"/>
      <c r="H67" s="13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4" thickBot="1">
      <c r="B68" s="140"/>
      <c r="C68" s="141"/>
      <c r="D68" s="142"/>
      <c r="E68" s="142"/>
      <c r="F68" s="143"/>
      <c r="G68" s="142"/>
      <c r="H68" s="14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4" thickBot="1">
      <c r="C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>
      <c r="B70" s="151" t="s">
        <v>91</v>
      </c>
      <c r="C70" s="152" t="s">
        <v>92</v>
      </c>
      <c r="D70" s="152" t="s">
        <v>93</v>
      </c>
      <c r="E70" s="152" t="s">
        <v>94</v>
      </c>
      <c r="F70" s="153" t="s">
        <v>95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>
      <c r="B71" s="131" t="s">
        <v>38</v>
      </c>
      <c r="C71" s="154">
        <f>EjVSkatMin</f>
        <v>5.1000000000000004E-3</v>
      </c>
      <c r="D71" s="154">
        <f>EjVSkatMax-C71</f>
        <v>8.8999999999999999E-3</v>
      </c>
      <c r="E71" s="155">
        <f>C16</f>
        <v>0</v>
      </c>
      <c r="F71" s="156">
        <f>IF(E71&lt;Skattesatser!H14,C71*E71*Forsigtighed,C71*E71*Forsigtighed+(E71-Skattesatser!H14)*D71*Forsigtighed)</f>
        <v>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14" thickBot="1">
      <c r="B72" s="157" t="s">
        <v>40</v>
      </c>
      <c r="C72" s="158">
        <f>C15</f>
        <v>6.0000000000000001E-3</v>
      </c>
      <c r="D72" s="158"/>
      <c r="E72" s="159">
        <f>C17</f>
        <v>0</v>
      </c>
      <c r="F72" s="160">
        <f>E72*C72*Forsigtighed</f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>
      <c r="C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14" thickBot="1"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4" thickBot="1">
      <c r="B75" s="161" t="s">
        <v>96</v>
      </c>
      <c r="C75" s="126" t="s">
        <v>97</v>
      </c>
      <c r="D75" s="162" t="s">
        <v>98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>
      <c r="B76" s="163" t="s">
        <v>99</v>
      </c>
      <c r="C76" s="164">
        <f>+C31</f>
        <v>684756</v>
      </c>
      <c r="D76" s="165">
        <f>+D31</f>
        <v>290640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>
      <c r="B77" s="166" t="s">
        <v>100</v>
      </c>
      <c r="C77" s="167">
        <f>MAX(C35+C31,C31)</f>
        <v>687156</v>
      </c>
      <c r="D77" s="136">
        <f>MAX(D35+D31,D31)</f>
        <v>295640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>
      <c r="B78" s="166" t="s">
        <v>101</v>
      </c>
      <c r="C78" s="167">
        <f>C76+C80</f>
        <v>684756</v>
      </c>
      <c r="D78" s="168"/>
      <c r="I78" s="169"/>
    </row>
    <row r="79" spans="1:40">
      <c r="B79" s="166" t="s">
        <v>102</v>
      </c>
      <c r="C79" s="167">
        <f>MAX(C35,0)</f>
        <v>2400</v>
      </c>
      <c r="D79" s="136">
        <f>D35</f>
        <v>5000</v>
      </c>
    </row>
    <row r="80" spans="1:40">
      <c r="B80" s="166" t="s">
        <v>103</v>
      </c>
      <c r="C80" s="167">
        <f>IF((C35+D35)&gt;KItilTopskatPar,C79+D79-KItilTopskatPar,0)</f>
        <v>0</v>
      </c>
      <c r="D80" s="168"/>
    </row>
    <row r="81" spans="2:4">
      <c r="B81" s="131" t="s">
        <v>104</v>
      </c>
      <c r="C81" s="170">
        <f>SUM(G5:G8)</f>
        <v>0.51529999999999998</v>
      </c>
      <c r="D81" s="171">
        <f>SUM(G5:G8)</f>
        <v>0.51529999999999998</v>
      </c>
    </row>
    <row r="82" spans="2:4">
      <c r="B82" s="166" t="s">
        <v>105</v>
      </c>
      <c r="C82" s="167">
        <f>IF(C78&gt;TopSkatGranse,C78-TopSkatGranse,0)</f>
        <v>72956</v>
      </c>
      <c r="D82" s="136">
        <f>IF(D76&gt;Skattesatser!H35,D76-Skattesatser!H35,0)</f>
        <v>0</v>
      </c>
    </row>
    <row r="83" spans="2:4">
      <c r="B83" s="172" t="s">
        <v>106</v>
      </c>
      <c r="C83" s="167">
        <f>IF(C76&gt;TopSkatGranse,C76-TopSkatGranse,0)</f>
        <v>72956</v>
      </c>
      <c r="D83" s="136">
        <f>IF(D76&gt;TopSkatGranse,D76-TopSkatGranse,0)</f>
        <v>0</v>
      </c>
    </row>
    <row r="84" spans="2:4" ht="14" thickBot="1">
      <c r="B84" s="173" t="s">
        <v>107</v>
      </c>
      <c r="C84" s="174">
        <f>C82-C83</f>
        <v>0</v>
      </c>
      <c r="D84" s="175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</sheetData>
  <mergeCells count="10">
    <mergeCell ref="F26:H27"/>
    <mergeCell ref="I26:J26"/>
    <mergeCell ref="K26:L26"/>
    <mergeCell ref="C1:D1"/>
    <mergeCell ref="I2:J2"/>
    <mergeCell ref="K2:L2"/>
    <mergeCell ref="I3:I4"/>
    <mergeCell ref="J3:J4"/>
    <mergeCell ref="K3:K4"/>
    <mergeCell ref="L3:L4"/>
  </mergeCells>
  <pageMargins left="0.74803149606299213" right="0.74803149606299213" top="0.98425196850393704" bottom="0.98425196850393704" header="0" footer="0"/>
  <pageSetup paperSize="9" scale="53" fitToHeight="2" orientation="landscape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E23CACA-E09E-9D4A-80CD-DDA72BFAF6BB}">
          <x14:formula1>
            <xm:f>Skattesatser!$B$6:$B$103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54B0-51FF-DF45-B9C2-AC275C15B51D}">
  <dimension ref="A1:IT160"/>
  <sheetViews>
    <sheetView showGridLines="0" zoomScale="75" zoomScaleNormal="100" workbookViewId="0">
      <selection activeCell="K91" sqref="K91"/>
    </sheetView>
  </sheetViews>
  <sheetFormatPr baseColWidth="10" defaultColWidth="9.1640625" defaultRowHeight="13"/>
  <cols>
    <col min="1" max="1" width="25.1640625" style="208" customWidth="1"/>
    <col min="2" max="13" width="9.5" style="208" customWidth="1"/>
    <col min="14" max="14" width="16.1640625" style="303" customWidth="1"/>
    <col min="15" max="33" width="9.1640625" style="201"/>
    <col min="34" max="34" width="9.1640625" style="207"/>
    <col min="35" max="16384" width="9.1640625" style="208"/>
  </cols>
  <sheetData>
    <row r="1" spans="1:254" s="200" customFormat="1" ht="20">
      <c r="A1" s="199" t="s">
        <v>108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54" s="202" customForma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</row>
    <row r="3" spans="1:254" ht="16">
      <c r="A3" s="203" t="s">
        <v>109</v>
      </c>
      <c r="B3" s="204" t="s">
        <v>110</v>
      </c>
      <c r="C3" s="205" t="s">
        <v>111</v>
      </c>
      <c r="D3" s="205" t="s">
        <v>112</v>
      </c>
      <c r="E3" s="205" t="s">
        <v>113</v>
      </c>
      <c r="F3" s="205" t="s">
        <v>114</v>
      </c>
      <c r="G3" s="205" t="s">
        <v>115</v>
      </c>
      <c r="H3" s="205" t="s">
        <v>116</v>
      </c>
      <c r="I3" s="205" t="s">
        <v>117</v>
      </c>
      <c r="J3" s="205" t="s">
        <v>118</v>
      </c>
      <c r="K3" s="205" t="s">
        <v>119</v>
      </c>
      <c r="L3" s="205" t="s">
        <v>120</v>
      </c>
      <c r="M3" s="205" t="s">
        <v>121</v>
      </c>
      <c r="N3" s="206" t="s">
        <v>122</v>
      </c>
    </row>
    <row r="4" spans="1:254">
      <c r="A4" s="209" t="s">
        <v>123</v>
      </c>
      <c r="B4" s="210">
        <f>Ægtepar!J31</f>
        <v>38052.093699999998</v>
      </c>
      <c r="C4" s="211">
        <f>B4</f>
        <v>38052.093699999998</v>
      </c>
      <c r="D4" s="211">
        <f t="shared" ref="D4:M5" si="0">C4</f>
        <v>38052.093699999998</v>
      </c>
      <c r="E4" s="211">
        <f t="shared" si="0"/>
        <v>38052.093699999998</v>
      </c>
      <c r="F4" s="211">
        <f t="shared" si="0"/>
        <v>38052.093699999998</v>
      </c>
      <c r="G4" s="211">
        <f t="shared" si="0"/>
        <v>38052.093699999998</v>
      </c>
      <c r="H4" s="211">
        <f t="shared" si="0"/>
        <v>38052.093699999998</v>
      </c>
      <c r="I4" s="211">
        <f t="shared" si="0"/>
        <v>38052.093699999998</v>
      </c>
      <c r="J4" s="211">
        <f t="shared" si="0"/>
        <v>38052.093699999998</v>
      </c>
      <c r="K4" s="211">
        <f t="shared" si="0"/>
        <v>38052.093699999998</v>
      </c>
      <c r="L4" s="211">
        <f t="shared" si="0"/>
        <v>38052.093699999998</v>
      </c>
      <c r="M4" s="211">
        <f t="shared" si="0"/>
        <v>38052.093699999998</v>
      </c>
      <c r="N4" s="212">
        <f>SUM(B4:M4)</f>
        <v>456625.12439999986</v>
      </c>
    </row>
    <row r="5" spans="1:254">
      <c r="A5" s="209" t="s">
        <v>123</v>
      </c>
      <c r="B5" s="213">
        <f>Ægtepar!L31</f>
        <v>20675.344973333333</v>
      </c>
      <c r="C5" s="213">
        <f>B5</f>
        <v>20675.344973333333</v>
      </c>
      <c r="D5" s="213">
        <f t="shared" si="0"/>
        <v>20675.344973333333</v>
      </c>
      <c r="E5" s="213">
        <f t="shared" si="0"/>
        <v>20675.344973333333</v>
      </c>
      <c r="F5" s="213">
        <f t="shared" si="0"/>
        <v>20675.344973333333</v>
      </c>
      <c r="G5" s="213">
        <f t="shared" si="0"/>
        <v>20675.344973333333</v>
      </c>
      <c r="H5" s="213">
        <f t="shared" si="0"/>
        <v>20675.344973333333</v>
      </c>
      <c r="I5" s="213">
        <f t="shared" si="0"/>
        <v>20675.344973333333</v>
      </c>
      <c r="J5" s="213">
        <f t="shared" si="0"/>
        <v>20675.344973333333</v>
      </c>
      <c r="K5" s="213">
        <f t="shared" si="0"/>
        <v>20675.344973333333</v>
      </c>
      <c r="L5" s="213">
        <f t="shared" si="0"/>
        <v>20675.344973333333</v>
      </c>
      <c r="M5" s="213">
        <f t="shared" si="0"/>
        <v>20675.344973333333</v>
      </c>
      <c r="N5" s="214">
        <f t="shared" ref="N5:N10" si="1">SUM(B5:M5)</f>
        <v>248104.13967999993</v>
      </c>
    </row>
    <row r="6" spans="1:254">
      <c r="A6" s="209" t="s">
        <v>124</v>
      </c>
      <c r="B6" s="210">
        <f>[3]skat!C28+[3]skat!D28</f>
        <v>7400</v>
      </c>
      <c r="C6" s="211">
        <v>0</v>
      </c>
      <c r="D6" s="211">
        <v>0</v>
      </c>
      <c r="E6" s="211">
        <v>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L6" s="211">
        <v>0</v>
      </c>
      <c r="M6" s="211">
        <v>0</v>
      </c>
      <c r="N6" s="212">
        <f t="shared" si="1"/>
        <v>7400</v>
      </c>
    </row>
    <row r="7" spans="1:254">
      <c r="A7" s="209" t="s">
        <v>125</v>
      </c>
      <c r="B7" s="213">
        <v>0</v>
      </c>
      <c r="C7" s="213">
        <v>0</v>
      </c>
      <c r="D7" s="213">
        <v>0</v>
      </c>
      <c r="E7" s="213">
        <v>0</v>
      </c>
      <c r="F7" s="213">
        <v>0</v>
      </c>
      <c r="G7" s="213">
        <v>0</v>
      </c>
      <c r="H7" s="213">
        <v>0</v>
      </c>
      <c r="I7" s="213">
        <v>0</v>
      </c>
      <c r="J7" s="213">
        <v>0</v>
      </c>
      <c r="K7" s="213">
        <v>0</v>
      </c>
      <c r="L7" s="213">
        <v>0</v>
      </c>
      <c r="M7" s="213">
        <v>0</v>
      </c>
      <c r="N7" s="214">
        <f t="shared" si="1"/>
        <v>0</v>
      </c>
    </row>
    <row r="8" spans="1:254">
      <c r="A8" s="209" t="s">
        <v>126</v>
      </c>
      <c r="B8" s="210">
        <v>0</v>
      </c>
      <c r="C8" s="211">
        <v>0</v>
      </c>
      <c r="D8" s="211">
        <v>0</v>
      </c>
      <c r="E8" s="211">
        <v>0</v>
      </c>
      <c r="F8" s="211">
        <v>0</v>
      </c>
      <c r="G8" s="211">
        <v>0</v>
      </c>
      <c r="H8" s="211">
        <v>0</v>
      </c>
      <c r="I8" s="211">
        <v>0</v>
      </c>
      <c r="J8" s="211">
        <v>0</v>
      </c>
      <c r="K8" s="211">
        <v>0</v>
      </c>
      <c r="L8" s="211">
        <v>0</v>
      </c>
      <c r="M8" s="211">
        <v>0</v>
      </c>
      <c r="N8" s="212">
        <f t="shared" si="1"/>
        <v>0</v>
      </c>
    </row>
    <row r="9" spans="1:254">
      <c r="A9" s="209" t="s">
        <v>127</v>
      </c>
      <c r="B9" s="213">
        <v>0</v>
      </c>
      <c r="C9" s="213">
        <v>0</v>
      </c>
      <c r="D9" s="213">
        <v>0</v>
      </c>
      <c r="E9" s="213">
        <v>0</v>
      </c>
      <c r="F9" s="213">
        <v>0</v>
      </c>
      <c r="G9" s="213">
        <v>0</v>
      </c>
      <c r="H9" s="213">
        <v>0</v>
      </c>
      <c r="I9" s="213">
        <v>0</v>
      </c>
      <c r="J9" s="213">
        <v>0</v>
      </c>
      <c r="K9" s="213">
        <v>0</v>
      </c>
      <c r="L9" s="213">
        <v>0</v>
      </c>
      <c r="M9" s="213">
        <v>0</v>
      </c>
      <c r="N9" s="214">
        <f t="shared" si="1"/>
        <v>0</v>
      </c>
    </row>
    <row r="10" spans="1:254" s="221" customFormat="1" ht="16">
      <c r="A10" s="215" t="s">
        <v>128</v>
      </c>
      <c r="B10" s="216">
        <f t="shared" ref="B10:M10" si="2">SUM(B4:B9)</f>
        <v>66127.438673333323</v>
      </c>
      <c r="C10" s="217">
        <f t="shared" si="2"/>
        <v>58727.43867333333</v>
      </c>
      <c r="D10" s="217">
        <f t="shared" si="2"/>
        <v>58727.43867333333</v>
      </c>
      <c r="E10" s="217">
        <f t="shared" si="2"/>
        <v>58727.43867333333</v>
      </c>
      <c r="F10" s="217">
        <f t="shared" si="2"/>
        <v>58727.43867333333</v>
      </c>
      <c r="G10" s="217">
        <f t="shared" si="2"/>
        <v>58727.43867333333</v>
      </c>
      <c r="H10" s="217">
        <f t="shared" si="2"/>
        <v>58727.43867333333</v>
      </c>
      <c r="I10" s="217">
        <f t="shared" si="2"/>
        <v>58727.43867333333</v>
      </c>
      <c r="J10" s="217">
        <f t="shared" si="2"/>
        <v>58727.43867333333</v>
      </c>
      <c r="K10" s="217">
        <f t="shared" si="2"/>
        <v>58727.43867333333</v>
      </c>
      <c r="L10" s="217">
        <f t="shared" si="2"/>
        <v>58727.43867333333</v>
      </c>
      <c r="M10" s="217">
        <f t="shared" si="2"/>
        <v>58727.43867333333</v>
      </c>
      <c r="N10" s="218">
        <f t="shared" si="1"/>
        <v>712129.26408000011</v>
      </c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20"/>
    </row>
    <row r="11" spans="1:254" s="225" customFormat="1" ht="12">
      <c r="A11" s="222"/>
      <c r="B11" s="223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4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226"/>
      <c r="DH11" s="226"/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226"/>
      <c r="ER11" s="226"/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226"/>
      <c r="GB11" s="226"/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226"/>
      <c r="HJ11" s="226"/>
      <c r="HK11" s="226"/>
      <c r="HL11" s="226"/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226"/>
      <c r="IT11" s="226"/>
    </row>
    <row r="12" spans="1:254" s="201" customFormat="1">
      <c r="A12" s="227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9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0"/>
      <c r="CG12" s="230"/>
      <c r="CH12" s="230"/>
      <c r="CI12" s="230"/>
      <c r="CJ12" s="230"/>
      <c r="CK12" s="230"/>
      <c r="CL12" s="230"/>
      <c r="CM12" s="230"/>
      <c r="CN12" s="230"/>
      <c r="CO12" s="230"/>
      <c r="CP12" s="230"/>
      <c r="CQ12" s="230"/>
      <c r="CR12" s="230"/>
      <c r="CS12" s="230"/>
      <c r="CT12" s="230"/>
      <c r="CU12" s="230"/>
      <c r="CV12" s="230"/>
      <c r="CW12" s="230"/>
      <c r="CX12" s="230"/>
      <c r="CY12" s="230"/>
      <c r="CZ12" s="230"/>
      <c r="DA12" s="230"/>
      <c r="DB12" s="230"/>
      <c r="DC12" s="230"/>
      <c r="DD12" s="230"/>
      <c r="DE12" s="230"/>
      <c r="DF12" s="230"/>
      <c r="DG12" s="230"/>
      <c r="DH12" s="230"/>
      <c r="DI12" s="230"/>
      <c r="DJ12" s="230"/>
      <c r="DK12" s="230"/>
      <c r="DL12" s="230"/>
      <c r="DM12" s="230"/>
      <c r="DN12" s="230"/>
      <c r="DO12" s="230"/>
      <c r="DP12" s="230"/>
      <c r="DQ12" s="230"/>
      <c r="DR12" s="230"/>
      <c r="DS12" s="230"/>
      <c r="DT12" s="230"/>
      <c r="DU12" s="230"/>
      <c r="DV12" s="230"/>
      <c r="DW12" s="230"/>
      <c r="DX12" s="230"/>
      <c r="DY12" s="230"/>
      <c r="DZ12" s="230"/>
      <c r="EA12" s="230"/>
      <c r="EB12" s="230"/>
      <c r="EC12" s="230"/>
      <c r="ED12" s="230"/>
      <c r="EE12" s="230"/>
      <c r="EF12" s="230"/>
      <c r="EG12" s="230"/>
      <c r="EH12" s="230"/>
      <c r="EI12" s="230"/>
      <c r="EJ12" s="230"/>
      <c r="EK12" s="230"/>
      <c r="EL12" s="230"/>
      <c r="EM12" s="230"/>
      <c r="EN12" s="230"/>
      <c r="EO12" s="230"/>
      <c r="EP12" s="230"/>
      <c r="EQ12" s="230"/>
      <c r="ER12" s="230"/>
      <c r="ES12" s="230"/>
      <c r="ET12" s="230"/>
      <c r="EU12" s="230"/>
      <c r="EV12" s="230"/>
      <c r="EW12" s="230"/>
      <c r="EX12" s="230"/>
      <c r="EY12" s="230"/>
      <c r="EZ12" s="230"/>
      <c r="FA12" s="230"/>
      <c r="FB12" s="230"/>
      <c r="FC12" s="230"/>
      <c r="FD12" s="230"/>
      <c r="FE12" s="230"/>
      <c r="FF12" s="230"/>
      <c r="FG12" s="230"/>
      <c r="FH12" s="230"/>
      <c r="FI12" s="230"/>
      <c r="FJ12" s="230"/>
      <c r="FK12" s="230"/>
      <c r="FL12" s="230"/>
      <c r="FM12" s="230"/>
      <c r="FN12" s="230"/>
      <c r="FO12" s="230"/>
      <c r="FP12" s="230"/>
      <c r="FQ12" s="230"/>
      <c r="FR12" s="230"/>
      <c r="FS12" s="230"/>
      <c r="FT12" s="230"/>
      <c r="FU12" s="230"/>
      <c r="FV12" s="230"/>
      <c r="FW12" s="230"/>
      <c r="FX12" s="230"/>
      <c r="FY12" s="230"/>
      <c r="FZ12" s="230"/>
      <c r="GA12" s="230"/>
      <c r="GB12" s="230"/>
      <c r="GC12" s="230"/>
      <c r="GD12" s="230"/>
      <c r="GE12" s="230"/>
      <c r="GF12" s="230"/>
      <c r="GG12" s="230"/>
      <c r="GH12" s="230"/>
      <c r="GI12" s="230"/>
      <c r="GJ12" s="230"/>
      <c r="GK12" s="230"/>
      <c r="GL12" s="230"/>
      <c r="GM12" s="230"/>
      <c r="GN12" s="230"/>
      <c r="GO12" s="230"/>
      <c r="GP12" s="230"/>
      <c r="GQ12" s="230"/>
      <c r="GR12" s="230"/>
      <c r="GS12" s="230"/>
      <c r="GT12" s="230"/>
      <c r="GU12" s="230"/>
      <c r="GV12" s="230"/>
      <c r="GW12" s="230"/>
      <c r="GX12" s="230"/>
      <c r="GY12" s="230"/>
      <c r="GZ12" s="230"/>
      <c r="HA12" s="230"/>
      <c r="HB12" s="230"/>
      <c r="HC12" s="230"/>
      <c r="HD12" s="230"/>
      <c r="HE12" s="230"/>
      <c r="HF12" s="230"/>
      <c r="HG12" s="230"/>
      <c r="HH12" s="230"/>
      <c r="HI12" s="230"/>
      <c r="HJ12" s="230"/>
      <c r="HK12" s="230"/>
      <c r="HL12" s="230"/>
      <c r="HM12" s="230"/>
      <c r="HN12" s="230"/>
      <c r="HO12" s="230"/>
      <c r="HP12" s="230"/>
      <c r="HQ12" s="230"/>
      <c r="HR12" s="230"/>
      <c r="HS12" s="230"/>
      <c r="HT12" s="230"/>
      <c r="HU12" s="230"/>
      <c r="HV12" s="230"/>
      <c r="HW12" s="230"/>
      <c r="HX12" s="230"/>
      <c r="HY12" s="230"/>
      <c r="HZ12" s="230"/>
      <c r="IA12" s="230"/>
      <c r="IB12" s="230"/>
      <c r="IC12" s="230"/>
      <c r="ID12" s="230"/>
      <c r="IE12" s="230"/>
      <c r="IF12" s="230"/>
      <c r="IG12" s="230"/>
      <c r="IH12" s="230"/>
      <c r="II12" s="230"/>
      <c r="IJ12" s="230"/>
      <c r="IK12" s="230"/>
      <c r="IL12" s="230"/>
      <c r="IM12" s="230"/>
      <c r="IN12" s="230"/>
      <c r="IO12" s="230"/>
      <c r="IP12" s="230"/>
      <c r="IQ12" s="230"/>
      <c r="IR12" s="230"/>
      <c r="IS12" s="230"/>
      <c r="IT12" s="230"/>
    </row>
    <row r="13" spans="1:254" s="235" customFormat="1" ht="16">
      <c r="A13" s="231" t="s">
        <v>129</v>
      </c>
      <c r="B13" s="232" t="s">
        <v>110</v>
      </c>
      <c r="C13" s="233" t="s">
        <v>111</v>
      </c>
      <c r="D13" s="233" t="s">
        <v>112</v>
      </c>
      <c r="E13" s="233" t="s">
        <v>113</v>
      </c>
      <c r="F13" s="233" t="s">
        <v>114</v>
      </c>
      <c r="G13" s="233" t="s">
        <v>115</v>
      </c>
      <c r="H13" s="233" t="s">
        <v>116</v>
      </c>
      <c r="I13" s="233" t="s">
        <v>117</v>
      </c>
      <c r="J13" s="233" t="s">
        <v>118</v>
      </c>
      <c r="K13" s="233" t="s">
        <v>119</v>
      </c>
      <c r="L13" s="233" t="s">
        <v>120</v>
      </c>
      <c r="M13" s="233" t="s">
        <v>121</v>
      </c>
      <c r="N13" s="234" t="s">
        <v>122</v>
      </c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6"/>
      <c r="CA13" s="236"/>
      <c r="CB13" s="236"/>
      <c r="CC13" s="236"/>
      <c r="CD13" s="236"/>
      <c r="CE13" s="236"/>
      <c r="CF13" s="236"/>
      <c r="CG13" s="236"/>
      <c r="CH13" s="236"/>
      <c r="CI13" s="236"/>
      <c r="CJ13" s="236"/>
      <c r="CK13" s="236"/>
      <c r="CL13" s="236"/>
      <c r="CM13" s="236"/>
      <c r="CN13" s="236"/>
      <c r="CO13" s="236"/>
      <c r="CP13" s="236"/>
      <c r="CQ13" s="236"/>
      <c r="CR13" s="236"/>
      <c r="CS13" s="236"/>
      <c r="CT13" s="236"/>
      <c r="CU13" s="236"/>
      <c r="CV13" s="236"/>
      <c r="CW13" s="236"/>
      <c r="CX13" s="236"/>
      <c r="CY13" s="236"/>
      <c r="CZ13" s="236"/>
      <c r="DA13" s="236"/>
      <c r="DB13" s="236"/>
      <c r="DC13" s="236"/>
      <c r="DD13" s="236"/>
      <c r="DE13" s="236"/>
      <c r="DF13" s="236"/>
      <c r="DG13" s="236"/>
      <c r="DH13" s="236"/>
      <c r="DI13" s="236"/>
      <c r="DJ13" s="236"/>
      <c r="DK13" s="236"/>
      <c r="DL13" s="236"/>
      <c r="DM13" s="236"/>
      <c r="DN13" s="236"/>
      <c r="DO13" s="236"/>
      <c r="DP13" s="236"/>
      <c r="DQ13" s="236"/>
      <c r="DR13" s="236"/>
      <c r="DS13" s="236"/>
      <c r="DT13" s="236"/>
      <c r="DU13" s="236"/>
      <c r="DV13" s="236"/>
      <c r="DW13" s="236"/>
      <c r="DX13" s="236"/>
      <c r="DY13" s="236"/>
      <c r="DZ13" s="236"/>
      <c r="EA13" s="236"/>
      <c r="EB13" s="236"/>
      <c r="EC13" s="236"/>
      <c r="ED13" s="236"/>
      <c r="EE13" s="236"/>
      <c r="EF13" s="236"/>
      <c r="EG13" s="236"/>
      <c r="EH13" s="236"/>
      <c r="EI13" s="236"/>
      <c r="EJ13" s="236"/>
      <c r="EK13" s="236"/>
      <c r="EL13" s="236"/>
      <c r="EM13" s="236"/>
      <c r="EN13" s="236"/>
      <c r="EO13" s="236"/>
      <c r="EP13" s="236"/>
      <c r="EQ13" s="236"/>
      <c r="ER13" s="236"/>
      <c r="ES13" s="236"/>
      <c r="ET13" s="236"/>
      <c r="EU13" s="236"/>
      <c r="EV13" s="236"/>
      <c r="EW13" s="236"/>
      <c r="EX13" s="236"/>
      <c r="EY13" s="236"/>
      <c r="EZ13" s="236"/>
      <c r="FA13" s="236"/>
      <c r="FB13" s="236"/>
      <c r="FC13" s="236"/>
      <c r="FD13" s="236"/>
      <c r="FE13" s="236"/>
      <c r="FF13" s="236"/>
      <c r="FG13" s="236"/>
      <c r="FH13" s="236"/>
      <c r="FI13" s="236"/>
      <c r="FJ13" s="236"/>
      <c r="FK13" s="236"/>
      <c r="FL13" s="236"/>
      <c r="FM13" s="236"/>
      <c r="FN13" s="236"/>
      <c r="FO13" s="236"/>
      <c r="FP13" s="236"/>
      <c r="FQ13" s="236"/>
      <c r="FR13" s="236"/>
      <c r="FS13" s="236"/>
      <c r="FT13" s="236"/>
      <c r="FU13" s="236"/>
      <c r="FV13" s="236"/>
      <c r="FW13" s="236"/>
      <c r="FX13" s="236"/>
      <c r="FY13" s="236"/>
      <c r="FZ13" s="236"/>
      <c r="GA13" s="236"/>
      <c r="GB13" s="236"/>
      <c r="GC13" s="236"/>
      <c r="GD13" s="236"/>
      <c r="GE13" s="236"/>
      <c r="GF13" s="236"/>
      <c r="GG13" s="236"/>
      <c r="GH13" s="236"/>
      <c r="GI13" s="236"/>
      <c r="GJ13" s="236"/>
      <c r="GK13" s="236"/>
      <c r="GL13" s="236"/>
      <c r="GM13" s="236"/>
      <c r="GN13" s="236"/>
      <c r="GO13" s="236"/>
      <c r="GP13" s="236"/>
      <c r="GQ13" s="236"/>
      <c r="GR13" s="236"/>
      <c r="GS13" s="236"/>
      <c r="GT13" s="236"/>
      <c r="GU13" s="236"/>
      <c r="GV13" s="236"/>
      <c r="GW13" s="236"/>
      <c r="GX13" s="236"/>
      <c r="GY13" s="236"/>
      <c r="GZ13" s="236"/>
      <c r="HA13" s="236"/>
      <c r="HB13" s="236"/>
      <c r="HC13" s="236"/>
      <c r="HD13" s="236"/>
      <c r="HE13" s="236"/>
      <c r="HF13" s="236"/>
      <c r="HG13" s="236"/>
      <c r="HH13" s="236"/>
      <c r="HI13" s="236"/>
      <c r="HJ13" s="236"/>
      <c r="HK13" s="236"/>
      <c r="HL13" s="236"/>
      <c r="HM13" s="236"/>
      <c r="HN13" s="236"/>
      <c r="HO13" s="236"/>
      <c r="HP13" s="236"/>
      <c r="HQ13" s="236"/>
      <c r="HR13" s="236"/>
      <c r="HS13" s="236"/>
      <c r="HT13" s="236"/>
      <c r="HU13" s="236"/>
      <c r="HV13" s="236"/>
      <c r="HW13" s="236"/>
      <c r="HX13" s="236"/>
      <c r="HY13" s="236"/>
      <c r="HZ13" s="236"/>
      <c r="IA13" s="236"/>
      <c r="IB13" s="236"/>
      <c r="IC13" s="236"/>
      <c r="ID13" s="236"/>
      <c r="IE13" s="236"/>
      <c r="IF13" s="236"/>
      <c r="IG13" s="236"/>
      <c r="IH13" s="236"/>
      <c r="II13" s="236"/>
      <c r="IJ13" s="236"/>
      <c r="IK13" s="236"/>
      <c r="IL13" s="236"/>
      <c r="IM13" s="236"/>
      <c r="IN13" s="236"/>
      <c r="IO13" s="236"/>
      <c r="IP13" s="236"/>
      <c r="IQ13" s="236"/>
      <c r="IR13" s="236"/>
      <c r="IS13" s="236"/>
      <c r="IT13" s="236"/>
    </row>
    <row r="14" spans="1:254">
      <c r="A14" s="237" t="s">
        <v>130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9"/>
    </row>
    <row r="15" spans="1:254">
      <c r="A15" s="240" t="s">
        <v>131</v>
      </c>
      <c r="B15" s="210">
        <v>0</v>
      </c>
      <c r="C15" s="211">
        <f>B15</f>
        <v>0</v>
      </c>
      <c r="D15" s="211">
        <f t="shared" ref="D15:M15" si="3">C15</f>
        <v>0</v>
      </c>
      <c r="E15" s="211">
        <f t="shared" si="3"/>
        <v>0</v>
      </c>
      <c r="F15" s="211">
        <f t="shared" si="3"/>
        <v>0</v>
      </c>
      <c r="G15" s="211">
        <f t="shared" si="3"/>
        <v>0</v>
      </c>
      <c r="H15" s="211">
        <f t="shared" si="3"/>
        <v>0</v>
      </c>
      <c r="I15" s="211">
        <f t="shared" si="3"/>
        <v>0</v>
      </c>
      <c r="J15" s="211">
        <f t="shared" si="3"/>
        <v>0</v>
      </c>
      <c r="K15" s="211">
        <f t="shared" si="3"/>
        <v>0</v>
      </c>
      <c r="L15" s="211">
        <f t="shared" si="3"/>
        <v>0</v>
      </c>
      <c r="M15" s="211">
        <f t="shared" si="3"/>
        <v>0</v>
      </c>
      <c r="N15" s="241">
        <f t="shared" ref="N15:N26" si="4">SUM(B15:M15)</f>
        <v>0</v>
      </c>
    </row>
    <row r="16" spans="1:254">
      <c r="A16" s="240" t="s">
        <v>132</v>
      </c>
      <c r="B16" s="213">
        <v>9000</v>
      </c>
      <c r="C16" s="213">
        <f t="shared" ref="C16:M16" si="5">B16</f>
        <v>9000</v>
      </c>
      <c r="D16" s="213">
        <f t="shared" si="5"/>
        <v>9000</v>
      </c>
      <c r="E16" s="213">
        <f t="shared" si="5"/>
        <v>9000</v>
      </c>
      <c r="F16" s="213">
        <f t="shared" si="5"/>
        <v>9000</v>
      </c>
      <c r="G16" s="213">
        <f t="shared" si="5"/>
        <v>9000</v>
      </c>
      <c r="H16" s="213">
        <f t="shared" si="5"/>
        <v>9000</v>
      </c>
      <c r="I16" s="213">
        <f t="shared" si="5"/>
        <v>9000</v>
      </c>
      <c r="J16" s="213">
        <f t="shared" si="5"/>
        <v>9000</v>
      </c>
      <c r="K16" s="213">
        <f t="shared" si="5"/>
        <v>9000</v>
      </c>
      <c r="L16" s="213">
        <f t="shared" si="5"/>
        <v>9000</v>
      </c>
      <c r="M16" s="213">
        <f t="shared" si="5"/>
        <v>9000</v>
      </c>
      <c r="N16" s="242">
        <f t="shared" si="4"/>
        <v>108000</v>
      </c>
    </row>
    <row r="17" spans="1:34">
      <c r="A17" s="240" t="s">
        <v>133</v>
      </c>
      <c r="B17" s="210">
        <v>0</v>
      </c>
      <c r="C17" s="211">
        <v>0</v>
      </c>
      <c r="D17" s="211">
        <v>0</v>
      </c>
      <c r="E17" s="211">
        <v>0</v>
      </c>
      <c r="F17" s="211">
        <v>0</v>
      </c>
      <c r="G17" s="211">
        <v>0</v>
      </c>
      <c r="H17" s="211">
        <v>0</v>
      </c>
      <c r="I17" s="211">
        <v>0</v>
      </c>
      <c r="J17" s="211">
        <v>0</v>
      </c>
      <c r="K17" s="211">
        <v>0</v>
      </c>
      <c r="L17" s="211">
        <v>0</v>
      </c>
      <c r="M17" s="211">
        <v>0</v>
      </c>
      <c r="N17" s="241">
        <f t="shared" si="4"/>
        <v>0</v>
      </c>
    </row>
    <row r="18" spans="1:34">
      <c r="A18" s="240" t="s">
        <v>134</v>
      </c>
      <c r="B18" s="213">
        <v>2700</v>
      </c>
      <c r="C18" s="213">
        <v>0</v>
      </c>
      <c r="D18" s="213">
        <v>0</v>
      </c>
      <c r="E18" s="213">
        <f>B18</f>
        <v>2700</v>
      </c>
      <c r="F18" s="213">
        <v>0</v>
      </c>
      <c r="G18" s="213">
        <v>0</v>
      </c>
      <c r="H18" s="213">
        <f>E18</f>
        <v>2700</v>
      </c>
      <c r="I18" s="213">
        <v>0</v>
      </c>
      <c r="J18" s="213">
        <v>0</v>
      </c>
      <c r="K18" s="213">
        <f>H18</f>
        <v>2700</v>
      </c>
      <c r="L18" s="213">
        <v>0</v>
      </c>
      <c r="M18" s="213">
        <v>0</v>
      </c>
      <c r="N18" s="242">
        <f t="shared" si="4"/>
        <v>10800</v>
      </c>
    </row>
    <row r="19" spans="1:34">
      <c r="A19" s="240" t="s">
        <v>135</v>
      </c>
      <c r="B19" s="210">
        <v>0</v>
      </c>
      <c r="C19" s="211">
        <v>0</v>
      </c>
      <c r="D19" s="211">
        <v>0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L19" s="211">
        <v>0</v>
      </c>
      <c r="M19" s="211">
        <v>0</v>
      </c>
      <c r="N19" s="241">
        <f t="shared" si="4"/>
        <v>0</v>
      </c>
    </row>
    <row r="20" spans="1:34">
      <c r="A20" s="240" t="s">
        <v>136</v>
      </c>
      <c r="B20" s="213">
        <v>0</v>
      </c>
      <c r="C20" s="213">
        <v>0</v>
      </c>
      <c r="D20" s="213">
        <v>0</v>
      </c>
      <c r="E20" s="213">
        <v>0</v>
      </c>
      <c r="F20" s="213">
        <v>0</v>
      </c>
      <c r="G20" s="213">
        <v>0</v>
      </c>
      <c r="H20" s="213">
        <v>0</v>
      </c>
      <c r="I20" s="213">
        <v>0</v>
      </c>
      <c r="J20" s="213">
        <v>0</v>
      </c>
      <c r="K20" s="213">
        <v>0</v>
      </c>
      <c r="L20" s="213">
        <v>0</v>
      </c>
      <c r="M20" s="213">
        <v>0</v>
      </c>
      <c r="N20" s="242">
        <f t="shared" si="4"/>
        <v>0</v>
      </c>
    </row>
    <row r="21" spans="1:34">
      <c r="A21" s="240" t="s">
        <v>91</v>
      </c>
      <c r="B21" s="210">
        <v>0</v>
      </c>
      <c r="C21" s="211">
        <v>0</v>
      </c>
      <c r="D21" s="211">
        <v>0</v>
      </c>
      <c r="E21" s="211">
        <v>0</v>
      </c>
      <c r="F21" s="211">
        <v>0</v>
      </c>
      <c r="G21" s="211">
        <v>0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43">
        <f t="shared" si="4"/>
        <v>0</v>
      </c>
    </row>
    <row r="22" spans="1:34">
      <c r="A22" s="240" t="s">
        <v>137</v>
      </c>
      <c r="B22" s="213">
        <v>0</v>
      </c>
      <c r="C22" s="213">
        <f t="shared" ref="C22:M22" si="6">B22</f>
        <v>0</v>
      </c>
      <c r="D22" s="213">
        <f t="shared" si="6"/>
        <v>0</v>
      </c>
      <c r="E22" s="213">
        <f t="shared" si="6"/>
        <v>0</v>
      </c>
      <c r="F22" s="213">
        <f t="shared" si="6"/>
        <v>0</v>
      </c>
      <c r="G22" s="213">
        <f t="shared" si="6"/>
        <v>0</v>
      </c>
      <c r="H22" s="213">
        <f t="shared" si="6"/>
        <v>0</v>
      </c>
      <c r="I22" s="213">
        <f t="shared" si="6"/>
        <v>0</v>
      </c>
      <c r="J22" s="213">
        <f t="shared" si="6"/>
        <v>0</v>
      </c>
      <c r="K22" s="213">
        <f t="shared" si="6"/>
        <v>0</v>
      </c>
      <c r="L22" s="213">
        <f t="shared" si="6"/>
        <v>0</v>
      </c>
      <c r="M22" s="213">
        <f t="shared" si="6"/>
        <v>0</v>
      </c>
      <c r="N22" s="244">
        <f t="shared" si="4"/>
        <v>0</v>
      </c>
    </row>
    <row r="23" spans="1:34">
      <c r="A23" s="240" t="s">
        <v>138</v>
      </c>
      <c r="B23" s="210">
        <v>0</v>
      </c>
      <c r="C23" s="211">
        <v>0</v>
      </c>
      <c r="D23" s="211">
        <v>0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43">
        <f t="shared" si="4"/>
        <v>0</v>
      </c>
    </row>
    <row r="24" spans="1:34">
      <c r="A24" s="240" t="s">
        <v>139</v>
      </c>
      <c r="B24" s="213">
        <v>0</v>
      </c>
      <c r="C24" s="213">
        <v>0</v>
      </c>
      <c r="D24" s="213">
        <v>0</v>
      </c>
      <c r="E24" s="213">
        <v>0</v>
      </c>
      <c r="F24" s="213">
        <v>0</v>
      </c>
      <c r="G24" s="213">
        <v>0</v>
      </c>
      <c r="H24" s="213">
        <v>0</v>
      </c>
      <c r="I24" s="213">
        <v>0</v>
      </c>
      <c r="J24" s="213">
        <v>0</v>
      </c>
      <c r="K24" s="213">
        <v>0</v>
      </c>
      <c r="L24" s="213">
        <v>0</v>
      </c>
      <c r="M24" s="213">
        <v>0</v>
      </c>
      <c r="N24" s="244">
        <f t="shared" si="4"/>
        <v>0</v>
      </c>
    </row>
    <row r="25" spans="1:34">
      <c r="A25" s="240" t="s">
        <v>140</v>
      </c>
      <c r="B25" s="210">
        <v>0</v>
      </c>
      <c r="C25" s="211">
        <v>0</v>
      </c>
      <c r="D25" s="211">
        <v>0</v>
      </c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43">
        <f t="shared" si="4"/>
        <v>0</v>
      </c>
    </row>
    <row r="26" spans="1:34">
      <c r="A26" s="240" t="s">
        <v>141</v>
      </c>
      <c r="B26" s="213">
        <v>0</v>
      </c>
      <c r="C26" s="213">
        <v>0</v>
      </c>
      <c r="D26" s="213">
        <v>0</v>
      </c>
      <c r="E26" s="213">
        <v>0</v>
      </c>
      <c r="F26" s="213">
        <v>0</v>
      </c>
      <c r="G26" s="213">
        <v>0</v>
      </c>
      <c r="H26" s="213">
        <v>0</v>
      </c>
      <c r="I26" s="213">
        <v>0</v>
      </c>
      <c r="J26" s="213">
        <v>0</v>
      </c>
      <c r="K26" s="213">
        <v>0</v>
      </c>
      <c r="L26" s="213">
        <v>0</v>
      </c>
      <c r="M26" s="213">
        <v>0</v>
      </c>
      <c r="N26" s="244">
        <f t="shared" si="4"/>
        <v>0</v>
      </c>
    </row>
    <row r="27" spans="1:34" s="221" customFormat="1">
      <c r="A27" s="237" t="s">
        <v>142</v>
      </c>
      <c r="B27" s="245">
        <f>SUM(B15:B26)</f>
        <v>11700</v>
      </c>
      <c r="C27" s="246">
        <f t="shared" ref="C27:N27" si="7">SUM(C15:C26)</f>
        <v>9000</v>
      </c>
      <c r="D27" s="246">
        <f t="shared" si="7"/>
        <v>9000</v>
      </c>
      <c r="E27" s="246">
        <f t="shared" si="7"/>
        <v>11700</v>
      </c>
      <c r="F27" s="246">
        <f t="shared" si="7"/>
        <v>9000</v>
      </c>
      <c r="G27" s="246">
        <f t="shared" si="7"/>
        <v>9000</v>
      </c>
      <c r="H27" s="246">
        <f t="shared" si="7"/>
        <v>11700</v>
      </c>
      <c r="I27" s="246">
        <f t="shared" si="7"/>
        <v>9000</v>
      </c>
      <c r="J27" s="246">
        <f t="shared" si="7"/>
        <v>9000</v>
      </c>
      <c r="K27" s="246">
        <f t="shared" si="7"/>
        <v>11700</v>
      </c>
      <c r="L27" s="246">
        <f t="shared" si="7"/>
        <v>9000</v>
      </c>
      <c r="M27" s="246">
        <f t="shared" si="7"/>
        <v>9000</v>
      </c>
      <c r="N27" s="247">
        <f t="shared" si="7"/>
        <v>118800</v>
      </c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20"/>
    </row>
    <row r="28" spans="1:34" s="252" customFormat="1" ht="12">
      <c r="A28" s="248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50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51"/>
    </row>
    <row r="29" spans="1:34">
      <c r="A29" s="237" t="s">
        <v>143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53"/>
    </row>
    <row r="30" spans="1:34">
      <c r="A30" s="240" t="s">
        <v>144</v>
      </c>
      <c r="B30" s="254">
        <v>0</v>
      </c>
      <c r="C30" s="255">
        <v>0</v>
      </c>
      <c r="D30" s="255">
        <v>0</v>
      </c>
      <c r="E30" s="255">
        <v>0</v>
      </c>
      <c r="F30" s="255">
        <v>0</v>
      </c>
      <c r="G30" s="255">
        <v>0</v>
      </c>
      <c r="H30" s="255">
        <v>0</v>
      </c>
      <c r="I30" s="255">
        <v>0</v>
      </c>
      <c r="J30" s="255">
        <v>0</v>
      </c>
      <c r="K30" s="255">
        <v>0</v>
      </c>
      <c r="L30" s="255">
        <v>0</v>
      </c>
      <c r="M30" s="255">
        <v>0</v>
      </c>
      <c r="N30" s="256">
        <f t="shared" ref="N30:N36" si="8">SUM(B30:M30)</f>
        <v>0</v>
      </c>
    </row>
    <row r="31" spans="1:34">
      <c r="A31" s="240" t="s">
        <v>145</v>
      </c>
      <c r="B31" s="257">
        <v>0</v>
      </c>
      <c r="C31" s="257">
        <v>0</v>
      </c>
      <c r="D31" s="257">
        <v>0</v>
      </c>
      <c r="E31" s="257">
        <v>0</v>
      </c>
      <c r="F31" s="257">
        <v>0</v>
      </c>
      <c r="G31" s="257">
        <v>0</v>
      </c>
      <c r="H31" s="257">
        <v>0</v>
      </c>
      <c r="I31" s="257">
        <v>0</v>
      </c>
      <c r="J31" s="257">
        <v>0</v>
      </c>
      <c r="K31" s="257">
        <v>0</v>
      </c>
      <c r="L31" s="257">
        <v>0</v>
      </c>
      <c r="M31" s="257">
        <v>0</v>
      </c>
      <c r="N31" s="258">
        <f t="shared" si="8"/>
        <v>0</v>
      </c>
    </row>
    <row r="32" spans="1:34">
      <c r="A32" s="240" t="s">
        <v>146</v>
      </c>
      <c r="B32" s="259">
        <v>500</v>
      </c>
      <c r="C32" s="260">
        <f t="shared" ref="C32:M32" si="9">B32</f>
        <v>500</v>
      </c>
      <c r="D32" s="260">
        <f t="shared" si="9"/>
        <v>500</v>
      </c>
      <c r="E32" s="260">
        <f t="shared" si="9"/>
        <v>500</v>
      </c>
      <c r="F32" s="260">
        <f t="shared" si="9"/>
        <v>500</v>
      </c>
      <c r="G32" s="260">
        <f t="shared" si="9"/>
        <v>500</v>
      </c>
      <c r="H32" s="260">
        <f t="shared" si="9"/>
        <v>500</v>
      </c>
      <c r="I32" s="260">
        <f t="shared" si="9"/>
        <v>500</v>
      </c>
      <c r="J32" s="260">
        <f t="shared" si="9"/>
        <v>500</v>
      </c>
      <c r="K32" s="260">
        <f t="shared" si="9"/>
        <v>500</v>
      </c>
      <c r="L32" s="260">
        <f t="shared" si="9"/>
        <v>500</v>
      </c>
      <c r="M32" s="260">
        <f t="shared" si="9"/>
        <v>500</v>
      </c>
      <c r="N32" s="247">
        <f t="shared" si="8"/>
        <v>6000</v>
      </c>
      <c r="O32" s="261" t="s">
        <v>331</v>
      </c>
    </row>
    <row r="33" spans="1:34">
      <c r="A33" s="240" t="s">
        <v>147</v>
      </c>
      <c r="B33" s="262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44">
        <f t="shared" si="8"/>
        <v>0</v>
      </c>
    </row>
    <row r="34" spans="1:34">
      <c r="A34" s="240" t="s">
        <v>148</v>
      </c>
      <c r="B34" s="259">
        <v>0</v>
      </c>
      <c r="C34" s="260">
        <f t="shared" ref="C34:M35" si="10">B34</f>
        <v>0</v>
      </c>
      <c r="D34" s="260">
        <f t="shared" si="10"/>
        <v>0</v>
      </c>
      <c r="E34" s="260">
        <f t="shared" si="10"/>
        <v>0</v>
      </c>
      <c r="F34" s="260">
        <f t="shared" si="10"/>
        <v>0</v>
      </c>
      <c r="G34" s="260">
        <f t="shared" si="10"/>
        <v>0</v>
      </c>
      <c r="H34" s="260">
        <f t="shared" si="10"/>
        <v>0</v>
      </c>
      <c r="I34" s="260">
        <f t="shared" si="10"/>
        <v>0</v>
      </c>
      <c r="J34" s="260">
        <f t="shared" si="10"/>
        <v>0</v>
      </c>
      <c r="K34" s="260">
        <f t="shared" si="10"/>
        <v>0</v>
      </c>
      <c r="L34" s="260">
        <f t="shared" si="10"/>
        <v>0</v>
      </c>
      <c r="M34" s="260">
        <f t="shared" si="10"/>
        <v>0</v>
      </c>
      <c r="N34" s="247">
        <f t="shared" si="8"/>
        <v>0</v>
      </c>
    </row>
    <row r="35" spans="1:34">
      <c r="A35" s="240" t="s">
        <v>149</v>
      </c>
      <c r="B35" s="262">
        <v>0</v>
      </c>
      <c r="C35" s="213">
        <f>B35</f>
        <v>0</v>
      </c>
      <c r="D35" s="213">
        <f t="shared" si="10"/>
        <v>0</v>
      </c>
      <c r="E35" s="213">
        <f t="shared" si="10"/>
        <v>0</v>
      </c>
      <c r="F35" s="213">
        <f t="shared" si="10"/>
        <v>0</v>
      </c>
      <c r="G35" s="213">
        <f t="shared" si="10"/>
        <v>0</v>
      </c>
      <c r="H35" s="213">
        <f t="shared" si="10"/>
        <v>0</v>
      </c>
      <c r="I35" s="213">
        <f t="shared" si="10"/>
        <v>0</v>
      </c>
      <c r="J35" s="213">
        <f t="shared" si="10"/>
        <v>0</v>
      </c>
      <c r="K35" s="213">
        <f t="shared" si="10"/>
        <v>0</v>
      </c>
      <c r="L35" s="213">
        <f t="shared" si="10"/>
        <v>0</v>
      </c>
      <c r="M35" s="213">
        <f t="shared" si="10"/>
        <v>0</v>
      </c>
      <c r="N35" s="244">
        <f t="shared" si="8"/>
        <v>0</v>
      </c>
      <c r="O35" s="261"/>
    </row>
    <row r="36" spans="1:34" s="221" customFormat="1">
      <c r="A36" s="237" t="s">
        <v>150</v>
      </c>
      <c r="B36" s="245">
        <f t="shared" ref="B36:M36" si="11">SUM(B30:B35)</f>
        <v>500</v>
      </c>
      <c r="C36" s="246">
        <f t="shared" si="11"/>
        <v>500</v>
      </c>
      <c r="D36" s="246">
        <f t="shared" si="11"/>
        <v>500</v>
      </c>
      <c r="E36" s="246">
        <f t="shared" si="11"/>
        <v>500</v>
      </c>
      <c r="F36" s="246">
        <f t="shared" si="11"/>
        <v>500</v>
      </c>
      <c r="G36" s="246">
        <f t="shared" si="11"/>
        <v>500</v>
      </c>
      <c r="H36" s="246">
        <f t="shared" si="11"/>
        <v>500</v>
      </c>
      <c r="I36" s="246">
        <f t="shared" si="11"/>
        <v>500</v>
      </c>
      <c r="J36" s="246">
        <f t="shared" si="11"/>
        <v>500</v>
      </c>
      <c r="K36" s="246">
        <f t="shared" si="11"/>
        <v>500</v>
      </c>
      <c r="L36" s="246">
        <f t="shared" si="11"/>
        <v>500</v>
      </c>
      <c r="M36" s="246">
        <f t="shared" si="11"/>
        <v>500</v>
      </c>
      <c r="N36" s="247">
        <f t="shared" si="8"/>
        <v>6000</v>
      </c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20"/>
    </row>
    <row r="37" spans="1:34" s="252" customFormat="1" ht="12">
      <c r="A37" s="248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50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51"/>
    </row>
    <row r="38" spans="1:34">
      <c r="A38" s="237" t="s">
        <v>151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53"/>
    </row>
    <row r="39" spans="1:34">
      <c r="A39" s="240" t="s">
        <v>152</v>
      </c>
      <c r="B39" s="259">
        <v>500</v>
      </c>
      <c r="C39" s="260">
        <f>B39</f>
        <v>500</v>
      </c>
      <c r="D39" s="260">
        <f t="shared" ref="D39:M39" si="12">C39</f>
        <v>500</v>
      </c>
      <c r="E39" s="260">
        <f t="shared" si="12"/>
        <v>500</v>
      </c>
      <c r="F39" s="260">
        <f t="shared" si="12"/>
        <v>500</v>
      </c>
      <c r="G39" s="260">
        <f t="shared" si="12"/>
        <v>500</v>
      </c>
      <c r="H39" s="260">
        <f t="shared" si="12"/>
        <v>500</v>
      </c>
      <c r="I39" s="260">
        <f t="shared" si="12"/>
        <v>500</v>
      </c>
      <c r="J39" s="260">
        <f t="shared" si="12"/>
        <v>500</v>
      </c>
      <c r="K39" s="260">
        <f t="shared" si="12"/>
        <v>500</v>
      </c>
      <c r="L39" s="260">
        <f t="shared" si="12"/>
        <v>500</v>
      </c>
      <c r="M39" s="260">
        <f t="shared" si="12"/>
        <v>500</v>
      </c>
      <c r="N39" s="247">
        <f>SUM(B39:M39)</f>
        <v>6000</v>
      </c>
      <c r="O39" s="261" t="s">
        <v>331</v>
      </c>
    </row>
    <row r="40" spans="1:34">
      <c r="A40" s="240" t="s">
        <v>127</v>
      </c>
      <c r="B40" s="262">
        <v>0</v>
      </c>
      <c r="C40" s="213">
        <v>0</v>
      </c>
      <c r="D40" s="213">
        <v>0</v>
      </c>
      <c r="E40" s="213">
        <v>0</v>
      </c>
      <c r="F40" s="213">
        <v>0</v>
      </c>
      <c r="G40" s="213">
        <v>0</v>
      </c>
      <c r="H40" s="213">
        <v>0</v>
      </c>
      <c r="I40" s="213">
        <v>0</v>
      </c>
      <c r="J40" s="213">
        <v>0</v>
      </c>
      <c r="K40" s="213">
        <v>0</v>
      </c>
      <c r="L40" s="213">
        <v>0</v>
      </c>
      <c r="M40" s="213">
        <v>0</v>
      </c>
      <c r="N40" s="244">
        <f>SUM(B40:M40)</f>
        <v>0</v>
      </c>
    </row>
    <row r="41" spans="1:34" s="221" customFormat="1">
      <c r="A41" s="237" t="s">
        <v>153</v>
      </c>
      <c r="B41" s="245">
        <f t="shared" ref="B41:M41" si="13">SUM(B39:B40)</f>
        <v>500</v>
      </c>
      <c r="C41" s="246">
        <f t="shared" si="13"/>
        <v>500</v>
      </c>
      <c r="D41" s="246">
        <f t="shared" si="13"/>
        <v>500</v>
      </c>
      <c r="E41" s="246">
        <f t="shared" si="13"/>
        <v>500</v>
      </c>
      <c r="F41" s="246">
        <f t="shared" si="13"/>
        <v>500</v>
      </c>
      <c r="G41" s="246">
        <f t="shared" si="13"/>
        <v>500</v>
      </c>
      <c r="H41" s="246">
        <f t="shared" si="13"/>
        <v>500</v>
      </c>
      <c r="I41" s="246">
        <f t="shared" si="13"/>
        <v>500</v>
      </c>
      <c r="J41" s="246">
        <f t="shared" si="13"/>
        <v>500</v>
      </c>
      <c r="K41" s="246">
        <f t="shared" si="13"/>
        <v>500</v>
      </c>
      <c r="L41" s="246">
        <f t="shared" si="13"/>
        <v>500</v>
      </c>
      <c r="M41" s="246">
        <f t="shared" si="13"/>
        <v>500</v>
      </c>
      <c r="N41" s="247">
        <f>SUM(B41:M41)</f>
        <v>6000</v>
      </c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20"/>
    </row>
    <row r="42" spans="1:34" s="252" customFormat="1" ht="12">
      <c r="A42" s="248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50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51"/>
    </row>
    <row r="43" spans="1:34">
      <c r="A43" s="237" t="s">
        <v>154</v>
      </c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53"/>
    </row>
    <row r="44" spans="1:34" hidden="1">
      <c r="A44" s="240" t="s">
        <v>155</v>
      </c>
      <c r="B44" s="210">
        <v>0</v>
      </c>
      <c r="C44" s="211">
        <f>B44</f>
        <v>0</v>
      </c>
      <c r="D44" s="211">
        <f t="shared" ref="D44:M44" si="14">C44</f>
        <v>0</v>
      </c>
      <c r="E44" s="211">
        <f t="shared" si="14"/>
        <v>0</v>
      </c>
      <c r="F44" s="211">
        <f t="shared" si="14"/>
        <v>0</v>
      </c>
      <c r="G44" s="211">
        <f t="shared" si="14"/>
        <v>0</v>
      </c>
      <c r="H44" s="211">
        <f t="shared" si="14"/>
        <v>0</v>
      </c>
      <c r="I44" s="211">
        <f t="shared" si="14"/>
        <v>0</v>
      </c>
      <c r="J44" s="211">
        <f t="shared" si="14"/>
        <v>0</v>
      </c>
      <c r="K44" s="211">
        <f t="shared" si="14"/>
        <v>0</v>
      </c>
      <c r="L44" s="211">
        <f t="shared" si="14"/>
        <v>0</v>
      </c>
      <c r="M44" s="211">
        <f t="shared" si="14"/>
        <v>0</v>
      </c>
      <c r="N44" s="243">
        <f t="shared" ref="N44:N48" si="15">SUM(B44:M44)</f>
        <v>0</v>
      </c>
    </row>
    <row r="45" spans="1:34">
      <c r="A45" s="240" t="s">
        <v>156</v>
      </c>
      <c r="B45" s="213">
        <v>0</v>
      </c>
      <c r="C45" s="213">
        <f t="shared" ref="C45:M47" si="16">B45</f>
        <v>0</v>
      </c>
      <c r="D45" s="213">
        <f t="shared" si="16"/>
        <v>0</v>
      </c>
      <c r="E45" s="213">
        <f t="shared" si="16"/>
        <v>0</v>
      </c>
      <c r="F45" s="213">
        <f t="shared" si="16"/>
        <v>0</v>
      </c>
      <c r="G45" s="213">
        <f t="shared" si="16"/>
        <v>0</v>
      </c>
      <c r="H45" s="213">
        <f t="shared" si="16"/>
        <v>0</v>
      </c>
      <c r="I45" s="213">
        <f t="shared" si="16"/>
        <v>0</v>
      </c>
      <c r="J45" s="213">
        <f t="shared" si="16"/>
        <v>0</v>
      </c>
      <c r="K45" s="213">
        <f t="shared" si="16"/>
        <v>0</v>
      </c>
      <c r="L45" s="213">
        <f t="shared" si="16"/>
        <v>0</v>
      </c>
      <c r="M45" s="213">
        <f t="shared" si="16"/>
        <v>0</v>
      </c>
      <c r="N45" s="244">
        <f t="shared" si="15"/>
        <v>0</v>
      </c>
    </row>
    <row r="46" spans="1:34">
      <c r="A46" s="240" t="s">
        <v>157</v>
      </c>
      <c r="B46" s="210">
        <v>0</v>
      </c>
      <c r="C46" s="211">
        <f t="shared" si="16"/>
        <v>0</v>
      </c>
      <c r="D46" s="211">
        <f t="shared" si="16"/>
        <v>0</v>
      </c>
      <c r="E46" s="211">
        <f t="shared" si="16"/>
        <v>0</v>
      </c>
      <c r="F46" s="211">
        <f t="shared" si="16"/>
        <v>0</v>
      </c>
      <c r="G46" s="211">
        <f t="shared" si="16"/>
        <v>0</v>
      </c>
      <c r="H46" s="211">
        <f t="shared" si="16"/>
        <v>0</v>
      </c>
      <c r="I46" s="211">
        <f t="shared" si="16"/>
        <v>0</v>
      </c>
      <c r="J46" s="211">
        <f t="shared" si="16"/>
        <v>0</v>
      </c>
      <c r="K46" s="211">
        <f t="shared" si="16"/>
        <v>0</v>
      </c>
      <c r="L46" s="211">
        <f t="shared" si="16"/>
        <v>0</v>
      </c>
      <c r="M46" s="211">
        <f t="shared" si="16"/>
        <v>0</v>
      </c>
      <c r="N46" s="243">
        <f t="shared" si="15"/>
        <v>0</v>
      </c>
    </row>
    <row r="47" spans="1:34">
      <c r="A47" s="240" t="s">
        <v>158</v>
      </c>
      <c r="B47" s="213">
        <v>0</v>
      </c>
      <c r="C47" s="213">
        <f t="shared" si="16"/>
        <v>0</v>
      </c>
      <c r="D47" s="213">
        <f t="shared" si="16"/>
        <v>0</v>
      </c>
      <c r="E47" s="213">
        <f t="shared" si="16"/>
        <v>0</v>
      </c>
      <c r="F47" s="213">
        <f t="shared" si="16"/>
        <v>0</v>
      </c>
      <c r="G47" s="213">
        <f t="shared" si="16"/>
        <v>0</v>
      </c>
      <c r="H47" s="213">
        <f t="shared" si="16"/>
        <v>0</v>
      </c>
      <c r="I47" s="213">
        <f t="shared" si="16"/>
        <v>0</v>
      </c>
      <c r="J47" s="213">
        <f t="shared" si="16"/>
        <v>0</v>
      </c>
      <c r="K47" s="213">
        <f t="shared" si="16"/>
        <v>0</v>
      </c>
      <c r="L47" s="213">
        <f t="shared" si="16"/>
        <v>0</v>
      </c>
      <c r="M47" s="213">
        <f t="shared" si="16"/>
        <v>0</v>
      </c>
      <c r="N47" s="242">
        <f t="shared" si="15"/>
        <v>0</v>
      </c>
    </row>
    <row r="48" spans="1:34">
      <c r="A48" s="240" t="s">
        <v>127</v>
      </c>
      <c r="B48" s="213">
        <v>0</v>
      </c>
      <c r="C48" s="213">
        <v>0</v>
      </c>
      <c r="D48" s="213">
        <v>0</v>
      </c>
      <c r="E48" s="213">
        <v>0</v>
      </c>
      <c r="F48" s="213">
        <v>0</v>
      </c>
      <c r="G48" s="213">
        <v>0</v>
      </c>
      <c r="H48" s="213">
        <v>0</v>
      </c>
      <c r="I48" s="213">
        <v>0</v>
      </c>
      <c r="J48" s="213">
        <v>0</v>
      </c>
      <c r="K48" s="213">
        <v>0</v>
      </c>
      <c r="L48" s="213">
        <v>0</v>
      </c>
      <c r="M48" s="213">
        <v>0</v>
      </c>
      <c r="N48" s="242">
        <f t="shared" si="15"/>
        <v>0</v>
      </c>
    </row>
    <row r="49" spans="1:34" s="221" customFormat="1">
      <c r="A49" s="237" t="s">
        <v>159</v>
      </c>
      <c r="B49" s="245">
        <f t="shared" ref="B49:N49" si="17">SUM(B44:B48)</f>
        <v>0</v>
      </c>
      <c r="C49" s="246">
        <f t="shared" si="17"/>
        <v>0</v>
      </c>
      <c r="D49" s="246">
        <f t="shared" si="17"/>
        <v>0</v>
      </c>
      <c r="E49" s="246">
        <f t="shared" si="17"/>
        <v>0</v>
      </c>
      <c r="F49" s="246">
        <f t="shared" si="17"/>
        <v>0</v>
      </c>
      <c r="G49" s="246">
        <f t="shared" si="17"/>
        <v>0</v>
      </c>
      <c r="H49" s="246">
        <f t="shared" si="17"/>
        <v>0</v>
      </c>
      <c r="I49" s="246">
        <f t="shared" si="17"/>
        <v>0</v>
      </c>
      <c r="J49" s="246">
        <f t="shared" si="17"/>
        <v>0</v>
      </c>
      <c r="K49" s="246">
        <f t="shared" si="17"/>
        <v>0</v>
      </c>
      <c r="L49" s="246">
        <f t="shared" si="17"/>
        <v>0</v>
      </c>
      <c r="M49" s="246">
        <f t="shared" si="17"/>
        <v>0</v>
      </c>
      <c r="N49" s="247">
        <f t="shared" si="17"/>
        <v>0</v>
      </c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20"/>
    </row>
    <row r="50" spans="1:34" s="252" customFormat="1" ht="12">
      <c r="A50" s="248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50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51"/>
    </row>
    <row r="51" spans="1:34">
      <c r="A51" s="237" t="s">
        <v>160</v>
      </c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53"/>
    </row>
    <row r="52" spans="1:34">
      <c r="A52" s="240" t="s">
        <v>161</v>
      </c>
      <c r="B52" s="263">
        <v>0</v>
      </c>
      <c r="C52" s="264">
        <f>B52</f>
        <v>0</v>
      </c>
      <c r="D52" s="264">
        <f t="shared" ref="D52:M52" si="18">C52</f>
        <v>0</v>
      </c>
      <c r="E52" s="264">
        <f t="shared" si="18"/>
        <v>0</v>
      </c>
      <c r="F52" s="264">
        <f t="shared" si="18"/>
        <v>0</v>
      </c>
      <c r="G52" s="264">
        <f t="shared" si="18"/>
        <v>0</v>
      </c>
      <c r="H52" s="264">
        <f t="shared" si="18"/>
        <v>0</v>
      </c>
      <c r="I52" s="264">
        <f t="shared" si="18"/>
        <v>0</v>
      </c>
      <c r="J52" s="264">
        <f t="shared" si="18"/>
        <v>0</v>
      </c>
      <c r="K52" s="264">
        <f t="shared" si="18"/>
        <v>0</v>
      </c>
      <c r="L52" s="264">
        <f t="shared" si="18"/>
        <v>0</v>
      </c>
      <c r="M52" s="264">
        <f t="shared" si="18"/>
        <v>0</v>
      </c>
      <c r="N52" s="243">
        <f t="shared" ref="N52:N60" si="19">SUM(B52:M52)</f>
        <v>0</v>
      </c>
    </row>
    <row r="53" spans="1:34">
      <c r="A53" s="240" t="s">
        <v>161</v>
      </c>
      <c r="B53" s="265">
        <f>([3]skat!D8)/12</f>
        <v>816.66666666666663</v>
      </c>
      <c r="C53" s="265">
        <f t="shared" ref="C53:M56" si="20">B53</f>
        <v>816.66666666666663</v>
      </c>
      <c r="D53" s="265">
        <f t="shared" si="20"/>
        <v>816.66666666666663</v>
      </c>
      <c r="E53" s="265">
        <f t="shared" si="20"/>
        <v>816.66666666666663</v>
      </c>
      <c r="F53" s="265">
        <f t="shared" si="20"/>
        <v>816.66666666666663</v>
      </c>
      <c r="G53" s="265">
        <f t="shared" si="20"/>
        <v>816.66666666666663</v>
      </c>
      <c r="H53" s="265">
        <f t="shared" si="20"/>
        <v>816.66666666666663</v>
      </c>
      <c r="I53" s="265">
        <f t="shared" si="20"/>
        <v>816.66666666666663</v>
      </c>
      <c r="J53" s="265">
        <f t="shared" si="20"/>
        <v>816.66666666666663</v>
      </c>
      <c r="K53" s="265">
        <f t="shared" si="20"/>
        <v>816.66666666666663</v>
      </c>
      <c r="L53" s="265">
        <f t="shared" si="20"/>
        <v>816.66666666666663</v>
      </c>
      <c r="M53" s="265">
        <f t="shared" si="20"/>
        <v>816.66666666666663</v>
      </c>
      <c r="N53" s="244">
        <f t="shared" si="19"/>
        <v>9800</v>
      </c>
    </row>
    <row r="54" spans="1:34">
      <c r="A54" s="240" t="s">
        <v>18</v>
      </c>
      <c r="B54" s="263">
        <f>([3]skat!C7)/12</f>
        <v>500</v>
      </c>
      <c r="C54" s="264">
        <f t="shared" si="20"/>
        <v>500</v>
      </c>
      <c r="D54" s="264">
        <f t="shared" si="20"/>
        <v>500</v>
      </c>
      <c r="E54" s="264">
        <f t="shared" si="20"/>
        <v>500</v>
      </c>
      <c r="F54" s="264">
        <f t="shared" si="20"/>
        <v>500</v>
      </c>
      <c r="G54" s="264">
        <f t="shared" si="20"/>
        <v>500</v>
      </c>
      <c r="H54" s="264">
        <f t="shared" si="20"/>
        <v>500</v>
      </c>
      <c r="I54" s="264">
        <f t="shared" si="20"/>
        <v>500</v>
      </c>
      <c r="J54" s="264">
        <f t="shared" si="20"/>
        <v>500</v>
      </c>
      <c r="K54" s="264">
        <f t="shared" si="20"/>
        <v>500</v>
      </c>
      <c r="L54" s="264">
        <f t="shared" si="20"/>
        <v>500</v>
      </c>
      <c r="M54" s="264">
        <f t="shared" si="20"/>
        <v>500</v>
      </c>
      <c r="N54" s="243">
        <f t="shared" si="19"/>
        <v>6000</v>
      </c>
    </row>
    <row r="55" spans="1:34">
      <c r="A55" s="240" t="s">
        <v>18</v>
      </c>
      <c r="B55" s="265">
        <f>([3]skat!D7)/12</f>
        <v>600</v>
      </c>
      <c r="C55" s="265">
        <f t="shared" si="20"/>
        <v>600</v>
      </c>
      <c r="D55" s="265">
        <f t="shared" si="20"/>
        <v>600</v>
      </c>
      <c r="E55" s="265">
        <f t="shared" si="20"/>
        <v>600</v>
      </c>
      <c r="F55" s="265">
        <f t="shared" si="20"/>
        <v>600</v>
      </c>
      <c r="G55" s="265">
        <f t="shared" si="20"/>
        <v>600</v>
      </c>
      <c r="H55" s="265">
        <f t="shared" si="20"/>
        <v>600</v>
      </c>
      <c r="I55" s="265">
        <f t="shared" si="20"/>
        <v>600</v>
      </c>
      <c r="J55" s="265">
        <f t="shared" si="20"/>
        <v>600</v>
      </c>
      <c r="K55" s="265">
        <f t="shared" si="20"/>
        <v>600</v>
      </c>
      <c r="L55" s="265">
        <f t="shared" si="20"/>
        <v>600</v>
      </c>
      <c r="M55" s="265">
        <f t="shared" si="20"/>
        <v>600</v>
      </c>
      <c r="N55" s="244">
        <f t="shared" si="19"/>
        <v>7200</v>
      </c>
    </row>
    <row r="56" spans="1:34">
      <c r="A56" s="240" t="s">
        <v>162</v>
      </c>
      <c r="B56" s="263">
        <v>0</v>
      </c>
      <c r="C56" s="264">
        <f t="shared" si="20"/>
        <v>0</v>
      </c>
      <c r="D56" s="264">
        <f t="shared" si="20"/>
        <v>0</v>
      </c>
      <c r="E56" s="264">
        <f t="shared" si="20"/>
        <v>0</v>
      </c>
      <c r="F56" s="264">
        <f t="shared" si="20"/>
        <v>0</v>
      </c>
      <c r="G56" s="264">
        <f t="shared" si="20"/>
        <v>0</v>
      </c>
      <c r="H56" s="264">
        <f t="shared" si="20"/>
        <v>0</v>
      </c>
      <c r="I56" s="264">
        <f t="shared" si="20"/>
        <v>0</v>
      </c>
      <c r="J56" s="264">
        <f t="shared" si="20"/>
        <v>0</v>
      </c>
      <c r="K56" s="264">
        <f t="shared" si="20"/>
        <v>0</v>
      </c>
      <c r="L56" s="264">
        <f t="shared" si="20"/>
        <v>0</v>
      </c>
      <c r="M56" s="264">
        <f t="shared" si="20"/>
        <v>0</v>
      </c>
      <c r="N56" s="243">
        <f t="shared" si="19"/>
        <v>0</v>
      </c>
    </row>
    <row r="57" spans="1:34">
      <c r="A57" s="240" t="s">
        <v>163</v>
      </c>
      <c r="B57" s="265">
        <v>0</v>
      </c>
      <c r="C57" s="265">
        <v>0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44">
        <f t="shared" si="19"/>
        <v>0</v>
      </c>
    </row>
    <row r="58" spans="1:34">
      <c r="A58" s="240" t="s">
        <v>164</v>
      </c>
      <c r="B58" s="263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43">
        <f t="shared" si="19"/>
        <v>0</v>
      </c>
    </row>
    <row r="59" spans="1:34">
      <c r="A59" s="240" t="s">
        <v>165</v>
      </c>
      <c r="B59" s="265">
        <v>0</v>
      </c>
      <c r="C59" s="265">
        <f>B59</f>
        <v>0</v>
      </c>
      <c r="D59" s="265">
        <f>C59</f>
        <v>0</v>
      </c>
      <c r="E59" s="265">
        <f t="shared" ref="E59:M59" si="21">D59</f>
        <v>0</v>
      </c>
      <c r="F59" s="265">
        <f t="shared" si="21"/>
        <v>0</v>
      </c>
      <c r="G59" s="265">
        <f t="shared" si="21"/>
        <v>0</v>
      </c>
      <c r="H59" s="265">
        <f t="shared" si="21"/>
        <v>0</v>
      </c>
      <c r="I59" s="265">
        <f t="shared" si="21"/>
        <v>0</v>
      </c>
      <c r="J59" s="265">
        <f t="shared" si="21"/>
        <v>0</v>
      </c>
      <c r="K59" s="265">
        <f t="shared" si="21"/>
        <v>0</v>
      </c>
      <c r="L59" s="265">
        <f t="shared" si="21"/>
        <v>0</v>
      </c>
      <c r="M59" s="265">
        <f t="shared" si="21"/>
        <v>0</v>
      </c>
      <c r="N59" s="244">
        <f t="shared" si="19"/>
        <v>0</v>
      </c>
    </row>
    <row r="60" spans="1:34">
      <c r="A60" s="240" t="s">
        <v>127</v>
      </c>
      <c r="B60" s="210">
        <v>0</v>
      </c>
      <c r="C60" s="264">
        <v>0</v>
      </c>
      <c r="D60" s="264">
        <v>0</v>
      </c>
      <c r="E60" s="264">
        <v>0</v>
      </c>
      <c r="F60" s="264">
        <v>0</v>
      </c>
      <c r="G60" s="264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43">
        <f t="shared" si="19"/>
        <v>0</v>
      </c>
    </row>
    <row r="61" spans="1:34" s="221" customFormat="1">
      <c r="A61" s="237" t="s">
        <v>166</v>
      </c>
      <c r="B61" s="266">
        <f>SUM(B52:B60)</f>
        <v>1916.6666666666665</v>
      </c>
      <c r="C61" s="266">
        <f t="shared" ref="C61:N61" si="22">SUM(C52:C60)</f>
        <v>1916.6666666666665</v>
      </c>
      <c r="D61" s="266">
        <f t="shared" si="22"/>
        <v>1916.6666666666665</v>
      </c>
      <c r="E61" s="266">
        <f t="shared" si="22"/>
        <v>1916.6666666666665</v>
      </c>
      <c r="F61" s="266">
        <f t="shared" si="22"/>
        <v>1916.6666666666665</v>
      </c>
      <c r="G61" s="266">
        <f t="shared" si="22"/>
        <v>1916.6666666666665</v>
      </c>
      <c r="H61" s="266">
        <f t="shared" si="22"/>
        <v>1916.6666666666665</v>
      </c>
      <c r="I61" s="266">
        <f t="shared" si="22"/>
        <v>1916.6666666666665</v>
      </c>
      <c r="J61" s="266">
        <f t="shared" si="22"/>
        <v>1916.6666666666665</v>
      </c>
      <c r="K61" s="266">
        <f t="shared" si="22"/>
        <v>1916.6666666666665</v>
      </c>
      <c r="L61" s="266">
        <f t="shared" si="22"/>
        <v>1916.6666666666665</v>
      </c>
      <c r="M61" s="266">
        <f t="shared" si="22"/>
        <v>1916.6666666666665</v>
      </c>
      <c r="N61" s="244">
        <f t="shared" si="22"/>
        <v>23000</v>
      </c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20"/>
    </row>
    <row r="62" spans="1:34" s="252" customFormat="1" ht="12">
      <c r="A62" s="248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50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51"/>
    </row>
    <row r="63" spans="1:34">
      <c r="A63" s="237" t="s">
        <v>167</v>
      </c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53"/>
    </row>
    <row r="64" spans="1:34">
      <c r="A64" s="240" t="s">
        <v>168</v>
      </c>
      <c r="B64" s="210">
        <v>0</v>
      </c>
      <c r="C64" s="211">
        <f>B64</f>
        <v>0</v>
      </c>
      <c r="D64" s="211">
        <f t="shared" ref="D64:M64" si="23">C64</f>
        <v>0</v>
      </c>
      <c r="E64" s="211">
        <f t="shared" si="23"/>
        <v>0</v>
      </c>
      <c r="F64" s="211">
        <f t="shared" si="23"/>
        <v>0</v>
      </c>
      <c r="G64" s="211">
        <f t="shared" si="23"/>
        <v>0</v>
      </c>
      <c r="H64" s="211">
        <f t="shared" si="23"/>
        <v>0</v>
      </c>
      <c r="I64" s="211">
        <f t="shared" si="23"/>
        <v>0</v>
      </c>
      <c r="J64" s="211">
        <f t="shared" si="23"/>
        <v>0</v>
      </c>
      <c r="K64" s="211">
        <f t="shared" si="23"/>
        <v>0</v>
      </c>
      <c r="L64" s="211">
        <f t="shared" si="23"/>
        <v>0</v>
      </c>
      <c r="M64" s="211">
        <f t="shared" si="23"/>
        <v>0</v>
      </c>
      <c r="N64" s="243">
        <f>SUM(B64:M64)</f>
        <v>0</v>
      </c>
    </row>
    <row r="65" spans="1:34">
      <c r="A65" s="240" t="s">
        <v>169</v>
      </c>
      <c r="B65" s="213">
        <v>0</v>
      </c>
      <c r="C65" s="213">
        <f t="shared" ref="C65:M66" si="24">B65</f>
        <v>0</v>
      </c>
      <c r="D65" s="213">
        <f t="shared" si="24"/>
        <v>0</v>
      </c>
      <c r="E65" s="213">
        <f t="shared" si="24"/>
        <v>0</v>
      </c>
      <c r="F65" s="213">
        <f t="shared" si="24"/>
        <v>0</v>
      </c>
      <c r="G65" s="213">
        <f t="shared" si="24"/>
        <v>0</v>
      </c>
      <c r="H65" s="213">
        <f t="shared" si="24"/>
        <v>0</v>
      </c>
      <c r="I65" s="213">
        <f t="shared" si="24"/>
        <v>0</v>
      </c>
      <c r="J65" s="213">
        <f t="shared" si="24"/>
        <v>0</v>
      </c>
      <c r="K65" s="213">
        <f t="shared" si="24"/>
        <v>0</v>
      </c>
      <c r="L65" s="213">
        <f t="shared" si="24"/>
        <v>0</v>
      </c>
      <c r="M65" s="213">
        <f t="shared" si="24"/>
        <v>0</v>
      </c>
      <c r="N65" s="244">
        <f>SUM(B65:M65)</f>
        <v>0</v>
      </c>
    </row>
    <row r="66" spans="1:34">
      <c r="A66" s="240" t="s">
        <v>170</v>
      </c>
      <c r="B66" s="210">
        <v>0</v>
      </c>
      <c r="C66" s="211">
        <f t="shared" si="24"/>
        <v>0</v>
      </c>
      <c r="D66" s="211">
        <f t="shared" si="24"/>
        <v>0</v>
      </c>
      <c r="E66" s="211">
        <f t="shared" si="24"/>
        <v>0</v>
      </c>
      <c r="F66" s="211">
        <f t="shared" si="24"/>
        <v>0</v>
      </c>
      <c r="G66" s="211">
        <f t="shared" si="24"/>
        <v>0</v>
      </c>
      <c r="H66" s="211">
        <f t="shared" si="24"/>
        <v>0</v>
      </c>
      <c r="I66" s="211">
        <f t="shared" si="24"/>
        <v>0</v>
      </c>
      <c r="J66" s="211">
        <f t="shared" si="24"/>
        <v>0</v>
      </c>
      <c r="K66" s="211">
        <f t="shared" si="24"/>
        <v>0</v>
      </c>
      <c r="L66" s="211">
        <f t="shared" si="24"/>
        <v>0</v>
      </c>
      <c r="M66" s="211">
        <f t="shared" si="24"/>
        <v>0</v>
      </c>
      <c r="N66" s="243">
        <f>SUM(B66:M66)</f>
        <v>0</v>
      </c>
    </row>
    <row r="67" spans="1:34">
      <c r="A67" s="240" t="s">
        <v>171</v>
      </c>
      <c r="B67" s="213">
        <v>0</v>
      </c>
      <c r="C67" s="213">
        <v>0</v>
      </c>
      <c r="D67" s="213">
        <v>0</v>
      </c>
      <c r="E67" s="213">
        <v>0</v>
      </c>
      <c r="F67" s="213">
        <v>0</v>
      </c>
      <c r="G67" s="213">
        <v>0</v>
      </c>
      <c r="H67" s="213">
        <v>0</v>
      </c>
      <c r="I67" s="213">
        <v>0</v>
      </c>
      <c r="J67" s="213">
        <v>0</v>
      </c>
      <c r="K67" s="213">
        <v>0</v>
      </c>
      <c r="L67" s="213">
        <v>0</v>
      </c>
      <c r="M67" s="213">
        <v>0</v>
      </c>
      <c r="N67" s="244">
        <f>SUM(B67:M67)</f>
        <v>0</v>
      </c>
    </row>
    <row r="68" spans="1:34">
      <c r="A68" s="240" t="s">
        <v>127</v>
      </c>
      <c r="B68" s="210">
        <v>0</v>
      </c>
      <c r="C68" s="211">
        <v>0</v>
      </c>
      <c r="D68" s="211">
        <v>0</v>
      </c>
      <c r="E68" s="211">
        <v>0</v>
      </c>
      <c r="F68" s="211">
        <v>0</v>
      </c>
      <c r="G68" s="211">
        <v>0</v>
      </c>
      <c r="H68" s="211">
        <v>0</v>
      </c>
      <c r="I68" s="211">
        <v>0</v>
      </c>
      <c r="J68" s="211">
        <v>0</v>
      </c>
      <c r="K68" s="211">
        <v>0</v>
      </c>
      <c r="L68" s="211">
        <v>0</v>
      </c>
      <c r="M68" s="211">
        <v>0</v>
      </c>
      <c r="N68" s="243">
        <f>SUM(B68:M68)</f>
        <v>0</v>
      </c>
    </row>
    <row r="69" spans="1:34">
      <c r="A69" s="237" t="s">
        <v>172</v>
      </c>
      <c r="B69" s="266">
        <f t="shared" ref="B69:N69" si="25">SUM(B64:B68)</f>
        <v>0</v>
      </c>
      <c r="C69" s="266">
        <f t="shared" si="25"/>
        <v>0</v>
      </c>
      <c r="D69" s="266">
        <f t="shared" si="25"/>
        <v>0</v>
      </c>
      <c r="E69" s="266">
        <f t="shared" si="25"/>
        <v>0</v>
      </c>
      <c r="F69" s="266">
        <f t="shared" si="25"/>
        <v>0</v>
      </c>
      <c r="G69" s="266">
        <f t="shared" si="25"/>
        <v>0</v>
      </c>
      <c r="H69" s="266">
        <f t="shared" si="25"/>
        <v>0</v>
      </c>
      <c r="I69" s="266">
        <f t="shared" si="25"/>
        <v>0</v>
      </c>
      <c r="J69" s="266">
        <f t="shared" si="25"/>
        <v>0</v>
      </c>
      <c r="K69" s="266">
        <f t="shared" si="25"/>
        <v>0</v>
      </c>
      <c r="L69" s="266">
        <f t="shared" si="25"/>
        <v>0</v>
      </c>
      <c r="M69" s="266">
        <f t="shared" si="25"/>
        <v>0</v>
      </c>
      <c r="N69" s="244">
        <f t="shared" si="25"/>
        <v>0</v>
      </c>
    </row>
    <row r="70" spans="1:34" s="269" customFormat="1" ht="12">
      <c r="A70" s="248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50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8"/>
    </row>
    <row r="71" spans="1:34" hidden="1">
      <c r="A71" s="237" t="s">
        <v>173</v>
      </c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53"/>
    </row>
    <row r="72" spans="1:34" hidden="1">
      <c r="A72" s="240" t="s">
        <v>127</v>
      </c>
      <c r="B72" s="210">
        <v>0</v>
      </c>
      <c r="C72" s="211">
        <v>0</v>
      </c>
      <c r="D72" s="211">
        <v>0</v>
      </c>
      <c r="E72" s="211">
        <v>0</v>
      </c>
      <c r="F72" s="211">
        <v>0</v>
      </c>
      <c r="G72" s="211">
        <v>0</v>
      </c>
      <c r="H72" s="211">
        <v>0</v>
      </c>
      <c r="I72" s="211">
        <v>0</v>
      </c>
      <c r="J72" s="211">
        <v>0</v>
      </c>
      <c r="K72" s="211">
        <v>0</v>
      </c>
      <c r="L72" s="211">
        <v>0</v>
      </c>
      <c r="M72" s="211">
        <v>0</v>
      </c>
      <c r="N72" s="243">
        <f>SUM(B72:M72)</f>
        <v>0</v>
      </c>
    </row>
    <row r="73" spans="1:34" hidden="1">
      <c r="A73" s="240" t="s">
        <v>127</v>
      </c>
      <c r="B73" s="213">
        <v>0</v>
      </c>
      <c r="C73" s="213">
        <v>0</v>
      </c>
      <c r="D73" s="213">
        <v>0</v>
      </c>
      <c r="E73" s="213">
        <v>0</v>
      </c>
      <c r="F73" s="213">
        <v>0</v>
      </c>
      <c r="G73" s="213">
        <v>0</v>
      </c>
      <c r="H73" s="213">
        <v>0</v>
      </c>
      <c r="I73" s="213">
        <v>0</v>
      </c>
      <c r="J73" s="213">
        <v>0</v>
      </c>
      <c r="K73" s="213">
        <v>0</v>
      </c>
      <c r="L73" s="213">
        <v>0</v>
      </c>
      <c r="M73" s="213">
        <v>0</v>
      </c>
      <c r="N73" s="244">
        <f>SUM(B73:M73)</f>
        <v>0</v>
      </c>
    </row>
    <row r="74" spans="1:34" hidden="1">
      <c r="A74" s="237" t="s">
        <v>174</v>
      </c>
      <c r="B74" s="216">
        <f t="shared" ref="B74:N74" si="26">SUM(B72:B73)</f>
        <v>0</v>
      </c>
      <c r="C74" s="217">
        <f t="shared" si="26"/>
        <v>0</v>
      </c>
      <c r="D74" s="217">
        <f t="shared" si="26"/>
        <v>0</v>
      </c>
      <c r="E74" s="217">
        <f t="shared" si="26"/>
        <v>0</v>
      </c>
      <c r="F74" s="217">
        <f t="shared" si="26"/>
        <v>0</v>
      </c>
      <c r="G74" s="217">
        <f t="shared" si="26"/>
        <v>0</v>
      </c>
      <c r="H74" s="217">
        <f t="shared" si="26"/>
        <v>0</v>
      </c>
      <c r="I74" s="217">
        <f t="shared" si="26"/>
        <v>0</v>
      </c>
      <c r="J74" s="217">
        <f t="shared" si="26"/>
        <v>0</v>
      </c>
      <c r="K74" s="217">
        <f t="shared" si="26"/>
        <v>0</v>
      </c>
      <c r="L74" s="217">
        <f t="shared" si="26"/>
        <v>0</v>
      </c>
      <c r="M74" s="217">
        <f t="shared" si="26"/>
        <v>0</v>
      </c>
      <c r="N74" s="270">
        <f t="shared" si="26"/>
        <v>0</v>
      </c>
    </row>
    <row r="75" spans="1:34" s="269" customFormat="1" ht="12" hidden="1">
      <c r="A75" s="248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2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8"/>
    </row>
    <row r="76" spans="1:34">
      <c r="A76" s="237" t="s">
        <v>127</v>
      </c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53"/>
    </row>
    <row r="77" spans="1:34">
      <c r="A77" s="240" t="s">
        <v>175</v>
      </c>
      <c r="B77" s="210">
        <v>2000</v>
      </c>
      <c r="C77" s="211">
        <f>B77</f>
        <v>2000</v>
      </c>
      <c r="D77" s="211">
        <f t="shared" ref="D77:M79" si="27">C77</f>
        <v>2000</v>
      </c>
      <c r="E77" s="211">
        <f t="shared" si="27"/>
        <v>2000</v>
      </c>
      <c r="F77" s="211">
        <f t="shared" si="27"/>
        <v>2000</v>
      </c>
      <c r="G77" s="211">
        <f t="shared" si="27"/>
        <v>2000</v>
      </c>
      <c r="H77" s="211">
        <f t="shared" si="27"/>
        <v>2000</v>
      </c>
      <c r="I77" s="211">
        <f t="shared" si="27"/>
        <v>2000</v>
      </c>
      <c r="J77" s="211">
        <f t="shared" si="27"/>
        <v>2000</v>
      </c>
      <c r="K77" s="211">
        <f t="shared" si="27"/>
        <v>2000</v>
      </c>
      <c r="L77" s="211">
        <f t="shared" si="27"/>
        <v>2000</v>
      </c>
      <c r="M77" s="211">
        <f t="shared" si="27"/>
        <v>2000</v>
      </c>
      <c r="N77" s="243">
        <f>SUM(B77:M77)</f>
        <v>24000</v>
      </c>
    </row>
    <row r="78" spans="1:34">
      <c r="A78" s="240" t="s">
        <v>127</v>
      </c>
      <c r="B78" s="213">
        <v>0</v>
      </c>
      <c r="C78" s="213">
        <f>B78</f>
        <v>0</v>
      </c>
      <c r="D78" s="213">
        <f t="shared" si="27"/>
        <v>0</v>
      </c>
      <c r="E78" s="213">
        <f t="shared" si="27"/>
        <v>0</v>
      </c>
      <c r="F78" s="213">
        <f t="shared" si="27"/>
        <v>0</v>
      </c>
      <c r="G78" s="213">
        <f t="shared" si="27"/>
        <v>0</v>
      </c>
      <c r="H78" s="213">
        <f t="shared" si="27"/>
        <v>0</v>
      </c>
      <c r="I78" s="213">
        <f t="shared" si="27"/>
        <v>0</v>
      </c>
      <c r="J78" s="213">
        <f t="shared" si="27"/>
        <v>0</v>
      </c>
      <c r="K78" s="213">
        <f t="shared" si="27"/>
        <v>0</v>
      </c>
      <c r="L78" s="213">
        <f t="shared" si="27"/>
        <v>0</v>
      </c>
      <c r="M78" s="213">
        <f t="shared" si="27"/>
        <v>0</v>
      </c>
      <c r="N78" s="244">
        <f>SUM(B78:M78)</f>
        <v>0</v>
      </c>
    </row>
    <row r="79" spans="1:34">
      <c r="A79" s="240" t="s">
        <v>176</v>
      </c>
      <c r="B79" s="210">
        <v>6000</v>
      </c>
      <c r="C79" s="211">
        <f>B79</f>
        <v>6000</v>
      </c>
      <c r="D79" s="211">
        <f t="shared" si="27"/>
        <v>6000</v>
      </c>
      <c r="E79" s="211">
        <f t="shared" si="27"/>
        <v>6000</v>
      </c>
      <c r="F79" s="211">
        <f t="shared" si="27"/>
        <v>6000</v>
      </c>
      <c r="G79" s="211">
        <f t="shared" si="27"/>
        <v>6000</v>
      </c>
      <c r="H79" s="211">
        <f t="shared" si="27"/>
        <v>6000</v>
      </c>
      <c r="I79" s="211">
        <f t="shared" si="27"/>
        <v>6000</v>
      </c>
      <c r="J79" s="211">
        <f t="shared" si="27"/>
        <v>6000</v>
      </c>
      <c r="K79" s="211">
        <f t="shared" si="27"/>
        <v>6000</v>
      </c>
      <c r="L79" s="211">
        <f t="shared" si="27"/>
        <v>6000</v>
      </c>
      <c r="M79" s="211">
        <f t="shared" si="27"/>
        <v>6000</v>
      </c>
      <c r="N79" s="243">
        <f>SUM(B79:M79)</f>
        <v>72000</v>
      </c>
    </row>
    <row r="80" spans="1:34" s="221" customFormat="1">
      <c r="A80" s="237" t="s">
        <v>177</v>
      </c>
      <c r="B80" s="266">
        <f t="shared" ref="B80:N80" si="28">SUM(B77:B79)</f>
        <v>8000</v>
      </c>
      <c r="C80" s="266">
        <f t="shared" si="28"/>
        <v>8000</v>
      </c>
      <c r="D80" s="266">
        <f t="shared" si="28"/>
        <v>8000</v>
      </c>
      <c r="E80" s="266">
        <f t="shared" si="28"/>
        <v>8000</v>
      </c>
      <c r="F80" s="266">
        <f t="shared" si="28"/>
        <v>8000</v>
      </c>
      <c r="G80" s="266">
        <f t="shared" si="28"/>
        <v>8000</v>
      </c>
      <c r="H80" s="266">
        <f t="shared" si="28"/>
        <v>8000</v>
      </c>
      <c r="I80" s="266">
        <f t="shared" si="28"/>
        <v>8000</v>
      </c>
      <c r="J80" s="266">
        <f t="shared" si="28"/>
        <v>8000</v>
      </c>
      <c r="K80" s="266">
        <f t="shared" si="28"/>
        <v>8000</v>
      </c>
      <c r="L80" s="266">
        <f t="shared" si="28"/>
        <v>8000</v>
      </c>
      <c r="M80" s="266">
        <f t="shared" si="28"/>
        <v>8000</v>
      </c>
      <c r="N80" s="244">
        <f t="shared" si="28"/>
        <v>96000</v>
      </c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20"/>
    </row>
    <row r="81" spans="1:34" s="269" customFormat="1" ht="12">
      <c r="A81" s="273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5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8"/>
    </row>
    <row r="82" spans="1:34" ht="16">
      <c r="A82" s="276" t="s">
        <v>178</v>
      </c>
      <c r="B82" s="277">
        <f t="shared" ref="B82:N82" si="29">B27+B36+B41+B49+B61+B69+B74+B80</f>
        <v>22616.666666666664</v>
      </c>
      <c r="C82" s="278">
        <f t="shared" si="29"/>
        <v>19916.666666666664</v>
      </c>
      <c r="D82" s="278">
        <f t="shared" si="29"/>
        <v>19916.666666666664</v>
      </c>
      <c r="E82" s="278">
        <f t="shared" si="29"/>
        <v>22616.666666666664</v>
      </c>
      <c r="F82" s="278">
        <f t="shared" si="29"/>
        <v>19916.666666666664</v>
      </c>
      <c r="G82" s="278">
        <f t="shared" si="29"/>
        <v>19916.666666666664</v>
      </c>
      <c r="H82" s="278">
        <f t="shared" si="29"/>
        <v>22616.666666666664</v>
      </c>
      <c r="I82" s="278">
        <f t="shared" si="29"/>
        <v>19916.666666666664</v>
      </c>
      <c r="J82" s="278">
        <f t="shared" si="29"/>
        <v>19916.666666666664</v>
      </c>
      <c r="K82" s="278">
        <f t="shared" si="29"/>
        <v>22616.666666666664</v>
      </c>
      <c r="L82" s="278">
        <f t="shared" si="29"/>
        <v>19916.666666666664</v>
      </c>
      <c r="M82" s="278">
        <f t="shared" si="29"/>
        <v>19916.666666666664</v>
      </c>
      <c r="N82" s="279">
        <f t="shared" si="29"/>
        <v>249800</v>
      </c>
    </row>
    <row r="83" spans="1:34" s="269" customFormat="1" ht="12">
      <c r="A83" s="280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2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8"/>
    </row>
    <row r="84" spans="1:34" ht="14.25" customHeight="1">
      <c r="A84" s="283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</row>
    <row r="85" spans="1:34" ht="16">
      <c r="A85" s="285" t="s">
        <v>179</v>
      </c>
      <c r="B85" s="286" t="str">
        <f t="shared" ref="B85:N85" si="30">B3</f>
        <v>jan</v>
      </c>
      <c r="C85" s="287" t="str">
        <f t="shared" si="30"/>
        <v>feb</v>
      </c>
      <c r="D85" s="287" t="str">
        <f t="shared" si="30"/>
        <v>mar</v>
      </c>
      <c r="E85" s="287" t="str">
        <f t="shared" si="30"/>
        <v>apr</v>
      </c>
      <c r="F85" s="287" t="str">
        <f t="shared" si="30"/>
        <v>maj</v>
      </c>
      <c r="G85" s="287" t="str">
        <f t="shared" si="30"/>
        <v xml:space="preserve">juni </v>
      </c>
      <c r="H85" s="287" t="str">
        <f t="shared" si="30"/>
        <v>juli</v>
      </c>
      <c r="I85" s="287" t="str">
        <f t="shared" si="30"/>
        <v>aug</v>
      </c>
      <c r="J85" s="287" t="str">
        <f t="shared" si="30"/>
        <v>sept</v>
      </c>
      <c r="K85" s="287" t="str">
        <f t="shared" si="30"/>
        <v>okt</v>
      </c>
      <c r="L85" s="287" t="str">
        <f t="shared" si="30"/>
        <v>nov</v>
      </c>
      <c r="M85" s="287" t="str">
        <f t="shared" si="30"/>
        <v>dec</v>
      </c>
      <c r="N85" s="288" t="str">
        <f t="shared" si="30"/>
        <v>TOTAL</v>
      </c>
    </row>
    <row r="86" spans="1:34">
      <c r="A86" s="289" t="s">
        <v>180</v>
      </c>
      <c r="B86" s="290">
        <f t="shared" ref="B86:N86" si="31">SUM(B10-B82)</f>
        <v>43510.772006666659</v>
      </c>
      <c r="C86" s="291">
        <f t="shared" si="31"/>
        <v>38810.772006666666</v>
      </c>
      <c r="D86" s="291">
        <f t="shared" si="31"/>
        <v>38810.772006666666</v>
      </c>
      <c r="E86" s="291">
        <f t="shared" si="31"/>
        <v>36110.772006666666</v>
      </c>
      <c r="F86" s="291">
        <f t="shared" si="31"/>
        <v>38810.772006666666</v>
      </c>
      <c r="G86" s="291">
        <f t="shared" si="31"/>
        <v>38810.772006666666</v>
      </c>
      <c r="H86" s="291">
        <f t="shared" si="31"/>
        <v>36110.772006666666</v>
      </c>
      <c r="I86" s="291">
        <f t="shared" si="31"/>
        <v>38810.772006666666</v>
      </c>
      <c r="J86" s="291">
        <f t="shared" si="31"/>
        <v>38810.772006666666</v>
      </c>
      <c r="K86" s="291">
        <f t="shared" si="31"/>
        <v>36110.772006666666</v>
      </c>
      <c r="L86" s="291">
        <f t="shared" si="31"/>
        <v>38810.772006666666</v>
      </c>
      <c r="M86" s="291">
        <f t="shared" si="31"/>
        <v>38810.772006666666</v>
      </c>
      <c r="N86" s="292">
        <f t="shared" si="31"/>
        <v>462329.26408000011</v>
      </c>
    </row>
    <row r="87" spans="1:34">
      <c r="A87" s="293" t="s">
        <v>181</v>
      </c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5">
        <f>N86</f>
        <v>462329.26408000011</v>
      </c>
    </row>
    <row r="88" spans="1:34">
      <c r="A88" s="293" t="s">
        <v>182</v>
      </c>
      <c r="B88" s="296">
        <f>B86</f>
        <v>43510.772006666659</v>
      </c>
      <c r="C88" s="297">
        <f t="shared" ref="C88:M88" si="32">C86</f>
        <v>38810.772006666666</v>
      </c>
      <c r="D88" s="297">
        <f t="shared" si="32"/>
        <v>38810.772006666666</v>
      </c>
      <c r="E88" s="297">
        <f t="shared" si="32"/>
        <v>36110.772006666666</v>
      </c>
      <c r="F88" s="297">
        <f t="shared" si="32"/>
        <v>38810.772006666666</v>
      </c>
      <c r="G88" s="297">
        <f t="shared" si="32"/>
        <v>38810.772006666666</v>
      </c>
      <c r="H88" s="297">
        <f t="shared" si="32"/>
        <v>36110.772006666666</v>
      </c>
      <c r="I88" s="297">
        <f t="shared" si="32"/>
        <v>38810.772006666666</v>
      </c>
      <c r="J88" s="297">
        <f t="shared" si="32"/>
        <v>38810.772006666666</v>
      </c>
      <c r="K88" s="297">
        <f t="shared" si="32"/>
        <v>36110.772006666666</v>
      </c>
      <c r="L88" s="297">
        <f t="shared" si="32"/>
        <v>38810.772006666666</v>
      </c>
      <c r="M88" s="297">
        <f t="shared" si="32"/>
        <v>38810.772006666666</v>
      </c>
      <c r="N88" s="298">
        <f>N87/12</f>
        <v>38527.438673333345</v>
      </c>
    </row>
    <row r="89" spans="1:34" s="201" customFormat="1">
      <c r="A89" s="299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1"/>
    </row>
    <row r="90" spans="1:34" s="201" customFormat="1">
      <c r="N90" s="219"/>
    </row>
    <row r="91" spans="1:34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302"/>
      <c r="L91" s="302"/>
      <c r="M91" s="302"/>
      <c r="N91" s="219"/>
    </row>
    <row r="92" spans="1:34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302" t="s">
        <v>183</v>
      </c>
      <c r="L92" s="302"/>
      <c r="M92" s="302"/>
      <c r="N92" s="219"/>
    </row>
    <row r="93" spans="1:34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302" t="s">
        <v>184</v>
      </c>
      <c r="L93" s="302"/>
      <c r="M93" s="302"/>
      <c r="N93" s="219"/>
    </row>
    <row r="94" spans="1:34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19"/>
    </row>
    <row r="95" spans="1:34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19"/>
    </row>
    <row r="96" spans="1:34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19"/>
    </row>
    <row r="97" spans="1:14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19"/>
    </row>
    <row r="98" spans="1:14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19"/>
    </row>
    <row r="99" spans="1:14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19"/>
    </row>
    <row r="100" spans="1:14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19"/>
    </row>
    <row r="101" spans="1:14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19"/>
    </row>
    <row r="102" spans="1:14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19"/>
    </row>
    <row r="103" spans="1:14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19"/>
    </row>
    <row r="104" spans="1:14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19"/>
    </row>
    <row r="105" spans="1:14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19"/>
    </row>
    <row r="106" spans="1:14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19"/>
    </row>
    <row r="107" spans="1:14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19"/>
    </row>
    <row r="108" spans="1:14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19"/>
    </row>
    <row r="109" spans="1:14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19"/>
    </row>
    <row r="110" spans="1:14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19"/>
    </row>
    <row r="111" spans="1:14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19"/>
    </row>
    <row r="112" spans="1:14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19"/>
    </row>
    <row r="113" spans="1:14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19"/>
    </row>
    <row r="114" spans="1:14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19"/>
    </row>
    <row r="115" spans="1:14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19"/>
    </row>
    <row r="116" spans="1:14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19"/>
    </row>
    <row r="117" spans="1:14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19"/>
    </row>
    <row r="118" spans="1:14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19"/>
    </row>
    <row r="119" spans="1:14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19"/>
    </row>
    <row r="120" spans="1:14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19"/>
    </row>
    <row r="121" spans="1:14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19"/>
    </row>
    <row r="122" spans="1:14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19"/>
    </row>
    <row r="123" spans="1:14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19"/>
    </row>
    <row r="124" spans="1:14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19"/>
    </row>
    <row r="125" spans="1:14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19"/>
    </row>
    <row r="126" spans="1:14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19"/>
    </row>
    <row r="127" spans="1:14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19"/>
    </row>
    <row r="128" spans="1:14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19"/>
    </row>
    <row r="129" spans="1:14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19"/>
    </row>
    <row r="130" spans="1:14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19"/>
    </row>
    <row r="131" spans="1:14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19"/>
    </row>
    <row r="132" spans="1:14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19"/>
    </row>
    <row r="133" spans="1:14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19"/>
    </row>
    <row r="134" spans="1:14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19"/>
    </row>
    <row r="135" spans="1:14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19"/>
    </row>
    <row r="136" spans="1:14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19"/>
    </row>
    <row r="137" spans="1:14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19"/>
    </row>
    <row r="138" spans="1:14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19"/>
    </row>
    <row r="139" spans="1:14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19"/>
    </row>
    <row r="140" spans="1:14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19"/>
    </row>
    <row r="141" spans="1:14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19"/>
    </row>
    <row r="142" spans="1:14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19"/>
    </row>
    <row r="143" spans="1:14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19"/>
    </row>
    <row r="144" spans="1:14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19"/>
    </row>
    <row r="145" spans="1:14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19"/>
    </row>
    <row r="146" spans="1:14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19"/>
    </row>
    <row r="147" spans="1:14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19"/>
    </row>
    <row r="148" spans="1:14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19"/>
    </row>
    <row r="149" spans="1:14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19"/>
    </row>
    <row r="150" spans="1:14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19"/>
    </row>
    <row r="151" spans="1:14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19"/>
    </row>
    <row r="152" spans="1:14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19"/>
    </row>
    <row r="153" spans="1:14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19"/>
    </row>
    <row r="154" spans="1:14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19"/>
    </row>
    <row r="155" spans="1:14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19"/>
    </row>
    <row r="156" spans="1:14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19"/>
    </row>
    <row r="157" spans="1:14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19"/>
    </row>
    <row r="158" spans="1:14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19"/>
    </row>
    <row r="159" spans="1:14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19"/>
    </row>
    <row r="160" spans="1:14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19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70" orientation="portrait" cellComments="atEnd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E2AC-4D4E-814D-ACC6-5D66C7AEC0BF}">
  <dimension ref="A1:IT160"/>
  <sheetViews>
    <sheetView showGridLines="0" topLeftCell="A40" zoomScaleNormal="75" workbookViewId="0">
      <selection activeCell="K97" sqref="K97:K99"/>
    </sheetView>
  </sheetViews>
  <sheetFormatPr baseColWidth="10" defaultColWidth="9.1640625" defaultRowHeight="13"/>
  <cols>
    <col min="1" max="1" width="25.1640625" style="208" customWidth="1"/>
    <col min="2" max="13" width="9.5" style="208" customWidth="1"/>
    <col min="14" max="14" width="16.1640625" style="303" customWidth="1"/>
    <col min="15" max="33" width="9.1640625" style="201"/>
    <col min="34" max="34" width="9.1640625" style="207"/>
    <col min="35" max="16384" width="9.1640625" style="208"/>
  </cols>
  <sheetData>
    <row r="1" spans="1:254" s="200" customFormat="1" ht="20">
      <c r="A1" s="199" t="s">
        <v>108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54" s="202" customForma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</row>
    <row r="3" spans="1:254" ht="16">
      <c r="A3" s="203" t="s">
        <v>109</v>
      </c>
      <c r="B3" s="204" t="s">
        <v>110</v>
      </c>
      <c r="C3" s="205" t="s">
        <v>111</v>
      </c>
      <c r="D3" s="205" t="s">
        <v>112</v>
      </c>
      <c r="E3" s="205" t="s">
        <v>113</v>
      </c>
      <c r="F3" s="205" t="s">
        <v>114</v>
      </c>
      <c r="G3" s="205" t="s">
        <v>115</v>
      </c>
      <c r="H3" s="205" t="s">
        <v>116</v>
      </c>
      <c r="I3" s="205" t="s">
        <v>117</v>
      </c>
      <c r="J3" s="205" t="s">
        <v>118</v>
      </c>
      <c r="K3" s="205" t="s">
        <v>119</v>
      </c>
      <c r="L3" s="205" t="s">
        <v>120</v>
      </c>
      <c r="M3" s="205" t="s">
        <v>121</v>
      </c>
      <c r="N3" s="206" t="s">
        <v>122</v>
      </c>
    </row>
    <row r="4" spans="1:254">
      <c r="A4" s="209" t="s">
        <v>123</v>
      </c>
      <c r="B4" s="210">
        <f>[3]skat!J31</f>
        <v>36067.560366666665</v>
      </c>
      <c r="C4" s="211">
        <f>B4</f>
        <v>36067.560366666665</v>
      </c>
      <c r="D4" s="211">
        <f t="shared" ref="D4:M5" si="0">C4</f>
        <v>36067.560366666665</v>
      </c>
      <c r="E4" s="211">
        <f t="shared" si="0"/>
        <v>36067.560366666665</v>
      </c>
      <c r="F4" s="211">
        <f t="shared" si="0"/>
        <v>36067.560366666665</v>
      </c>
      <c r="G4" s="211">
        <f t="shared" si="0"/>
        <v>36067.560366666665</v>
      </c>
      <c r="H4" s="211">
        <f t="shared" si="0"/>
        <v>36067.560366666665</v>
      </c>
      <c r="I4" s="211">
        <f t="shared" si="0"/>
        <v>36067.560366666665</v>
      </c>
      <c r="J4" s="211">
        <f t="shared" si="0"/>
        <v>36067.560366666665</v>
      </c>
      <c r="K4" s="211">
        <f t="shared" si="0"/>
        <v>36067.560366666665</v>
      </c>
      <c r="L4" s="211">
        <f t="shared" si="0"/>
        <v>36067.560366666665</v>
      </c>
      <c r="M4" s="211">
        <f t="shared" si="0"/>
        <v>36067.560366666665</v>
      </c>
      <c r="N4" s="212">
        <f>SUM(B4:M4)</f>
        <v>432810.72439999989</v>
      </c>
    </row>
    <row r="5" spans="1:254">
      <c r="A5" s="209" t="s">
        <v>123</v>
      </c>
      <c r="B5" s="213">
        <f>[3]skat!L31</f>
        <v>17833.36778</v>
      </c>
      <c r="C5" s="213">
        <f>B5</f>
        <v>17833.36778</v>
      </c>
      <c r="D5" s="213">
        <f t="shared" si="0"/>
        <v>17833.36778</v>
      </c>
      <c r="E5" s="213">
        <f t="shared" si="0"/>
        <v>17833.36778</v>
      </c>
      <c r="F5" s="213">
        <f t="shared" si="0"/>
        <v>17833.36778</v>
      </c>
      <c r="G5" s="213">
        <f t="shared" si="0"/>
        <v>17833.36778</v>
      </c>
      <c r="H5" s="213">
        <f t="shared" si="0"/>
        <v>17833.36778</v>
      </c>
      <c r="I5" s="213">
        <f t="shared" si="0"/>
        <v>17833.36778</v>
      </c>
      <c r="J5" s="213">
        <f t="shared" si="0"/>
        <v>17833.36778</v>
      </c>
      <c r="K5" s="213">
        <f t="shared" si="0"/>
        <v>17833.36778</v>
      </c>
      <c r="L5" s="213">
        <f t="shared" si="0"/>
        <v>17833.36778</v>
      </c>
      <c r="M5" s="213">
        <f t="shared" si="0"/>
        <v>17833.36778</v>
      </c>
      <c r="N5" s="214">
        <f t="shared" ref="N5:N10" si="1">SUM(B5:M5)</f>
        <v>214000.41336000001</v>
      </c>
    </row>
    <row r="6" spans="1:254">
      <c r="A6" s="209" t="s">
        <v>124</v>
      </c>
      <c r="B6" s="210">
        <f>[3]skat!C28+[3]skat!D28</f>
        <v>7400</v>
      </c>
      <c r="C6" s="211">
        <v>0</v>
      </c>
      <c r="D6" s="211">
        <v>0</v>
      </c>
      <c r="E6" s="211">
        <v>0</v>
      </c>
      <c r="F6" s="211">
        <v>0</v>
      </c>
      <c r="G6" s="211">
        <v>0</v>
      </c>
      <c r="H6" s="211">
        <v>0</v>
      </c>
      <c r="I6" s="211">
        <v>0</v>
      </c>
      <c r="J6" s="211">
        <v>0</v>
      </c>
      <c r="K6" s="211">
        <v>0</v>
      </c>
      <c r="L6" s="211">
        <v>0</v>
      </c>
      <c r="M6" s="211">
        <v>0</v>
      </c>
      <c r="N6" s="212">
        <f t="shared" si="1"/>
        <v>7400</v>
      </c>
    </row>
    <row r="7" spans="1:254">
      <c r="A7" s="209" t="s">
        <v>125</v>
      </c>
      <c r="B7" s="213">
        <v>5292</v>
      </c>
      <c r="C7" s="213">
        <v>0</v>
      </c>
      <c r="D7" s="213">
        <v>0</v>
      </c>
      <c r="E7" s="213">
        <f>B7</f>
        <v>5292</v>
      </c>
      <c r="F7" s="213">
        <v>0</v>
      </c>
      <c r="G7" s="213">
        <v>0</v>
      </c>
      <c r="H7" s="213">
        <f>E7</f>
        <v>5292</v>
      </c>
      <c r="I7" s="213">
        <v>0</v>
      </c>
      <c r="J7" s="213">
        <v>0</v>
      </c>
      <c r="K7" s="213">
        <f>H7</f>
        <v>5292</v>
      </c>
      <c r="L7" s="213">
        <v>0</v>
      </c>
      <c r="M7" s="213">
        <v>0</v>
      </c>
      <c r="N7" s="214">
        <f t="shared" si="1"/>
        <v>21168</v>
      </c>
      <c r="O7" s="201" t="s">
        <v>185</v>
      </c>
    </row>
    <row r="8" spans="1:254">
      <c r="A8" s="209" t="s">
        <v>126</v>
      </c>
      <c r="B8" s="210">
        <v>0</v>
      </c>
      <c r="C8" s="211">
        <v>0</v>
      </c>
      <c r="D8" s="211">
        <v>0</v>
      </c>
      <c r="E8" s="211">
        <v>0</v>
      </c>
      <c r="F8" s="211">
        <v>0</v>
      </c>
      <c r="G8" s="211">
        <v>0</v>
      </c>
      <c r="H8" s="211">
        <v>0</v>
      </c>
      <c r="I8" s="211">
        <v>0</v>
      </c>
      <c r="J8" s="211">
        <v>0</v>
      </c>
      <c r="K8" s="211">
        <v>0</v>
      </c>
      <c r="L8" s="211">
        <v>0</v>
      </c>
      <c r="M8" s="211">
        <v>0</v>
      </c>
      <c r="N8" s="212">
        <f t="shared" si="1"/>
        <v>0</v>
      </c>
    </row>
    <row r="9" spans="1:254">
      <c r="A9" s="209" t="s">
        <v>127</v>
      </c>
      <c r="B9" s="213">
        <v>0</v>
      </c>
      <c r="C9" s="213">
        <v>0</v>
      </c>
      <c r="D9" s="213">
        <v>0</v>
      </c>
      <c r="E9" s="213">
        <v>0</v>
      </c>
      <c r="F9" s="213">
        <v>0</v>
      </c>
      <c r="G9" s="213">
        <v>0</v>
      </c>
      <c r="H9" s="213">
        <v>0</v>
      </c>
      <c r="I9" s="213">
        <v>0</v>
      </c>
      <c r="J9" s="213">
        <v>0</v>
      </c>
      <c r="K9" s="213">
        <v>0</v>
      </c>
      <c r="L9" s="213">
        <v>0</v>
      </c>
      <c r="M9" s="213">
        <v>0</v>
      </c>
      <c r="N9" s="214">
        <f t="shared" si="1"/>
        <v>0</v>
      </c>
    </row>
    <row r="10" spans="1:254" s="221" customFormat="1" ht="16">
      <c r="A10" s="215" t="s">
        <v>128</v>
      </c>
      <c r="B10" s="216">
        <f t="shared" ref="B10:M10" si="2">SUM(B4:B9)</f>
        <v>66592.928146666673</v>
      </c>
      <c r="C10" s="217">
        <f t="shared" si="2"/>
        <v>53900.928146666665</v>
      </c>
      <c r="D10" s="217">
        <f t="shared" si="2"/>
        <v>53900.928146666665</v>
      </c>
      <c r="E10" s="217">
        <f t="shared" si="2"/>
        <v>59192.928146666665</v>
      </c>
      <c r="F10" s="217">
        <f t="shared" si="2"/>
        <v>53900.928146666665</v>
      </c>
      <c r="G10" s="217">
        <f t="shared" si="2"/>
        <v>53900.928146666665</v>
      </c>
      <c r="H10" s="217">
        <f t="shared" si="2"/>
        <v>59192.928146666665</v>
      </c>
      <c r="I10" s="217">
        <f t="shared" si="2"/>
        <v>53900.928146666665</v>
      </c>
      <c r="J10" s="217">
        <f t="shared" si="2"/>
        <v>53900.928146666665</v>
      </c>
      <c r="K10" s="217">
        <f t="shared" si="2"/>
        <v>59192.928146666665</v>
      </c>
      <c r="L10" s="217">
        <f t="shared" si="2"/>
        <v>53900.928146666665</v>
      </c>
      <c r="M10" s="217">
        <f t="shared" si="2"/>
        <v>53900.928146666665</v>
      </c>
      <c r="N10" s="218">
        <f t="shared" si="1"/>
        <v>675379.13775999995</v>
      </c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20"/>
    </row>
    <row r="11" spans="1:254" s="225" customFormat="1" ht="12">
      <c r="A11" s="222"/>
      <c r="B11" s="223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4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226"/>
      <c r="DH11" s="226"/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226"/>
      <c r="ER11" s="226"/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226"/>
      <c r="GB11" s="226"/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  <c r="HG11" s="226"/>
      <c r="HH11" s="226"/>
      <c r="HI11" s="226"/>
      <c r="HJ11" s="226"/>
      <c r="HK11" s="226"/>
      <c r="HL11" s="226"/>
      <c r="HM11" s="226"/>
      <c r="HN11" s="226"/>
      <c r="HO11" s="226"/>
      <c r="HP11" s="226"/>
      <c r="HQ11" s="226"/>
      <c r="HR11" s="226"/>
      <c r="HS11" s="226"/>
      <c r="HT11" s="226"/>
      <c r="HU11" s="226"/>
      <c r="HV11" s="226"/>
      <c r="HW11" s="226"/>
      <c r="HX11" s="226"/>
      <c r="HY11" s="226"/>
      <c r="HZ11" s="226"/>
      <c r="IA11" s="226"/>
      <c r="IB11" s="226"/>
      <c r="IC11" s="226"/>
      <c r="ID11" s="226"/>
      <c r="IE11" s="226"/>
      <c r="IF11" s="226"/>
      <c r="IG11" s="226"/>
      <c r="IH11" s="226"/>
      <c r="II11" s="226"/>
      <c r="IJ11" s="226"/>
      <c r="IK11" s="226"/>
      <c r="IL11" s="226"/>
      <c r="IM11" s="226"/>
      <c r="IN11" s="226"/>
      <c r="IO11" s="226"/>
      <c r="IP11" s="226"/>
      <c r="IQ11" s="226"/>
      <c r="IR11" s="226"/>
      <c r="IS11" s="226"/>
      <c r="IT11" s="226"/>
    </row>
    <row r="12" spans="1:254" s="201" customFormat="1">
      <c r="A12" s="227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29"/>
      <c r="AH12" s="230"/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30"/>
      <c r="AY12" s="230"/>
      <c r="AZ12" s="230"/>
      <c r="BA12" s="230"/>
      <c r="BB12" s="230"/>
      <c r="BC12" s="230"/>
      <c r="BD12" s="230"/>
      <c r="BE12" s="230"/>
      <c r="BF12" s="230"/>
      <c r="BG12" s="230"/>
      <c r="BH12" s="230"/>
      <c r="BI12" s="230"/>
      <c r="BJ12" s="230"/>
      <c r="BK12" s="230"/>
      <c r="BL12" s="230"/>
      <c r="BM12" s="230"/>
      <c r="BN12" s="230"/>
      <c r="BO12" s="230"/>
      <c r="BP12" s="230"/>
      <c r="BQ12" s="230"/>
      <c r="BR12" s="230"/>
      <c r="BS12" s="230"/>
      <c r="BT12" s="230"/>
      <c r="BU12" s="230"/>
      <c r="BV12" s="230"/>
      <c r="BW12" s="230"/>
      <c r="BX12" s="230"/>
      <c r="BY12" s="230"/>
      <c r="BZ12" s="230"/>
      <c r="CA12" s="230"/>
      <c r="CB12" s="230"/>
      <c r="CC12" s="230"/>
      <c r="CD12" s="230"/>
      <c r="CE12" s="230"/>
      <c r="CF12" s="230"/>
      <c r="CG12" s="230"/>
      <c r="CH12" s="230"/>
      <c r="CI12" s="230"/>
      <c r="CJ12" s="230"/>
      <c r="CK12" s="230"/>
      <c r="CL12" s="230"/>
      <c r="CM12" s="230"/>
      <c r="CN12" s="230"/>
      <c r="CO12" s="230"/>
      <c r="CP12" s="230"/>
      <c r="CQ12" s="230"/>
      <c r="CR12" s="230"/>
      <c r="CS12" s="230"/>
      <c r="CT12" s="230"/>
      <c r="CU12" s="230"/>
      <c r="CV12" s="230"/>
      <c r="CW12" s="230"/>
      <c r="CX12" s="230"/>
      <c r="CY12" s="230"/>
      <c r="CZ12" s="230"/>
      <c r="DA12" s="230"/>
      <c r="DB12" s="230"/>
      <c r="DC12" s="230"/>
      <c r="DD12" s="230"/>
      <c r="DE12" s="230"/>
      <c r="DF12" s="230"/>
      <c r="DG12" s="230"/>
      <c r="DH12" s="230"/>
      <c r="DI12" s="230"/>
      <c r="DJ12" s="230"/>
      <c r="DK12" s="230"/>
      <c r="DL12" s="230"/>
      <c r="DM12" s="230"/>
      <c r="DN12" s="230"/>
      <c r="DO12" s="230"/>
      <c r="DP12" s="230"/>
      <c r="DQ12" s="230"/>
      <c r="DR12" s="230"/>
      <c r="DS12" s="230"/>
      <c r="DT12" s="230"/>
      <c r="DU12" s="230"/>
      <c r="DV12" s="230"/>
      <c r="DW12" s="230"/>
      <c r="DX12" s="230"/>
      <c r="DY12" s="230"/>
      <c r="DZ12" s="230"/>
      <c r="EA12" s="230"/>
      <c r="EB12" s="230"/>
      <c r="EC12" s="230"/>
      <c r="ED12" s="230"/>
      <c r="EE12" s="230"/>
      <c r="EF12" s="230"/>
      <c r="EG12" s="230"/>
      <c r="EH12" s="230"/>
      <c r="EI12" s="230"/>
      <c r="EJ12" s="230"/>
      <c r="EK12" s="230"/>
      <c r="EL12" s="230"/>
      <c r="EM12" s="230"/>
      <c r="EN12" s="230"/>
      <c r="EO12" s="230"/>
      <c r="EP12" s="230"/>
      <c r="EQ12" s="230"/>
      <c r="ER12" s="230"/>
      <c r="ES12" s="230"/>
      <c r="ET12" s="230"/>
      <c r="EU12" s="230"/>
      <c r="EV12" s="230"/>
      <c r="EW12" s="230"/>
      <c r="EX12" s="230"/>
      <c r="EY12" s="230"/>
      <c r="EZ12" s="230"/>
      <c r="FA12" s="230"/>
      <c r="FB12" s="230"/>
      <c r="FC12" s="230"/>
      <c r="FD12" s="230"/>
      <c r="FE12" s="230"/>
      <c r="FF12" s="230"/>
      <c r="FG12" s="230"/>
      <c r="FH12" s="230"/>
      <c r="FI12" s="230"/>
      <c r="FJ12" s="230"/>
      <c r="FK12" s="230"/>
      <c r="FL12" s="230"/>
      <c r="FM12" s="230"/>
      <c r="FN12" s="230"/>
      <c r="FO12" s="230"/>
      <c r="FP12" s="230"/>
      <c r="FQ12" s="230"/>
      <c r="FR12" s="230"/>
      <c r="FS12" s="230"/>
      <c r="FT12" s="230"/>
      <c r="FU12" s="230"/>
      <c r="FV12" s="230"/>
      <c r="FW12" s="230"/>
      <c r="FX12" s="230"/>
      <c r="FY12" s="230"/>
      <c r="FZ12" s="230"/>
      <c r="GA12" s="230"/>
      <c r="GB12" s="230"/>
      <c r="GC12" s="230"/>
      <c r="GD12" s="230"/>
      <c r="GE12" s="230"/>
      <c r="GF12" s="230"/>
      <c r="GG12" s="230"/>
      <c r="GH12" s="230"/>
      <c r="GI12" s="230"/>
      <c r="GJ12" s="230"/>
      <c r="GK12" s="230"/>
      <c r="GL12" s="230"/>
      <c r="GM12" s="230"/>
      <c r="GN12" s="230"/>
      <c r="GO12" s="230"/>
      <c r="GP12" s="230"/>
      <c r="GQ12" s="230"/>
      <c r="GR12" s="230"/>
      <c r="GS12" s="230"/>
      <c r="GT12" s="230"/>
      <c r="GU12" s="230"/>
      <c r="GV12" s="230"/>
      <c r="GW12" s="230"/>
      <c r="GX12" s="230"/>
      <c r="GY12" s="230"/>
      <c r="GZ12" s="230"/>
      <c r="HA12" s="230"/>
      <c r="HB12" s="230"/>
      <c r="HC12" s="230"/>
      <c r="HD12" s="230"/>
      <c r="HE12" s="230"/>
      <c r="HF12" s="230"/>
      <c r="HG12" s="230"/>
      <c r="HH12" s="230"/>
      <c r="HI12" s="230"/>
      <c r="HJ12" s="230"/>
      <c r="HK12" s="230"/>
      <c r="HL12" s="230"/>
      <c r="HM12" s="230"/>
      <c r="HN12" s="230"/>
      <c r="HO12" s="230"/>
      <c r="HP12" s="230"/>
      <c r="HQ12" s="230"/>
      <c r="HR12" s="230"/>
      <c r="HS12" s="230"/>
      <c r="HT12" s="230"/>
      <c r="HU12" s="230"/>
      <c r="HV12" s="230"/>
      <c r="HW12" s="230"/>
      <c r="HX12" s="230"/>
      <c r="HY12" s="230"/>
      <c r="HZ12" s="230"/>
      <c r="IA12" s="230"/>
      <c r="IB12" s="230"/>
      <c r="IC12" s="230"/>
      <c r="ID12" s="230"/>
      <c r="IE12" s="230"/>
      <c r="IF12" s="230"/>
      <c r="IG12" s="230"/>
      <c r="IH12" s="230"/>
      <c r="II12" s="230"/>
      <c r="IJ12" s="230"/>
      <c r="IK12" s="230"/>
      <c r="IL12" s="230"/>
      <c r="IM12" s="230"/>
      <c r="IN12" s="230"/>
      <c r="IO12" s="230"/>
      <c r="IP12" s="230"/>
      <c r="IQ12" s="230"/>
      <c r="IR12" s="230"/>
      <c r="IS12" s="230"/>
      <c r="IT12" s="230"/>
    </row>
    <row r="13" spans="1:254" s="235" customFormat="1" ht="16">
      <c r="A13" s="231" t="s">
        <v>129</v>
      </c>
      <c r="B13" s="232" t="s">
        <v>110</v>
      </c>
      <c r="C13" s="233" t="s">
        <v>111</v>
      </c>
      <c r="D13" s="233" t="s">
        <v>112</v>
      </c>
      <c r="E13" s="233" t="s">
        <v>113</v>
      </c>
      <c r="F13" s="233" t="s">
        <v>114</v>
      </c>
      <c r="G13" s="233" t="s">
        <v>115</v>
      </c>
      <c r="H13" s="233" t="s">
        <v>116</v>
      </c>
      <c r="I13" s="233" t="s">
        <v>117</v>
      </c>
      <c r="J13" s="233" t="s">
        <v>118</v>
      </c>
      <c r="K13" s="233" t="s">
        <v>119</v>
      </c>
      <c r="L13" s="233" t="s">
        <v>120</v>
      </c>
      <c r="M13" s="233" t="s">
        <v>121</v>
      </c>
      <c r="N13" s="234" t="s">
        <v>122</v>
      </c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236"/>
      <c r="BR13" s="236"/>
      <c r="BS13" s="236"/>
      <c r="BT13" s="236"/>
      <c r="BU13" s="236"/>
      <c r="BV13" s="236"/>
      <c r="BW13" s="236"/>
      <c r="BX13" s="236"/>
      <c r="BY13" s="236"/>
      <c r="BZ13" s="236"/>
      <c r="CA13" s="236"/>
      <c r="CB13" s="236"/>
      <c r="CC13" s="236"/>
      <c r="CD13" s="236"/>
      <c r="CE13" s="236"/>
      <c r="CF13" s="236"/>
      <c r="CG13" s="236"/>
      <c r="CH13" s="236"/>
      <c r="CI13" s="236"/>
      <c r="CJ13" s="236"/>
      <c r="CK13" s="236"/>
      <c r="CL13" s="236"/>
      <c r="CM13" s="236"/>
      <c r="CN13" s="236"/>
      <c r="CO13" s="236"/>
      <c r="CP13" s="236"/>
      <c r="CQ13" s="236"/>
      <c r="CR13" s="236"/>
      <c r="CS13" s="236"/>
      <c r="CT13" s="236"/>
      <c r="CU13" s="236"/>
      <c r="CV13" s="236"/>
      <c r="CW13" s="236"/>
      <c r="CX13" s="236"/>
      <c r="CY13" s="236"/>
      <c r="CZ13" s="236"/>
      <c r="DA13" s="236"/>
      <c r="DB13" s="236"/>
      <c r="DC13" s="236"/>
      <c r="DD13" s="236"/>
      <c r="DE13" s="236"/>
      <c r="DF13" s="236"/>
      <c r="DG13" s="236"/>
      <c r="DH13" s="236"/>
      <c r="DI13" s="236"/>
      <c r="DJ13" s="236"/>
      <c r="DK13" s="236"/>
      <c r="DL13" s="236"/>
      <c r="DM13" s="236"/>
      <c r="DN13" s="236"/>
      <c r="DO13" s="236"/>
      <c r="DP13" s="236"/>
      <c r="DQ13" s="236"/>
      <c r="DR13" s="236"/>
      <c r="DS13" s="236"/>
      <c r="DT13" s="236"/>
      <c r="DU13" s="236"/>
      <c r="DV13" s="236"/>
      <c r="DW13" s="236"/>
      <c r="DX13" s="236"/>
      <c r="DY13" s="236"/>
      <c r="DZ13" s="236"/>
      <c r="EA13" s="236"/>
      <c r="EB13" s="236"/>
      <c r="EC13" s="236"/>
      <c r="ED13" s="236"/>
      <c r="EE13" s="236"/>
      <c r="EF13" s="236"/>
      <c r="EG13" s="236"/>
      <c r="EH13" s="236"/>
      <c r="EI13" s="236"/>
      <c r="EJ13" s="236"/>
      <c r="EK13" s="236"/>
      <c r="EL13" s="236"/>
      <c r="EM13" s="236"/>
      <c r="EN13" s="236"/>
      <c r="EO13" s="236"/>
      <c r="EP13" s="236"/>
      <c r="EQ13" s="236"/>
      <c r="ER13" s="236"/>
      <c r="ES13" s="236"/>
      <c r="ET13" s="236"/>
      <c r="EU13" s="236"/>
      <c r="EV13" s="236"/>
      <c r="EW13" s="236"/>
      <c r="EX13" s="236"/>
      <c r="EY13" s="236"/>
      <c r="EZ13" s="236"/>
      <c r="FA13" s="236"/>
      <c r="FB13" s="236"/>
      <c r="FC13" s="236"/>
      <c r="FD13" s="236"/>
      <c r="FE13" s="236"/>
      <c r="FF13" s="236"/>
      <c r="FG13" s="236"/>
      <c r="FH13" s="236"/>
      <c r="FI13" s="236"/>
      <c r="FJ13" s="236"/>
      <c r="FK13" s="236"/>
      <c r="FL13" s="236"/>
      <c r="FM13" s="236"/>
      <c r="FN13" s="236"/>
      <c r="FO13" s="236"/>
      <c r="FP13" s="236"/>
      <c r="FQ13" s="236"/>
      <c r="FR13" s="236"/>
      <c r="FS13" s="236"/>
      <c r="FT13" s="236"/>
      <c r="FU13" s="236"/>
      <c r="FV13" s="236"/>
      <c r="FW13" s="236"/>
      <c r="FX13" s="236"/>
      <c r="FY13" s="236"/>
      <c r="FZ13" s="236"/>
      <c r="GA13" s="236"/>
      <c r="GB13" s="236"/>
      <c r="GC13" s="236"/>
      <c r="GD13" s="236"/>
      <c r="GE13" s="236"/>
      <c r="GF13" s="236"/>
      <c r="GG13" s="236"/>
      <c r="GH13" s="236"/>
      <c r="GI13" s="236"/>
      <c r="GJ13" s="236"/>
      <c r="GK13" s="236"/>
      <c r="GL13" s="236"/>
      <c r="GM13" s="236"/>
      <c r="GN13" s="236"/>
      <c r="GO13" s="236"/>
      <c r="GP13" s="236"/>
      <c r="GQ13" s="236"/>
      <c r="GR13" s="236"/>
      <c r="GS13" s="236"/>
      <c r="GT13" s="236"/>
      <c r="GU13" s="236"/>
      <c r="GV13" s="236"/>
      <c r="GW13" s="236"/>
      <c r="GX13" s="236"/>
      <c r="GY13" s="236"/>
      <c r="GZ13" s="236"/>
      <c r="HA13" s="236"/>
      <c r="HB13" s="236"/>
      <c r="HC13" s="236"/>
      <c r="HD13" s="236"/>
      <c r="HE13" s="236"/>
      <c r="HF13" s="236"/>
      <c r="HG13" s="236"/>
      <c r="HH13" s="236"/>
      <c r="HI13" s="236"/>
      <c r="HJ13" s="236"/>
      <c r="HK13" s="236"/>
      <c r="HL13" s="236"/>
      <c r="HM13" s="236"/>
      <c r="HN13" s="236"/>
      <c r="HO13" s="236"/>
      <c r="HP13" s="236"/>
      <c r="HQ13" s="236"/>
      <c r="HR13" s="236"/>
      <c r="HS13" s="236"/>
      <c r="HT13" s="236"/>
      <c r="HU13" s="236"/>
      <c r="HV13" s="236"/>
      <c r="HW13" s="236"/>
      <c r="HX13" s="236"/>
      <c r="HY13" s="236"/>
      <c r="HZ13" s="236"/>
      <c r="IA13" s="236"/>
      <c r="IB13" s="236"/>
      <c r="IC13" s="236"/>
      <c r="ID13" s="236"/>
      <c r="IE13" s="236"/>
      <c r="IF13" s="236"/>
      <c r="IG13" s="236"/>
      <c r="IH13" s="236"/>
      <c r="II13" s="236"/>
      <c r="IJ13" s="236"/>
      <c r="IK13" s="236"/>
      <c r="IL13" s="236"/>
      <c r="IM13" s="236"/>
      <c r="IN13" s="236"/>
      <c r="IO13" s="236"/>
      <c r="IP13" s="236"/>
      <c r="IQ13" s="236"/>
      <c r="IR13" s="236"/>
      <c r="IS13" s="236"/>
      <c r="IT13" s="236"/>
    </row>
    <row r="14" spans="1:254">
      <c r="A14" s="237" t="s">
        <v>130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9"/>
    </row>
    <row r="15" spans="1:254">
      <c r="A15" s="240" t="s">
        <v>131</v>
      </c>
      <c r="B15" s="210">
        <v>0</v>
      </c>
      <c r="C15" s="211">
        <f>B15</f>
        <v>0</v>
      </c>
      <c r="D15" s="211">
        <f t="shared" ref="D15:M15" si="3">C15</f>
        <v>0</v>
      </c>
      <c r="E15" s="211">
        <f t="shared" si="3"/>
        <v>0</v>
      </c>
      <c r="F15" s="211">
        <f t="shared" si="3"/>
        <v>0</v>
      </c>
      <c r="G15" s="211">
        <f t="shared" si="3"/>
        <v>0</v>
      </c>
      <c r="H15" s="211">
        <f t="shared" si="3"/>
        <v>0</v>
      </c>
      <c r="I15" s="211">
        <f t="shared" si="3"/>
        <v>0</v>
      </c>
      <c r="J15" s="211">
        <f>I15</f>
        <v>0</v>
      </c>
      <c r="K15" s="211">
        <f t="shared" si="3"/>
        <v>0</v>
      </c>
      <c r="L15" s="211">
        <f t="shared" si="3"/>
        <v>0</v>
      </c>
      <c r="M15" s="211">
        <f t="shared" si="3"/>
        <v>0</v>
      </c>
      <c r="N15" s="241">
        <f t="shared" ref="N15:N26" si="4">SUM(B15:M15)</f>
        <v>0</v>
      </c>
    </row>
    <row r="16" spans="1:254">
      <c r="A16" s="240" t="s">
        <v>132</v>
      </c>
      <c r="B16" s="213">
        <v>9000</v>
      </c>
      <c r="C16" s="213">
        <f t="shared" ref="C16:M16" si="5">B16</f>
        <v>9000</v>
      </c>
      <c r="D16" s="213">
        <f t="shared" si="5"/>
        <v>9000</v>
      </c>
      <c r="E16" s="213">
        <f t="shared" si="5"/>
        <v>9000</v>
      </c>
      <c r="F16" s="213">
        <f t="shared" si="5"/>
        <v>9000</v>
      </c>
      <c r="G16" s="213">
        <f t="shared" si="5"/>
        <v>9000</v>
      </c>
      <c r="H16" s="213">
        <f t="shared" si="5"/>
        <v>9000</v>
      </c>
      <c r="I16" s="213">
        <f t="shared" si="5"/>
        <v>9000</v>
      </c>
      <c r="J16" s="213">
        <f t="shared" si="5"/>
        <v>9000</v>
      </c>
      <c r="K16" s="213">
        <f t="shared" si="5"/>
        <v>9000</v>
      </c>
      <c r="L16" s="213">
        <f t="shared" si="5"/>
        <v>9000</v>
      </c>
      <c r="M16" s="213">
        <f t="shared" si="5"/>
        <v>9000</v>
      </c>
      <c r="N16" s="242">
        <f t="shared" si="4"/>
        <v>108000</v>
      </c>
    </row>
    <row r="17" spans="1:34">
      <c r="A17" s="240" t="s">
        <v>133</v>
      </c>
      <c r="B17" s="210">
        <v>0</v>
      </c>
      <c r="C17" s="211">
        <v>0</v>
      </c>
      <c r="D17" s="211">
        <v>0</v>
      </c>
      <c r="E17" s="211">
        <v>0</v>
      </c>
      <c r="F17" s="211">
        <v>0</v>
      </c>
      <c r="G17" s="211">
        <v>0</v>
      </c>
      <c r="H17" s="211">
        <v>0</v>
      </c>
      <c r="I17" s="211">
        <v>0</v>
      </c>
      <c r="J17" s="211">
        <v>0</v>
      </c>
      <c r="K17" s="211">
        <v>0</v>
      </c>
      <c r="L17" s="211">
        <v>0</v>
      </c>
      <c r="M17" s="211">
        <v>0</v>
      </c>
      <c r="N17" s="241">
        <f t="shared" si="4"/>
        <v>0</v>
      </c>
    </row>
    <row r="18" spans="1:34">
      <c r="A18" s="240" t="s">
        <v>134</v>
      </c>
      <c r="B18" s="213">
        <v>2700</v>
      </c>
      <c r="C18" s="213">
        <v>0</v>
      </c>
      <c r="D18" s="213">
        <v>0</v>
      </c>
      <c r="E18" s="213">
        <f>B18</f>
        <v>2700</v>
      </c>
      <c r="F18" s="213">
        <v>0</v>
      </c>
      <c r="G18" s="213">
        <v>0</v>
      </c>
      <c r="H18" s="213">
        <f>E18</f>
        <v>2700</v>
      </c>
      <c r="I18" s="213">
        <v>0</v>
      </c>
      <c r="J18" s="213">
        <v>0</v>
      </c>
      <c r="K18" s="213">
        <f>H18</f>
        <v>2700</v>
      </c>
      <c r="L18" s="213">
        <v>0</v>
      </c>
      <c r="M18" s="213">
        <v>0</v>
      </c>
      <c r="N18" s="242">
        <f t="shared" si="4"/>
        <v>10800</v>
      </c>
    </row>
    <row r="19" spans="1:34">
      <c r="A19" s="240" t="s">
        <v>135</v>
      </c>
      <c r="B19" s="210">
        <v>0</v>
      </c>
      <c r="C19" s="211">
        <v>0</v>
      </c>
      <c r="D19" s="211">
        <v>0</v>
      </c>
      <c r="E19" s="211">
        <v>0</v>
      </c>
      <c r="F19" s="211">
        <v>0</v>
      </c>
      <c r="G19" s="211">
        <v>0</v>
      </c>
      <c r="H19" s="211">
        <v>0</v>
      </c>
      <c r="I19" s="211">
        <v>0</v>
      </c>
      <c r="J19" s="211">
        <v>0</v>
      </c>
      <c r="K19" s="211">
        <v>0</v>
      </c>
      <c r="L19" s="211">
        <v>0</v>
      </c>
      <c r="M19" s="211">
        <v>0</v>
      </c>
      <c r="N19" s="241">
        <f t="shared" si="4"/>
        <v>0</v>
      </c>
    </row>
    <row r="20" spans="1:34">
      <c r="A20" s="240" t="s">
        <v>136</v>
      </c>
      <c r="B20" s="213">
        <v>0</v>
      </c>
      <c r="C20" s="213">
        <v>0</v>
      </c>
      <c r="D20" s="213">
        <v>0</v>
      </c>
      <c r="E20" s="213">
        <v>0</v>
      </c>
      <c r="F20" s="213">
        <v>0</v>
      </c>
      <c r="G20" s="213">
        <v>0</v>
      </c>
      <c r="H20" s="213">
        <v>0</v>
      </c>
      <c r="I20" s="213">
        <v>0</v>
      </c>
      <c r="J20" s="213">
        <v>0</v>
      </c>
      <c r="K20" s="213">
        <v>0</v>
      </c>
      <c r="L20" s="213">
        <v>0</v>
      </c>
      <c r="M20" s="213">
        <v>0</v>
      </c>
      <c r="N20" s="242">
        <f t="shared" si="4"/>
        <v>0</v>
      </c>
    </row>
    <row r="21" spans="1:34">
      <c r="A21" s="240" t="s">
        <v>91</v>
      </c>
      <c r="B21" s="210">
        <v>0</v>
      </c>
      <c r="C21" s="211">
        <v>0</v>
      </c>
      <c r="D21" s="211">
        <v>0</v>
      </c>
      <c r="E21" s="211">
        <v>0</v>
      </c>
      <c r="F21" s="211">
        <v>0</v>
      </c>
      <c r="G21" s="211">
        <v>0</v>
      </c>
      <c r="H21" s="211">
        <v>0</v>
      </c>
      <c r="I21" s="211">
        <v>0</v>
      </c>
      <c r="J21" s="211">
        <v>0</v>
      </c>
      <c r="K21" s="211">
        <v>0</v>
      </c>
      <c r="L21" s="211">
        <v>0</v>
      </c>
      <c r="M21" s="211">
        <v>0</v>
      </c>
      <c r="N21" s="243">
        <f t="shared" si="4"/>
        <v>0</v>
      </c>
    </row>
    <row r="22" spans="1:34">
      <c r="A22" s="240" t="s">
        <v>137</v>
      </c>
      <c r="B22" s="213">
        <v>0</v>
      </c>
      <c r="C22" s="213">
        <f t="shared" ref="C22:M22" si="6">B22</f>
        <v>0</v>
      </c>
      <c r="D22" s="213">
        <f t="shared" si="6"/>
        <v>0</v>
      </c>
      <c r="E22" s="213">
        <f t="shared" si="6"/>
        <v>0</v>
      </c>
      <c r="F22" s="213">
        <f t="shared" si="6"/>
        <v>0</v>
      </c>
      <c r="G22" s="213">
        <f t="shared" si="6"/>
        <v>0</v>
      </c>
      <c r="H22" s="213">
        <f t="shared" si="6"/>
        <v>0</v>
      </c>
      <c r="I22" s="213">
        <f t="shared" si="6"/>
        <v>0</v>
      </c>
      <c r="J22" s="213">
        <f t="shared" si="6"/>
        <v>0</v>
      </c>
      <c r="K22" s="213">
        <f t="shared" si="6"/>
        <v>0</v>
      </c>
      <c r="L22" s="213">
        <f t="shared" si="6"/>
        <v>0</v>
      </c>
      <c r="M22" s="213">
        <f t="shared" si="6"/>
        <v>0</v>
      </c>
      <c r="N22" s="244">
        <f t="shared" si="4"/>
        <v>0</v>
      </c>
    </row>
    <row r="23" spans="1:34">
      <c r="A23" s="240" t="s">
        <v>138</v>
      </c>
      <c r="B23" s="210">
        <v>0</v>
      </c>
      <c r="C23" s="211">
        <v>0</v>
      </c>
      <c r="D23" s="211">
        <v>0</v>
      </c>
      <c r="E23" s="211">
        <v>0</v>
      </c>
      <c r="F23" s="211">
        <v>0</v>
      </c>
      <c r="G23" s="211">
        <v>0</v>
      </c>
      <c r="H23" s="211">
        <v>0</v>
      </c>
      <c r="I23" s="211">
        <v>0</v>
      </c>
      <c r="J23" s="211">
        <v>0</v>
      </c>
      <c r="K23" s="211">
        <v>0</v>
      </c>
      <c r="L23" s="211">
        <v>0</v>
      </c>
      <c r="M23" s="211">
        <v>0</v>
      </c>
      <c r="N23" s="243">
        <f t="shared" si="4"/>
        <v>0</v>
      </c>
    </row>
    <row r="24" spans="1:34">
      <c r="A24" s="240" t="s">
        <v>139</v>
      </c>
      <c r="B24" s="213">
        <v>0</v>
      </c>
      <c r="C24" s="213">
        <v>0</v>
      </c>
      <c r="D24" s="213">
        <v>0</v>
      </c>
      <c r="E24" s="213">
        <v>0</v>
      </c>
      <c r="F24" s="213">
        <v>0</v>
      </c>
      <c r="G24" s="213">
        <v>0</v>
      </c>
      <c r="H24" s="213">
        <v>0</v>
      </c>
      <c r="I24" s="213">
        <v>0</v>
      </c>
      <c r="J24" s="213">
        <v>0</v>
      </c>
      <c r="K24" s="213">
        <v>0</v>
      </c>
      <c r="L24" s="213">
        <v>0</v>
      </c>
      <c r="M24" s="213">
        <v>0</v>
      </c>
      <c r="N24" s="244">
        <f t="shared" si="4"/>
        <v>0</v>
      </c>
    </row>
    <row r="25" spans="1:34">
      <c r="A25" s="240" t="s">
        <v>140</v>
      </c>
      <c r="B25" s="210">
        <v>0</v>
      </c>
      <c r="C25" s="211">
        <v>0</v>
      </c>
      <c r="D25" s="211">
        <v>0</v>
      </c>
      <c r="E25" s="211">
        <v>0</v>
      </c>
      <c r="F25" s="211">
        <v>0</v>
      </c>
      <c r="G25" s="211">
        <v>0</v>
      </c>
      <c r="H25" s="211">
        <v>0</v>
      </c>
      <c r="I25" s="211">
        <v>0</v>
      </c>
      <c r="J25" s="211">
        <v>0</v>
      </c>
      <c r="K25" s="211">
        <v>0</v>
      </c>
      <c r="L25" s="211">
        <v>0</v>
      </c>
      <c r="M25" s="211">
        <v>0</v>
      </c>
      <c r="N25" s="243">
        <f t="shared" si="4"/>
        <v>0</v>
      </c>
    </row>
    <row r="26" spans="1:34">
      <c r="A26" s="240" t="s">
        <v>141</v>
      </c>
      <c r="B26" s="213">
        <v>0</v>
      </c>
      <c r="C26" s="213">
        <v>0</v>
      </c>
      <c r="D26" s="213">
        <v>0</v>
      </c>
      <c r="E26" s="213">
        <v>0</v>
      </c>
      <c r="F26" s="213">
        <v>0</v>
      </c>
      <c r="G26" s="213">
        <v>0</v>
      </c>
      <c r="H26" s="213">
        <v>0</v>
      </c>
      <c r="I26" s="213">
        <v>0</v>
      </c>
      <c r="J26" s="213">
        <v>0</v>
      </c>
      <c r="K26" s="213">
        <v>0</v>
      </c>
      <c r="L26" s="213">
        <v>0</v>
      </c>
      <c r="M26" s="213">
        <v>0</v>
      </c>
      <c r="N26" s="244">
        <f t="shared" si="4"/>
        <v>0</v>
      </c>
    </row>
    <row r="27" spans="1:34" s="221" customFormat="1">
      <c r="A27" s="237" t="s">
        <v>142</v>
      </c>
      <c r="B27" s="245">
        <f>SUM(B15:B26)</f>
        <v>11700</v>
      </c>
      <c r="C27" s="246">
        <f t="shared" ref="C27:N27" si="7">SUM(C15:C26)</f>
        <v>9000</v>
      </c>
      <c r="D27" s="246">
        <f t="shared" si="7"/>
        <v>9000</v>
      </c>
      <c r="E27" s="246">
        <f t="shared" si="7"/>
        <v>11700</v>
      </c>
      <c r="F27" s="246">
        <f t="shared" si="7"/>
        <v>9000</v>
      </c>
      <c r="G27" s="246">
        <f t="shared" si="7"/>
        <v>9000</v>
      </c>
      <c r="H27" s="246">
        <f t="shared" si="7"/>
        <v>11700</v>
      </c>
      <c r="I27" s="246">
        <f t="shared" si="7"/>
        <v>9000</v>
      </c>
      <c r="J27" s="246">
        <f t="shared" si="7"/>
        <v>9000</v>
      </c>
      <c r="K27" s="246">
        <f t="shared" si="7"/>
        <v>11700</v>
      </c>
      <c r="L27" s="246">
        <f t="shared" si="7"/>
        <v>9000</v>
      </c>
      <c r="M27" s="246">
        <f t="shared" si="7"/>
        <v>9000</v>
      </c>
      <c r="N27" s="247">
        <f t="shared" si="7"/>
        <v>118800</v>
      </c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20"/>
    </row>
    <row r="28" spans="1:34" s="252" customFormat="1" ht="12">
      <c r="A28" s="248"/>
      <c r="B28" s="249"/>
      <c r="C28" s="249"/>
      <c r="D28" s="249"/>
      <c r="E28" s="249"/>
      <c r="F28" s="249"/>
      <c r="G28" s="249"/>
      <c r="H28" s="249"/>
      <c r="I28" s="249"/>
      <c r="J28" s="249"/>
      <c r="K28" s="249"/>
      <c r="L28" s="249"/>
      <c r="M28" s="249"/>
      <c r="N28" s="250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51"/>
    </row>
    <row r="29" spans="1:34">
      <c r="A29" s="237" t="s">
        <v>143</v>
      </c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53"/>
    </row>
    <row r="30" spans="1:34">
      <c r="A30" s="240" t="s">
        <v>144</v>
      </c>
      <c r="B30" s="254">
        <v>0</v>
      </c>
      <c r="C30" s="255">
        <v>0</v>
      </c>
      <c r="D30" s="255">
        <v>0</v>
      </c>
      <c r="E30" s="255">
        <v>0</v>
      </c>
      <c r="F30" s="255">
        <v>0</v>
      </c>
      <c r="G30" s="255">
        <v>0</v>
      </c>
      <c r="H30" s="255">
        <v>0</v>
      </c>
      <c r="I30" s="255">
        <v>0</v>
      </c>
      <c r="J30" s="255">
        <v>0</v>
      </c>
      <c r="K30" s="255">
        <v>0</v>
      </c>
      <c r="L30" s="255">
        <v>0</v>
      </c>
      <c r="M30" s="255">
        <v>0</v>
      </c>
      <c r="N30" s="256">
        <f t="shared" ref="N30:N36" si="8">SUM(B30:M30)</f>
        <v>0</v>
      </c>
    </row>
    <row r="31" spans="1:34">
      <c r="A31" s="240" t="s">
        <v>145</v>
      </c>
      <c r="B31" s="257">
        <v>0</v>
      </c>
      <c r="C31" s="257">
        <v>0</v>
      </c>
      <c r="D31" s="257">
        <v>0</v>
      </c>
      <c r="E31" s="257">
        <v>0</v>
      </c>
      <c r="F31" s="257">
        <v>0</v>
      </c>
      <c r="G31" s="257">
        <v>0</v>
      </c>
      <c r="H31" s="257">
        <v>0</v>
      </c>
      <c r="I31" s="257">
        <v>0</v>
      </c>
      <c r="J31" s="257">
        <v>0</v>
      </c>
      <c r="K31" s="257">
        <v>0</v>
      </c>
      <c r="L31" s="257">
        <v>0</v>
      </c>
      <c r="M31" s="257">
        <v>0</v>
      </c>
      <c r="N31" s="258">
        <f t="shared" si="8"/>
        <v>0</v>
      </c>
    </row>
    <row r="32" spans="1:34">
      <c r="A32" s="240" t="s">
        <v>146</v>
      </c>
      <c r="B32" s="259">
        <v>500</v>
      </c>
      <c r="C32" s="260">
        <f t="shared" ref="C32:M32" si="9">B32</f>
        <v>500</v>
      </c>
      <c r="D32" s="260">
        <f t="shared" si="9"/>
        <v>500</v>
      </c>
      <c r="E32" s="260">
        <f t="shared" si="9"/>
        <v>500</v>
      </c>
      <c r="F32" s="260">
        <f t="shared" si="9"/>
        <v>500</v>
      </c>
      <c r="G32" s="260">
        <f t="shared" si="9"/>
        <v>500</v>
      </c>
      <c r="H32" s="260">
        <f t="shared" si="9"/>
        <v>500</v>
      </c>
      <c r="I32" s="260">
        <f t="shared" si="9"/>
        <v>500</v>
      </c>
      <c r="J32" s="260">
        <f t="shared" si="9"/>
        <v>500</v>
      </c>
      <c r="K32" s="260">
        <f t="shared" si="9"/>
        <v>500</v>
      </c>
      <c r="L32" s="260">
        <f t="shared" si="9"/>
        <v>500</v>
      </c>
      <c r="M32" s="260">
        <f t="shared" si="9"/>
        <v>500</v>
      </c>
      <c r="N32" s="247">
        <f t="shared" si="8"/>
        <v>6000</v>
      </c>
    </row>
    <row r="33" spans="1:34">
      <c r="A33" s="240" t="s">
        <v>147</v>
      </c>
      <c r="B33" s="262">
        <v>0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44">
        <f t="shared" si="8"/>
        <v>0</v>
      </c>
    </row>
    <row r="34" spans="1:34">
      <c r="A34" s="240" t="s">
        <v>148</v>
      </c>
      <c r="B34" s="259">
        <v>0</v>
      </c>
      <c r="C34" s="260">
        <f t="shared" ref="C34:M35" si="10">B34</f>
        <v>0</v>
      </c>
      <c r="D34" s="260">
        <f t="shared" si="10"/>
        <v>0</v>
      </c>
      <c r="E34" s="260">
        <f t="shared" si="10"/>
        <v>0</v>
      </c>
      <c r="F34" s="260">
        <f t="shared" si="10"/>
        <v>0</v>
      </c>
      <c r="G34" s="260">
        <f t="shared" si="10"/>
        <v>0</v>
      </c>
      <c r="H34" s="260">
        <f t="shared" si="10"/>
        <v>0</v>
      </c>
      <c r="I34" s="260">
        <f t="shared" si="10"/>
        <v>0</v>
      </c>
      <c r="J34" s="260">
        <f t="shared" si="10"/>
        <v>0</v>
      </c>
      <c r="K34" s="260">
        <f t="shared" si="10"/>
        <v>0</v>
      </c>
      <c r="L34" s="260">
        <f t="shared" si="10"/>
        <v>0</v>
      </c>
      <c r="M34" s="260">
        <f t="shared" si="10"/>
        <v>0</v>
      </c>
      <c r="N34" s="247">
        <f t="shared" si="8"/>
        <v>0</v>
      </c>
    </row>
    <row r="35" spans="1:34">
      <c r="A35" s="240" t="s">
        <v>149</v>
      </c>
      <c r="B35" s="262">
        <v>0</v>
      </c>
      <c r="C35" s="213">
        <f>B35</f>
        <v>0</v>
      </c>
      <c r="D35" s="213">
        <f t="shared" si="10"/>
        <v>0</v>
      </c>
      <c r="E35" s="213">
        <f t="shared" si="10"/>
        <v>0</v>
      </c>
      <c r="F35" s="213">
        <f t="shared" si="10"/>
        <v>0</v>
      </c>
      <c r="G35" s="213">
        <f t="shared" si="10"/>
        <v>0</v>
      </c>
      <c r="H35" s="213">
        <f t="shared" si="10"/>
        <v>0</v>
      </c>
      <c r="I35" s="213">
        <f t="shared" si="10"/>
        <v>0</v>
      </c>
      <c r="J35" s="213">
        <f t="shared" si="10"/>
        <v>0</v>
      </c>
      <c r="K35" s="213">
        <f t="shared" si="10"/>
        <v>0</v>
      </c>
      <c r="L35" s="213">
        <f t="shared" si="10"/>
        <v>0</v>
      </c>
      <c r="M35" s="213">
        <f t="shared" si="10"/>
        <v>0</v>
      </c>
      <c r="N35" s="244">
        <f t="shared" si="8"/>
        <v>0</v>
      </c>
      <c r="O35" s="261"/>
    </row>
    <row r="36" spans="1:34" s="221" customFormat="1">
      <c r="A36" s="237" t="s">
        <v>150</v>
      </c>
      <c r="B36" s="245">
        <f t="shared" ref="B36:M36" si="11">SUM(B30:B35)</f>
        <v>500</v>
      </c>
      <c r="C36" s="246">
        <f t="shared" si="11"/>
        <v>500</v>
      </c>
      <c r="D36" s="246">
        <f t="shared" si="11"/>
        <v>500</v>
      </c>
      <c r="E36" s="246">
        <f t="shared" si="11"/>
        <v>500</v>
      </c>
      <c r="F36" s="246">
        <f t="shared" si="11"/>
        <v>500</v>
      </c>
      <c r="G36" s="246">
        <f t="shared" si="11"/>
        <v>500</v>
      </c>
      <c r="H36" s="246">
        <f t="shared" si="11"/>
        <v>500</v>
      </c>
      <c r="I36" s="246">
        <f t="shared" si="11"/>
        <v>500</v>
      </c>
      <c r="J36" s="246">
        <f t="shared" si="11"/>
        <v>500</v>
      </c>
      <c r="K36" s="246">
        <f t="shared" si="11"/>
        <v>500</v>
      </c>
      <c r="L36" s="246">
        <f t="shared" si="11"/>
        <v>500</v>
      </c>
      <c r="M36" s="246">
        <f t="shared" si="11"/>
        <v>500</v>
      </c>
      <c r="N36" s="247">
        <f t="shared" si="8"/>
        <v>6000</v>
      </c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20"/>
    </row>
    <row r="37" spans="1:34" s="252" customFormat="1" ht="12">
      <c r="A37" s="248"/>
      <c r="B37" s="249"/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49"/>
      <c r="N37" s="250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51"/>
    </row>
    <row r="38" spans="1:34">
      <c r="A38" s="237" t="s">
        <v>151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53"/>
    </row>
    <row r="39" spans="1:34">
      <c r="A39" s="240" t="s">
        <v>152</v>
      </c>
      <c r="B39" s="259">
        <v>0</v>
      </c>
      <c r="C39" s="260">
        <f>B39</f>
        <v>0</v>
      </c>
      <c r="D39" s="260">
        <f t="shared" ref="D39:M39" si="12">C39</f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47">
        <f>SUM(B39:M39)</f>
        <v>0</v>
      </c>
    </row>
    <row r="40" spans="1:34">
      <c r="A40" s="240" t="s">
        <v>127</v>
      </c>
      <c r="B40" s="262">
        <v>0</v>
      </c>
      <c r="C40" s="213">
        <v>0</v>
      </c>
      <c r="D40" s="213">
        <v>0</v>
      </c>
      <c r="E40" s="213">
        <v>0</v>
      </c>
      <c r="F40" s="213">
        <v>0</v>
      </c>
      <c r="G40" s="213">
        <v>0</v>
      </c>
      <c r="H40" s="213">
        <v>0</v>
      </c>
      <c r="I40" s="213">
        <v>0</v>
      </c>
      <c r="J40" s="213">
        <v>0</v>
      </c>
      <c r="K40" s="213">
        <v>0</v>
      </c>
      <c r="L40" s="213">
        <v>0</v>
      </c>
      <c r="M40" s="213">
        <v>0</v>
      </c>
      <c r="N40" s="244">
        <f>SUM(B40:M40)</f>
        <v>0</v>
      </c>
    </row>
    <row r="41" spans="1:34" s="221" customFormat="1">
      <c r="A41" s="237" t="s">
        <v>153</v>
      </c>
      <c r="B41" s="245">
        <f t="shared" ref="B41:M41" si="13">SUM(B39:B40)</f>
        <v>0</v>
      </c>
      <c r="C41" s="246">
        <f t="shared" si="13"/>
        <v>0</v>
      </c>
      <c r="D41" s="246">
        <f t="shared" si="13"/>
        <v>0</v>
      </c>
      <c r="E41" s="246">
        <f t="shared" si="13"/>
        <v>0</v>
      </c>
      <c r="F41" s="246">
        <f t="shared" si="13"/>
        <v>0</v>
      </c>
      <c r="G41" s="246">
        <f t="shared" si="13"/>
        <v>0</v>
      </c>
      <c r="H41" s="246">
        <f t="shared" si="13"/>
        <v>0</v>
      </c>
      <c r="I41" s="246">
        <f t="shared" si="13"/>
        <v>0</v>
      </c>
      <c r="J41" s="246">
        <f t="shared" si="13"/>
        <v>0</v>
      </c>
      <c r="K41" s="246">
        <f t="shared" si="13"/>
        <v>0</v>
      </c>
      <c r="L41" s="246">
        <f t="shared" si="13"/>
        <v>0</v>
      </c>
      <c r="M41" s="246">
        <f t="shared" si="13"/>
        <v>0</v>
      </c>
      <c r="N41" s="247">
        <f>SUM(B41:M41)</f>
        <v>0</v>
      </c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20"/>
    </row>
    <row r="42" spans="1:34" s="252" customFormat="1" ht="12">
      <c r="A42" s="248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50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51"/>
    </row>
    <row r="43" spans="1:34">
      <c r="A43" s="237" t="s">
        <v>154</v>
      </c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53"/>
    </row>
    <row r="44" spans="1:34" hidden="1">
      <c r="A44" s="240" t="s">
        <v>155</v>
      </c>
      <c r="B44" s="210">
        <v>0</v>
      </c>
      <c r="C44" s="211">
        <f>B44</f>
        <v>0</v>
      </c>
      <c r="D44" s="211">
        <f t="shared" ref="D44:M44" si="14">C44</f>
        <v>0</v>
      </c>
      <c r="E44" s="211">
        <f t="shared" si="14"/>
        <v>0</v>
      </c>
      <c r="F44" s="211">
        <f t="shared" si="14"/>
        <v>0</v>
      </c>
      <c r="G44" s="211">
        <f t="shared" si="14"/>
        <v>0</v>
      </c>
      <c r="H44" s="211">
        <f t="shared" si="14"/>
        <v>0</v>
      </c>
      <c r="I44" s="211">
        <f t="shared" si="14"/>
        <v>0</v>
      </c>
      <c r="J44" s="211">
        <f t="shared" si="14"/>
        <v>0</v>
      </c>
      <c r="K44" s="211">
        <f t="shared" si="14"/>
        <v>0</v>
      </c>
      <c r="L44" s="211">
        <f t="shared" si="14"/>
        <v>0</v>
      </c>
      <c r="M44" s="211">
        <f t="shared" si="14"/>
        <v>0</v>
      </c>
      <c r="N44" s="243">
        <f t="shared" ref="N44:N48" si="15">SUM(B44:M44)</f>
        <v>0</v>
      </c>
    </row>
    <row r="45" spans="1:34">
      <c r="A45" s="240" t="s">
        <v>156</v>
      </c>
      <c r="B45" s="213">
        <v>0</v>
      </c>
      <c r="C45" s="213">
        <f t="shared" ref="C45:M47" si="16">B45</f>
        <v>0</v>
      </c>
      <c r="D45" s="213">
        <f t="shared" si="16"/>
        <v>0</v>
      </c>
      <c r="E45" s="213">
        <f t="shared" si="16"/>
        <v>0</v>
      </c>
      <c r="F45" s="213">
        <f t="shared" si="16"/>
        <v>0</v>
      </c>
      <c r="G45" s="213">
        <f t="shared" si="16"/>
        <v>0</v>
      </c>
      <c r="H45" s="213">
        <f t="shared" si="16"/>
        <v>0</v>
      </c>
      <c r="I45" s="213">
        <f t="shared" si="16"/>
        <v>0</v>
      </c>
      <c r="J45" s="213">
        <f t="shared" si="16"/>
        <v>0</v>
      </c>
      <c r="K45" s="213">
        <f t="shared" si="16"/>
        <v>0</v>
      </c>
      <c r="L45" s="213">
        <f t="shared" si="16"/>
        <v>0</v>
      </c>
      <c r="M45" s="213">
        <f t="shared" si="16"/>
        <v>0</v>
      </c>
      <c r="N45" s="244">
        <f t="shared" si="15"/>
        <v>0</v>
      </c>
    </row>
    <row r="46" spans="1:34">
      <c r="A46" s="240" t="s">
        <v>157</v>
      </c>
      <c r="B46" s="210">
        <v>0</v>
      </c>
      <c r="C46" s="211">
        <f t="shared" si="16"/>
        <v>0</v>
      </c>
      <c r="D46" s="211">
        <f t="shared" si="16"/>
        <v>0</v>
      </c>
      <c r="E46" s="211">
        <f t="shared" si="16"/>
        <v>0</v>
      </c>
      <c r="F46" s="211">
        <f t="shared" si="16"/>
        <v>0</v>
      </c>
      <c r="G46" s="211">
        <f t="shared" si="16"/>
        <v>0</v>
      </c>
      <c r="H46" s="211">
        <f t="shared" si="16"/>
        <v>0</v>
      </c>
      <c r="I46" s="211">
        <f t="shared" si="16"/>
        <v>0</v>
      </c>
      <c r="J46" s="211">
        <f t="shared" si="16"/>
        <v>0</v>
      </c>
      <c r="K46" s="211">
        <f t="shared" si="16"/>
        <v>0</v>
      </c>
      <c r="L46" s="211">
        <f t="shared" si="16"/>
        <v>0</v>
      </c>
      <c r="M46" s="211">
        <f t="shared" si="16"/>
        <v>0</v>
      </c>
      <c r="N46" s="243">
        <f t="shared" si="15"/>
        <v>0</v>
      </c>
    </row>
    <row r="47" spans="1:34">
      <c r="A47" s="240" t="s">
        <v>158</v>
      </c>
      <c r="B47" s="213">
        <v>0</v>
      </c>
      <c r="C47" s="213">
        <f t="shared" si="16"/>
        <v>0</v>
      </c>
      <c r="D47" s="213">
        <f t="shared" si="16"/>
        <v>0</v>
      </c>
      <c r="E47" s="213">
        <f t="shared" si="16"/>
        <v>0</v>
      </c>
      <c r="F47" s="213">
        <f t="shared" si="16"/>
        <v>0</v>
      </c>
      <c r="G47" s="213">
        <f t="shared" si="16"/>
        <v>0</v>
      </c>
      <c r="H47" s="213">
        <f t="shared" si="16"/>
        <v>0</v>
      </c>
      <c r="I47" s="213">
        <f t="shared" si="16"/>
        <v>0</v>
      </c>
      <c r="J47" s="213">
        <f t="shared" si="16"/>
        <v>0</v>
      </c>
      <c r="K47" s="213">
        <f t="shared" si="16"/>
        <v>0</v>
      </c>
      <c r="L47" s="213">
        <f t="shared" si="16"/>
        <v>0</v>
      </c>
      <c r="M47" s="213">
        <f t="shared" si="16"/>
        <v>0</v>
      </c>
      <c r="N47" s="242">
        <f t="shared" si="15"/>
        <v>0</v>
      </c>
    </row>
    <row r="48" spans="1:34">
      <c r="A48" s="240" t="s">
        <v>127</v>
      </c>
      <c r="B48" s="213">
        <v>0</v>
      </c>
      <c r="C48" s="213">
        <v>0</v>
      </c>
      <c r="D48" s="213">
        <v>0</v>
      </c>
      <c r="E48" s="213">
        <v>0</v>
      </c>
      <c r="F48" s="213">
        <v>0</v>
      </c>
      <c r="G48" s="213">
        <v>0</v>
      </c>
      <c r="H48" s="213">
        <v>0</v>
      </c>
      <c r="I48" s="213">
        <v>0</v>
      </c>
      <c r="J48" s="213">
        <v>0</v>
      </c>
      <c r="K48" s="213">
        <v>0</v>
      </c>
      <c r="L48" s="213">
        <v>0</v>
      </c>
      <c r="M48" s="213">
        <v>0</v>
      </c>
      <c r="N48" s="242">
        <f t="shared" si="15"/>
        <v>0</v>
      </c>
    </row>
    <row r="49" spans="1:34" s="221" customFormat="1">
      <c r="A49" s="237" t="s">
        <v>159</v>
      </c>
      <c r="B49" s="245">
        <f t="shared" ref="B49:N49" si="17">SUM(B44:B48)</f>
        <v>0</v>
      </c>
      <c r="C49" s="246">
        <f t="shared" si="17"/>
        <v>0</v>
      </c>
      <c r="D49" s="246">
        <f t="shared" si="17"/>
        <v>0</v>
      </c>
      <c r="E49" s="246">
        <f t="shared" si="17"/>
        <v>0</v>
      </c>
      <c r="F49" s="246">
        <f t="shared" si="17"/>
        <v>0</v>
      </c>
      <c r="G49" s="246">
        <f t="shared" si="17"/>
        <v>0</v>
      </c>
      <c r="H49" s="246">
        <f t="shared" si="17"/>
        <v>0</v>
      </c>
      <c r="I49" s="246">
        <f t="shared" si="17"/>
        <v>0</v>
      </c>
      <c r="J49" s="246">
        <f t="shared" si="17"/>
        <v>0</v>
      </c>
      <c r="K49" s="246">
        <f t="shared" si="17"/>
        <v>0</v>
      </c>
      <c r="L49" s="246">
        <f t="shared" si="17"/>
        <v>0</v>
      </c>
      <c r="M49" s="246">
        <f t="shared" si="17"/>
        <v>0</v>
      </c>
      <c r="N49" s="247">
        <f t="shared" si="17"/>
        <v>0</v>
      </c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20"/>
    </row>
    <row r="50" spans="1:34" s="252" customFormat="1" ht="12">
      <c r="A50" s="248"/>
      <c r="B50" s="249"/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50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51"/>
    </row>
    <row r="51" spans="1:34">
      <c r="A51" s="237" t="s">
        <v>160</v>
      </c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53"/>
    </row>
    <row r="52" spans="1:34">
      <c r="A52" s="240" t="s">
        <v>161</v>
      </c>
      <c r="B52" s="263">
        <v>0</v>
      </c>
      <c r="C52" s="264">
        <f>B52</f>
        <v>0</v>
      </c>
      <c r="D52" s="264">
        <f t="shared" ref="D52:M52" si="18">C52</f>
        <v>0</v>
      </c>
      <c r="E52" s="264">
        <f t="shared" si="18"/>
        <v>0</v>
      </c>
      <c r="F52" s="264">
        <f t="shared" si="18"/>
        <v>0</v>
      </c>
      <c r="G52" s="264">
        <f t="shared" si="18"/>
        <v>0</v>
      </c>
      <c r="H52" s="264">
        <f t="shared" si="18"/>
        <v>0</v>
      </c>
      <c r="I52" s="264">
        <f t="shared" si="18"/>
        <v>0</v>
      </c>
      <c r="J52" s="264">
        <f t="shared" si="18"/>
        <v>0</v>
      </c>
      <c r="K52" s="264">
        <f t="shared" si="18"/>
        <v>0</v>
      </c>
      <c r="L52" s="264">
        <f t="shared" si="18"/>
        <v>0</v>
      </c>
      <c r="M52" s="264">
        <f t="shared" si="18"/>
        <v>0</v>
      </c>
      <c r="N52" s="243">
        <f t="shared" ref="N52:N60" si="19">SUM(B52:M52)</f>
        <v>0</v>
      </c>
    </row>
    <row r="53" spans="1:34">
      <c r="A53" s="240" t="s">
        <v>161</v>
      </c>
      <c r="B53" s="265">
        <f>([3]skat!D8)/12</f>
        <v>816.66666666666663</v>
      </c>
      <c r="C53" s="265">
        <f t="shared" ref="C53:M56" si="20">B53</f>
        <v>816.66666666666663</v>
      </c>
      <c r="D53" s="265">
        <f t="shared" si="20"/>
        <v>816.66666666666663</v>
      </c>
      <c r="E53" s="265">
        <f t="shared" si="20"/>
        <v>816.66666666666663</v>
      </c>
      <c r="F53" s="265">
        <f t="shared" si="20"/>
        <v>816.66666666666663</v>
      </c>
      <c r="G53" s="265">
        <f t="shared" si="20"/>
        <v>816.66666666666663</v>
      </c>
      <c r="H53" s="265">
        <f t="shared" si="20"/>
        <v>816.66666666666663</v>
      </c>
      <c r="I53" s="265">
        <f t="shared" si="20"/>
        <v>816.66666666666663</v>
      </c>
      <c r="J53" s="265">
        <f t="shared" si="20"/>
        <v>816.66666666666663</v>
      </c>
      <c r="K53" s="265">
        <f t="shared" si="20"/>
        <v>816.66666666666663</v>
      </c>
      <c r="L53" s="265">
        <f t="shared" si="20"/>
        <v>816.66666666666663</v>
      </c>
      <c r="M53" s="265">
        <f t="shared" si="20"/>
        <v>816.66666666666663</v>
      </c>
      <c r="N53" s="244">
        <f t="shared" si="19"/>
        <v>9800</v>
      </c>
    </row>
    <row r="54" spans="1:34">
      <c r="A54" s="240" t="s">
        <v>18</v>
      </c>
      <c r="B54" s="263">
        <f>([3]skat!C7)/12</f>
        <v>500</v>
      </c>
      <c r="C54" s="264">
        <f t="shared" si="20"/>
        <v>500</v>
      </c>
      <c r="D54" s="264">
        <f t="shared" si="20"/>
        <v>500</v>
      </c>
      <c r="E54" s="264">
        <f t="shared" si="20"/>
        <v>500</v>
      </c>
      <c r="F54" s="264">
        <f t="shared" si="20"/>
        <v>500</v>
      </c>
      <c r="G54" s="264">
        <f t="shared" si="20"/>
        <v>500</v>
      </c>
      <c r="H54" s="264">
        <f t="shared" si="20"/>
        <v>500</v>
      </c>
      <c r="I54" s="264">
        <f t="shared" si="20"/>
        <v>500</v>
      </c>
      <c r="J54" s="264">
        <f t="shared" si="20"/>
        <v>500</v>
      </c>
      <c r="K54" s="264">
        <f t="shared" si="20"/>
        <v>500</v>
      </c>
      <c r="L54" s="264">
        <f t="shared" si="20"/>
        <v>500</v>
      </c>
      <c r="M54" s="264">
        <f t="shared" si="20"/>
        <v>500</v>
      </c>
      <c r="N54" s="243">
        <f t="shared" si="19"/>
        <v>6000</v>
      </c>
    </row>
    <row r="55" spans="1:34">
      <c r="A55" s="240" t="s">
        <v>18</v>
      </c>
      <c r="B55" s="265">
        <f>([3]skat!D7)/12</f>
        <v>600</v>
      </c>
      <c r="C55" s="265">
        <f t="shared" si="20"/>
        <v>600</v>
      </c>
      <c r="D55" s="265">
        <f t="shared" si="20"/>
        <v>600</v>
      </c>
      <c r="E55" s="265">
        <f t="shared" si="20"/>
        <v>600</v>
      </c>
      <c r="F55" s="265">
        <f t="shared" si="20"/>
        <v>600</v>
      </c>
      <c r="G55" s="265">
        <f t="shared" si="20"/>
        <v>600</v>
      </c>
      <c r="H55" s="265">
        <f t="shared" si="20"/>
        <v>600</v>
      </c>
      <c r="I55" s="265">
        <f t="shared" si="20"/>
        <v>600</v>
      </c>
      <c r="J55" s="265">
        <f t="shared" si="20"/>
        <v>600</v>
      </c>
      <c r="K55" s="265">
        <f t="shared" si="20"/>
        <v>600</v>
      </c>
      <c r="L55" s="265">
        <f t="shared" si="20"/>
        <v>600</v>
      </c>
      <c r="M55" s="265">
        <f t="shared" si="20"/>
        <v>600</v>
      </c>
      <c r="N55" s="244">
        <f t="shared" si="19"/>
        <v>7200</v>
      </c>
    </row>
    <row r="56" spans="1:34">
      <c r="A56" s="240" t="s">
        <v>162</v>
      </c>
      <c r="B56" s="263">
        <v>0</v>
      </c>
      <c r="C56" s="264">
        <f t="shared" si="20"/>
        <v>0</v>
      </c>
      <c r="D56" s="264">
        <f t="shared" si="20"/>
        <v>0</v>
      </c>
      <c r="E56" s="264">
        <f t="shared" si="20"/>
        <v>0</v>
      </c>
      <c r="F56" s="264">
        <f t="shared" si="20"/>
        <v>0</v>
      </c>
      <c r="G56" s="264">
        <f t="shared" si="20"/>
        <v>0</v>
      </c>
      <c r="H56" s="264">
        <f t="shared" si="20"/>
        <v>0</v>
      </c>
      <c r="I56" s="264">
        <f t="shared" si="20"/>
        <v>0</v>
      </c>
      <c r="J56" s="264">
        <f t="shared" si="20"/>
        <v>0</v>
      </c>
      <c r="K56" s="264">
        <f t="shared" si="20"/>
        <v>0</v>
      </c>
      <c r="L56" s="264">
        <f t="shared" si="20"/>
        <v>0</v>
      </c>
      <c r="M56" s="264">
        <f t="shared" si="20"/>
        <v>0</v>
      </c>
      <c r="N56" s="243">
        <f t="shared" si="19"/>
        <v>0</v>
      </c>
    </row>
    <row r="57" spans="1:34">
      <c r="A57" s="240" t="s">
        <v>163</v>
      </c>
      <c r="B57" s="265">
        <v>0</v>
      </c>
      <c r="C57" s="265">
        <v>0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44">
        <f t="shared" si="19"/>
        <v>0</v>
      </c>
    </row>
    <row r="58" spans="1:34">
      <c r="A58" s="240" t="s">
        <v>164</v>
      </c>
      <c r="B58" s="263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43">
        <f t="shared" si="19"/>
        <v>0</v>
      </c>
    </row>
    <row r="59" spans="1:34">
      <c r="A59" s="240" t="s">
        <v>165</v>
      </c>
      <c r="B59" s="265">
        <v>0</v>
      </c>
      <c r="C59" s="265">
        <f>B59</f>
        <v>0</v>
      </c>
      <c r="D59" s="265">
        <f>C59</f>
        <v>0</v>
      </c>
      <c r="E59" s="265">
        <f t="shared" ref="E59:M59" si="21">D59</f>
        <v>0</v>
      </c>
      <c r="F59" s="265">
        <f t="shared" si="21"/>
        <v>0</v>
      </c>
      <c r="G59" s="265">
        <f t="shared" si="21"/>
        <v>0</v>
      </c>
      <c r="H59" s="265">
        <f t="shared" si="21"/>
        <v>0</v>
      </c>
      <c r="I59" s="265">
        <f t="shared" si="21"/>
        <v>0</v>
      </c>
      <c r="J59" s="265">
        <f t="shared" si="21"/>
        <v>0</v>
      </c>
      <c r="K59" s="265">
        <f t="shared" si="21"/>
        <v>0</v>
      </c>
      <c r="L59" s="265">
        <f t="shared" si="21"/>
        <v>0</v>
      </c>
      <c r="M59" s="265">
        <f t="shared" si="21"/>
        <v>0</v>
      </c>
      <c r="N59" s="244">
        <f t="shared" si="19"/>
        <v>0</v>
      </c>
    </row>
    <row r="60" spans="1:34">
      <c r="A60" s="240" t="s">
        <v>127</v>
      </c>
      <c r="B60" s="210">
        <v>0</v>
      </c>
      <c r="C60" s="264">
        <v>0</v>
      </c>
      <c r="D60" s="264">
        <v>0</v>
      </c>
      <c r="E60" s="264">
        <v>0</v>
      </c>
      <c r="F60" s="264">
        <v>0</v>
      </c>
      <c r="G60" s="264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43">
        <f t="shared" si="19"/>
        <v>0</v>
      </c>
    </row>
    <row r="61" spans="1:34" s="221" customFormat="1">
      <c r="A61" s="237" t="s">
        <v>166</v>
      </c>
      <c r="B61" s="266">
        <f>SUM(B52:B60)</f>
        <v>1916.6666666666665</v>
      </c>
      <c r="C61" s="266">
        <f t="shared" ref="C61:N61" si="22">SUM(C52:C60)</f>
        <v>1916.6666666666665</v>
      </c>
      <c r="D61" s="266">
        <f t="shared" si="22"/>
        <v>1916.6666666666665</v>
      </c>
      <c r="E61" s="266">
        <f t="shared" si="22"/>
        <v>1916.6666666666665</v>
      </c>
      <c r="F61" s="266">
        <f t="shared" si="22"/>
        <v>1916.6666666666665</v>
      </c>
      <c r="G61" s="266">
        <f t="shared" si="22"/>
        <v>1916.6666666666665</v>
      </c>
      <c r="H61" s="266">
        <f t="shared" si="22"/>
        <v>1916.6666666666665</v>
      </c>
      <c r="I61" s="266">
        <f t="shared" si="22"/>
        <v>1916.6666666666665</v>
      </c>
      <c r="J61" s="266">
        <f t="shared" si="22"/>
        <v>1916.6666666666665</v>
      </c>
      <c r="K61" s="266">
        <f t="shared" si="22"/>
        <v>1916.6666666666665</v>
      </c>
      <c r="L61" s="266">
        <f t="shared" si="22"/>
        <v>1916.6666666666665</v>
      </c>
      <c r="M61" s="266">
        <f t="shared" si="22"/>
        <v>1916.6666666666665</v>
      </c>
      <c r="N61" s="244">
        <f t="shared" si="22"/>
        <v>23000</v>
      </c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20"/>
    </row>
    <row r="62" spans="1:34" s="252" customFormat="1" ht="12">
      <c r="A62" s="248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50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51"/>
    </row>
    <row r="63" spans="1:34">
      <c r="A63" s="237" t="s">
        <v>167</v>
      </c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53"/>
    </row>
    <row r="64" spans="1:34">
      <c r="A64" s="240" t="s">
        <v>168</v>
      </c>
      <c r="B64" s="210">
        <v>0</v>
      </c>
      <c r="C64" s="211">
        <f>B64</f>
        <v>0</v>
      </c>
      <c r="D64" s="211">
        <f t="shared" ref="D64:M64" si="23">C64</f>
        <v>0</v>
      </c>
      <c r="E64" s="211">
        <f t="shared" si="23"/>
        <v>0</v>
      </c>
      <c r="F64" s="211">
        <f t="shared" si="23"/>
        <v>0</v>
      </c>
      <c r="G64" s="211">
        <f t="shared" si="23"/>
        <v>0</v>
      </c>
      <c r="H64" s="211">
        <f t="shared" si="23"/>
        <v>0</v>
      </c>
      <c r="I64" s="211">
        <f t="shared" si="23"/>
        <v>0</v>
      </c>
      <c r="J64" s="211">
        <f t="shared" si="23"/>
        <v>0</v>
      </c>
      <c r="K64" s="211">
        <f t="shared" si="23"/>
        <v>0</v>
      </c>
      <c r="L64" s="211">
        <f t="shared" si="23"/>
        <v>0</v>
      </c>
      <c r="M64" s="211">
        <f t="shared" si="23"/>
        <v>0</v>
      </c>
      <c r="N64" s="243">
        <f>SUM(B64:M64)</f>
        <v>0</v>
      </c>
    </row>
    <row r="65" spans="1:34">
      <c r="A65" s="240" t="s">
        <v>169</v>
      </c>
      <c r="B65" s="213">
        <v>4000</v>
      </c>
      <c r="C65" s="213">
        <f t="shared" ref="C65:M66" si="24">B65</f>
        <v>4000</v>
      </c>
      <c r="D65" s="213">
        <f t="shared" si="24"/>
        <v>4000</v>
      </c>
      <c r="E65" s="213">
        <f t="shared" si="24"/>
        <v>4000</v>
      </c>
      <c r="F65" s="213">
        <f t="shared" si="24"/>
        <v>4000</v>
      </c>
      <c r="G65" s="213">
        <f t="shared" si="24"/>
        <v>4000</v>
      </c>
      <c r="H65" s="213">
        <f t="shared" si="24"/>
        <v>4000</v>
      </c>
      <c r="I65" s="213">
        <f t="shared" si="24"/>
        <v>4000</v>
      </c>
      <c r="J65" s="213">
        <f t="shared" si="24"/>
        <v>4000</v>
      </c>
      <c r="K65" s="213">
        <f t="shared" si="24"/>
        <v>4000</v>
      </c>
      <c r="L65" s="213">
        <f t="shared" si="24"/>
        <v>4000</v>
      </c>
      <c r="M65" s="213">
        <f t="shared" si="24"/>
        <v>4000</v>
      </c>
      <c r="N65" s="244">
        <f>SUM(B65:M65)</f>
        <v>48000</v>
      </c>
      <c r="O65" s="201" t="s">
        <v>332</v>
      </c>
    </row>
    <row r="66" spans="1:34">
      <c r="A66" s="240" t="s">
        <v>170</v>
      </c>
      <c r="B66" s="210">
        <v>0</v>
      </c>
      <c r="C66" s="211">
        <f t="shared" si="24"/>
        <v>0</v>
      </c>
      <c r="D66" s="211">
        <f t="shared" si="24"/>
        <v>0</v>
      </c>
      <c r="E66" s="211">
        <f t="shared" si="24"/>
        <v>0</v>
      </c>
      <c r="F66" s="211">
        <f t="shared" si="24"/>
        <v>0</v>
      </c>
      <c r="G66" s="211">
        <f t="shared" si="24"/>
        <v>0</v>
      </c>
      <c r="H66" s="211">
        <f t="shared" si="24"/>
        <v>0</v>
      </c>
      <c r="I66" s="211">
        <f t="shared" si="24"/>
        <v>0</v>
      </c>
      <c r="J66" s="211">
        <f t="shared" si="24"/>
        <v>0</v>
      </c>
      <c r="K66" s="211">
        <f t="shared" si="24"/>
        <v>0</v>
      </c>
      <c r="L66" s="211">
        <f t="shared" si="24"/>
        <v>0</v>
      </c>
      <c r="M66" s="211">
        <f t="shared" si="24"/>
        <v>0</v>
      </c>
      <c r="N66" s="243">
        <f>SUM(B66:M66)</f>
        <v>0</v>
      </c>
      <c r="O66" s="304"/>
    </row>
    <row r="67" spans="1:34">
      <c r="A67" s="240" t="s">
        <v>171</v>
      </c>
      <c r="B67" s="213">
        <v>0</v>
      </c>
      <c r="C67" s="213">
        <v>0</v>
      </c>
      <c r="D67" s="213">
        <v>0</v>
      </c>
      <c r="E67" s="213">
        <v>0</v>
      </c>
      <c r="F67" s="213">
        <v>0</v>
      </c>
      <c r="G67" s="213">
        <v>0</v>
      </c>
      <c r="H67" s="213">
        <v>0</v>
      </c>
      <c r="I67" s="213">
        <v>0</v>
      </c>
      <c r="J67" s="213">
        <v>0</v>
      </c>
      <c r="K67" s="213">
        <v>0</v>
      </c>
      <c r="L67" s="213">
        <v>0</v>
      </c>
      <c r="M67" s="213">
        <v>0</v>
      </c>
      <c r="N67" s="244">
        <f>SUM(B67:M67)</f>
        <v>0</v>
      </c>
    </row>
    <row r="68" spans="1:34">
      <c r="A68" s="240" t="s">
        <v>127</v>
      </c>
      <c r="B68" s="210">
        <v>0</v>
      </c>
      <c r="C68" s="211">
        <v>0</v>
      </c>
      <c r="D68" s="211">
        <v>0</v>
      </c>
      <c r="E68" s="211">
        <v>0</v>
      </c>
      <c r="F68" s="211">
        <v>0</v>
      </c>
      <c r="G68" s="211">
        <v>0</v>
      </c>
      <c r="H68" s="211">
        <v>0</v>
      </c>
      <c r="I68" s="211">
        <v>0</v>
      </c>
      <c r="J68" s="211">
        <v>0</v>
      </c>
      <c r="K68" s="211">
        <v>0</v>
      </c>
      <c r="L68" s="211">
        <v>0</v>
      </c>
      <c r="M68" s="211">
        <v>0</v>
      </c>
      <c r="N68" s="243">
        <f>SUM(B68:M68)</f>
        <v>0</v>
      </c>
    </row>
    <row r="69" spans="1:34">
      <c r="A69" s="237" t="s">
        <v>172</v>
      </c>
      <c r="B69" s="266">
        <f t="shared" ref="B69:N69" si="25">SUM(B64:B68)</f>
        <v>4000</v>
      </c>
      <c r="C69" s="266">
        <f t="shared" si="25"/>
        <v>4000</v>
      </c>
      <c r="D69" s="266">
        <f t="shared" si="25"/>
        <v>4000</v>
      </c>
      <c r="E69" s="266">
        <f t="shared" si="25"/>
        <v>4000</v>
      </c>
      <c r="F69" s="266">
        <f t="shared" si="25"/>
        <v>4000</v>
      </c>
      <c r="G69" s="266">
        <f t="shared" si="25"/>
        <v>4000</v>
      </c>
      <c r="H69" s="266">
        <f t="shared" si="25"/>
        <v>4000</v>
      </c>
      <c r="I69" s="266">
        <f t="shared" si="25"/>
        <v>4000</v>
      </c>
      <c r="J69" s="266">
        <f t="shared" si="25"/>
        <v>4000</v>
      </c>
      <c r="K69" s="266">
        <f t="shared" si="25"/>
        <v>4000</v>
      </c>
      <c r="L69" s="266">
        <f t="shared" si="25"/>
        <v>4000</v>
      </c>
      <c r="M69" s="266">
        <f t="shared" si="25"/>
        <v>4000</v>
      </c>
      <c r="N69" s="244">
        <f t="shared" si="25"/>
        <v>48000</v>
      </c>
    </row>
    <row r="70" spans="1:34" s="269" customFormat="1" ht="12">
      <c r="A70" s="248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50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  <c r="AA70" s="267"/>
      <c r="AB70" s="267"/>
      <c r="AC70" s="267"/>
      <c r="AD70" s="267"/>
      <c r="AE70" s="267"/>
      <c r="AF70" s="267"/>
      <c r="AG70" s="267"/>
      <c r="AH70" s="268"/>
    </row>
    <row r="71" spans="1:34" hidden="1">
      <c r="A71" s="237" t="s">
        <v>173</v>
      </c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53"/>
    </row>
    <row r="72" spans="1:34" hidden="1">
      <c r="A72" s="240" t="s">
        <v>127</v>
      </c>
      <c r="B72" s="210">
        <v>0</v>
      </c>
      <c r="C72" s="211">
        <v>0</v>
      </c>
      <c r="D72" s="211">
        <v>0</v>
      </c>
      <c r="E72" s="211">
        <v>0</v>
      </c>
      <c r="F72" s="211">
        <v>0</v>
      </c>
      <c r="G72" s="211">
        <v>0</v>
      </c>
      <c r="H72" s="211">
        <v>0</v>
      </c>
      <c r="I72" s="211">
        <v>0</v>
      </c>
      <c r="J72" s="211">
        <v>0</v>
      </c>
      <c r="K72" s="211">
        <v>0</v>
      </c>
      <c r="L72" s="211">
        <v>0</v>
      </c>
      <c r="M72" s="211">
        <v>0</v>
      </c>
      <c r="N72" s="243">
        <f>SUM(B72:M72)</f>
        <v>0</v>
      </c>
    </row>
    <row r="73" spans="1:34" hidden="1">
      <c r="A73" s="240" t="s">
        <v>127</v>
      </c>
      <c r="B73" s="213">
        <v>0</v>
      </c>
      <c r="C73" s="213">
        <v>0</v>
      </c>
      <c r="D73" s="213">
        <v>0</v>
      </c>
      <c r="E73" s="213">
        <v>0</v>
      </c>
      <c r="F73" s="213">
        <v>0</v>
      </c>
      <c r="G73" s="213">
        <v>0</v>
      </c>
      <c r="H73" s="213">
        <v>0</v>
      </c>
      <c r="I73" s="213">
        <v>0</v>
      </c>
      <c r="J73" s="213">
        <v>0</v>
      </c>
      <c r="K73" s="213">
        <v>0</v>
      </c>
      <c r="L73" s="213">
        <v>0</v>
      </c>
      <c r="M73" s="213">
        <v>0</v>
      </c>
      <c r="N73" s="244">
        <f>SUM(B73:M73)</f>
        <v>0</v>
      </c>
    </row>
    <row r="74" spans="1:34" hidden="1">
      <c r="A74" s="237" t="s">
        <v>174</v>
      </c>
      <c r="B74" s="216">
        <f t="shared" ref="B74:N74" si="26">SUM(B72:B73)</f>
        <v>0</v>
      </c>
      <c r="C74" s="217">
        <f t="shared" si="26"/>
        <v>0</v>
      </c>
      <c r="D74" s="217">
        <f t="shared" si="26"/>
        <v>0</v>
      </c>
      <c r="E74" s="217">
        <f t="shared" si="26"/>
        <v>0</v>
      </c>
      <c r="F74" s="217">
        <f t="shared" si="26"/>
        <v>0</v>
      </c>
      <c r="G74" s="217">
        <f t="shared" si="26"/>
        <v>0</v>
      </c>
      <c r="H74" s="217">
        <f t="shared" si="26"/>
        <v>0</v>
      </c>
      <c r="I74" s="217">
        <f t="shared" si="26"/>
        <v>0</v>
      </c>
      <c r="J74" s="217">
        <f t="shared" si="26"/>
        <v>0</v>
      </c>
      <c r="K74" s="217">
        <f t="shared" si="26"/>
        <v>0</v>
      </c>
      <c r="L74" s="217">
        <f t="shared" si="26"/>
        <v>0</v>
      </c>
      <c r="M74" s="217">
        <f t="shared" si="26"/>
        <v>0</v>
      </c>
      <c r="N74" s="270">
        <f t="shared" si="26"/>
        <v>0</v>
      </c>
    </row>
    <row r="75" spans="1:34" s="269" customFormat="1" ht="12" hidden="1">
      <c r="A75" s="248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71"/>
      <c r="M75" s="271"/>
      <c r="N75" s="272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  <c r="AA75" s="267"/>
      <c r="AB75" s="267"/>
      <c r="AC75" s="267"/>
      <c r="AD75" s="267"/>
      <c r="AE75" s="267"/>
      <c r="AF75" s="267"/>
      <c r="AG75" s="267"/>
      <c r="AH75" s="268"/>
    </row>
    <row r="76" spans="1:34">
      <c r="A76" s="237" t="s">
        <v>127</v>
      </c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53"/>
    </row>
    <row r="77" spans="1:34">
      <c r="A77" s="240" t="s">
        <v>175</v>
      </c>
      <c r="B77" s="210">
        <v>2000</v>
      </c>
      <c r="C77" s="211">
        <f>B77</f>
        <v>2000</v>
      </c>
      <c r="D77" s="211">
        <f t="shared" ref="D77:M79" si="27">C77</f>
        <v>2000</v>
      </c>
      <c r="E77" s="211">
        <f t="shared" si="27"/>
        <v>2000</v>
      </c>
      <c r="F77" s="211">
        <f t="shared" si="27"/>
        <v>2000</v>
      </c>
      <c r="G77" s="211">
        <f t="shared" si="27"/>
        <v>2000</v>
      </c>
      <c r="H77" s="211">
        <f t="shared" si="27"/>
        <v>2000</v>
      </c>
      <c r="I77" s="211">
        <f t="shared" si="27"/>
        <v>2000</v>
      </c>
      <c r="J77" s="211">
        <f t="shared" si="27"/>
        <v>2000</v>
      </c>
      <c r="K77" s="211">
        <f t="shared" si="27"/>
        <v>2000</v>
      </c>
      <c r="L77" s="211">
        <f t="shared" si="27"/>
        <v>2000</v>
      </c>
      <c r="M77" s="211">
        <f t="shared" si="27"/>
        <v>2000</v>
      </c>
      <c r="N77" s="243">
        <f>SUM(B77:M77)</f>
        <v>24000</v>
      </c>
    </row>
    <row r="78" spans="1:34">
      <c r="A78" s="240" t="s">
        <v>127</v>
      </c>
      <c r="B78" s="213">
        <v>0</v>
      </c>
      <c r="C78" s="213">
        <f>B78</f>
        <v>0</v>
      </c>
      <c r="D78" s="213">
        <f t="shared" si="27"/>
        <v>0</v>
      </c>
      <c r="E78" s="213">
        <f t="shared" si="27"/>
        <v>0</v>
      </c>
      <c r="F78" s="213">
        <f t="shared" si="27"/>
        <v>0</v>
      </c>
      <c r="G78" s="213">
        <f t="shared" si="27"/>
        <v>0</v>
      </c>
      <c r="H78" s="213">
        <f t="shared" si="27"/>
        <v>0</v>
      </c>
      <c r="I78" s="213">
        <f t="shared" si="27"/>
        <v>0</v>
      </c>
      <c r="J78" s="213">
        <f t="shared" si="27"/>
        <v>0</v>
      </c>
      <c r="K78" s="213">
        <f t="shared" si="27"/>
        <v>0</v>
      </c>
      <c r="L78" s="213">
        <f t="shared" si="27"/>
        <v>0</v>
      </c>
      <c r="M78" s="213">
        <f t="shared" si="27"/>
        <v>0</v>
      </c>
      <c r="N78" s="244">
        <f>SUM(B78:M78)</f>
        <v>0</v>
      </c>
    </row>
    <row r="79" spans="1:34">
      <c r="A79" s="240" t="s">
        <v>176</v>
      </c>
      <c r="B79" s="210">
        <v>6000</v>
      </c>
      <c r="C79" s="211">
        <f>B79</f>
        <v>6000</v>
      </c>
      <c r="D79" s="211">
        <f t="shared" si="27"/>
        <v>6000</v>
      </c>
      <c r="E79" s="211">
        <f t="shared" si="27"/>
        <v>6000</v>
      </c>
      <c r="F79" s="211">
        <f t="shared" si="27"/>
        <v>6000</v>
      </c>
      <c r="G79" s="211">
        <f t="shared" si="27"/>
        <v>6000</v>
      </c>
      <c r="H79" s="211">
        <f t="shared" si="27"/>
        <v>6000</v>
      </c>
      <c r="I79" s="211">
        <f t="shared" si="27"/>
        <v>6000</v>
      </c>
      <c r="J79" s="211">
        <f t="shared" si="27"/>
        <v>6000</v>
      </c>
      <c r="K79" s="211">
        <f t="shared" si="27"/>
        <v>6000</v>
      </c>
      <c r="L79" s="211">
        <f t="shared" si="27"/>
        <v>6000</v>
      </c>
      <c r="M79" s="211">
        <f t="shared" si="27"/>
        <v>6000</v>
      </c>
      <c r="N79" s="243">
        <f>SUM(B79:M79)</f>
        <v>72000</v>
      </c>
    </row>
    <row r="80" spans="1:34" s="221" customFormat="1">
      <c r="A80" s="237" t="s">
        <v>177</v>
      </c>
      <c r="B80" s="266">
        <f t="shared" ref="B80:N80" si="28">SUM(B77:B79)</f>
        <v>8000</v>
      </c>
      <c r="C80" s="266">
        <f t="shared" si="28"/>
        <v>8000</v>
      </c>
      <c r="D80" s="266">
        <f t="shared" si="28"/>
        <v>8000</v>
      </c>
      <c r="E80" s="266">
        <f t="shared" si="28"/>
        <v>8000</v>
      </c>
      <c r="F80" s="266">
        <f t="shared" si="28"/>
        <v>8000</v>
      </c>
      <c r="G80" s="266">
        <f t="shared" si="28"/>
        <v>8000</v>
      </c>
      <c r="H80" s="266">
        <f t="shared" si="28"/>
        <v>8000</v>
      </c>
      <c r="I80" s="266">
        <f t="shared" si="28"/>
        <v>8000</v>
      </c>
      <c r="J80" s="266">
        <f t="shared" si="28"/>
        <v>8000</v>
      </c>
      <c r="K80" s="266">
        <f t="shared" si="28"/>
        <v>8000</v>
      </c>
      <c r="L80" s="266">
        <f t="shared" si="28"/>
        <v>8000</v>
      </c>
      <c r="M80" s="266">
        <f t="shared" si="28"/>
        <v>8000</v>
      </c>
      <c r="N80" s="244">
        <f t="shared" si="28"/>
        <v>96000</v>
      </c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20"/>
    </row>
    <row r="81" spans="1:34" s="269" customFormat="1" ht="12">
      <c r="A81" s="273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5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267"/>
      <c r="AE81" s="267"/>
      <c r="AF81" s="267"/>
      <c r="AG81" s="267"/>
      <c r="AH81" s="268"/>
    </row>
    <row r="82" spans="1:34" ht="16">
      <c r="A82" s="276" t="s">
        <v>178</v>
      </c>
      <c r="B82" s="277">
        <f t="shared" ref="B82:N82" si="29">B27+B36+B41+B49+B61+B69+B74+B80</f>
        <v>26116.666666666664</v>
      </c>
      <c r="C82" s="278">
        <f t="shared" si="29"/>
        <v>23416.666666666664</v>
      </c>
      <c r="D82" s="278">
        <f t="shared" si="29"/>
        <v>23416.666666666664</v>
      </c>
      <c r="E82" s="278">
        <f t="shared" si="29"/>
        <v>26116.666666666664</v>
      </c>
      <c r="F82" s="278">
        <f t="shared" si="29"/>
        <v>23416.666666666664</v>
      </c>
      <c r="G82" s="278">
        <f t="shared" si="29"/>
        <v>23416.666666666664</v>
      </c>
      <c r="H82" s="278">
        <f t="shared" si="29"/>
        <v>26116.666666666664</v>
      </c>
      <c r="I82" s="278">
        <f t="shared" si="29"/>
        <v>23416.666666666664</v>
      </c>
      <c r="J82" s="278">
        <f t="shared" si="29"/>
        <v>23416.666666666664</v>
      </c>
      <c r="K82" s="278">
        <f t="shared" si="29"/>
        <v>26116.666666666664</v>
      </c>
      <c r="L82" s="278">
        <f t="shared" si="29"/>
        <v>23416.666666666664</v>
      </c>
      <c r="M82" s="278">
        <f t="shared" si="29"/>
        <v>23416.666666666664</v>
      </c>
      <c r="N82" s="279">
        <f t="shared" si="29"/>
        <v>291800</v>
      </c>
    </row>
    <row r="83" spans="1:34" s="269" customFormat="1" ht="12">
      <c r="A83" s="280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2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8"/>
    </row>
    <row r="84" spans="1:34" ht="14.25" customHeight="1">
      <c r="A84" s="283"/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</row>
    <row r="85" spans="1:34" ht="16">
      <c r="A85" s="285" t="s">
        <v>179</v>
      </c>
      <c r="B85" s="286" t="str">
        <f t="shared" ref="B85:N85" si="30">B3</f>
        <v>jan</v>
      </c>
      <c r="C85" s="287" t="str">
        <f t="shared" si="30"/>
        <v>feb</v>
      </c>
      <c r="D85" s="287" t="str">
        <f t="shared" si="30"/>
        <v>mar</v>
      </c>
      <c r="E85" s="287" t="str">
        <f t="shared" si="30"/>
        <v>apr</v>
      </c>
      <c r="F85" s="287" t="str">
        <f t="shared" si="30"/>
        <v>maj</v>
      </c>
      <c r="G85" s="287" t="str">
        <f t="shared" si="30"/>
        <v xml:space="preserve">juni </v>
      </c>
      <c r="H85" s="287" t="str">
        <f t="shared" si="30"/>
        <v>juli</v>
      </c>
      <c r="I85" s="287" t="str">
        <f t="shared" si="30"/>
        <v>aug</v>
      </c>
      <c r="J85" s="287" t="str">
        <f t="shared" si="30"/>
        <v>sept</v>
      </c>
      <c r="K85" s="287" t="str">
        <f t="shared" si="30"/>
        <v>okt</v>
      </c>
      <c r="L85" s="287" t="str">
        <f t="shared" si="30"/>
        <v>nov</v>
      </c>
      <c r="M85" s="287" t="str">
        <f t="shared" si="30"/>
        <v>dec</v>
      </c>
      <c r="N85" s="288" t="str">
        <f t="shared" si="30"/>
        <v>TOTAL</v>
      </c>
    </row>
    <row r="86" spans="1:34">
      <c r="A86" s="289" t="s">
        <v>180</v>
      </c>
      <c r="B86" s="290">
        <f t="shared" ref="B86:N86" si="31">SUM(B10-B82)</f>
        <v>40476.261480000008</v>
      </c>
      <c r="C86" s="291">
        <f t="shared" si="31"/>
        <v>30484.261480000001</v>
      </c>
      <c r="D86" s="291">
        <f t="shared" si="31"/>
        <v>30484.261480000001</v>
      </c>
      <c r="E86" s="291">
        <f t="shared" si="31"/>
        <v>33076.261480000001</v>
      </c>
      <c r="F86" s="291">
        <f t="shared" si="31"/>
        <v>30484.261480000001</v>
      </c>
      <c r="G86" s="291">
        <f t="shared" si="31"/>
        <v>30484.261480000001</v>
      </c>
      <c r="H86" s="291">
        <f t="shared" si="31"/>
        <v>33076.261480000001</v>
      </c>
      <c r="I86" s="291">
        <f t="shared" si="31"/>
        <v>30484.261480000001</v>
      </c>
      <c r="J86" s="291">
        <f t="shared" si="31"/>
        <v>30484.261480000001</v>
      </c>
      <c r="K86" s="291">
        <f t="shared" si="31"/>
        <v>33076.261480000001</v>
      </c>
      <c r="L86" s="291">
        <f t="shared" si="31"/>
        <v>30484.261480000001</v>
      </c>
      <c r="M86" s="291">
        <f t="shared" si="31"/>
        <v>30484.261480000001</v>
      </c>
      <c r="N86" s="292">
        <f t="shared" si="31"/>
        <v>383579.13775999995</v>
      </c>
    </row>
    <row r="87" spans="1:34">
      <c r="A87" s="293" t="s">
        <v>181</v>
      </c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5">
        <f>N86</f>
        <v>383579.13775999995</v>
      </c>
    </row>
    <row r="88" spans="1:34">
      <c r="A88" s="293" t="s">
        <v>182</v>
      </c>
      <c r="B88" s="296">
        <f>B86</f>
        <v>40476.261480000008</v>
      </c>
      <c r="C88" s="297">
        <f t="shared" ref="C88:M88" si="32">C86</f>
        <v>30484.261480000001</v>
      </c>
      <c r="D88" s="297">
        <f t="shared" si="32"/>
        <v>30484.261480000001</v>
      </c>
      <c r="E88" s="297">
        <f t="shared" si="32"/>
        <v>33076.261480000001</v>
      </c>
      <c r="F88" s="297">
        <f t="shared" si="32"/>
        <v>30484.261480000001</v>
      </c>
      <c r="G88" s="297">
        <f t="shared" si="32"/>
        <v>30484.261480000001</v>
      </c>
      <c r="H88" s="297">
        <f t="shared" si="32"/>
        <v>33076.261480000001</v>
      </c>
      <c r="I88" s="297">
        <f t="shared" si="32"/>
        <v>30484.261480000001</v>
      </c>
      <c r="J88" s="297">
        <f t="shared" si="32"/>
        <v>30484.261480000001</v>
      </c>
      <c r="K88" s="297">
        <f t="shared" si="32"/>
        <v>33076.261480000001</v>
      </c>
      <c r="L88" s="297">
        <f t="shared" si="32"/>
        <v>30484.261480000001</v>
      </c>
      <c r="M88" s="297">
        <f t="shared" si="32"/>
        <v>30484.261480000001</v>
      </c>
      <c r="N88" s="298">
        <f>N87/12</f>
        <v>31964.928146666662</v>
      </c>
    </row>
    <row r="89" spans="1:34" s="201" customFormat="1">
      <c r="A89" s="299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1"/>
    </row>
    <row r="90" spans="1:34" s="201" customFormat="1">
      <c r="N90" s="219"/>
    </row>
    <row r="91" spans="1:34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302" t="s">
        <v>186</v>
      </c>
      <c r="L91" s="302"/>
      <c r="M91" s="302"/>
      <c r="N91" s="219"/>
    </row>
    <row r="92" spans="1:34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302" t="s">
        <v>183</v>
      </c>
      <c r="L92" s="302"/>
      <c r="M92" s="302"/>
      <c r="N92" s="219"/>
    </row>
    <row r="93" spans="1:34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302" t="s">
        <v>187</v>
      </c>
      <c r="L93" s="302"/>
      <c r="M93" s="302"/>
      <c r="N93" s="219"/>
    </row>
    <row r="94" spans="1:34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19"/>
    </row>
    <row r="95" spans="1:34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>
        <f>11400+3000</f>
        <v>14400</v>
      </c>
      <c r="L95" s="201"/>
      <c r="M95" s="201"/>
      <c r="N95" s="219"/>
    </row>
    <row r="96" spans="1:34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19"/>
    </row>
    <row r="97" spans="1:14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61" t="s">
        <v>188</v>
      </c>
      <c r="L97" s="201"/>
      <c r="M97" s="201"/>
      <c r="N97" s="219"/>
    </row>
    <row r="98" spans="1:14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61" t="s">
        <v>189</v>
      </c>
      <c r="L98" s="201"/>
      <c r="M98" s="201"/>
      <c r="N98" s="219"/>
    </row>
    <row r="99" spans="1:14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61" t="s">
        <v>190</v>
      </c>
      <c r="L99" s="201"/>
      <c r="M99" s="201"/>
      <c r="N99" s="219"/>
    </row>
    <row r="100" spans="1:14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19"/>
    </row>
    <row r="101" spans="1:14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19"/>
    </row>
    <row r="102" spans="1:14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19"/>
    </row>
    <row r="103" spans="1:14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19"/>
    </row>
    <row r="104" spans="1:14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19"/>
    </row>
    <row r="105" spans="1:14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19"/>
    </row>
    <row r="106" spans="1:14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19"/>
    </row>
    <row r="107" spans="1:14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19"/>
    </row>
    <row r="108" spans="1:14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19"/>
    </row>
    <row r="109" spans="1:14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19"/>
    </row>
    <row r="110" spans="1:14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19"/>
    </row>
    <row r="111" spans="1:14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19"/>
    </row>
    <row r="112" spans="1:14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19"/>
    </row>
    <row r="113" spans="1:14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19"/>
    </row>
    <row r="114" spans="1:14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19"/>
    </row>
    <row r="115" spans="1:14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19"/>
    </row>
    <row r="116" spans="1:14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19"/>
    </row>
    <row r="117" spans="1:14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19"/>
    </row>
    <row r="118" spans="1:14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19"/>
    </row>
    <row r="119" spans="1:14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19"/>
    </row>
    <row r="120" spans="1:14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19"/>
    </row>
    <row r="121" spans="1:14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19"/>
    </row>
    <row r="122" spans="1:14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19"/>
    </row>
    <row r="123" spans="1:14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19"/>
    </row>
    <row r="124" spans="1:14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19"/>
    </row>
    <row r="125" spans="1:14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19"/>
    </row>
    <row r="126" spans="1:14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19"/>
    </row>
    <row r="127" spans="1:14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19"/>
    </row>
    <row r="128" spans="1:14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19"/>
    </row>
    <row r="129" spans="1:14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19"/>
    </row>
    <row r="130" spans="1:14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19"/>
    </row>
    <row r="131" spans="1:14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19"/>
    </row>
    <row r="132" spans="1:14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19"/>
    </row>
    <row r="133" spans="1:14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19"/>
    </row>
    <row r="134" spans="1:14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19"/>
    </row>
    <row r="135" spans="1:14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19"/>
    </row>
    <row r="136" spans="1:14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19"/>
    </row>
    <row r="137" spans="1:14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19"/>
    </row>
    <row r="138" spans="1:14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19"/>
    </row>
    <row r="139" spans="1:14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19"/>
    </row>
    <row r="140" spans="1:14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19"/>
    </row>
    <row r="141" spans="1:14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19"/>
    </row>
    <row r="142" spans="1:14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19"/>
    </row>
    <row r="143" spans="1:14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19"/>
    </row>
    <row r="144" spans="1:14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19"/>
    </row>
    <row r="145" spans="1:14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19"/>
    </row>
    <row r="146" spans="1:14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19"/>
    </row>
    <row r="147" spans="1:14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19"/>
    </row>
    <row r="148" spans="1:14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19"/>
    </row>
    <row r="149" spans="1:14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19"/>
    </row>
    <row r="150" spans="1:14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19"/>
    </row>
    <row r="151" spans="1:14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19"/>
    </row>
    <row r="152" spans="1:14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19"/>
    </row>
    <row r="153" spans="1:14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19"/>
    </row>
    <row r="154" spans="1:14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19"/>
    </row>
    <row r="155" spans="1:14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19"/>
    </row>
    <row r="156" spans="1:14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19"/>
    </row>
    <row r="157" spans="1:14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19"/>
    </row>
    <row r="158" spans="1:14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19"/>
    </row>
    <row r="159" spans="1:14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19"/>
    </row>
    <row r="160" spans="1:14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19"/>
    </row>
  </sheetData>
  <printOptions horizontalCentered="1" verticalCentered="1"/>
  <pageMargins left="0.19685039370078741" right="0.19685039370078741" top="0.78740157480314965" bottom="0.19685039370078741" header="0.39370078740157483" footer="0.19685039370078741"/>
  <pageSetup paperSize="9" scale="70" orientation="portrait" cellComments="atEnd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8CEF-7262-0647-8786-A80220F948D2}">
  <dimension ref="B2:J103"/>
  <sheetViews>
    <sheetView topLeftCell="F1" zoomScale="130" zoomScaleNormal="130" workbookViewId="0">
      <selection activeCell="H9" sqref="H9"/>
    </sheetView>
  </sheetViews>
  <sheetFormatPr baseColWidth="10" defaultColWidth="8.6640625" defaultRowHeight="16"/>
  <cols>
    <col min="1" max="1" width="8.6640625" style="4"/>
    <col min="2" max="2" width="16.1640625" style="4" bestFit="1" customWidth="1"/>
    <col min="3" max="3" width="11" style="4" customWidth="1"/>
    <col min="4" max="4" width="9" style="4"/>
    <col min="5" max="5" width="12.1640625" style="176" customWidth="1"/>
    <col min="6" max="6" width="9.1640625" style="4" customWidth="1"/>
    <col min="7" max="7" width="53.6640625" style="4" customWidth="1"/>
    <col min="8" max="8" width="20.1640625" style="4" customWidth="1"/>
    <col min="9" max="10" width="9.1640625" style="4" customWidth="1"/>
    <col min="11" max="16384" width="8.6640625" style="4"/>
  </cols>
  <sheetData>
    <row r="2" spans="2:10">
      <c r="G2" s="8"/>
    </row>
    <row r="3" spans="2:10" ht="27" customHeight="1">
      <c r="B3" s="320" t="s">
        <v>191</v>
      </c>
      <c r="C3" s="320"/>
      <c r="D3" s="320"/>
      <c r="E3" s="320"/>
      <c r="G3" s="163" t="s">
        <v>192</v>
      </c>
      <c r="H3" s="177">
        <v>0.08</v>
      </c>
    </row>
    <row r="4" spans="2:10">
      <c r="B4" s="178"/>
      <c r="G4" s="166" t="s">
        <v>193</v>
      </c>
      <c r="H4" s="179">
        <v>2.23</v>
      </c>
    </row>
    <row r="5" spans="2:10" ht="28">
      <c r="B5" s="180" t="s">
        <v>194</v>
      </c>
      <c r="C5" s="181" t="s">
        <v>195</v>
      </c>
      <c r="D5" s="181" t="s">
        <v>196</v>
      </c>
      <c r="E5" s="182" t="s">
        <v>197</v>
      </c>
      <c r="G5" s="166" t="s">
        <v>198</v>
      </c>
      <c r="H5" s="183">
        <v>24</v>
      </c>
    </row>
    <row r="6" spans="2:10" ht="17.25" customHeight="1">
      <c r="B6" s="47" t="s">
        <v>199</v>
      </c>
      <c r="C6" s="305">
        <v>25.6</v>
      </c>
      <c r="D6" s="4">
        <v>0.8</v>
      </c>
      <c r="E6" s="184">
        <v>9.1</v>
      </c>
      <c r="G6" s="166" t="s">
        <v>200</v>
      </c>
      <c r="H6" s="183">
        <v>120</v>
      </c>
    </row>
    <row r="7" spans="2:10" ht="17.25" customHeight="1">
      <c r="B7" s="47" t="s">
        <v>201</v>
      </c>
      <c r="C7" s="305">
        <v>25.3</v>
      </c>
      <c r="D7" s="4">
        <v>0.57999999999999996</v>
      </c>
      <c r="E7" s="184">
        <v>8</v>
      </c>
      <c r="G7" s="166" t="s">
        <v>202</v>
      </c>
      <c r="H7" s="179">
        <v>1.1200000000000001</v>
      </c>
    </row>
    <row r="8" spans="2:10" ht="17.25" customHeight="1">
      <c r="B8" s="47" t="s">
        <v>203</v>
      </c>
      <c r="C8" s="305">
        <v>26.1</v>
      </c>
      <c r="D8" s="4">
        <v>0.98</v>
      </c>
      <c r="E8" s="184">
        <v>11.2</v>
      </c>
      <c r="G8" s="166" t="s">
        <v>204</v>
      </c>
      <c r="H8" s="185">
        <v>325800</v>
      </c>
    </row>
    <row r="9" spans="2:10" ht="17.25" customHeight="1">
      <c r="B9" s="47" t="s">
        <v>205</v>
      </c>
      <c r="C9" s="305">
        <v>25.5</v>
      </c>
      <c r="D9" s="4">
        <v>0.75</v>
      </c>
      <c r="E9" s="184">
        <v>8.3000000000000007</v>
      </c>
      <c r="G9" s="166" t="s">
        <v>206</v>
      </c>
      <c r="H9" s="186">
        <v>0.123</v>
      </c>
      <c r="I9" s="306"/>
    </row>
    <row r="10" spans="2:10" ht="17.25" customHeight="1">
      <c r="B10" s="47" t="s">
        <v>207</v>
      </c>
      <c r="C10" s="305">
        <v>24</v>
      </c>
      <c r="D10" s="4">
        <v>0.89</v>
      </c>
      <c r="E10" s="184">
        <v>7.2</v>
      </c>
      <c r="G10" s="166" t="s">
        <v>208</v>
      </c>
      <c r="H10" s="185">
        <v>55600</v>
      </c>
      <c r="J10" s="4" t="s">
        <v>85</v>
      </c>
    </row>
    <row r="11" spans="2:10" ht="17.25" customHeight="1">
      <c r="B11" s="47" t="s">
        <v>209</v>
      </c>
      <c r="C11" s="305">
        <v>26.2</v>
      </c>
      <c r="D11" s="4">
        <v>0</v>
      </c>
      <c r="E11" s="184">
        <v>10.7</v>
      </c>
      <c r="G11" s="131" t="s">
        <v>13</v>
      </c>
      <c r="H11" s="186">
        <v>0.1201</v>
      </c>
    </row>
    <row r="12" spans="2:10" ht="17.25" customHeight="1">
      <c r="B12" s="47" t="s">
        <v>210</v>
      </c>
      <c r="C12" s="305">
        <v>24.3</v>
      </c>
      <c r="D12" s="4">
        <v>0.8</v>
      </c>
      <c r="E12" s="184">
        <v>4.9000000000000004</v>
      </c>
      <c r="G12" s="187" t="s">
        <v>211</v>
      </c>
      <c r="H12" s="188">
        <v>5.1000000000000004E-3</v>
      </c>
      <c r="I12" s="4" t="s">
        <v>85</v>
      </c>
      <c r="J12" s="4" t="s">
        <v>85</v>
      </c>
    </row>
    <row r="13" spans="2:10" ht="17.25" customHeight="1">
      <c r="B13" s="47" t="s">
        <v>212</v>
      </c>
      <c r="C13" s="305">
        <v>26.3</v>
      </c>
      <c r="D13" s="4">
        <v>1.06</v>
      </c>
      <c r="E13" s="184">
        <v>17.100000000000001</v>
      </c>
      <c r="G13" s="187" t="s">
        <v>213</v>
      </c>
      <c r="H13" s="188">
        <v>1.4E-2</v>
      </c>
    </row>
    <row r="14" spans="2:10" ht="17.25" customHeight="1">
      <c r="B14" s="47" t="s">
        <v>214</v>
      </c>
      <c r="C14" s="305">
        <v>24.8</v>
      </c>
      <c r="D14" s="4">
        <v>0.61</v>
      </c>
      <c r="E14" s="184">
        <v>8.1</v>
      </c>
      <c r="G14" s="187" t="s">
        <v>215</v>
      </c>
      <c r="H14" s="189">
        <v>11500000</v>
      </c>
      <c r="J14" s="4" t="s">
        <v>85</v>
      </c>
    </row>
    <row r="15" spans="2:10" ht="17.25" customHeight="1">
      <c r="B15" s="47" t="s">
        <v>216</v>
      </c>
      <c r="C15" s="305">
        <v>25.7</v>
      </c>
      <c r="D15" s="4">
        <v>0.76</v>
      </c>
      <c r="E15" s="184">
        <v>8.8000000000000007</v>
      </c>
      <c r="G15" s="187" t="s">
        <v>217</v>
      </c>
      <c r="H15" s="190">
        <v>0.12</v>
      </c>
    </row>
    <row r="16" spans="2:10" ht="17.25" customHeight="1">
      <c r="B16" s="47" t="s">
        <v>218</v>
      </c>
      <c r="C16" s="305">
        <v>26.1</v>
      </c>
      <c r="D16" s="4">
        <v>0.81</v>
      </c>
      <c r="E16" s="184">
        <v>9.9</v>
      </c>
      <c r="G16" s="187" t="s">
        <v>219</v>
      </c>
      <c r="H16" s="185">
        <v>10056</v>
      </c>
    </row>
    <row r="17" spans="2:9" ht="17.25" customHeight="1">
      <c r="B17" s="47" t="s">
        <v>220</v>
      </c>
      <c r="C17" s="305">
        <v>26.1</v>
      </c>
      <c r="D17" s="4">
        <v>1.05</v>
      </c>
      <c r="E17" s="184">
        <v>8.5</v>
      </c>
      <c r="G17" s="187" t="s">
        <v>221</v>
      </c>
      <c r="H17" s="190">
        <v>0.32</v>
      </c>
    </row>
    <row r="18" spans="2:9" ht="17.25" customHeight="1">
      <c r="B18" s="47" t="s">
        <v>222</v>
      </c>
      <c r="C18" s="305">
        <v>25.7</v>
      </c>
      <c r="D18" s="4">
        <v>1.1399999999999999</v>
      </c>
      <c r="E18" s="184">
        <v>12.5</v>
      </c>
      <c r="G18" s="187" t="s">
        <v>223</v>
      </c>
      <c r="H18" s="185">
        <v>26816</v>
      </c>
    </row>
    <row r="19" spans="2:9" ht="17.25" customHeight="1">
      <c r="B19" s="47" t="s">
        <v>224</v>
      </c>
      <c r="C19" s="305">
        <v>25.8</v>
      </c>
      <c r="D19" s="4">
        <v>0.96</v>
      </c>
      <c r="E19" s="184">
        <v>10.6</v>
      </c>
      <c r="G19" s="131" t="s">
        <v>225</v>
      </c>
      <c r="H19" s="185">
        <v>7000</v>
      </c>
    </row>
    <row r="20" spans="2:9" ht="17.25" customHeight="1">
      <c r="B20" s="47" t="s">
        <v>226</v>
      </c>
      <c r="C20" s="305">
        <v>25.3</v>
      </c>
      <c r="D20" s="4">
        <v>1.08</v>
      </c>
      <c r="E20" s="184">
        <v>8</v>
      </c>
      <c r="G20" s="187" t="s">
        <v>227</v>
      </c>
      <c r="H20" s="191">
        <v>300000</v>
      </c>
    </row>
    <row r="21" spans="2:9" ht="17.25" customHeight="1">
      <c r="B21" s="47" t="s">
        <v>228</v>
      </c>
      <c r="C21" s="305">
        <v>25.5</v>
      </c>
      <c r="D21" s="4">
        <v>0.62</v>
      </c>
      <c r="E21" s="184">
        <v>8.3000000000000007</v>
      </c>
      <c r="G21" s="187" t="s">
        <v>229</v>
      </c>
      <c r="H21" s="192">
        <v>0.22500000000000001</v>
      </c>
    </row>
    <row r="22" spans="2:9" ht="17.25" customHeight="1">
      <c r="B22" s="47" t="s">
        <v>230</v>
      </c>
      <c r="C22" s="305">
        <v>24.57</v>
      </c>
      <c r="D22" s="4">
        <v>0.88</v>
      </c>
      <c r="E22" s="184">
        <v>13</v>
      </c>
      <c r="G22" s="187" t="s">
        <v>231</v>
      </c>
      <c r="H22" s="192">
        <v>0.22500000000000001</v>
      </c>
    </row>
    <row r="23" spans="2:9" ht="17.25" customHeight="1">
      <c r="B23" s="47" t="s">
        <v>232</v>
      </c>
      <c r="C23" s="305">
        <v>26.2</v>
      </c>
      <c r="D23" s="4">
        <v>0.5</v>
      </c>
      <c r="E23" s="184">
        <v>3.1</v>
      </c>
      <c r="G23" s="187" t="s">
        <v>233</v>
      </c>
      <c r="H23" s="190">
        <v>0.8</v>
      </c>
    </row>
    <row r="24" spans="2:9" ht="17.25" customHeight="1">
      <c r="B24" s="47" t="s">
        <v>234</v>
      </c>
      <c r="C24" s="305">
        <v>25.7</v>
      </c>
      <c r="D24" s="4">
        <v>1.03</v>
      </c>
      <c r="E24" s="184">
        <v>13.4</v>
      </c>
      <c r="G24" s="193" t="s">
        <v>235</v>
      </c>
      <c r="H24" s="189">
        <v>3300</v>
      </c>
      <c r="I24" s="4" t="s">
        <v>85</v>
      </c>
    </row>
    <row r="25" spans="2:9" ht="17.25" customHeight="1">
      <c r="B25" s="47" t="s">
        <v>236</v>
      </c>
      <c r="C25" s="305">
        <v>24.88</v>
      </c>
      <c r="D25" s="4">
        <v>0.96</v>
      </c>
      <c r="E25" s="184">
        <v>12</v>
      </c>
      <c r="G25" s="187" t="s">
        <v>237</v>
      </c>
      <c r="H25" s="194">
        <v>0</v>
      </c>
    </row>
    <row r="26" spans="2:9" ht="17.25" customHeight="1">
      <c r="B26" s="47" t="s">
        <v>238</v>
      </c>
      <c r="C26" s="305">
        <v>26.1</v>
      </c>
      <c r="D26" s="4">
        <v>0.65</v>
      </c>
      <c r="E26" s="184">
        <v>7</v>
      </c>
      <c r="G26" s="187" t="s">
        <v>239</v>
      </c>
      <c r="H26" s="189"/>
    </row>
    <row r="27" spans="2:9" ht="17.25" customHeight="1">
      <c r="B27" s="47" t="s">
        <v>240</v>
      </c>
      <c r="C27" s="305">
        <v>24.24</v>
      </c>
      <c r="D27" s="4">
        <v>0.39</v>
      </c>
      <c r="E27" s="184">
        <v>5.0999999999999996</v>
      </c>
      <c r="G27" s="187" t="s">
        <v>241</v>
      </c>
      <c r="H27" s="189"/>
    </row>
    <row r="28" spans="2:9" ht="17.25" customHeight="1">
      <c r="B28" s="47" t="s">
        <v>242</v>
      </c>
      <c r="C28" s="305">
        <v>23.6</v>
      </c>
      <c r="D28" s="4">
        <v>0.75</v>
      </c>
      <c r="E28" s="184">
        <v>5.9</v>
      </c>
      <c r="G28" s="187" t="s">
        <v>243</v>
      </c>
      <c r="H28" s="188"/>
    </row>
    <row r="29" spans="2:9" ht="17.25" customHeight="1">
      <c r="B29" s="47" t="s">
        <v>244</v>
      </c>
      <c r="C29" s="305">
        <v>24.6</v>
      </c>
      <c r="D29" s="4">
        <v>0.8</v>
      </c>
      <c r="E29" s="184">
        <v>6.5</v>
      </c>
      <c r="G29" s="187" t="s">
        <v>245</v>
      </c>
      <c r="H29" s="186">
        <v>4.4999999999999998E-2</v>
      </c>
    </row>
    <row r="30" spans="2:9" ht="17.25" customHeight="1">
      <c r="B30" s="47" t="s">
        <v>246</v>
      </c>
      <c r="C30" s="305">
        <v>24.59</v>
      </c>
      <c r="D30" s="4">
        <v>0.81</v>
      </c>
      <c r="E30" s="184">
        <v>5.5</v>
      </c>
      <c r="G30" s="187" t="s">
        <v>247</v>
      </c>
      <c r="H30" s="189">
        <v>224500</v>
      </c>
    </row>
    <row r="31" spans="2:9" ht="17.25" customHeight="1">
      <c r="B31" s="47" t="s">
        <v>248</v>
      </c>
      <c r="C31" s="305">
        <v>25.4</v>
      </c>
      <c r="D31" s="4">
        <v>0.85</v>
      </c>
      <c r="E31" s="184">
        <v>11.1</v>
      </c>
      <c r="G31" s="187" t="s">
        <v>249</v>
      </c>
      <c r="H31" s="185">
        <v>2900</v>
      </c>
    </row>
    <row r="32" spans="2:9" ht="17.25" customHeight="1">
      <c r="B32" s="47" t="s">
        <v>250</v>
      </c>
      <c r="C32" s="305">
        <v>25.8</v>
      </c>
      <c r="D32" s="4">
        <v>1.1599999999999999</v>
      </c>
      <c r="E32" s="184">
        <v>15.9</v>
      </c>
      <c r="G32" s="131" t="s">
        <v>251</v>
      </c>
      <c r="H32" s="185">
        <v>104800</v>
      </c>
    </row>
    <row r="33" spans="2:9" ht="17.25" customHeight="1">
      <c r="B33" s="47" t="s">
        <v>252</v>
      </c>
      <c r="C33" s="305">
        <v>26.3</v>
      </c>
      <c r="D33" s="4">
        <v>0.95</v>
      </c>
      <c r="E33" s="184">
        <v>12.7</v>
      </c>
      <c r="G33" s="131" t="s">
        <v>253</v>
      </c>
      <c r="H33" s="185">
        <v>52400</v>
      </c>
    </row>
    <row r="34" spans="2:9" ht="17.25" customHeight="1">
      <c r="B34" s="47" t="s">
        <v>254</v>
      </c>
      <c r="C34" s="305">
        <v>25.7</v>
      </c>
      <c r="D34" s="4">
        <v>0.85</v>
      </c>
      <c r="E34" s="184">
        <v>10.9</v>
      </c>
      <c r="G34" s="166" t="s">
        <v>255</v>
      </c>
      <c r="H34" s="185">
        <v>51600</v>
      </c>
    </row>
    <row r="35" spans="2:9" ht="17.25" customHeight="1">
      <c r="B35" s="47" t="s">
        <v>256</v>
      </c>
      <c r="C35" s="305">
        <v>25.52</v>
      </c>
      <c r="D35" s="4">
        <v>0.98</v>
      </c>
      <c r="E35" s="184">
        <v>7.9</v>
      </c>
      <c r="G35" s="187" t="s">
        <v>257</v>
      </c>
      <c r="H35" s="185">
        <v>611800</v>
      </c>
      <c r="I35" s="4" t="s">
        <v>85</v>
      </c>
    </row>
    <row r="36" spans="2:9" ht="17.25" customHeight="1">
      <c r="B36" s="47" t="s">
        <v>258</v>
      </c>
      <c r="C36" s="305">
        <v>25.82</v>
      </c>
      <c r="D36" s="4">
        <v>0.63</v>
      </c>
      <c r="E36" s="184">
        <v>9.5</v>
      </c>
      <c r="G36" s="131" t="s">
        <v>259</v>
      </c>
      <c r="H36" s="185">
        <v>65500</v>
      </c>
    </row>
    <row r="37" spans="2:9" ht="17.25" customHeight="1">
      <c r="B37" s="47" t="s">
        <v>260</v>
      </c>
      <c r="C37" s="305">
        <v>23.7</v>
      </c>
      <c r="D37" s="4">
        <v>0.75</v>
      </c>
      <c r="E37" s="184">
        <v>5.4</v>
      </c>
      <c r="G37" s="166" t="s">
        <v>261</v>
      </c>
      <c r="H37" s="186">
        <v>0.52070000000000005</v>
      </c>
    </row>
    <row r="38" spans="2:9" ht="17.25" customHeight="1">
      <c r="B38" s="47" t="s">
        <v>262</v>
      </c>
      <c r="C38" s="305">
        <v>25.4</v>
      </c>
      <c r="D38" s="4">
        <v>0.99</v>
      </c>
      <c r="E38" s="184">
        <v>9.9</v>
      </c>
      <c r="G38" s="166" t="s">
        <v>263</v>
      </c>
      <c r="H38" s="186">
        <v>0.42</v>
      </c>
    </row>
    <row r="39" spans="2:9" ht="17.25" customHeight="1">
      <c r="B39" s="47" t="s">
        <v>264</v>
      </c>
      <c r="C39" s="305">
        <v>25.6</v>
      </c>
      <c r="D39" s="4">
        <v>0.69</v>
      </c>
      <c r="E39" s="184">
        <v>6.6</v>
      </c>
      <c r="G39" s="131" t="s">
        <v>19</v>
      </c>
      <c r="H39" s="190">
        <v>0</v>
      </c>
    </row>
    <row r="40" spans="2:9" ht="17.25" customHeight="1">
      <c r="B40" s="47" t="s">
        <v>265</v>
      </c>
      <c r="C40" s="305">
        <v>26.21</v>
      </c>
      <c r="D40" s="4">
        <v>1.19</v>
      </c>
      <c r="E40" s="184">
        <v>16.5</v>
      </c>
      <c r="G40" s="187" t="s">
        <v>266</v>
      </c>
      <c r="H40" s="195">
        <v>0.08</v>
      </c>
    </row>
    <row r="41" spans="2:9" ht="17.25" customHeight="1">
      <c r="B41" s="47" t="s">
        <v>267</v>
      </c>
      <c r="C41" s="305">
        <v>25.3</v>
      </c>
      <c r="D41" s="4">
        <v>0.96</v>
      </c>
      <c r="E41" s="184">
        <v>8.1</v>
      </c>
      <c r="G41" s="187" t="s">
        <v>268</v>
      </c>
      <c r="H41" s="185">
        <v>-100000</v>
      </c>
    </row>
    <row r="42" spans="2:9" ht="17.25" customHeight="1">
      <c r="B42" s="47" t="s">
        <v>269</v>
      </c>
      <c r="C42" s="305">
        <v>25.5</v>
      </c>
      <c r="D42" s="4">
        <v>1.08</v>
      </c>
      <c r="E42" s="184">
        <v>11.5</v>
      </c>
      <c r="G42" s="187" t="s">
        <v>270</v>
      </c>
      <c r="H42" s="185">
        <v>-50000</v>
      </c>
    </row>
    <row r="43" spans="2:9" ht="17.25" customHeight="1">
      <c r="B43" s="47" t="s">
        <v>271</v>
      </c>
      <c r="C43" s="305">
        <v>25.69</v>
      </c>
      <c r="D43" s="4">
        <v>0.79</v>
      </c>
      <c r="E43" s="184">
        <v>8.6999999999999993</v>
      </c>
      <c r="G43" s="157" t="s">
        <v>17</v>
      </c>
      <c r="H43" s="196">
        <v>0.15</v>
      </c>
    </row>
    <row r="44" spans="2:9" ht="17.25" customHeight="1">
      <c r="B44" s="47" t="s">
        <v>272</v>
      </c>
      <c r="C44" s="305">
        <v>25.4</v>
      </c>
      <c r="D44" s="4">
        <v>0.72</v>
      </c>
      <c r="E44" s="184">
        <v>6.5</v>
      </c>
    </row>
    <row r="45" spans="2:9" ht="17.25" customHeight="1">
      <c r="B45" s="47" t="s">
        <v>273</v>
      </c>
      <c r="C45" s="305">
        <v>24.6</v>
      </c>
      <c r="D45" s="4">
        <v>0.8</v>
      </c>
      <c r="E45" s="184">
        <v>6.3</v>
      </c>
    </row>
    <row r="46" spans="2:9" ht="17.25" customHeight="1">
      <c r="B46" s="47" t="s">
        <v>274</v>
      </c>
      <c r="C46" s="305">
        <v>23.7</v>
      </c>
      <c r="D46" s="4">
        <v>0.62</v>
      </c>
      <c r="E46" s="184">
        <v>8.5</v>
      </c>
    </row>
    <row r="47" spans="2:9" ht="17.25" customHeight="1">
      <c r="B47" s="47" t="s">
        <v>275</v>
      </c>
      <c r="C47" s="305">
        <v>25.1</v>
      </c>
      <c r="D47" s="4">
        <v>0.97</v>
      </c>
      <c r="E47" s="184">
        <v>9.1</v>
      </c>
    </row>
    <row r="48" spans="2:9" ht="17.25" customHeight="1">
      <c r="B48" s="47" t="s">
        <v>276</v>
      </c>
      <c r="C48" s="305">
        <v>25</v>
      </c>
      <c r="D48" s="4">
        <v>0.9</v>
      </c>
      <c r="E48" s="184">
        <v>6.5</v>
      </c>
    </row>
    <row r="49" spans="2:5" ht="17.25" customHeight="1">
      <c r="B49" s="47" t="s">
        <v>277</v>
      </c>
      <c r="C49" s="305">
        <v>25.7</v>
      </c>
      <c r="D49" s="4">
        <v>1.2</v>
      </c>
      <c r="E49" s="184">
        <v>13.2</v>
      </c>
    </row>
    <row r="50" spans="2:5" ht="17.25" customHeight="1">
      <c r="B50" s="47" t="s">
        <v>278</v>
      </c>
      <c r="C50" s="305">
        <v>24.2</v>
      </c>
      <c r="D50" s="4">
        <v>1.01</v>
      </c>
      <c r="E50" s="184">
        <v>16.600000000000001</v>
      </c>
    </row>
    <row r="51" spans="2:5" ht="17.25" customHeight="1">
      <c r="B51" s="47" t="s">
        <v>279</v>
      </c>
      <c r="C51" s="305">
        <v>26.1</v>
      </c>
      <c r="D51" s="4">
        <v>0.98</v>
      </c>
      <c r="E51" s="184">
        <v>12.4</v>
      </c>
    </row>
    <row r="52" spans="2:5" ht="17.25" customHeight="1">
      <c r="B52" s="47" t="s">
        <v>280</v>
      </c>
      <c r="C52" s="305">
        <v>25.5</v>
      </c>
      <c r="D52" s="4">
        <v>0.92</v>
      </c>
      <c r="E52" s="184">
        <v>11.1</v>
      </c>
    </row>
    <row r="53" spans="2:5" ht="17.25" customHeight="1">
      <c r="B53" s="47" t="s">
        <v>281</v>
      </c>
      <c r="C53" s="305">
        <v>23.5</v>
      </c>
      <c r="D53" s="4">
        <v>0.8</v>
      </c>
      <c r="E53" s="184">
        <v>5.0999999999999996</v>
      </c>
    </row>
    <row r="54" spans="2:5" ht="17.25" customHeight="1">
      <c r="B54" s="47" t="s">
        <v>282</v>
      </c>
      <c r="C54" s="305">
        <v>25.26</v>
      </c>
      <c r="D54" s="4">
        <v>0.87</v>
      </c>
      <c r="E54" s="184">
        <v>5.3</v>
      </c>
    </row>
    <row r="55" spans="2:5" ht="17.25" customHeight="1">
      <c r="B55" s="47" t="s">
        <v>283</v>
      </c>
      <c r="C55" s="305">
        <v>26.3</v>
      </c>
      <c r="D55" s="4">
        <v>1.1399999999999999</v>
      </c>
      <c r="E55" s="184">
        <v>12.2</v>
      </c>
    </row>
    <row r="56" spans="2:5" ht="17.25" customHeight="1">
      <c r="B56" s="47" t="s">
        <v>284</v>
      </c>
      <c r="C56" s="305">
        <v>25.31</v>
      </c>
      <c r="D56" s="4">
        <v>1.05</v>
      </c>
      <c r="E56" s="184">
        <v>9.6</v>
      </c>
    </row>
    <row r="57" spans="2:5" ht="17.25" customHeight="1">
      <c r="B57" s="47" t="s">
        <v>285</v>
      </c>
      <c r="C57" s="305">
        <v>25.7</v>
      </c>
      <c r="D57" s="4">
        <v>1.27</v>
      </c>
      <c r="E57" s="184">
        <v>15.4</v>
      </c>
    </row>
    <row r="58" spans="2:5" ht="17.25" customHeight="1">
      <c r="B58" s="47" t="s">
        <v>286</v>
      </c>
      <c r="C58" s="305">
        <v>26.3</v>
      </c>
      <c r="D58" s="4">
        <v>1.23</v>
      </c>
      <c r="E58" s="184">
        <v>17.399999999999999</v>
      </c>
    </row>
    <row r="59" spans="2:5" ht="17.25" customHeight="1">
      <c r="B59" s="47" t="s">
        <v>287</v>
      </c>
      <c r="C59" s="305">
        <v>24.38</v>
      </c>
      <c r="D59" s="4">
        <v>0.6</v>
      </c>
      <c r="E59" s="184">
        <v>6.7</v>
      </c>
    </row>
    <row r="60" spans="2:5" ht="17.25" customHeight="1">
      <c r="B60" s="47" t="s">
        <v>288</v>
      </c>
      <c r="C60" s="305">
        <v>26.3</v>
      </c>
      <c r="D60" s="4">
        <v>1.3</v>
      </c>
      <c r="E60" s="184">
        <v>12.7</v>
      </c>
    </row>
    <row r="61" spans="2:5" ht="17.25" customHeight="1">
      <c r="B61" s="47" t="s">
        <v>289</v>
      </c>
      <c r="C61" s="305">
        <v>25.9</v>
      </c>
      <c r="D61" s="4">
        <v>1.1499999999999999</v>
      </c>
      <c r="E61" s="184">
        <v>15.7</v>
      </c>
    </row>
    <row r="62" spans="2:5" ht="17.25" customHeight="1">
      <c r="B62" s="47" t="s">
        <v>290</v>
      </c>
      <c r="C62" s="305">
        <v>25.8</v>
      </c>
      <c r="D62" s="4">
        <v>0.9</v>
      </c>
      <c r="E62" s="184">
        <v>6.8</v>
      </c>
    </row>
    <row r="63" spans="2:5" ht="17.25" customHeight="1">
      <c r="B63" s="47" t="s">
        <v>291</v>
      </c>
      <c r="C63" s="305">
        <v>25.8</v>
      </c>
      <c r="D63" s="4">
        <v>1.2</v>
      </c>
      <c r="E63" s="184">
        <v>15.3</v>
      </c>
    </row>
    <row r="64" spans="2:5" ht="17.25" customHeight="1">
      <c r="B64" s="47" t="s">
        <v>292</v>
      </c>
      <c r="C64" s="305">
        <v>26</v>
      </c>
      <c r="D64" s="4">
        <v>1</v>
      </c>
      <c r="E64" s="184">
        <v>16.8</v>
      </c>
    </row>
    <row r="65" spans="2:5" ht="17.25" customHeight="1">
      <c r="B65" s="47" t="s">
        <v>293</v>
      </c>
      <c r="C65" s="305">
        <v>26</v>
      </c>
      <c r="D65" s="4">
        <v>1.04</v>
      </c>
      <c r="E65" s="184">
        <v>15.1</v>
      </c>
    </row>
    <row r="66" spans="2:5" ht="17.25" customHeight="1">
      <c r="B66" s="47" t="s">
        <v>294</v>
      </c>
      <c r="C66" s="305">
        <v>26.3</v>
      </c>
      <c r="D66" s="4">
        <v>1</v>
      </c>
      <c r="E66" s="184">
        <v>12.8</v>
      </c>
    </row>
    <row r="67" spans="2:5" ht="17.25" customHeight="1">
      <c r="B67" s="47" t="s">
        <v>295</v>
      </c>
      <c r="C67" s="305">
        <v>25</v>
      </c>
      <c r="D67" s="4">
        <v>0.98</v>
      </c>
      <c r="E67" s="184">
        <v>9.8000000000000007</v>
      </c>
    </row>
    <row r="68" spans="2:5" ht="17.25" customHeight="1">
      <c r="B68" s="47" t="s">
        <v>296</v>
      </c>
      <c r="C68" s="305">
        <v>25.1</v>
      </c>
      <c r="D68" s="4">
        <v>0.95</v>
      </c>
      <c r="E68" s="184">
        <v>14.4</v>
      </c>
    </row>
    <row r="69" spans="2:5" ht="17.25" customHeight="1">
      <c r="B69" s="47" t="s">
        <v>297</v>
      </c>
      <c r="C69" s="305">
        <v>25.5</v>
      </c>
      <c r="D69" s="4">
        <v>0.68</v>
      </c>
      <c r="E69" s="184">
        <v>5.7</v>
      </c>
    </row>
    <row r="70" spans="2:5" ht="17.25" customHeight="1">
      <c r="B70" s="47" t="s">
        <v>298</v>
      </c>
      <c r="C70" s="305">
        <v>26.3</v>
      </c>
      <c r="D70" s="4">
        <v>0.98</v>
      </c>
      <c r="E70" s="184">
        <v>12.3</v>
      </c>
    </row>
    <row r="71" spans="2:5" ht="17.25" customHeight="1">
      <c r="B71" s="47" t="s">
        <v>299</v>
      </c>
      <c r="C71" s="305">
        <v>26</v>
      </c>
      <c r="D71" s="4">
        <v>0.89</v>
      </c>
      <c r="E71" s="184">
        <v>13.9</v>
      </c>
    </row>
    <row r="72" spans="2:5" ht="17.25" customHeight="1">
      <c r="B72" s="47" t="s">
        <v>300</v>
      </c>
      <c r="C72" s="305">
        <v>25.83</v>
      </c>
      <c r="D72" s="4">
        <v>1.2</v>
      </c>
      <c r="E72" s="184">
        <v>8.9</v>
      </c>
    </row>
    <row r="73" spans="2:5" ht="17.25" customHeight="1">
      <c r="B73" s="47" t="s">
        <v>301</v>
      </c>
      <c r="C73" s="305">
        <v>25</v>
      </c>
      <c r="D73" s="4">
        <v>1.05</v>
      </c>
      <c r="E73" s="184">
        <v>16.399999999999999</v>
      </c>
    </row>
    <row r="74" spans="2:5" ht="17.25" customHeight="1">
      <c r="B74" s="47" t="s">
        <v>302</v>
      </c>
      <c r="C74" s="305">
        <v>26.1</v>
      </c>
      <c r="D74" s="4">
        <v>0.95</v>
      </c>
      <c r="E74" s="184">
        <v>7</v>
      </c>
    </row>
    <row r="75" spans="2:5" ht="17.25" customHeight="1">
      <c r="B75" s="47" t="s">
        <v>303</v>
      </c>
      <c r="C75" s="305">
        <v>25.2</v>
      </c>
      <c r="D75" s="4">
        <v>0.84</v>
      </c>
      <c r="E75" s="184">
        <v>7.4</v>
      </c>
    </row>
    <row r="76" spans="2:5" ht="17.25" customHeight="1">
      <c r="B76" s="47" t="s">
        <v>304</v>
      </c>
      <c r="C76" s="305">
        <v>23.52</v>
      </c>
      <c r="D76" s="4">
        <v>0.56999999999999995</v>
      </c>
      <c r="E76" s="184">
        <v>9.5</v>
      </c>
    </row>
    <row r="77" spans="2:5" ht="17.25" customHeight="1">
      <c r="B77" s="47" t="s">
        <v>305</v>
      </c>
      <c r="C77" s="305">
        <v>25.7</v>
      </c>
      <c r="D77" s="4">
        <v>0.72</v>
      </c>
      <c r="E77" s="184">
        <v>7.8</v>
      </c>
    </row>
    <row r="78" spans="2:5" ht="17.25" customHeight="1">
      <c r="B78" s="47" t="s">
        <v>306</v>
      </c>
      <c r="C78" s="305">
        <v>25.9</v>
      </c>
      <c r="D78" s="4">
        <v>1.2</v>
      </c>
      <c r="E78" s="184">
        <v>10.5</v>
      </c>
    </row>
    <row r="79" spans="2:5" ht="17.25" customHeight="1">
      <c r="B79" s="47" t="s">
        <v>307</v>
      </c>
      <c r="C79" s="305">
        <v>25.5</v>
      </c>
      <c r="D79" s="4">
        <v>0.95</v>
      </c>
      <c r="E79" s="184">
        <v>11</v>
      </c>
    </row>
    <row r="80" spans="2:5" ht="17.25" customHeight="1">
      <c r="B80" s="47" t="s">
        <v>308</v>
      </c>
      <c r="C80" s="305">
        <v>26</v>
      </c>
      <c r="D80" s="4">
        <v>0.86</v>
      </c>
      <c r="E80" s="184">
        <v>8.6</v>
      </c>
    </row>
    <row r="81" spans="2:5" ht="17.25" customHeight="1">
      <c r="B81" s="47" t="s">
        <v>309</v>
      </c>
      <c r="C81" s="305">
        <v>25.5</v>
      </c>
      <c r="D81" s="4">
        <v>1.0900000000000001</v>
      </c>
      <c r="E81" s="184">
        <v>11.6</v>
      </c>
    </row>
    <row r="82" spans="2:5" ht="17.25" customHeight="1">
      <c r="B82" s="47" t="s">
        <v>310</v>
      </c>
      <c r="C82" s="305">
        <v>26.1</v>
      </c>
      <c r="D82" s="4">
        <v>0.96</v>
      </c>
      <c r="E82" s="184">
        <v>11.1</v>
      </c>
    </row>
    <row r="83" spans="2:5" ht="17.25" customHeight="1">
      <c r="B83" s="47" t="s">
        <v>311</v>
      </c>
      <c r="C83" s="305">
        <v>24.99</v>
      </c>
      <c r="D83" s="4">
        <v>0.89</v>
      </c>
      <c r="E83" s="184">
        <v>7.9</v>
      </c>
    </row>
    <row r="84" spans="2:5" ht="17.25" customHeight="1">
      <c r="B84" s="47" t="s">
        <v>312</v>
      </c>
      <c r="C84" s="305">
        <v>26.3</v>
      </c>
      <c r="D84" s="4">
        <v>0.95</v>
      </c>
      <c r="E84" s="184">
        <v>9.8000000000000007</v>
      </c>
    </row>
    <row r="85" spans="2:5" ht="17.25" customHeight="1">
      <c r="B85" s="47" t="s">
        <v>313</v>
      </c>
      <c r="C85" s="305">
        <v>26</v>
      </c>
      <c r="D85" s="4">
        <v>1.1000000000000001</v>
      </c>
      <c r="E85" s="184">
        <v>8.3000000000000007</v>
      </c>
    </row>
    <row r="86" spans="2:5" ht="17.25" customHeight="1">
      <c r="B86" s="47" t="s">
        <v>314</v>
      </c>
      <c r="C86" s="305">
        <v>25.3</v>
      </c>
      <c r="D86" s="4">
        <v>1.2</v>
      </c>
      <c r="E86" s="184">
        <v>15.5</v>
      </c>
    </row>
    <row r="87" spans="2:5" ht="17.25" customHeight="1">
      <c r="B87" s="47" t="s">
        <v>315</v>
      </c>
      <c r="C87" s="305">
        <v>26.3</v>
      </c>
      <c r="D87" s="4">
        <v>1.02</v>
      </c>
      <c r="E87" s="184">
        <v>8.8000000000000007</v>
      </c>
    </row>
    <row r="88" spans="2:5" ht="17.25" customHeight="1">
      <c r="B88" s="47" t="s">
        <v>316</v>
      </c>
      <c r="C88" s="305">
        <v>25.9</v>
      </c>
      <c r="D88" s="4">
        <v>0.98</v>
      </c>
      <c r="E88" s="184">
        <v>14.2</v>
      </c>
    </row>
    <row r="89" spans="2:5" ht="17.25" customHeight="1">
      <c r="B89" s="47" t="s">
        <v>317</v>
      </c>
      <c r="C89" s="305">
        <v>25.7</v>
      </c>
      <c r="D89" s="4">
        <v>0.91</v>
      </c>
      <c r="E89" s="184">
        <v>13.5</v>
      </c>
    </row>
    <row r="90" spans="2:5" ht="17.25" customHeight="1">
      <c r="B90" s="47" t="s">
        <v>318</v>
      </c>
      <c r="C90" s="305">
        <v>25.5</v>
      </c>
      <c r="D90" s="4">
        <v>1.27</v>
      </c>
      <c r="E90" s="184">
        <v>11.2</v>
      </c>
    </row>
    <row r="91" spans="2:5" ht="17.25" customHeight="1">
      <c r="B91" s="47" t="s">
        <v>319</v>
      </c>
      <c r="C91" s="305">
        <v>25.3</v>
      </c>
      <c r="D91" s="4">
        <v>0.61</v>
      </c>
      <c r="E91" s="184">
        <v>6</v>
      </c>
    </row>
    <row r="92" spans="2:5" ht="17.25" customHeight="1">
      <c r="B92" s="47" t="s">
        <v>320</v>
      </c>
      <c r="C92" s="305">
        <v>24.1</v>
      </c>
      <c r="D92" s="4">
        <v>1.1599999999999999</v>
      </c>
      <c r="E92" s="184">
        <v>10.8</v>
      </c>
    </row>
    <row r="93" spans="2:5" ht="17.25" customHeight="1">
      <c r="B93" s="47" t="s">
        <v>321</v>
      </c>
      <c r="C93" s="305">
        <v>25.6</v>
      </c>
      <c r="D93" s="4">
        <v>0.8</v>
      </c>
      <c r="E93" s="184">
        <v>8.6</v>
      </c>
    </row>
    <row r="94" spans="2:5" ht="17.25" customHeight="1">
      <c r="B94" s="47" t="s">
        <v>322</v>
      </c>
      <c r="C94" s="305">
        <v>25.1</v>
      </c>
      <c r="D94" s="4">
        <v>0.95</v>
      </c>
      <c r="E94" s="184">
        <v>17.7</v>
      </c>
    </row>
    <row r="95" spans="2:5" ht="17.25" customHeight="1">
      <c r="B95" s="47" t="s">
        <v>323</v>
      </c>
      <c r="C95" s="305">
        <v>25.8</v>
      </c>
      <c r="D95" s="4">
        <v>1.06</v>
      </c>
      <c r="E95" s="184">
        <v>9</v>
      </c>
    </row>
    <row r="96" spans="2:5" ht="17.25" customHeight="1">
      <c r="B96" s="47" t="s">
        <v>324</v>
      </c>
      <c r="C96" s="305">
        <v>23.4</v>
      </c>
      <c r="D96" s="4">
        <v>0.89</v>
      </c>
      <c r="E96" s="184">
        <v>10.5</v>
      </c>
    </row>
    <row r="97" spans="2:5" ht="17.25" customHeight="1">
      <c r="B97" s="47" t="s">
        <v>325</v>
      </c>
      <c r="C97" s="305">
        <v>26.3</v>
      </c>
      <c r="D97" s="4">
        <v>1.18</v>
      </c>
      <c r="E97" s="184">
        <v>9.3000000000000007</v>
      </c>
    </row>
    <row r="98" spans="2:5" ht="17.25" customHeight="1">
      <c r="B98" s="47" t="s">
        <v>326</v>
      </c>
      <c r="C98" s="305">
        <v>25.5</v>
      </c>
      <c r="D98" s="4">
        <v>0.93</v>
      </c>
      <c r="E98" s="184">
        <v>11.5</v>
      </c>
    </row>
    <row r="99" spans="2:5" ht="17.25" customHeight="1">
      <c r="B99" s="47" t="s">
        <v>327</v>
      </c>
      <c r="C99" s="305">
        <v>26.3</v>
      </c>
      <c r="D99" s="4">
        <v>1.02</v>
      </c>
      <c r="E99" s="184">
        <v>13.5</v>
      </c>
    </row>
    <row r="100" spans="2:5" ht="17.25" customHeight="1">
      <c r="B100" s="47" t="s">
        <v>328</v>
      </c>
      <c r="C100" s="305">
        <v>26.1</v>
      </c>
      <c r="D100" s="4">
        <v>1.05</v>
      </c>
      <c r="E100" s="184">
        <v>11.1</v>
      </c>
    </row>
    <row r="101" spans="2:5" ht="17.25" customHeight="1">
      <c r="B101" s="47" t="s">
        <v>329</v>
      </c>
      <c r="C101" s="305">
        <v>25.6</v>
      </c>
      <c r="D101" s="4">
        <v>0.95</v>
      </c>
      <c r="E101" s="184">
        <v>7.8</v>
      </c>
    </row>
    <row r="102" spans="2:5" ht="17.25" customHeight="1">
      <c r="B102" s="47" t="s">
        <v>330</v>
      </c>
      <c r="C102" s="305">
        <v>25.6</v>
      </c>
      <c r="D102" s="4">
        <v>0.98</v>
      </c>
      <c r="E102" s="184">
        <v>7.4</v>
      </c>
    </row>
    <row r="103" spans="2:5" ht="17.25" customHeight="1">
      <c r="B103" s="63" t="s">
        <v>27</v>
      </c>
      <c r="C103" s="305">
        <v>24.52</v>
      </c>
      <c r="D103" s="197">
        <v>0.74</v>
      </c>
      <c r="E103" s="198">
        <v>6</v>
      </c>
    </row>
  </sheetData>
  <mergeCells count="1">
    <mergeCell ref="B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2150DA7EBAE146A0008195A4976989" ma:contentTypeVersion="22" ma:contentTypeDescription="Opret et nyt dokument." ma:contentTypeScope="" ma:versionID="bb49a8d41e2132d2fd9bf186ff06d321">
  <xsd:schema xmlns:xsd="http://www.w3.org/2001/XMLSchema" xmlns:xs="http://www.w3.org/2001/XMLSchema" xmlns:p="http://schemas.microsoft.com/office/2006/metadata/properties" xmlns:ns1="http://schemas.microsoft.com/sharepoint/v3" xmlns:ns2="0ff1153b-be98-465d-a7ff-36bc3c69af6c" xmlns:ns3="c7e2ecf6-e361-4159-9367-86aa4c26842f" xmlns:ns4="c3c11eb6-de36-4131-bab2-6a22847efc48" targetNamespace="http://schemas.microsoft.com/office/2006/metadata/properties" ma:root="true" ma:fieldsID="17e0d2fe9dcd414a9c9b93b92d334190" ns1:_="" ns2:_="" ns3:_="" ns4:_="">
    <xsd:import namespace="http://schemas.microsoft.com/sharepoint/v3"/>
    <xsd:import namespace="0ff1153b-be98-465d-a7ff-36bc3c69af6c"/>
    <xsd:import namespace="c7e2ecf6-e361-4159-9367-86aa4c26842f"/>
    <xsd:import namespace="c3c11eb6-de36-4131-bab2-6a22847efc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Flow" minOccurs="0"/>
                <xsd:element ref="ns3:Subjekt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Egenskaber for Unified Compliance Policy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Handling for Unified Compliance Policy-grænseflad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1153b-be98-465d-a7ff-36bc3c69af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2ecf6-e361-4159-9367-86aa4c26842f" elementFormDefault="qualified">
    <xsd:import namespace="http://schemas.microsoft.com/office/2006/documentManagement/types"/>
    <xsd:import namespace="http://schemas.microsoft.com/office/infopath/2007/PartnerControls"/>
    <xsd:element name="Flow" ma:index="10" nillable="true" ma:displayName="Flow" ma:internalName="Flow">
      <xsd:simpleType>
        <xsd:restriction base="dms:Text"/>
      </xsd:simpleType>
    </xsd:element>
    <xsd:element name="Subjekt" ma:index="11" nillable="true" ma:displayName="Subjekt" ma:internalName="Subjekt">
      <xsd:simpleType>
        <xsd:restriction base="dms:Text"/>
      </xsd:simpleType>
    </xsd:element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Billedmærker" ma:readOnly="false" ma:fieldId="{5cf76f15-5ced-4ddc-b409-7134ff3c332f}" ma:taxonomyMulti="true" ma:sspId="3273e385-a8b0-4d51-8803-6e97695c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11eb6-de36-4131-bab2-6a22847efc4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ksonomiopsamlingskolonne" ma:hidden="true" ma:list="{a1a370a8-317b-4539-b185-7c03a802e66e}" ma:internalName="TaxCatchAll" ma:showField="CatchAllData" ma:web="c3c11eb6-de36-4131-bab2-6a22847efc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c11eb6-de36-4131-bab2-6a22847efc48" xsi:nil="true"/>
    <_ip_UnifiedCompliancePolicyProperties xmlns="http://schemas.microsoft.com/sharepoint/v3" xsi:nil="true"/>
    <lcf76f155ced4ddcb4097134ff3c332f xmlns="c7e2ecf6-e361-4159-9367-86aa4c26842f">
      <Terms xmlns="http://schemas.microsoft.com/office/infopath/2007/PartnerControls"/>
    </lcf76f155ced4ddcb4097134ff3c332f>
    <Flow xmlns="c7e2ecf6-e361-4159-9367-86aa4c26842f" xsi:nil="true"/>
    <Subjekt xmlns="c7e2ecf6-e361-4159-9367-86aa4c26842f" xsi:nil="true"/>
  </documentManagement>
</p:properties>
</file>

<file path=customXml/itemProps1.xml><?xml version="1.0" encoding="utf-8"?>
<ds:datastoreItem xmlns:ds="http://schemas.openxmlformats.org/officeDocument/2006/customXml" ds:itemID="{799513F7-5378-4EB7-BD75-8F7669C58F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BF89F7-23BB-4978-A4C3-A2DAAD655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f1153b-be98-465d-a7ff-36bc3c69af6c"/>
    <ds:schemaRef ds:uri="c7e2ecf6-e361-4159-9367-86aa4c26842f"/>
    <ds:schemaRef ds:uri="c3c11eb6-de36-4131-bab2-6a22847efc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2BABA0-8DB3-47E0-9691-5AF6032AF29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3c11eb6-de36-4131-bab2-6a22847efc48"/>
    <ds:schemaRef ds:uri="c7e2ecf6-e361-4159-9367-86aa4c2684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43</vt:i4>
      </vt:variant>
    </vt:vector>
  </HeadingPairs>
  <TitlesOfParts>
    <vt:vector size="47" baseType="lpstr">
      <vt:lpstr>Ægtepar</vt:lpstr>
      <vt:lpstr>1 - budget før barn</vt:lpstr>
      <vt:lpstr>2- nu med barn</vt:lpstr>
      <vt:lpstr>Skattesatser</vt:lpstr>
      <vt:lpstr>ArbBidrag</vt:lpstr>
      <vt:lpstr>BeFradragHojSats</vt:lpstr>
      <vt:lpstr>BeFradragKmMax</vt:lpstr>
      <vt:lpstr>BeFradragKmMin</vt:lpstr>
      <vt:lpstr>BeFradragLavSats</vt:lpstr>
      <vt:lpstr>BFradragMax</vt:lpstr>
      <vt:lpstr>BFradragProc</vt:lpstr>
      <vt:lpstr>Bundskat</vt:lpstr>
      <vt:lpstr>EjVSkatGranse</vt:lpstr>
      <vt:lpstr>EjVSkatMax</vt:lpstr>
      <vt:lpstr>EjVSkatMin</vt:lpstr>
      <vt:lpstr>EPENfradragMax</vt:lpstr>
      <vt:lpstr>EPENfradragProc</vt:lpstr>
      <vt:lpstr>EPENSeniorMax</vt:lpstr>
      <vt:lpstr>EPENSeniorProc</vt:lpstr>
      <vt:lpstr>FagforeningMax</vt:lpstr>
      <vt:lpstr>FirmabilGranse</vt:lpstr>
      <vt:lpstr>FirmabilHoj</vt:lpstr>
      <vt:lpstr>FirmabilLav</vt:lpstr>
      <vt:lpstr>Forsigtighed</vt:lpstr>
      <vt:lpstr>FriTelefon</vt:lpstr>
      <vt:lpstr>GranseForhBFdrag</vt:lpstr>
      <vt:lpstr>GranseNegKIEnlig</vt:lpstr>
      <vt:lpstr>GranseNegKIPar</vt:lpstr>
      <vt:lpstr>GronCheck</vt:lpstr>
      <vt:lpstr>GronSkatMax</vt:lpstr>
      <vt:lpstr>GronSkatMin</vt:lpstr>
      <vt:lpstr>GronSkatMod</vt:lpstr>
      <vt:lpstr>Jfradraggranse</vt:lpstr>
      <vt:lpstr>JfradragMax</vt:lpstr>
      <vt:lpstr>Jfradragproc</vt:lpstr>
      <vt:lpstr>KItilTopskatEnlig</vt:lpstr>
      <vt:lpstr>KItilTopskatPar</vt:lpstr>
      <vt:lpstr>Personfradrag</vt:lpstr>
      <vt:lpstr>'1 - budget før barn'!Print_Area</vt:lpstr>
      <vt:lpstr>'2- nu med barn'!Print_Area</vt:lpstr>
      <vt:lpstr>RatepensionMax</vt:lpstr>
      <vt:lpstr>SkraatSkatteloftKI</vt:lpstr>
      <vt:lpstr>SkraatSkatteloftPI</vt:lpstr>
      <vt:lpstr>Sundhedsbidrag</vt:lpstr>
      <vt:lpstr>TillagNegKI</vt:lpstr>
      <vt:lpstr>Topskat</vt:lpstr>
      <vt:lpstr>TopSkatGranse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Engstrøm (ENG - Adjunkt - Cphbusiness)</dc:creator>
  <cp:keywords/>
  <dc:description/>
  <cp:lastModifiedBy>Thomas Petersen</cp:lastModifiedBy>
  <cp:revision/>
  <dcterms:created xsi:type="dcterms:W3CDTF">2024-01-17T10:43:57Z</dcterms:created>
  <dcterms:modified xsi:type="dcterms:W3CDTF">2025-02-05T10:15:25Z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0x010100A42150DA7EBAE146A0008195A4976989</vt:lpwstr>
  </property>
  <property fmtid="{D5CDD505-2E9C-101B-9397-08002B2CF9AE}" pid="3" name="MediaServiceImageTags">
    <vt:lpwstr/>
  </property>
</Properties>
</file>