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Synkroniseret fra skatteberegner</t>
      </text>
    </comment>
    <comment ref="A8" authorId="0">
      <text>
        <t>Synkroniseret fra skatteberegner</t>
      </text>
    </comment>
    <comment ref="A9" authorId="0">
      <text>
        <t>Renteindtægter og udbytte fra investeringer, bankindlån eller obligationer.</t>
      </text>
    </comment>
    <comment ref="A10" authorId="0">
      <text>
        <t>Månedlig børne- og ungeydelse fra staten baseret på antal børn og deres alder.</t>
      </text>
    </comment>
    <comment ref="A11" authorId="0">
      <text>
        <t>Månedligt børnebidrag modtaget fra eks-partner eller anden part.</t>
      </text>
    </comment>
    <comment ref="A12" authorId="0">
      <text>
        <t>Ekstra tilskud eller støtte til børn, f.eks. børnetilskud eller lignende ydelser.</t>
      </text>
    </comment>
    <comment ref="A16" authorId="0">
      <text>
        <t>Månedlig husleje for lejebolig. Hvis du ejer boligen, skal du ikke udfylde dette felt.</t>
      </text>
    </comment>
    <comment ref="A17" authorId="0">
      <text>
        <t>Månedlig ydelse på banklån efter skat. Dette er nettoudgiften på lånet efter skattefradrag.</t>
      </text>
    </comment>
    <comment ref="A18" authorId="0">
      <text>
        <t>Månedlige omkostninger til renovation og affaldshåndtering.</t>
      </text>
    </comment>
    <comment ref="A19" authorId="0">
      <text>
        <t>Månedlige omkostninger til opvarmning af boligen (fjernvarme, gas, olie, elvarme).</t>
      </text>
    </comment>
    <comment ref="A20" authorId="0">
      <text>
        <t>Månedlige elregninger til belysning, husholdningsapparater og andet elforbrug.</t>
      </text>
    </comment>
    <comment ref="A21" authorId="0">
      <text>
        <t>Månedlige vandregninger og eventuelle spildevandsgebyrer.</t>
      </text>
    </comment>
    <comment ref="A22" authorId="0">
      <text>
        <t>Årlige ejendomsskatter (ejendomsværdiskat og grundskyld). Deles typisk over 12 måneder.</t>
      </text>
    </comment>
    <comment ref="A23" authorId="0">
      <text>
        <t>Månedlige fællesudgifter i ejerforening eller andelsboligforening (vedligeholdelse, administration, osv.).</t>
      </text>
    </comment>
    <comment ref="A24" authorId="0">
      <text>
        <t>Månedligt kontingent til grundejerforening eller ejerforening.</t>
      </text>
    </comment>
    <comment ref="A25" authorId="0">
      <text>
        <t>Månedlige omkostninger til vedligeholdelse og reparationer af boligen.</t>
      </text>
    </comment>
    <comment ref="A26" authorId="0">
      <text>
        <t>Månedlige forsikringspræmier for boligforsikring (indboforsikring, ejerskifteforsikring, osv.).</t>
      </text>
    </comment>
    <comment ref="A27" authorId="0">
      <text>
        <t>Andre boligrelaterede udgifter, der ikke er dækket af de andre kategorier.</t>
      </text>
    </comment>
    <comment ref="A29" authorId="0">
      <text>
        <t>Månedlige forsikringspræmier for bilforsikring (ansvarsforsikring, kaskoforsikring, osv.).</t>
      </text>
    </comment>
    <comment ref="A30" authorId="0">
      <text>
        <t>Månedlig vægtafgift til bilen. Dette er en skat baseret på bilens vægt.</t>
      </text>
    </comment>
    <comment ref="A31" authorId="0">
      <text>
        <t>Månedlige omkostninger til brændstof (benzin, diesel, el til elbil).</t>
      </text>
    </comment>
    <comment ref="A32" authorId="0">
      <text>
        <t>Månedligt kontingent til FDM (Forenede Danske Motorejere) eller lignende bilorganisationer.</t>
      </text>
    </comment>
    <comment ref="A33" authorId="0">
      <text>
        <t>Månedlig ydelse på billån eller leasingaftale.</t>
      </text>
    </comment>
    <comment ref="A34" authorId="0">
      <text>
        <t>Månedlige omkostninger til vedligeholdelse, reparationer og service af bilen.</t>
      </text>
    </comment>
    <comment ref="A36" authorId="0">
      <text>
        <t>Månedlige omkostninger til offentlig transport (bus, tog, metro, osv.).</t>
      </text>
    </comment>
    <comment ref="A37" authorId="0">
      <text>
        <t>Andre transportrelaterede udgifter, der ikke er dækket af de andre kategorier.</t>
      </text>
    </comment>
    <comment ref="A39" authorId="0">
      <text>
        <t>Månedlige omkostninger til fastnettelefon (landline).</t>
      </text>
    </comment>
    <comment ref="A40" authorId="0">
      <text>
        <t>Månedlige omkostninger til mobiltelefon og mobilabonnement.</t>
      </text>
    </comment>
    <comment ref="A41" authorId="0">
      <text>
        <t>Månedlige omkostninger til internetforbindelse (bredbånd, fiber, osv.).</t>
      </text>
    </comment>
    <comment ref="A42" authorId="0">
      <text>
        <t>Månedlige omkostninger til kabel-TV, streamingtjenester eller hybridnet.</t>
      </text>
    </comment>
    <comment ref="A43" authorId="0">
      <text>
        <t>Andre kommunikations- og TV-relaterede udgifter.</t>
      </text>
    </comment>
    <comment ref="A45" authorId="0">
      <text>
        <t>Månedligt kontingent til A-kasse (arbejdsløshedsforsikring).</t>
      </text>
    </comment>
    <comment ref="A46" authorId="0">
      <text>
        <t>Person 2's månedlige kontingent til A-kasse (arbejdsløshedsforsikring).</t>
      </text>
    </comment>
    <comment ref="A47" authorId="0">
      <text>
        <t>Månedligt kontingent til fagforening.</t>
      </text>
    </comment>
    <comment ref="A48" authorId="0">
      <text>
        <t>Person 2's månedlige kontingent til fagforening.</t>
      </text>
    </comment>
    <comment ref="A49" authorId="0">
      <text>
        <t>Månedlige præmier for familieforsikring (livsforsikring, invaliditetsforsikring, osv.).</t>
      </text>
    </comment>
    <comment ref="A50" authorId="0">
      <text>
        <t>Månedlige præmier for ulykkesforsikring.</t>
      </text>
    </comment>
    <comment ref="A51" authorId="0">
      <text>
        <t>Månedligt kontingent til Sygeforsikring Danmark eller lignende sundhedsforsikringer.</t>
      </text>
    </comment>
    <comment ref="A52" authorId="0">
      <text>
        <t>Månedlige omkostninger til receptpligtig medicin og lægemidler.</t>
      </text>
    </comment>
    <comment ref="A53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23500</v>
      </c>
      <c r="C7" s="1">
        <v>23500</v>
      </c>
      <c r="D7" s="1">
        <v>23500</v>
      </c>
      <c r="E7" s="1">
        <v>23500</v>
      </c>
      <c r="F7" s="1">
        <v>23500</v>
      </c>
      <c r="G7" s="1">
        <v>23500</v>
      </c>
      <c r="H7" s="1">
        <v>23500</v>
      </c>
      <c r="I7" s="1">
        <v>23500</v>
      </c>
      <c r="J7" s="1">
        <v>23500</v>
      </c>
      <c r="K7" s="1">
        <v>23500</v>
      </c>
      <c r="L7" s="1">
        <v>23500</v>
      </c>
      <c r="M7" s="1">
        <v>23500</v>
      </c>
      <c r="N7" s="1">
        <f>=SUM(B7:M7)</f>
      </c>
    </row>
    <row r="8">
      <c r="A8" t="str">
        <v>Løn, efter skat (Person 2)</v>
      </c>
      <c r="B8" s="1">
        <v>5800</v>
      </c>
      <c r="C8" s="1">
        <v>5800</v>
      </c>
      <c r="D8" s="1">
        <v>5800</v>
      </c>
      <c r="E8" s="1">
        <v>5800</v>
      </c>
      <c r="F8" s="1">
        <v>5800</v>
      </c>
      <c r="G8" s="1">
        <v>5800</v>
      </c>
      <c r="H8" s="1">
        <v>5800</v>
      </c>
      <c r="I8" s="1">
        <v>5800</v>
      </c>
      <c r="J8" s="1">
        <v>5800</v>
      </c>
      <c r="K8" s="1">
        <v>5800</v>
      </c>
      <c r="L8" s="1">
        <v>5800</v>
      </c>
      <c r="M8" s="1">
        <v>5800</v>
      </c>
      <c r="N8" s="1">
        <f>=SUM(B8:M8)</f>
      </c>
    </row>
    <row r="9">
      <c r="A9" t="str">
        <v>Renter/udbytte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Børne- og ungeydelse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Børnebidrag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Børnetilskud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s="1">
        <f>=SUM(B12:M12)</f>
      </c>
    </row>
    <row r="13">
      <c r="A13" t="str">
        <v>Indtægter i alt</v>
      </c>
      <c r="B13" s="1">
        <f>=SUM(B7,B8,B9,B10,B11,B12)</f>
      </c>
      <c r="C13" s="1">
        <f>=SUM(C7,C8,C9,C10,C11,C12)</f>
      </c>
      <c r="D13" s="1">
        <f>=SUM(D7,D8,D9,D10,D11,D12)</f>
      </c>
      <c r="E13" s="1">
        <f>=SUM(E7,E8,E9,E10,E11,E12)</f>
      </c>
      <c r="F13" s="1">
        <f>=SUM(F7,F8,F9,F10,F11,F12)</f>
      </c>
      <c r="G13" s="1">
        <f>=SUM(G7,G8,G9,G10,G11,G12)</f>
      </c>
      <c r="H13" s="1">
        <f>=SUM(H7,H8,H9,H10,H11,H12)</f>
      </c>
      <c r="I13" s="1">
        <f>=SUM(I7,I8,I9,I10,I11,I12)</f>
      </c>
      <c r="J13" s="1">
        <f>=SUM(J7,J8,J9,J10,J11,J12)</f>
      </c>
      <c r="K13" s="1">
        <f>=SUM(K7,K8,K9,K10,K11,K12)</f>
      </c>
      <c r="L13" s="1">
        <f>=SUM(L7,L8,L9,L10,L11,L12)</f>
      </c>
      <c r="M13" s="1">
        <f>=SUM(M7,M8,M9,M10,M11,M12)</f>
      </c>
      <c r="N13" s="1">
        <f>=SUM(B13:M13)</f>
      </c>
    </row>
    <row r="14">
      <c r="A14" t="str">
        <v>UDGIFTER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Bolig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Husleje</v>
      </c>
      <c r="B16" s="1">
        <v>8500</v>
      </c>
      <c r="C16" s="1">
        <v>8500</v>
      </c>
      <c r="D16" s="1">
        <v>8500</v>
      </c>
      <c r="E16" s="1">
        <v>8500</v>
      </c>
      <c r="F16" s="1">
        <v>8500</v>
      </c>
      <c r="G16" s="1">
        <v>8500</v>
      </c>
      <c r="H16" s="1">
        <v>8500</v>
      </c>
      <c r="I16" s="1">
        <v>8500</v>
      </c>
      <c r="J16" s="1">
        <v>8500</v>
      </c>
      <c r="K16" s="1">
        <v>8500</v>
      </c>
      <c r="L16" s="1">
        <v>8500</v>
      </c>
      <c r="M16" s="1">
        <v>8500</v>
      </c>
      <c r="N16" s="1">
        <f>=SUM(B16:M16)</f>
      </c>
    </row>
    <row r="17">
      <c r="A17" t="str">
        <v>Banklån, ydelse efter skat</v>
      </c>
      <c r="B17" s="1">
        <v>2000</v>
      </c>
      <c r="C17" s="1">
        <v>2000</v>
      </c>
      <c r="D17" s="1">
        <v>2000</v>
      </c>
      <c r="E17" s="1">
        <v>2000</v>
      </c>
      <c r="F17" s="1">
        <v>2000</v>
      </c>
      <c r="G17" s="1">
        <v>2000</v>
      </c>
      <c r="H17" s="1">
        <v>2000</v>
      </c>
      <c r="I17" s="1">
        <v>2000</v>
      </c>
      <c r="J17" s="1">
        <v>2000</v>
      </c>
      <c r="K17" s="1">
        <v>2000</v>
      </c>
      <c r="L17" s="1">
        <v>2000</v>
      </c>
      <c r="M17" s="1">
        <v>2000</v>
      </c>
      <c r="N17" s="1">
        <f>=SUM(B17:M17)</f>
      </c>
    </row>
    <row r="18">
      <c r="A18" t="str">
        <v>Renovation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s="1">
        <f>=SUM(B18:M18)</f>
      </c>
    </row>
    <row r="19">
      <c r="A19" t="str">
        <v>Varme</v>
      </c>
      <c r="B19" s="1">
        <v>1000</v>
      </c>
      <c r="C19" s="1">
        <v>1000</v>
      </c>
      <c r="D19" s="1">
        <v>1000</v>
      </c>
      <c r="E19" s="1">
        <v>1000</v>
      </c>
      <c r="F19" s="1">
        <v>1000</v>
      </c>
      <c r="G19" s="1">
        <v>1000</v>
      </c>
      <c r="H19" s="1">
        <v>1000</v>
      </c>
      <c r="I19" s="1">
        <v>1000</v>
      </c>
      <c r="J19" s="1">
        <v>1000</v>
      </c>
      <c r="K19" s="1">
        <v>1000</v>
      </c>
      <c r="L19" s="1">
        <v>1000</v>
      </c>
      <c r="M19" s="1">
        <v>1000</v>
      </c>
      <c r="N19" s="1">
        <f>=SUM(B19:M19)</f>
      </c>
    </row>
    <row r="20">
      <c r="A20" t="str">
        <v>Elektricitet</v>
      </c>
      <c r="B20" s="1">
        <v>450</v>
      </c>
      <c r="C20" s="1">
        <v>450</v>
      </c>
      <c r="D20" s="1">
        <v>450</v>
      </c>
      <c r="E20" s="1">
        <v>450</v>
      </c>
      <c r="F20" s="1">
        <v>450</v>
      </c>
      <c r="G20" s="1">
        <v>450</v>
      </c>
      <c r="H20" s="1">
        <v>450</v>
      </c>
      <c r="I20" s="1">
        <v>450</v>
      </c>
      <c r="J20" s="1">
        <v>450</v>
      </c>
      <c r="K20" s="1">
        <v>450</v>
      </c>
      <c r="L20" s="1">
        <v>450</v>
      </c>
      <c r="M20" s="1">
        <v>450</v>
      </c>
      <c r="N20" s="1">
        <f>=SUM(B20:M20)</f>
      </c>
    </row>
    <row r="21">
      <c r="A21" t="str">
        <v>Vand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Ejendomsskatter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Fællesudgifter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Grundejerforening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Vedligeholdelse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Hus forsikring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Diverse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s="1">
        <f>=SUM(B27:M27)</f>
      </c>
    </row>
    <row r="28">
      <c r="A28" t="str">
        <v>Bolig i alt</v>
      </c>
      <c r="B28" s="1">
        <f>=SUM(B16:B27)</f>
      </c>
      <c r="C28" s="1">
        <f>=SUM(C16:C27)</f>
      </c>
      <c r="D28" s="1">
        <f>=SUM(D16:D27)</f>
      </c>
      <c r="E28" s="1">
        <f>=SUM(E16:E27)</f>
      </c>
      <c r="F28" s="1">
        <f>=SUM(F16:F27)</f>
      </c>
      <c r="G28" s="1">
        <f>=SUM(G16:G27)</f>
      </c>
      <c r="H28" s="1">
        <f>=SUM(H16:H27)</f>
      </c>
      <c r="I28" s="1">
        <f>=SUM(I16:I27)</f>
      </c>
      <c r="J28" s="1">
        <f>=SUM(J16:J27)</f>
      </c>
      <c r="K28" s="1">
        <f>=SUM(K16:K27)</f>
      </c>
      <c r="L28" s="1">
        <f>=SUM(L16:L27)</f>
      </c>
      <c r="M28" s="1">
        <f>=SUM(M16:M27)</f>
      </c>
      <c r="N28" s="1">
        <f>=SUM(B28:M28)</f>
      </c>
    </row>
    <row r="29">
      <c r="A29" t="str">
        <v>Forsikring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s="1">
        <f>=SUM(B29:M29)</f>
      </c>
    </row>
    <row r="30">
      <c r="A30" t="str">
        <v>Vægtafgift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s="1">
        <f>=SUM(B30:M30)</f>
      </c>
    </row>
    <row r="31">
      <c r="A31" t="str">
        <v>Benzin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s="1">
        <f>=SUM(B31:M31)</f>
      </c>
    </row>
    <row r="32">
      <c r="A32" t="str">
        <v>FDM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s="1">
        <f>=SUM(B32:M32)</f>
      </c>
    </row>
    <row r="33">
      <c r="A33" t="str">
        <v>Billån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s="1">
        <f>=SUM(B33:M33)</f>
      </c>
    </row>
    <row r="34">
      <c r="A34" t="str">
        <v>Vedligehold/reparation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s="1">
        <f>=SUM(B34:M34)</f>
      </c>
    </row>
    <row r="35">
      <c r="A35" t="str">
        <v>Biludgifter i alt</v>
      </c>
      <c r="B35" s="1">
        <f>=SUM(B29:B34)</f>
      </c>
      <c r="C35" s="1">
        <f>=SUM(C29:C34)</f>
      </c>
      <c r="D35" s="1">
        <f>=SUM(D29:D34)</f>
      </c>
      <c r="E35" s="1">
        <f>=SUM(E29:E34)</f>
      </c>
      <c r="F35" s="1">
        <f>=SUM(F29:F34)</f>
      </c>
      <c r="G35" s="1">
        <f>=SUM(G29:G34)</f>
      </c>
      <c r="H35" s="1">
        <f>=SUM(H29:H34)</f>
      </c>
      <c r="I35" s="1">
        <f>=SUM(I29:I34)</f>
      </c>
      <c r="J35" s="1">
        <f>=SUM(J29:J34)</f>
      </c>
      <c r="K35" s="1">
        <f>=SUM(K29:K34)</f>
      </c>
      <c r="L35" s="1">
        <f>=SUM(L29:L34)</f>
      </c>
      <c r="M35" s="1">
        <f>=SUM(M29:M34)</f>
      </c>
      <c r="N35" s="1">
        <f>=SUM(B35:M35)</f>
      </c>
    </row>
    <row r="36">
      <c r="A36" t="str">
        <v>Offentlig transport</v>
      </c>
      <c r="B36" s="1">
        <v>600</v>
      </c>
      <c r="C36" s="1">
        <v>600</v>
      </c>
      <c r="D36" s="1">
        <v>600</v>
      </c>
      <c r="E36" s="1">
        <v>600</v>
      </c>
      <c r="F36" s="1">
        <v>600</v>
      </c>
      <c r="G36" s="1">
        <v>600</v>
      </c>
      <c r="H36" s="1">
        <v>600</v>
      </c>
      <c r="I36" s="1">
        <v>600</v>
      </c>
      <c r="J36" s="1">
        <v>600</v>
      </c>
      <c r="K36" s="1">
        <v>600</v>
      </c>
      <c r="L36" s="1">
        <v>600</v>
      </c>
      <c r="M36" s="1">
        <v>600</v>
      </c>
      <c r="N36" s="1">
        <f>=SUM(B36:M36)</f>
      </c>
    </row>
    <row r="37">
      <c r="A37" t="str">
        <v>Diverse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s="1">
        <f>=SUM(B37:M37)</f>
      </c>
    </row>
    <row r="38">
      <c r="A38" t="str">
        <v>Transport i alt</v>
      </c>
      <c r="B38" s="1">
        <f>=SUM(B36:B37)</f>
      </c>
      <c r="C38" s="1">
        <f>=SUM(C36:C37)</f>
      </c>
      <c r="D38" s="1">
        <f>=SUM(D36:D37)</f>
      </c>
      <c r="E38" s="1">
        <f>=SUM(E36:E37)</f>
      </c>
      <c r="F38" s="1">
        <f>=SUM(F36:F37)</f>
      </c>
      <c r="G38" s="1">
        <f>=SUM(G36:G37)</f>
      </c>
      <c r="H38" s="1">
        <f>=SUM(H36:H37)</f>
      </c>
      <c r="I38" s="1">
        <f>=SUM(I36:I37)</f>
      </c>
      <c r="J38" s="1">
        <f>=SUM(J36:J37)</f>
      </c>
      <c r="K38" s="1">
        <f>=SUM(K36:K37)</f>
      </c>
      <c r="L38" s="1">
        <f>=SUM(L36:L37)</f>
      </c>
      <c r="M38" s="1">
        <f>=SUM(M36:M37)</f>
      </c>
      <c r="N38" s="1">
        <f>=SUM(B38:M38)</f>
      </c>
    </row>
    <row r="39">
      <c r="A39" t="str">
        <v>Fastnettelefon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s="1">
        <f>=SUM(B39:M39)</f>
      </c>
    </row>
    <row r="40">
      <c r="A40" t="str">
        <v>Mobiltelefon</v>
      </c>
      <c r="B40" s="1">
        <v>300</v>
      </c>
      <c r="C40" s="1">
        <v>300</v>
      </c>
      <c r="D40" s="1">
        <v>300</v>
      </c>
      <c r="E40" s="1">
        <v>300</v>
      </c>
      <c r="F40" s="1">
        <v>300</v>
      </c>
      <c r="G40" s="1">
        <v>300</v>
      </c>
      <c r="H40" s="1">
        <v>300</v>
      </c>
      <c r="I40" s="1">
        <v>300</v>
      </c>
      <c r="J40" s="1">
        <v>300</v>
      </c>
      <c r="K40" s="1">
        <v>300</v>
      </c>
      <c r="L40" s="1">
        <v>300</v>
      </c>
      <c r="M40" s="1">
        <v>300</v>
      </c>
      <c r="N40" s="1">
        <f>=SUM(B40:M40)</f>
      </c>
    </row>
    <row r="41">
      <c r="A41" t="str">
        <v>Internet</v>
      </c>
      <c r="B41" s="1">
        <v>250</v>
      </c>
      <c r="C41" s="1">
        <v>250</v>
      </c>
      <c r="D41" s="1">
        <v>250</v>
      </c>
      <c r="E41" s="1">
        <v>250</v>
      </c>
      <c r="F41" s="1">
        <v>250</v>
      </c>
      <c r="G41" s="1">
        <v>250</v>
      </c>
      <c r="H41" s="1">
        <v>250</v>
      </c>
      <c r="I41" s="1">
        <v>250</v>
      </c>
      <c r="J41" s="1">
        <v>250</v>
      </c>
      <c r="K41" s="1">
        <v>250</v>
      </c>
      <c r="L41" s="1">
        <v>250</v>
      </c>
      <c r="M41" s="1">
        <v>250</v>
      </c>
      <c r="N41" s="1">
        <f>=SUM(B41:M41)</f>
      </c>
    </row>
    <row r="42">
      <c r="A42" t="str">
        <v>Hybridnet/kabel-TV</v>
      </c>
      <c r="B42" s="1">
        <v>300</v>
      </c>
      <c r="C42" s="1">
        <v>300</v>
      </c>
      <c r="D42" s="1">
        <v>300</v>
      </c>
      <c r="E42" s="1">
        <v>300</v>
      </c>
      <c r="F42" s="1">
        <v>300</v>
      </c>
      <c r="G42" s="1">
        <v>300</v>
      </c>
      <c r="H42" s="1">
        <v>300</v>
      </c>
      <c r="I42" s="1">
        <v>300</v>
      </c>
      <c r="J42" s="1">
        <v>300</v>
      </c>
      <c r="K42" s="1">
        <v>300</v>
      </c>
      <c r="L42" s="1">
        <v>300</v>
      </c>
      <c r="M42" s="1">
        <v>300</v>
      </c>
      <c r="N42" s="1">
        <f>=SUM(B42:M42)</f>
      </c>
    </row>
    <row r="43">
      <c r="A43" t="str">
        <v>Diverse</v>
      </c>
      <c r="B43" s="1">
        <v>400</v>
      </c>
      <c r="C43" s="1">
        <v>400</v>
      </c>
      <c r="D43" s="1">
        <v>400</v>
      </c>
      <c r="E43" s="1">
        <v>400</v>
      </c>
      <c r="F43" s="1">
        <v>400</v>
      </c>
      <c r="G43" s="1">
        <v>400</v>
      </c>
      <c r="H43" s="1">
        <v>400</v>
      </c>
      <c r="I43" s="1">
        <v>400</v>
      </c>
      <c r="J43" s="1">
        <v>400</v>
      </c>
      <c r="K43" s="1">
        <v>400</v>
      </c>
      <c r="L43" s="1">
        <v>400</v>
      </c>
      <c r="M43" s="1">
        <v>400</v>
      </c>
      <c r="N43" s="1">
        <f>=SUM(B43:M43)</f>
      </c>
    </row>
    <row r="44">
      <c r="A44" t="str">
        <v>Kommun./TV i alt</v>
      </c>
      <c r="B44" s="1">
        <f>=SUM(B39:B43)</f>
      </c>
      <c r="C44" s="1">
        <f>=SUM(C39:C43)</f>
      </c>
      <c r="D44" s="1">
        <f>=SUM(D39:D43)</f>
      </c>
      <c r="E44" s="1">
        <f>=SUM(E39:E43)</f>
      </c>
      <c r="F44" s="1">
        <f>=SUM(F39:F43)</f>
      </c>
      <c r="G44" s="1">
        <f>=SUM(G39:G43)</f>
      </c>
      <c r="H44" s="1">
        <f>=SUM(H39:H43)</f>
      </c>
      <c r="I44" s="1">
        <f>=SUM(I39:I43)</f>
      </c>
      <c r="J44" s="1">
        <f>=SUM(J39:J43)</f>
      </c>
      <c r="K44" s="1">
        <f>=SUM(K39:K43)</f>
      </c>
      <c r="L44" s="1">
        <f>=SUM(L39:L43)</f>
      </c>
      <c r="M44" s="1">
        <f>=SUM(M39:M43)</f>
      </c>
      <c r="N44" s="1">
        <f>=SUM(B44:M44)</f>
      </c>
    </row>
    <row r="45">
      <c r="A45" t="str">
        <v>A-kasse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s="1">
        <f>=SUM(B45:M45)</f>
      </c>
    </row>
    <row r="46">
      <c r="A46" t="str">
        <v>A-kasse (Person 2)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s="1">
        <f>=SUM(B46:M46)</f>
      </c>
    </row>
    <row r="47">
      <c r="A47" t="str">
        <v>Fagforening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s="1">
        <f>=SUM(B47:M47)</f>
      </c>
    </row>
    <row r="48">
      <c r="A48" t="str">
        <v>Fagforening (Person 2)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Familieforsikring</v>
      </c>
      <c r="B49" s="1">
        <v>200</v>
      </c>
      <c r="C49" s="1">
        <v>200</v>
      </c>
      <c r="D49" s="1">
        <v>200</v>
      </c>
      <c r="E49" s="1">
        <v>200</v>
      </c>
      <c r="F49" s="1">
        <v>200</v>
      </c>
      <c r="G49" s="1">
        <v>200</v>
      </c>
      <c r="H49" s="1">
        <v>200</v>
      </c>
      <c r="I49" s="1">
        <v>200</v>
      </c>
      <c r="J49" s="1">
        <v>200</v>
      </c>
      <c r="K49" s="1">
        <v>200</v>
      </c>
      <c r="L49" s="1">
        <v>200</v>
      </c>
      <c r="M49" s="1">
        <v>200</v>
      </c>
      <c r="N49" s="1">
        <f>=SUM(B49:M49)</f>
      </c>
    </row>
    <row r="50">
      <c r="A50" t="str">
        <v>Ulykkesforsikring</v>
      </c>
      <c r="B50" s="1">
        <v>250</v>
      </c>
      <c r="C50" s="1">
        <v>250</v>
      </c>
      <c r="D50" s="1">
        <v>250</v>
      </c>
      <c r="E50" s="1">
        <v>250</v>
      </c>
      <c r="F50" s="1">
        <v>250</v>
      </c>
      <c r="G50" s="1">
        <v>250</v>
      </c>
      <c r="H50" s="1">
        <v>250</v>
      </c>
      <c r="I50" s="1">
        <v>250</v>
      </c>
      <c r="J50" s="1">
        <v>250</v>
      </c>
      <c r="K50" s="1">
        <v>250</v>
      </c>
      <c r="L50" s="1">
        <v>250</v>
      </c>
      <c r="M50" s="1">
        <v>250</v>
      </c>
      <c r="N50" s="1">
        <f>=SUM(B50:M50)</f>
      </c>
    </row>
    <row r="51">
      <c r="A51" t="str">
        <v>Sygeforsikring Danmark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s="1">
        <f>=SUM(B51:M51)</f>
      </c>
    </row>
    <row r="52">
      <c r="A52" t="str">
        <v>Receptpligtig medecin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s="1">
        <f>=SUM(B52:M52)</f>
      </c>
    </row>
    <row r="53">
      <c r="A53" t="str">
        <v>Diverse</v>
      </c>
      <c r="B53" s="1">
        <v>100</v>
      </c>
      <c r="C53" s="1">
        <v>100</v>
      </c>
      <c r="D53" s="1">
        <v>100</v>
      </c>
      <c r="E53" s="1">
        <v>100</v>
      </c>
      <c r="F53" s="1">
        <v>100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100</v>
      </c>
      <c r="M53" s="1">
        <v>100</v>
      </c>
      <c r="N53" s="1">
        <f>=SUM(B53:M53)</f>
      </c>
    </row>
    <row r="54">
      <c r="A54" t="str">
        <v>Udgifter i alt</v>
      </c>
      <c r="B54" s="1">
        <f>=SUM(B16,B17,B18,B19,B20,B21,B22,B23,B24,B25,B26,B27,B29,B30,B31,B32,B33,B34,B36,B37,B39,B40,B41,B42,B43,B45,B46,B47,B48,B49,B50,B51,B52,B53)</f>
      </c>
      <c r="C54" s="1">
        <f>=SUM(C16,C17,C18,C19,C20,C21,C22,C23,C24,C25,C26,C27,C29,C30,C31,C32,C33,C34,C36,C37,C39,C40,C41,C42,C43,C45,C46,C47,C48,C49,C50,C51,C52,C53)</f>
      </c>
      <c r="D54" s="1">
        <f>=SUM(D16,D17,D18,D19,D20,D21,D22,D23,D24,D25,D26,D27,D29,D30,D31,D32,D33,D34,D36,D37,D39,D40,D41,D42,D43,D45,D46,D47,D48,D49,D50,D51,D52,D53)</f>
      </c>
      <c r="E54" s="1">
        <f>=SUM(E16,E17,E18,E19,E20,E21,E22,E23,E24,E25,E26,E27,E29,E30,E31,E32,E33,E34,E36,E37,E39,E40,E41,E42,E43,E45,E46,E47,E48,E49,E50,E51,E52,E53)</f>
      </c>
      <c r="F54" s="1">
        <f>=SUM(F16,F17,F18,F19,F20,F21,F22,F23,F24,F25,F26,F27,F29,F30,F31,F32,F33,F34,F36,F37,F39,F40,F41,F42,F43,F45,F46,F47,F48,F49,F50,F51,F52,F53)</f>
      </c>
      <c r="G54" s="1">
        <f>=SUM(G16,G17,G18,G19,G20,G21,G22,G23,G24,G25,G26,G27,G29,G30,G31,G32,G33,G34,G36,G37,G39,G40,G41,G42,G43,G45,G46,G47,G48,G49,G50,G51,G52,G53)</f>
      </c>
      <c r="H54" s="1">
        <f>=SUM(H16,H17,H18,H19,H20,H21,H22,H23,H24,H25,H26,H27,H29,H30,H31,H32,H33,H34,H36,H37,H39,H40,H41,H42,H43,H45,H46,H47,H48,H49,H50,H51,H52,H53)</f>
      </c>
      <c r="I54" s="1">
        <f>=SUM(I16,I17,I18,I19,I20,I21,I22,I23,I24,I25,I26,I27,I29,I30,I31,I32,I33,I34,I36,I37,I39,I40,I41,I42,I43,I45,I46,I47,I48,I49,I50,I51,I52,I53)</f>
      </c>
      <c r="J54" s="1">
        <f>=SUM(J16,J17,J18,J19,J20,J21,J22,J23,J24,J25,J26,J27,J29,J30,J31,J32,J33,J34,J36,J37,J39,J40,J41,J42,J43,J45,J46,J47,J48,J49,J50,J51,J52,J53)</f>
      </c>
      <c r="K54" s="1">
        <f>=SUM(K16,K17,K18,K19,K20,K21,K22,K23,K24,K25,K26,K27,K29,K30,K31,K32,K33,K34,K36,K37,K39,K40,K41,K42,K43,K45,K46,K47,K48,K49,K50,K51,K52,K53)</f>
      </c>
      <c r="L54" s="1">
        <f>=SUM(L16,L17,L18,L19,L20,L21,L22,L23,L24,L25,L26,L27,L29,L30,L31,L32,L33,L34,L36,L37,L39,L40,L41,L42,L43,L45,L46,L47,L48,L49,L50,L51,L52,L53)</f>
      </c>
      <c r="M54" s="1">
        <f>=SUM(M16,M17,M18,M19,M20,M21,M22,M23,M24,M25,M26,M27,M29,M30,M31,M32,M33,M34,M36,M37,M39,M40,M41,M42,M43,M45,M46,M47,M48,M49,M50,M51,M52,M53)</f>
      </c>
      <c r="N54" s="1">
        <f>=SUM(B54,C54,D54,E54,F54,G54,H54,I54,J54,K54,L54,M54)</f>
      </c>
    </row>
    <row r="55">
      <c r="A55" t="str">
        <v>Rådighedsbeløb</v>
      </c>
      <c r="B55" s="1">
        <f>=B13-B54</f>
      </c>
      <c r="C55" s="1">
        <f>=C13-C54</f>
      </c>
      <c r="D55" s="1">
        <f>=D13-D54</f>
      </c>
      <c r="E55" s="1">
        <f>=E13-E54</f>
      </c>
      <c r="F55" s="1">
        <f>=F13-F54</f>
      </c>
      <c r="G55" s="1">
        <f>=G13-G54</f>
      </c>
      <c r="H55" s="1">
        <f>=H13-H54</f>
      </c>
      <c r="I55" s="1">
        <f>=I13-I54</f>
      </c>
      <c r="J55" s="1">
        <f>=J13-J54</f>
      </c>
      <c r="K55" s="1">
        <f>=K13-K54</f>
      </c>
      <c r="L55" s="1">
        <f>=L13-L54</f>
      </c>
      <c r="M55" s="1">
        <f>=M13-M54</f>
      </c>
      <c r="N55" s="1">
        <f>=SUM(B55,C55,D55,E55,F55,G55,H55,I55,J55,K55,L55,M55)</f>
      </c>
    </row>
  </sheetData>
  <ignoredErrors>
    <ignoredError numberStoredAsText="1" sqref="A1:N5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