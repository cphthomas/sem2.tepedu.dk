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omas/GIT/opg2/files/"/>
    </mc:Choice>
  </mc:AlternateContent>
  <xr:revisionPtr revIDLastSave="0" documentId="13_ncr:1_{2CAF19DF-AC53-2444-93C3-B3B61479FA5D}" xr6:coauthVersionLast="47" xr6:coauthVersionMax="47" xr10:uidLastSave="{00000000-0000-0000-0000-000000000000}"/>
  <bookViews>
    <workbookView xWindow="0" yWindow="760" windowWidth="23040" windowHeight="21580" activeTab="3" xr2:uid="{00000000-000D-0000-FFFF-FFFF00000000}"/>
  </bookViews>
  <sheets>
    <sheet name="skat og indkomst efter skat " sheetId="6" state="hidden" r:id="rId1"/>
    <sheet name="Rådighedsbeløb - nu" sheetId="8" r:id="rId2"/>
    <sheet name="Lån - andelsbolig" sheetId="17" r:id="rId3"/>
    <sheet name="Rådighedsbeløb - Andel" sheetId="13" r:id="rId4"/>
    <sheet name="skat og indkomst  ved boligkøb" sheetId="10" state="hidden" r:id="rId5"/>
    <sheet name="Ejer - Kristiansminde 21" sheetId="14" state="hidden" r:id="rId6"/>
    <sheet name="Budget og råd. - boligkøb " sheetId="12" state="hidden" r:id="rId7"/>
    <sheet name="Budget og råd boligkøb+BØRN" sheetId="11" state="hidden" r:id="rId8"/>
  </sheets>
  <externalReferences>
    <externalReference r:id="rId9"/>
  </externalReferences>
  <definedNames>
    <definedName name="__hej1" hidden="1">#REF!</definedName>
    <definedName name="_hej1" hidden="1">#REF!</definedName>
    <definedName name="ArbBidrag">[1]Skattesatser!$H$3</definedName>
    <definedName name="BeFradragHojSats">[1]Skattesatser!$H$4</definedName>
    <definedName name="BeFradragKmMax">[1]Skattesatser!$H$6</definedName>
    <definedName name="BeFradragKmMin">[1]Skattesatser!$H$5</definedName>
    <definedName name="BeFradragLavSats">[1]Skattesatser!$H$7</definedName>
    <definedName name="BFradragMax">[1]Skattesatser!$H$10</definedName>
    <definedName name="BFradragProc">[1]Skattesatser!$H$9</definedName>
    <definedName name="Bundskat">[1]Skattesatser!$H$11</definedName>
    <definedName name="dikdsks" hidden="1">#REF!</definedName>
    <definedName name="dsfasdfsfa" hidden="1">#REF!</definedName>
    <definedName name="EjVSkatMax">[1]Skattesatser!$H$13</definedName>
    <definedName name="EjVSkatMin">[1]Skattesatser!$H$12</definedName>
    <definedName name="EPENfradragMax">[1]Skattesatser!$H$16</definedName>
    <definedName name="EPENfradragProc">[1]Skattesatser!$H$15</definedName>
    <definedName name="EPENSeniorMax">[1]Skattesatser!$H$18</definedName>
    <definedName name="EPENSeniorProc">[1]Skattesatser!$H$17</definedName>
    <definedName name="FagforeningMax">[1]Skattesatser!$H$19</definedName>
    <definedName name="Forsigtighed">[1]Skattesatser!$H$23</definedName>
    <definedName name="FriTelefon">[1]Skattesatser!$H$24</definedName>
    <definedName name="Gift">#REF!</definedName>
    <definedName name="GranseNegKIEnlig">[1]Skattesatser!$H$42</definedName>
    <definedName name="GranseNegKIPar">[1]Skattesatser!$H$41</definedName>
    <definedName name="Grøn_check_antal_børn_max">[1]Skattesatser!#REF!</definedName>
    <definedName name="GronSkatBorn">[1]Skattesatser!#REF!</definedName>
    <definedName name="GronSkatBornexGranse">[1]Skattesatser!#REF!</definedName>
    <definedName name="GronSkatexBorn">[1]Skattesatser!#REF!</definedName>
    <definedName name="hej" hidden="1">#REF!</definedName>
    <definedName name="henrik" hidden="1">#REF!</definedName>
    <definedName name="ieeooe" hidden="1">#REF!</definedName>
    <definedName name="Intro" localSheetId="5">#REF!</definedName>
    <definedName name="Intro">#REF!</definedName>
    <definedName name="Jfradraggranse">[1]Skattesatser!$H$30</definedName>
    <definedName name="JfradragMax">[1]Skattesatser!$H$31</definedName>
    <definedName name="Jfradragproc">[1]Skattesatser!$H$29</definedName>
    <definedName name="KItilTopskatEnlig">[1]Skattesatser!$H$33</definedName>
    <definedName name="KItilTopskatPar">[1]Skattesatser!$H$32</definedName>
    <definedName name="Kontant" localSheetId="4">#N/A</definedName>
    <definedName name="Kontant" localSheetId="0">#N/A</definedName>
    <definedName name="Look1Area" localSheetId="5" hidden="1">#REF!</definedName>
    <definedName name="Look1Area" hidden="1">#REF!</definedName>
    <definedName name="Look2Area" localSheetId="5" hidden="1">#REF!</definedName>
    <definedName name="Look2Area" hidden="1">#REF!</definedName>
    <definedName name="Look3Area" localSheetId="5" hidden="1">#REF!</definedName>
    <definedName name="Look3Area" hidden="1">#REF!</definedName>
    <definedName name="Look4Area" localSheetId="5" hidden="1">#REF!</definedName>
    <definedName name="Look4Area" hidden="1">#REF!</definedName>
    <definedName name="Look5Area" localSheetId="5" hidden="1">#REF!</definedName>
    <definedName name="Look5Area" hidden="1">#REF!</definedName>
    <definedName name="mkiuyee" hidden="1">#REF!</definedName>
    <definedName name="NyIntro">#REF!</definedName>
    <definedName name="Personfradrag">[1]Skattesatser!$H$34</definedName>
    <definedName name="poedoe">#REF!</definedName>
    <definedName name="polse">#REF!</definedName>
    <definedName name="_xlnm.Print_Area" localSheetId="7">#N/A</definedName>
    <definedName name="_xlnm.Print_Area" localSheetId="6">#N/A</definedName>
    <definedName name="_xlnm.Print_Area" localSheetId="3">#N/A</definedName>
    <definedName name="_xlnm.Print_Area" localSheetId="1">#N/A</definedName>
    <definedName name="qiecmkie" hidden="1">#REF!</definedName>
    <definedName name="qqqqwww" hidden="1">#REF!</definedName>
    <definedName name="RatepensionMax">[1]Skattesatser!$H$36</definedName>
    <definedName name="sda">#REF!</definedName>
    <definedName name="Skatteordning">#REF!</definedName>
    <definedName name="SkraatSkatteloftKI">[1]Skattesatser!$H$38</definedName>
    <definedName name="SkraatSkatteloftPI">[1]Skattesatser!$H$37</definedName>
    <definedName name="Sundhedsbidrag">[1]Skattesatser!$H$39</definedName>
    <definedName name="teste11">#REF!</definedName>
    <definedName name="testen" hidden="1">#REF!</definedName>
    <definedName name="TillagNegKI">[1]Skattesatser!$H$40</definedName>
    <definedName name="Topskat">[1]Skattesatser!$H$43</definedName>
    <definedName name="TopSkatGranse">[1]Skattesatser!$H$35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7" l="1"/>
  <c r="B18" i="13"/>
  <c r="D23" i="17"/>
  <c r="D24" i="17" s="1"/>
  <c r="D25" i="17" s="1"/>
  <c r="D10" i="17"/>
  <c r="D13" i="17" s="1"/>
  <c r="D15" i="17" s="1"/>
  <c r="N6" i="11"/>
  <c r="B7" i="11"/>
  <c r="E7" i="11"/>
  <c r="N8" i="11"/>
  <c r="N9" i="11"/>
  <c r="B15" i="11"/>
  <c r="C15" i="11"/>
  <c r="D15" i="11"/>
  <c r="B27" i="11"/>
  <c r="N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B19" i="11"/>
  <c r="B20" i="11"/>
  <c r="C20" i="11"/>
  <c r="B21" i="11"/>
  <c r="C22" i="11"/>
  <c r="N23" i="11"/>
  <c r="C24" i="11"/>
  <c r="D24" i="11"/>
  <c r="E24" i="11"/>
  <c r="F24" i="11"/>
  <c r="N25" i="11"/>
  <c r="N26" i="11"/>
  <c r="N30" i="11"/>
  <c r="N31" i="11"/>
  <c r="C32" i="11"/>
  <c r="D32" i="11"/>
  <c r="N33" i="11"/>
  <c r="C34" i="11"/>
  <c r="D34" i="11"/>
  <c r="E34" i="11"/>
  <c r="F34" i="11"/>
  <c r="G34" i="11"/>
  <c r="H34" i="11"/>
  <c r="I34" i="11"/>
  <c r="J34" i="11"/>
  <c r="K34" i="11"/>
  <c r="L34" i="11"/>
  <c r="M34" i="11"/>
  <c r="N35" i="11"/>
  <c r="B36" i="11"/>
  <c r="C39" i="11"/>
  <c r="N40" i="11"/>
  <c r="B41" i="11"/>
  <c r="C44" i="11"/>
  <c r="C45" i="11"/>
  <c r="D45" i="11"/>
  <c r="E45" i="11"/>
  <c r="F45" i="11"/>
  <c r="G45" i="11"/>
  <c r="H45" i="11"/>
  <c r="I45" i="11"/>
  <c r="J45" i="11"/>
  <c r="K45" i="11"/>
  <c r="L45" i="11"/>
  <c r="M45" i="11"/>
  <c r="C46" i="11"/>
  <c r="C47" i="11"/>
  <c r="D47" i="11"/>
  <c r="E47" i="11"/>
  <c r="F47" i="11"/>
  <c r="G47" i="11"/>
  <c r="H47" i="11"/>
  <c r="I47" i="11"/>
  <c r="J47" i="11"/>
  <c r="K47" i="11"/>
  <c r="L47" i="11"/>
  <c r="M47" i="11"/>
  <c r="N48" i="11"/>
  <c r="C49" i="11"/>
  <c r="D49" i="11"/>
  <c r="B50" i="11"/>
  <c r="C55" i="11"/>
  <c r="D55" i="11"/>
  <c r="E55" i="11"/>
  <c r="F55" i="11"/>
  <c r="G55" i="11"/>
  <c r="H55" i="11"/>
  <c r="I55" i="11"/>
  <c r="J55" i="11"/>
  <c r="K55" i="11"/>
  <c r="L55" i="11"/>
  <c r="M55" i="11"/>
  <c r="C56" i="11"/>
  <c r="D57" i="11"/>
  <c r="E57" i="11"/>
  <c r="N58" i="11"/>
  <c r="N59" i="11"/>
  <c r="C60" i="11"/>
  <c r="D60" i="11"/>
  <c r="E60" i="11"/>
  <c r="F60" i="11"/>
  <c r="G60" i="11"/>
  <c r="H60" i="11"/>
  <c r="I60" i="11"/>
  <c r="J60" i="11"/>
  <c r="K60" i="11"/>
  <c r="N61" i="11"/>
  <c r="C65" i="11"/>
  <c r="D65" i="11"/>
  <c r="E65" i="11"/>
  <c r="F65" i="11"/>
  <c r="C66" i="11"/>
  <c r="D66" i="11"/>
  <c r="C67" i="11"/>
  <c r="N68" i="11"/>
  <c r="N69" i="11"/>
  <c r="B70" i="11"/>
  <c r="N73" i="11"/>
  <c r="N74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C78" i="11"/>
  <c r="D78" i="11"/>
  <c r="E78" i="11"/>
  <c r="N79" i="11"/>
  <c r="N80" i="11"/>
  <c r="B81" i="11"/>
  <c r="D81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N6" i="12"/>
  <c r="N7" i="12"/>
  <c r="N8" i="12"/>
  <c r="N9" i="12"/>
  <c r="B15" i="12"/>
  <c r="C15" i="12"/>
  <c r="D15" i="12"/>
  <c r="B27" i="12"/>
  <c r="N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B19" i="12"/>
  <c r="B20" i="12"/>
  <c r="B21" i="12"/>
  <c r="H21" i="12"/>
  <c r="N21" i="12"/>
  <c r="C22" i="12"/>
  <c r="D22" i="12"/>
  <c r="E22" i="12"/>
  <c r="F22" i="12"/>
  <c r="G22" i="12"/>
  <c r="N23" i="12"/>
  <c r="C24" i="12"/>
  <c r="D24" i="12"/>
  <c r="E24" i="12"/>
  <c r="N25" i="12"/>
  <c r="N26" i="12"/>
  <c r="N30" i="12"/>
  <c r="N31" i="12"/>
  <c r="C32" i="12"/>
  <c r="D32" i="12"/>
  <c r="E32" i="12"/>
  <c r="N33" i="12"/>
  <c r="C34" i="12"/>
  <c r="N35" i="12"/>
  <c r="B36" i="12"/>
  <c r="C36" i="12"/>
  <c r="C39" i="12"/>
  <c r="D39" i="12"/>
  <c r="N40" i="12"/>
  <c r="B41" i="12"/>
  <c r="C41" i="12"/>
  <c r="C44" i="12"/>
  <c r="C45" i="12"/>
  <c r="D45" i="12"/>
  <c r="E45" i="12"/>
  <c r="F45" i="12"/>
  <c r="G45" i="12"/>
  <c r="H45" i="12"/>
  <c r="I45" i="12"/>
  <c r="J45" i="12"/>
  <c r="K45" i="12"/>
  <c r="L45" i="12"/>
  <c r="M45" i="12"/>
  <c r="C46" i="12"/>
  <c r="D46" i="12"/>
  <c r="E46" i="12"/>
  <c r="F46" i="12"/>
  <c r="G46" i="12"/>
  <c r="H46" i="12"/>
  <c r="I46" i="12"/>
  <c r="J46" i="12"/>
  <c r="K46" i="12"/>
  <c r="L46" i="12"/>
  <c r="M46" i="12"/>
  <c r="C47" i="12"/>
  <c r="D47" i="12"/>
  <c r="E47" i="12"/>
  <c r="F47" i="12"/>
  <c r="G47" i="12"/>
  <c r="H47" i="12"/>
  <c r="I47" i="12"/>
  <c r="J47" i="12"/>
  <c r="K47" i="12"/>
  <c r="L47" i="12"/>
  <c r="M47" i="12"/>
  <c r="N48" i="12"/>
  <c r="C49" i="12"/>
  <c r="D49" i="12"/>
  <c r="E49" i="12"/>
  <c r="F49" i="12"/>
  <c r="G49" i="12"/>
  <c r="H49" i="12"/>
  <c r="I49" i="12"/>
  <c r="J49" i="12"/>
  <c r="K49" i="12"/>
  <c r="L49" i="12"/>
  <c r="M49" i="12"/>
  <c r="B50" i="12"/>
  <c r="C50" i="12"/>
  <c r="C55" i="12"/>
  <c r="D55" i="12"/>
  <c r="E55" i="12"/>
  <c r="F55" i="12"/>
  <c r="G55" i="12"/>
  <c r="H55" i="12"/>
  <c r="I55" i="12"/>
  <c r="J55" i="12"/>
  <c r="K55" i="12"/>
  <c r="L55" i="12"/>
  <c r="M55" i="12"/>
  <c r="C56" i="12"/>
  <c r="D56" i="12"/>
  <c r="E56" i="12"/>
  <c r="F56" i="12"/>
  <c r="G56" i="12"/>
  <c r="H56" i="12"/>
  <c r="I56" i="12"/>
  <c r="J56" i="12"/>
  <c r="K56" i="12"/>
  <c r="L56" i="12"/>
  <c r="M56" i="12"/>
  <c r="D57" i="12"/>
  <c r="E57" i="12"/>
  <c r="N58" i="12"/>
  <c r="N59" i="12"/>
  <c r="C60" i="12"/>
  <c r="D60" i="12"/>
  <c r="N61" i="12"/>
  <c r="C65" i="12"/>
  <c r="D65" i="12"/>
  <c r="C66" i="12"/>
  <c r="C67" i="12"/>
  <c r="D67" i="12"/>
  <c r="E67" i="12"/>
  <c r="N68" i="12"/>
  <c r="N69" i="12"/>
  <c r="B70" i="12"/>
  <c r="N73" i="12"/>
  <c r="N75" i="12"/>
  <c r="N74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C78" i="12"/>
  <c r="D78" i="12"/>
  <c r="N79" i="12"/>
  <c r="N80" i="12"/>
  <c r="B81" i="12"/>
  <c r="B86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C11" i="14"/>
  <c r="C16" i="14"/>
  <c r="C17" i="14"/>
  <c r="C21" i="14"/>
  <c r="C23" i="14"/>
  <c r="C26" i="14"/>
  <c r="C8" i="10"/>
  <c r="D8" i="10"/>
  <c r="C9" i="10"/>
  <c r="C48" i="10"/>
  <c r="D9" i="10"/>
  <c r="C10" i="10"/>
  <c r="F19" i="10"/>
  <c r="C18" i="10"/>
  <c r="C23" i="10"/>
  <c r="D23" i="10"/>
  <c r="D31" i="10"/>
  <c r="D32" i="10"/>
  <c r="D33" i="10"/>
  <c r="C35" i="10"/>
  <c r="G39" i="10"/>
  <c r="H39" i="10"/>
  <c r="C47" i="10"/>
  <c r="D47" i="10"/>
  <c r="C56" i="10"/>
  <c r="C58" i="10"/>
  <c r="G63" i="10"/>
  <c r="H63" i="10"/>
  <c r="D64" i="10"/>
  <c r="E64" i="10"/>
  <c r="G64" i="10"/>
  <c r="H64" i="10"/>
  <c r="C4" i="13"/>
  <c r="C5" i="13"/>
  <c r="C10" i="13"/>
  <c r="D5" i="13"/>
  <c r="E5" i="13"/>
  <c r="N6" i="13"/>
  <c r="N8" i="13"/>
  <c r="N9" i="13"/>
  <c r="C16" i="13"/>
  <c r="D16" i="13"/>
  <c r="N17" i="13"/>
  <c r="C18" i="13"/>
  <c r="D18" i="13" s="1"/>
  <c r="E18" i="13" s="1"/>
  <c r="F18" i="13" s="1"/>
  <c r="G18" i="13" s="1"/>
  <c r="H18" i="13" s="1"/>
  <c r="I18" i="13" s="1"/>
  <c r="J18" i="13" s="1"/>
  <c r="K18" i="13" s="1"/>
  <c r="L18" i="13" s="1"/>
  <c r="M18" i="13" s="1"/>
  <c r="C19" i="13"/>
  <c r="D19" i="13"/>
  <c r="E19" i="13" s="1"/>
  <c r="F19" i="13" s="1"/>
  <c r="G19" i="13" s="1"/>
  <c r="H19" i="13" s="1"/>
  <c r="I19" i="13" s="1"/>
  <c r="J19" i="13" s="1"/>
  <c r="K19" i="13" s="1"/>
  <c r="L19" i="13" s="1"/>
  <c r="M19" i="13" s="1"/>
  <c r="N20" i="13"/>
  <c r="N21" i="13"/>
  <c r="C22" i="13"/>
  <c r="N23" i="13"/>
  <c r="N24" i="13"/>
  <c r="N25" i="13"/>
  <c r="N26" i="13"/>
  <c r="C30" i="13"/>
  <c r="D30" i="13"/>
  <c r="N31" i="13"/>
  <c r="C32" i="13"/>
  <c r="D32" i="13"/>
  <c r="E32" i="13"/>
  <c r="N33" i="13"/>
  <c r="C34" i="13"/>
  <c r="D34" i="13"/>
  <c r="E34" i="13"/>
  <c r="F34" i="13"/>
  <c r="G34" i="13"/>
  <c r="H34" i="13"/>
  <c r="I34" i="13"/>
  <c r="J34" i="13"/>
  <c r="K34" i="13"/>
  <c r="L34" i="13"/>
  <c r="M34" i="13"/>
  <c r="N35" i="13"/>
  <c r="B36" i="13"/>
  <c r="C36" i="13"/>
  <c r="C39" i="13"/>
  <c r="N40" i="13"/>
  <c r="B41" i="13"/>
  <c r="C44" i="13"/>
  <c r="D44" i="13"/>
  <c r="E44" i="13"/>
  <c r="C45" i="13"/>
  <c r="D45" i="13"/>
  <c r="C46" i="13"/>
  <c r="D46" i="13"/>
  <c r="E46" i="13"/>
  <c r="C47" i="13"/>
  <c r="D47" i="13"/>
  <c r="C49" i="13"/>
  <c r="B50" i="13"/>
  <c r="E53" i="13"/>
  <c r="C54" i="13"/>
  <c r="D54" i="13"/>
  <c r="C55" i="13"/>
  <c r="C56" i="13"/>
  <c r="D56" i="13"/>
  <c r="D57" i="13"/>
  <c r="N58" i="13"/>
  <c r="N59" i="13"/>
  <c r="C60" i="13"/>
  <c r="D60" i="13"/>
  <c r="E60" i="13"/>
  <c r="B61" i="13"/>
  <c r="C65" i="13"/>
  <c r="D65" i="13"/>
  <c r="C66" i="13"/>
  <c r="D66" i="13"/>
  <c r="E66" i="13"/>
  <c r="F66" i="13"/>
  <c r="G66" i="13"/>
  <c r="H66" i="13"/>
  <c r="I66" i="13"/>
  <c r="J66" i="13"/>
  <c r="K66" i="13"/>
  <c r="L66" i="13"/>
  <c r="M66" i="13"/>
  <c r="C67" i="13"/>
  <c r="D67" i="13"/>
  <c r="E67" i="13"/>
  <c r="N68" i="13"/>
  <c r="N69" i="13"/>
  <c r="B70" i="13"/>
  <c r="N73" i="13"/>
  <c r="N74" i="13"/>
  <c r="B75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C78" i="13"/>
  <c r="D78" i="13"/>
  <c r="C79" i="13"/>
  <c r="N80" i="13"/>
  <c r="B81" i="13"/>
  <c r="C81" i="13"/>
  <c r="B86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J11" i="17"/>
  <c r="D21" i="17"/>
  <c r="C4" i="8"/>
  <c r="D4" i="8"/>
  <c r="C5" i="8"/>
  <c r="N6" i="8"/>
  <c r="E7" i="8"/>
  <c r="N8" i="8"/>
  <c r="N9" i="8"/>
  <c r="B10" i="8"/>
  <c r="C15" i="8"/>
  <c r="C16" i="8"/>
  <c r="C27" i="8" s="1"/>
  <c r="C83" i="8" s="1"/>
  <c r="C87" i="8" s="1"/>
  <c r="C89" i="8" s="1"/>
  <c r="N17" i="8"/>
  <c r="C18" i="8"/>
  <c r="D18" i="8"/>
  <c r="E18" i="8"/>
  <c r="F18" i="8"/>
  <c r="G18" i="8"/>
  <c r="H18" i="8"/>
  <c r="I18" i="8"/>
  <c r="J18" i="8"/>
  <c r="C19" i="8"/>
  <c r="D19" i="8"/>
  <c r="E19" i="8"/>
  <c r="F19" i="8"/>
  <c r="G19" i="8"/>
  <c r="H19" i="8"/>
  <c r="I19" i="8"/>
  <c r="J19" i="8"/>
  <c r="K19" i="8"/>
  <c r="L19" i="8"/>
  <c r="M19" i="8"/>
  <c r="N20" i="8"/>
  <c r="N21" i="8"/>
  <c r="C22" i="8"/>
  <c r="D22" i="8"/>
  <c r="E22" i="8"/>
  <c r="F22" i="8"/>
  <c r="G22" i="8"/>
  <c r="H22" i="8"/>
  <c r="I22" i="8"/>
  <c r="J22" i="8"/>
  <c r="K22" i="8"/>
  <c r="L22" i="8"/>
  <c r="M22" i="8"/>
  <c r="N23" i="8"/>
  <c r="N24" i="8"/>
  <c r="N25" i="8"/>
  <c r="N26" i="8"/>
  <c r="B27" i="8"/>
  <c r="B83" i="8" s="1"/>
  <c r="B87" i="8" s="1"/>
  <c r="B89" i="8" s="1"/>
  <c r="C30" i="8"/>
  <c r="N31" i="8"/>
  <c r="C32" i="8"/>
  <c r="D32" i="8"/>
  <c r="E32" i="8"/>
  <c r="N33" i="8"/>
  <c r="C34" i="8"/>
  <c r="N35" i="8"/>
  <c r="B36" i="8"/>
  <c r="C36" i="8"/>
  <c r="C39" i="8"/>
  <c r="N40" i="8"/>
  <c r="B41" i="8"/>
  <c r="C41" i="8"/>
  <c r="C44" i="8"/>
  <c r="C45" i="8"/>
  <c r="C46" i="8"/>
  <c r="C47" i="8"/>
  <c r="N48" i="8"/>
  <c r="C49" i="8"/>
  <c r="D49" i="8"/>
  <c r="E49" i="8"/>
  <c r="F49" i="8"/>
  <c r="G49" i="8"/>
  <c r="B50" i="8"/>
  <c r="E53" i="8"/>
  <c r="H53" i="8"/>
  <c r="K53" i="8"/>
  <c r="C54" i="8"/>
  <c r="D54" i="8"/>
  <c r="E54" i="8"/>
  <c r="F54" i="8"/>
  <c r="C55" i="8"/>
  <c r="D55" i="8"/>
  <c r="E55" i="8"/>
  <c r="C56" i="8"/>
  <c r="D56" i="8"/>
  <c r="E56" i="8"/>
  <c r="F56" i="8"/>
  <c r="G56" i="8"/>
  <c r="H56" i="8"/>
  <c r="I56" i="8"/>
  <c r="J56" i="8"/>
  <c r="K56" i="8"/>
  <c r="L56" i="8"/>
  <c r="M56" i="8"/>
  <c r="D57" i="8"/>
  <c r="E57" i="8"/>
  <c r="F57" i="8"/>
  <c r="N58" i="8"/>
  <c r="N59" i="8"/>
  <c r="C60" i="8"/>
  <c r="D60" i="8"/>
  <c r="E60" i="8"/>
  <c r="F60" i="8"/>
  <c r="G60" i="8"/>
  <c r="H60" i="8"/>
  <c r="I60" i="8"/>
  <c r="J60" i="8"/>
  <c r="K60" i="8"/>
  <c r="L60" i="8"/>
  <c r="M60" i="8"/>
  <c r="B61" i="8"/>
  <c r="C61" i="8"/>
  <c r="B62" i="8"/>
  <c r="C65" i="8"/>
  <c r="D65" i="8"/>
  <c r="E65" i="8"/>
  <c r="C66" i="8"/>
  <c r="D66" i="8"/>
  <c r="C67" i="8"/>
  <c r="D67" i="8"/>
  <c r="E67" i="8"/>
  <c r="F67" i="8"/>
  <c r="G67" i="8"/>
  <c r="H67" i="8"/>
  <c r="I67" i="8"/>
  <c r="J67" i="8"/>
  <c r="K67" i="8"/>
  <c r="L67" i="8"/>
  <c r="M67" i="8"/>
  <c r="N68" i="8"/>
  <c r="N69" i="8"/>
  <c r="B70" i="8"/>
  <c r="N73" i="8"/>
  <c r="N74" i="8"/>
  <c r="N75" i="8"/>
  <c r="B75" i="8"/>
  <c r="C75" i="8"/>
  <c r="D75" i="8"/>
  <c r="E75" i="8"/>
  <c r="F75" i="8"/>
  <c r="G75" i="8"/>
  <c r="H75" i="8"/>
  <c r="I75" i="8"/>
  <c r="J75" i="8"/>
  <c r="K75" i="8"/>
  <c r="L75" i="8"/>
  <c r="M75" i="8"/>
  <c r="C78" i="8"/>
  <c r="C81" i="8"/>
  <c r="C79" i="8"/>
  <c r="D79" i="8"/>
  <c r="E79" i="8"/>
  <c r="F79" i="8"/>
  <c r="G79" i="8"/>
  <c r="H79" i="8"/>
  <c r="I79" i="8"/>
  <c r="J79" i="8"/>
  <c r="K79" i="8"/>
  <c r="L79" i="8"/>
  <c r="M79" i="8"/>
  <c r="N80" i="8"/>
  <c r="B81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C8" i="6"/>
  <c r="C9" i="6"/>
  <c r="C12" i="6"/>
  <c r="D8" i="6"/>
  <c r="C10" i="6"/>
  <c r="C20" i="6"/>
  <c r="D20" i="6"/>
  <c r="C23" i="6"/>
  <c r="D23" i="6"/>
  <c r="D31" i="6"/>
  <c r="D32" i="6"/>
  <c r="D33" i="6"/>
  <c r="C47" i="6"/>
  <c r="C48" i="6"/>
  <c r="C56" i="6"/>
  <c r="C35" i="6"/>
  <c r="C58" i="6"/>
  <c r="D58" i="6"/>
  <c r="G63" i="6"/>
  <c r="H63" i="6"/>
  <c r="H65" i="6"/>
  <c r="D64" i="6"/>
  <c r="H64" i="6"/>
  <c r="E64" i="6"/>
  <c r="G64" i="6"/>
  <c r="G54" i="8"/>
  <c r="D61" i="8"/>
  <c r="E61" i="8"/>
  <c r="F61" i="8"/>
  <c r="G61" i="8"/>
  <c r="H61" i="8"/>
  <c r="I61" i="8"/>
  <c r="J61" i="8"/>
  <c r="K61" i="8"/>
  <c r="L61" i="8"/>
  <c r="M61" i="8"/>
  <c r="C62" i="8"/>
  <c r="D9" i="6"/>
  <c r="D48" i="6"/>
  <c r="D47" i="8"/>
  <c r="E47" i="8"/>
  <c r="F47" i="8"/>
  <c r="G47" i="8"/>
  <c r="H47" i="8"/>
  <c r="I47" i="8"/>
  <c r="J47" i="8"/>
  <c r="K47" i="8"/>
  <c r="L47" i="8"/>
  <c r="M47" i="8"/>
  <c r="D45" i="8"/>
  <c r="E45" i="8"/>
  <c r="F45" i="8"/>
  <c r="G45" i="8"/>
  <c r="H45" i="8"/>
  <c r="I45" i="8"/>
  <c r="J45" i="8"/>
  <c r="K45" i="8"/>
  <c r="L45" i="8"/>
  <c r="M45" i="8"/>
  <c r="D39" i="8"/>
  <c r="D15" i="8"/>
  <c r="D5" i="8"/>
  <c r="E78" i="13"/>
  <c r="E57" i="13"/>
  <c r="F57" i="13"/>
  <c r="G57" i="13"/>
  <c r="H57" i="13"/>
  <c r="I57" i="13"/>
  <c r="J57" i="13"/>
  <c r="K57" i="13"/>
  <c r="L57" i="13"/>
  <c r="M57" i="13"/>
  <c r="E56" i="13"/>
  <c r="F56" i="13"/>
  <c r="G56" i="13"/>
  <c r="H56" i="13"/>
  <c r="I56" i="13"/>
  <c r="J56" i="13"/>
  <c r="K56" i="13"/>
  <c r="L56" i="13"/>
  <c r="M56" i="13"/>
  <c r="H53" i="13"/>
  <c r="C50" i="13"/>
  <c r="D49" i="13"/>
  <c r="E49" i="13"/>
  <c r="F49" i="13"/>
  <c r="G49" i="13"/>
  <c r="H49" i="13"/>
  <c r="I49" i="13"/>
  <c r="J49" i="13"/>
  <c r="K49" i="13"/>
  <c r="L49" i="13"/>
  <c r="E47" i="13"/>
  <c r="F47" i="13"/>
  <c r="G47" i="13"/>
  <c r="H47" i="13"/>
  <c r="I47" i="13"/>
  <c r="J47" i="13"/>
  <c r="K47" i="13"/>
  <c r="L47" i="13"/>
  <c r="M47" i="13"/>
  <c r="E49" i="11"/>
  <c r="D47" i="6"/>
  <c r="D70" i="8"/>
  <c r="N60" i="8"/>
  <c r="N56" i="8"/>
  <c r="D62" i="8"/>
  <c r="D30" i="8"/>
  <c r="N22" i="8"/>
  <c r="D79" i="13"/>
  <c r="E79" i="13"/>
  <c r="F79" i="13"/>
  <c r="G79" i="13"/>
  <c r="H79" i="13"/>
  <c r="I79" i="13"/>
  <c r="J79" i="13"/>
  <c r="E65" i="13"/>
  <c r="D70" i="13"/>
  <c r="E54" i="13"/>
  <c r="F54" i="13"/>
  <c r="E45" i="13"/>
  <c r="F45" i="13"/>
  <c r="G45" i="13"/>
  <c r="H45" i="13"/>
  <c r="I45" i="13"/>
  <c r="J45" i="13"/>
  <c r="K45" i="13"/>
  <c r="L45" i="13"/>
  <c r="M45" i="13"/>
  <c r="N34" i="13"/>
  <c r="F32" i="13"/>
  <c r="G32" i="13"/>
  <c r="H32" i="13"/>
  <c r="I32" i="13"/>
  <c r="D22" i="13"/>
  <c r="F57" i="12"/>
  <c r="G57" i="12"/>
  <c r="H57" i="12"/>
  <c r="I57" i="12"/>
  <c r="J57" i="12"/>
  <c r="K57" i="12"/>
  <c r="L57" i="12"/>
  <c r="M57" i="12"/>
  <c r="D46" i="8"/>
  <c r="E46" i="8"/>
  <c r="F46" i="8"/>
  <c r="G46" i="8"/>
  <c r="D44" i="8"/>
  <c r="C50" i="8"/>
  <c r="D34" i="8"/>
  <c r="E34" i="8"/>
  <c r="D55" i="13"/>
  <c r="H22" i="12"/>
  <c r="I22" i="12"/>
  <c r="J22" i="12"/>
  <c r="K22" i="12"/>
  <c r="L22" i="12"/>
  <c r="M22" i="12"/>
  <c r="D36" i="11"/>
  <c r="E32" i="11"/>
  <c r="D22" i="11"/>
  <c r="E22" i="11"/>
  <c r="F22" i="11"/>
  <c r="G22" i="11"/>
  <c r="H22" i="11"/>
  <c r="I22" i="11"/>
  <c r="J22" i="11"/>
  <c r="K22" i="11"/>
  <c r="L22" i="11"/>
  <c r="M22" i="11"/>
  <c r="D56" i="6"/>
  <c r="N61" i="8"/>
  <c r="N53" i="8"/>
  <c r="D50" i="13"/>
  <c r="C41" i="13"/>
  <c r="D39" i="13"/>
  <c r="D12" i="10"/>
  <c r="D48" i="10"/>
  <c r="F32" i="12"/>
  <c r="F24" i="12"/>
  <c r="G24" i="12"/>
  <c r="H24" i="12"/>
  <c r="I24" i="12"/>
  <c r="J24" i="12"/>
  <c r="K24" i="12"/>
  <c r="L24" i="12"/>
  <c r="M24" i="12"/>
  <c r="C20" i="12"/>
  <c r="D20" i="12"/>
  <c r="G24" i="11"/>
  <c r="H24" i="11"/>
  <c r="C61" i="13"/>
  <c r="B62" i="13"/>
  <c r="F46" i="13"/>
  <c r="G46" i="13"/>
  <c r="E50" i="13"/>
  <c r="F44" i="13"/>
  <c r="D4" i="13"/>
  <c r="H65" i="10"/>
  <c r="C81" i="12"/>
  <c r="F67" i="12"/>
  <c r="G67" i="12"/>
  <c r="E19" i="12"/>
  <c r="H19" i="12"/>
  <c r="K19" i="12"/>
  <c r="E19" i="11"/>
  <c r="H19" i="11"/>
  <c r="K19" i="11"/>
  <c r="E78" i="12"/>
  <c r="D81" i="12"/>
  <c r="E65" i="12"/>
  <c r="L60" i="11"/>
  <c r="M60" i="11"/>
  <c r="D56" i="11"/>
  <c r="E56" i="11"/>
  <c r="C50" i="11"/>
  <c r="D44" i="11"/>
  <c r="D50" i="11"/>
  <c r="D20" i="11"/>
  <c r="E20" i="11"/>
  <c r="G65" i="11"/>
  <c r="E15" i="11"/>
  <c r="E60" i="12"/>
  <c r="F60" i="12"/>
  <c r="G60" i="12"/>
  <c r="H60" i="12"/>
  <c r="I60" i="12"/>
  <c r="J60" i="12"/>
  <c r="K60" i="12"/>
  <c r="L60" i="12"/>
  <c r="M60" i="12"/>
  <c r="N47" i="12"/>
  <c r="D44" i="12"/>
  <c r="D34" i="12"/>
  <c r="E34" i="12"/>
  <c r="N18" i="12"/>
  <c r="E15" i="12"/>
  <c r="C32" i="14"/>
  <c r="C34" i="14"/>
  <c r="C38" i="14"/>
  <c r="N56" i="12"/>
  <c r="N46" i="12"/>
  <c r="F78" i="11"/>
  <c r="F81" i="11"/>
  <c r="E81" i="11"/>
  <c r="F57" i="11"/>
  <c r="N57" i="11"/>
  <c r="G57" i="11"/>
  <c r="H57" i="11"/>
  <c r="I57" i="11"/>
  <c r="J57" i="11"/>
  <c r="K57" i="11"/>
  <c r="L57" i="11"/>
  <c r="M57" i="11"/>
  <c r="D46" i="11"/>
  <c r="E46" i="11"/>
  <c r="F46" i="11"/>
  <c r="G46" i="11"/>
  <c r="H46" i="11"/>
  <c r="I46" i="11"/>
  <c r="J46" i="11"/>
  <c r="K46" i="11"/>
  <c r="L46" i="11"/>
  <c r="M46" i="11"/>
  <c r="N34" i="11"/>
  <c r="C36" i="11"/>
  <c r="C12" i="10"/>
  <c r="C13" i="10"/>
  <c r="G37" i="10"/>
  <c r="N55" i="12"/>
  <c r="N49" i="12"/>
  <c r="N45" i="12"/>
  <c r="D67" i="11"/>
  <c r="D70" i="11"/>
  <c r="C70" i="11"/>
  <c r="N45" i="11"/>
  <c r="N55" i="11"/>
  <c r="D39" i="11"/>
  <c r="C41" i="11"/>
  <c r="H21" i="11"/>
  <c r="N21" i="11"/>
  <c r="N47" i="11"/>
  <c r="N18" i="11"/>
  <c r="D61" i="13"/>
  <c r="E39" i="13"/>
  <c r="F39" i="13"/>
  <c r="D41" i="13"/>
  <c r="G78" i="11"/>
  <c r="C33" i="14"/>
  <c r="F78" i="12"/>
  <c r="E81" i="12"/>
  <c r="G44" i="13"/>
  <c r="F50" i="13"/>
  <c r="C54" i="11"/>
  <c r="E36" i="11"/>
  <c r="F32" i="11"/>
  <c r="E55" i="13"/>
  <c r="F55" i="13"/>
  <c r="G55" i="13"/>
  <c r="H55" i="13"/>
  <c r="I55" i="13"/>
  <c r="D50" i="8"/>
  <c r="E44" i="8"/>
  <c r="E70" i="13"/>
  <c r="F65" i="13"/>
  <c r="D41" i="8"/>
  <c r="E39" i="8"/>
  <c r="D36" i="12"/>
  <c r="F15" i="12"/>
  <c r="H65" i="11"/>
  <c r="F65" i="12"/>
  <c r="N19" i="11"/>
  <c r="N24" i="12"/>
  <c r="N22" i="11"/>
  <c r="C62" i="13"/>
  <c r="N57" i="12"/>
  <c r="K53" i="13"/>
  <c r="N57" i="13"/>
  <c r="N47" i="8"/>
  <c r="C15" i="10"/>
  <c r="E34" i="10"/>
  <c r="G34" i="10"/>
  <c r="C22" i="10"/>
  <c r="C26" i="10"/>
  <c r="G54" i="13"/>
  <c r="D36" i="8"/>
  <c r="E30" i="8"/>
  <c r="F78" i="13"/>
  <c r="E81" i="13"/>
  <c r="E15" i="8"/>
  <c r="E53" i="12"/>
  <c r="B62" i="12"/>
  <c r="D41" i="11"/>
  <c r="E39" i="11"/>
  <c r="F39" i="11"/>
  <c r="D50" i="12"/>
  <c r="E44" i="12"/>
  <c r="F15" i="11"/>
  <c r="N60" i="11"/>
  <c r="G32" i="12"/>
  <c r="D13" i="10"/>
  <c r="H37" i="10"/>
  <c r="D22" i="10"/>
  <c r="D26" i="10"/>
  <c r="C54" i="12"/>
  <c r="D54" i="12"/>
  <c r="D81" i="13"/>
  <c r="N45" i="8"/>
  <c r="E53" i="11"/>
  <c r="H53" i="11"/>
  <c r="B62" i="11"/>
  <c r="N79" i="8"/>
  <c r="D12" i="6"/>
  <c r="D13" i="6"/>
  <c r="N19" i="8"/>
  <c r="N67" i="8"/>
  <c r="H54" i="8"/>
  <c r="C62" i="12"/>
  <c r="E41" i="11"/>
  <c r="F15" i="8"/>
  <c r="G65" i="12"/>
  <c r="E41" i="13"/>
  <c r="H37" i="6"/>
  <c r="D22" i="6"/>
  <c r="D26" i="6"/>
  <c r="D15" i="10"/>
  <c r="F34" i="10"/>
  <c r="H34" i="10"/>
  <c r="F30" i="8"/>
  <c r="I65" i="11"/>
  <c r="J65" i="11"/>
  <c r="G65" i="13"/>
  <c r="F44" i="8"/>
  <c r="E50" i="8"/>
  <c r="C62" i="11"/>
  <c r="D54" i="11"/>
  <c r="D62" i="11"/>
  <c r="G50" i="13"/>
  <c r="H44" i="13"/>
  <c r="F81" i="12"/>
  <c r="G78" i="12"/>
  <c r="H78" i="12"/>
  <c r="I54" i="8"/>
  <c r="G15" i="12"/>
  <c r="G81" i="11"/>
  <c r="H78" i="11"/>
  <c r="E61" i="13"/>
  <c r="F61" i="13"/>
  <c r="D62" i="13"/>
  <c r="H32" i="12"/>
  <c r="G15" i="11"/>
  <c r="H53" i="12"/>
  <c r="G78" i="13"/>
  <c r="F81" i="13"/>
  <c r="H54" i="13"/>
  <c r="N53" i="13"/>
  <c r="F39" i="8"/>
  <c r="E41" i="8"/>
  <c r="G32" i="11"/>
  <c r="F36" i="11"/>
  <c r="F41" i="8"/>
  <c r="G39" i="8"/>
  <c r="I54" i="13"/>
  <c r="J54" i="8"/>
  <c r="K54" i="8"/>
  <c r="K53" i="11"/>
  <c r="H65" i="12"/>
  <c r="F41" i="11"/>
  <c r="G39" i="11"/>
  <c r="I78" i="11"/>
  <c r="J78" i="11"/>
  <c r="H81" i="11"/>
  <c r="I44" i="13"/>
  <c r="G30" i="8"/>
  <c r="F41" i="13"/>
  <c r="G39" i="13"/>
  <c r="K53" i="12"/>
  <c r="N53" i="12"/>
  <c r="H65" i="13"/>
  <c r="G36" i="11"/>
  <c r="H32" i="11"/>
  <c r="G81" i="13"/>
  <c r="H78" i="13"/>
  <c r="H81" i="13"/>
  <c r="H15" i="11"/>
  <c r="I32" i="12"/>
  <c r="J32" i="12"/>
  <c r="E62" i="13"/>
  <c r="D62" i="12"/>
  <c r="E54" i="12"/>
  <c r="H15" i="12"/>
  <c r="G81" i="12"/>
  <c r="E54" i="11"/>
  <c r="F54" i="11"/>
  <c r="F50" i="8"/>
  <c r="G44" i="8"/>
  <c r="D15" i="6"/>
  <c r="F34" i="6"/>
  <c r="H34" i="6"/>
  <c r="G15" i="8"/>
  <c r="D27" i="6"/>
  <c r="J44" i="13"/>
  <c r="H39" i="8"/>
  <c r="I39" i="8"/>
  <c r="G41" i="8"/>
  <c r="I15" i="12"/>
  <c r="J15" i="12"/>
  <c r="I15" i="11"/>
  <c r="H36" i="11"/>
  <c r="I32" i="11"/>
  <c r="G41" i="13"/>
  <c r="H39" i="13"/>
  <c r="H15" i="8"/>
  <c r="F54" i="12"/>
  <c r="F62" i="12"/>
  <c r="E62" i="12"/>
  <c r="H30" i="8"/>
  <c r="I30" i="8"/>
  <c r="H39" i="11"/>
  <c r="H41" i="11"/>
  <c r="G41" i="11"/>
  <c r="J54" i="13"/>
  <c r="H44" i="8"/>
  <c r="G50" i="8"/>
  <c r="I65" i="13"/>
  <c r="J32" i="11"/>
  <c r="I36" i="11"/>
  <c r="J15" i="11"/>
  <c r="K44" i="13"/>
  <c r="L44" i="13"/>
  <c r="I39" i="11"/>
  <c r="J65" i="13"/>
  <c r="I44" i="8"/>
  <c r="I39" i="13"/>
  <c r="J39" i="13"/>
  <c r="H41" i="13"/>
  <c r="K54" i="13"/>
  <c r="I15" i="8"/>
  <c r="J15" i="8"/>
  <c r="H41" i="8"/>
  <c r="F32" i="6"/>
  <c r="H32" i="6"/>
  <c r="F33" i="6"/>
  <c r="H33" i="6"/>
  <c r="K65" i="13"/>
  <c r="J44" i="8"/>
  <c r="K44" i="8"/>
  <c r="J39" i="11"/>
  <c r="J41" i="11"/>
  <c r="I41" i="11"/>
  <c r="K15" i="11"/>
  <c r="K32" i="11"/>
  <c r="J36" i="11"/>
  <c r="L15" i="11"/>
  <c r="M15" i="11"/>
  <c r="K36" i="11"/>
  <c r="L32" i="11"/>
  <c r="L36" i="11"/>
  <c r="H7" i="8"/>
  <c r="K7" i="8" s="1"/>
  <c r="B10" i="13"/>
  <c r="E7" i="13"/>
  <c r="N16" i="11"/>
  <c r="N16" i="12"/>
  <c r="C16" i="12"/>
  <c r="D16" i="12"/>
  <c r="C20" i="10"/>
  <c r="D18" i="10"/>
  <c r="D20" i="10"/>
  <c r="F31" i="10"/>
  <c r="H31" i="10"/>
  <c r="H36" i="10"/>
  <c r="H38" i="10"/>
  <c r="H41" i="10"/>
  <c r="D49" i="10"/>
  <c r="D50" i="10"/>
  <c r="D51" i="10"/>
  <c r="E16" i="12"/>
  <c r="D27" i="12"/>
  <c r="C27" i="12"/>
  <c r="C16" i="11"/>
  <c r="C27" i="11"/>
  <c r="F16" i="12"/>
  <c r="E27" i="12"/>
  <c r="D27" i="10"/>
  <c r="F32" i="10"/>
  <c r="N48" i="13"/>
  <c r="F33" i="10"/>
  <c r="H33" i="10"/>
  <c r="H32" i="10"/>
  <c r="G16" i="12"/>
  <c r="F27" i="12"/>
  <c r="G27" i="12"/>
  <c r="H16" i="12"/>
  <c r="H27" i="12"/>
  <c r="I16" i="12"/>
  <c r="J16" i="12"/>
  <c r="K16" i="12"/>
  <c r="L16" i="12"/>
  <c r="M16" i="12"/>
  <c r="I27" i="12"/>
  <c r="E16" i="13"/>
  <c r="F16" i="13"/>
  <c r="G16" i="13" s="1"/>
  <c r="H16" i="13" s="1"/>
  <c r="I16" i="13" s="1"/>
  <c r="J16" i="13" s="1"/>
  <c r="K16" i="13" s="1"/>
  <c r="L16" i="13" s="1"/>
  <c r="M16" i="13" s="1"/>
  <c r="K15" i="8"/>
  <c r="K15" i="12"/>
  <c r="K32" i="12"/>
  <c r="J81" i="11"/>
  <c r="K78" i="11"/>
  <c r="L54" i="8"/>
  <c r="G61" i="13"/>
  <c r="H61" i="13"/>
  <c r="I61" i="13"/>
  <c r="J61" i="13"/>
  <c r="K61" i="13"/>
  <c r="L61" i="13"/>
  <c r="M61" i="13"/>
  <c r="J55" i="13"/>
  <c r="L44" i="8"/>
  <c r="J30" i="8"/>
  <c r="G54" i="11"/>
  <c r="H81" i="12"/>
  <c r="I78" i="12"/>
  <c r="J27" i="12"/>
  <c r="E31" i="10"/>
  <c r="G31" i="10"/>
  <c r="G36" i="10"/>
  <c r="G38" i="10"/>
  <c r="G41" i="10"/>
  <c r="C49" i="10"/>
  <c r="C50" i="10"/>
  <c r="C51" i="10"/>
  <c r="C27" i="10"/>
  <c r="J39" i="8"/>
  <c r="I41" i="8"/>
  <c r="D16" i="11"/>
  <c r="K39" i="13"/>
  <c r="J41" i="13"/>
  <c r="M44" i="13"/>
  <c r="K65" i="11"/>
  <c r="F56" i="11"/>
  <c r="G56" i="11"/>
  <c r="H56" i="11"/>
  <c r="I56" i="11"/>
  <c r="J56" i="11"/>
  <c r="K56" i="11"/>
  <c r="L56" i="11"/>
  <c r="M56" i="11"/>
  <c r="N20" i="12"/>
  <c r="E20" i="12"/>
  <c r="F20" i="12"/>
  <c r="G20" i="12"/>
  <c r="H20" i="12"/>
  <c r="I20" i="12"/>
  <c r="J20" i="12"/>
  <c r="K20" i="12"/>
  <c r="L20" i="12"/>
  <c r="M20" i="12"/>
  <c r="H46" i="8"/>
  <c r="I46" i="8"/>
  <c r="M32" i="11"/>
  <c r="L65" i="13"/>
  <c r="L54" i="13"/>
  <c r="I41" i="13"/>
  <c r="G54" i="12"/>
  <c r="I78" i="13"/>
  <c r="I81" i="11"/>
  <c r="I65" i="12"/>
  <c r="F31" i="6"/>
  <c r="H31" i="6"/>
  <c r="H36" i="6"/>
  <c r="H38" i="6"/>
  <c r="H41" i="6"/>
  <c r="D49" i="6"/>
  <c r="D50" i="6"/>
  <c r="D51" i="6"/>
  <c r="N46" i="11"/>
  <c r="E36" i="12"/>
  <c r="F34" i="12"/>
  <c r="F20" i="11"/>
  <c r="G20" i="11"/>
  <c r="H20" i="11"/>
  <c r="I20" i="11"/>
  <c r="J20" i="11"/>
  <c r="K20" i="11"/>
  <c r="L20" i="11"/>
  <c r="M20" i="11"/>
  <c r="H67" i="12"/>
  <c r="I67" i="12"/>
  <c r="J67" i="12"/>
  <c r="K67" i="12"/>
  <c r="L67" i="12"/>
  <c r="M67" i="12"/>
  <c r="H46" i="13"/>
  <c r="F34" i="8"/>
  <c r="G34" i="8"/>
  <c r="H34" i="8"/>
  <c r="I34" i="8"/>
  <c r="J34" i="8"/>
  <c r="K34" i="8"/>
  <c r="L34" i="8"/>
  <c r="M34" i="8"/>
  <c r="N34" i="8"/>
  <c r="E36" i="8"/>
  <c r="N15" i="11"/>
  <c r="N27" i="11"/>
  <c r="K39" i="11"/>
  <c r="E62" i="11"/>
  <c r="N53" i="11"/>
  <c r="F62" i="13"/>
  <c r="K79" i="13"/>
  <c r="L79" i="13"/>
  <c r="M79" i="13"/>
  <c r="N79" i="13"/>
  <c r="M49" i="13"/>
  <c r="N49" i="13"/>
  <c r="F44" i="12"/>
  <c r="E50" i="12"/>
  <c r="I24" i="11"/>
  <c r="J24" i="11"/>
  <c r="K24" i="11"/>
  <c r="L24" i="11"/>
  <c r="M24" i="11"/>
  <c r="J32" i="13"/>
  <c r="K32" i="13"/>
  <c r="L32" i="13"/>
  <c r="M32" i="13"/>
  <c r="F55" i="8"/>
  <c r="E62" i="8"/>
  <c r="E44" i="11"/>
  <c r="E67" i="11"/>
  <c r="N66" i="13"/>
  <c r="F49" i="11"/>
  <c r="G49" i="11"/>
  <c r="H49" i="11"/>
  <c r="I49" i="11"/>
  <c r="J49" i="11"/>
  <c r="K49" i="11"/>
  <c r="L49" i="11"/>
  <c r="M49" i="11"/>
  <c r="F65" i="8"/>
  <c r="G57" i="8"/>
  <c r="H57" i="8"/>
  <c r="I57" i="8"/>
  <c r="J57" i="8"/>
  <c r="K57" i="8"/>
  <c r="L57" i="8"/>
  <c r="M57" i="8"/>
  <c r="C39" i="14"/>
  <c r="C40" i="14"/>
  <c r="C41" i="14"/>
  <c r="N60" i="12"/>
  <c r="N19" i="12"/>
  <c r="E22" i="13"/>
  <c r="F22" i="13"/>
  <c r="G22" i="13"/>
  <c r="H22" i="13"/>
  <c r="I22" i="13"/>
  <c r="J22" i="13"/>
  <c r="K22" i="13"/>
  <c r="L22" i="13"/>
  <c r="M22" i="13"/>
  <c r="N22" i="13"/>
  <c r="N47" i="13"/>
  <c r="H49" i="8"/>
  <c r="I49" i="8"/>
  <c r="J49" i="8"/>
  <c r="K49" i="8"/>
  <c r="L49" i="8"/>
  <c r="M49" i="8"/>
  <c r="F32" i="8"/>
  <c r="K18" i="8"/>
  <c r="L18" i="8"/>
  <c r="M18" i="8"/>
  <c r="F60" i="13"/>
  <c r="G60" i="13"/>
  <c r="N22" i="12"/>
  <c r="N45" i="13"/>
  <c r="F67" i="13"/>
  <c r="C22" i="6"/>
  <c r="C26" i="6"/>
  <c r="E66" i="8"/>
  <c r="F66" i="8"/>
  <c r="G66" i="8"/>
  <c r="H66" i="8"/>
  <c r="I66" i="8"/>
  <c r="J66" i="8"/>
  <c r="K66" i="8"/>
  <c r="L66" i="8"/>
  <c r="M66" i="8"/>
  <c r="N66" i="8"/>
  <c r="C70" i="13"/>
  <c r="C13" i="6"/>
  <c r="G37" i="6"/>
  <c r="E30" i="13"/>
  <c r="D36" i="13"/>
  <c r="E66" i="11"/>
  <c r="B83" i="11"/>
  <c r="N56" i="13"/>
  <c r="D78" i="8"/>
  <c r="C70" i="8"/>
  <c r="C10" i="8"/>
  <c r="B83" i="12"/>
  <c r="E39" i="12"/>
  <c r="D41" i="12"/>
  <c r="D66" i="12"/>
  <c r="C70" i="12"/>
  <c r="C83" i="12"/>
  <c r="N7" i="11"/>
  <c r="H7" i="11"/>
  <c r="K7" i="11"/>
  <c r="C81" i="11"/>
  <c r="C83" i="11"/>
  <c r="E41" i="12"/>
  <c r="F39" i="12"/>
  <c r="F66" i="11"/>
  <c r="E70" i="11"/>
  <c r="F44" i="11"/>
  <c r="E50" i="11"/>
  <c r="L39" i="11"/>
  <c r="K41" i="11"/>
  <c r="N20" i="11"/>
  <c r="N56" i="11"/>
  <c r="D27" i="11"/>
  <c r="D83" i="11"/>
  <c r="E16" i="11"/>
  <c r="E33" i="10"/>
  <c r="G33" i="10"/>
  <c r="E32" i="10"/>
  <c r="G32" i="10"/>
  <c r="L15" i="12"/>
  <c r="K27" i="12"/>
  <c r="N24" i="11"/>
  <c r="C15" i="6"/>
  <c r="H60" i="13"/>
  <c r="G62" i="13"/>
  <c r="G32" i="8"/>
  <c r="F36" i="8"/>
  <c r="G65" i="8"/>
  <c r="F70" i="8"/>
  <c r="M54" i="13"/>
  <c r="N54" i="13"/>
  <c r="N32" i="11"/>
  <c r="M36" i="11"/>
  <c r="N36" i="11"/>
  <c r="K41" i="13"/>
  <c r="L39" i="13"/>
  <c r="F62" i="11"/>
  <c r="K30" i="8"/>
  <c r="K55" i="13"/>
  <c r="K81" i="11"/>
  <c r="L78" i="11"/>
  <c r="L32" i="12"/>
  <c r="L15" i="8"/>
  <c r="E78" i="8"/>
  <c r="D81" i="8"/>
  <c r="G67" i="13"/>
  <c r="F70" i="13"/>
  <c r="E70" i="8"/>
  <c r="G44" i="12"/>
  <c r="F50" i="12"/>
  <c r="J46" i="8"/>
  <c r="I50" i="8"/>
  <c r="E66" i="12"/>
  <c r="D70" i="12"/>
  <c r="D83" i="12"/>
  <c r="F30" i="13"/>
  <c r="E36" i="13"/>
  <c r="N18" i="8"/>
  <c r="N49" i="8"/>
  <c r="N57" i="8"/>
  <c r="N49" i="11"/>
  <c r="G55" i="8"/>
  <c r="F62" i="8"/>
  <c r="N32" i="13"/>
  <c r="I46" i="13"/>
  <c r="H50" i="13"/>
  <c r="N67" i="12"/>
  <c r="I81" i="13"/>
  <c r="J78" i="13"/>
  <c r="L65" i="11"/>
  <c r="N44" i="13"/>
  <c r="J78" i="12"/>
  <c r="I81" i="12"/>
  <c r="H54" i="11"/>
  <c r="G62" i="11"/>
  <c r="M44" i="8"/>
  <c r="N44" i="8"/>
  <c r="N61" i="13"/>
  <c r="M54" i="8"/>
  <c r="C5" i="11"/>
  <c r="D5" i="11"/>
  <c r="E5" i="11"/>
  <c r="F5" i="11"/>
  <c r="G5" i="11"/>
  <c r="H5" i="11"/>
  <c r="I5" i="11"/>
  <c r="J5" i="11"/>
  <c r="K5" i="11"/>
  <c r="L5" i="11"/>
  <c r="M5" i="11"/>
  <c r="N5" i="11"/>
  <c r="F67" i="11"/>
  <c r="G67" i="11"/>
  <c r="H67" i="11"/>
  <c r="I67" i="11"/>
  <c r="J67" i="11"/>
  <c r="K67" i="11"/>
  <c r="L67" i="11"/>
  <c r="M67" i="11"/>
  <c r="G34" i="12"/>
  <c r="F36" i="12"/>
  <c r="J65" i="12"/>
  <c r="H54" i="12"/>
  <c r="G62" i="12"/>
  <c r="M65" i="13"/>
  <c r="N65" i="13"/>
  <c r="H50" i="8"/>
  <c r="J41" i="8"/>
  <c r="K39" i="8"/>
  <c r="N5" i="12"/>
  <c r="C5" i="12"/>
  <c r="D5" i="12"/>
  <c r="E5" i="12"/>
  <c r="F5" i="12"/>
  <c r="G5" i="12"/>
  <c r="H5" i="12"/>
  <c r="I5" i="12"/>
  <c r="J5" i="12"/>
  <c r="K5" i="12"/>
  <c r="L5" i="12"/>
  <c r="M5" i="12"/>
  <c r="N54" i="8"/>
  <c r="H34" i="12"/>
  <c r="G36" i="12"/>
  <c r="M65" i="11"/>
  <c r="M70" i="11"/>
  <c r="N65" i="11"/>
  <c r="K65" i="12"/>
  <c r="N67" i="11"/>
  <c r="H62" i="11"/>
  <c r="I54" i="11"/>
  <c r="H55" i="8"/>
  <c r="G62" i="8"/>
  <c r="G30" i="13"/>
  <c r="F36" i="13"/>
  <c r="M15" i="8"/>
  <c r="L55" i="13"/>
  <c r="L30" i="8"/>
  <c r="C4" i="12"/>
  <c r="B10" i="12"/>
  <c r="N4" i="12"/>
  <c r="M39" i="13"/>
  <c r="M41" i="13"/>
  <c r="L41" i="13"/>
  <c r="N41" i="13"/>
  <c r="H32" i="8"/>
  <c r="G36" i="8"/>
  <c r="L39" i="8"/>
  <c r="K41" i="8"/>
  <c r="I54" i="12"/>
  <c r="H62" i="12"/>
  <c r="J81" i="13"/>
  <c r="K78" i="13"/>
  <c r="M78" i="11"/>
  <c r="M81" i="11"/>
  <c r="L81" i="11"/>
  <c r="B10" i="11"/>
  <c r="N4" i="11"/>
  <c r="C4" i="11"/>
  <c r="E27" i="11"/>
  <c r="E83" i="11"/>
  <c r="F16" i="11"/>
  <c r="G66" i="11"/>
  <c r="F70" i="11"/>
  <c r="J81" i="12"/>
  <c r="K78" i="12"/>
  <c r="J46" i="13"/>
  <c r="I50" i="13"/>
  <c r="E81" i="8"/>
  <c r="F78" i="8"/>
  <c r="H65" i="8"/>
  <c r="G70" i="8"/>
  <c r="I60" i="13"/>
  <c r="H62" i="13"/>
  <c r="F66" i="12"/>
  <c r="E70" i="12"/>
  <c r="E83" i="12"/>
  <c r="K46" i="8"/>
  <c r="J50" i="8"/>
  <c r="H44" i="12"/>
  <c r="G50" i="12"/>
  <c r="H67" i="13"/>
  <c r="G70" i="13"/>
  <c r="M32" i="12"/>
  <c r="N32" i="12"/>
  <c r="E34" i="6"/>
  <c r="G34" i="6"/>
  <c r="C27" i="6"/>
  <c r="E31" i="6"/>
  <c r="G31" i="6"/>
  <c r="M15" i="12"/>
  <c r="M27" i="12"/>
  <c r="L27" i="12"/>
  <c r="M39" i="11"/>
  <c r="M41" i="11"/>
  <c r="L41" i="11"/>
  <c r="N41" i="11"/>
  <c r="F50" i="11"/>
  <c r="G44" i="11"/>
  <c r="F41" i="12"/>
  <c r="G39" i="12"/>
  <c r="I67" i="13"/>
  <c r="H70" i="13"/>
  <c r="K81" i="12"/>
  <c r="L78" i="12"/>
  <c r="C10" i="11"/>
  <c r="C87" i="11"/>
  <c r="C89" i="11"/>
  <c r="D4" i="11"/>
  <c r="J54" i="12"/>
  <c r="I62" i="12"/>
  <c r="I32" i="8"/>
  <c r="H36" i="8"/>
  <c r="G36" i="13"/>
  <c r="H30" i="13"/>
  <c r="H39" i="12"/>
  <c r="G41" i="12"/>
  <c r="H66" i="11"/>
  <c r="G70" i="11"/>
  <c r="M55" i="13"/>
  <c r="N55" i="13"/>
  <c r="L65" i="12"/>
  <c r="N39" i="11"/>
  <c r="J60" i="13"/>
  <c r="I62" i="13"/>
  <c r="I44" i="12"/>
  <c r="H50" i="12"/>
  <c r="G78" i="8"/>
  <c r="F81" i="8"/>
  <c r="K46" i="13"/>
  <c r="J50" i="13"/>
  <c r="G16" i="11"/>
  <c r="F27" i="11"/>
  <c r="F83" i="11"/>
  <c r="N10" i="11"/>
  <c r="B87" i="11"/>
  <c r="B89" i="11"/>
  <c r="M39" i="8"/>
  <c r="M41" i="8"/>
  <c r="N41" i="8"/>
  <c r="L41" i="8"/>
  <c r="N39" i="13"/>
  <c r="N10" i="12"/>
  <c r="B87" i="12"/>
  <c r="B89" i="12"/>
  <c r="M30" i="8"/>
  <c r="N15" i="8"/>
  <c r="I55" i="8"/>
  <c r="H62" i="8"/>
  <c r="I62" i="11"/>
  <c r="J54" i="11"/>
  <c r="I34" i="12"/>
  <c r="H36" i="12"/>
  <c r="L46" i="8"/>
  <c r="K50" i="8"/>
  <c r="H44" i="11"/>
  <c r="G50" i="11"/>
  <c r="N15" i="12"/>
  <c r="N27" i="12"/>
  <c r="E33" i="6"/>
  <c r="G33" i="6"/>
  <c r="E32" i="6"/>
  <c r="G32" i="6"/>
  <c r="G36" i="6"/>
  <c r="G38" i="6"/>
  <c r="G41" i="6"/>
  <c r="C49" i="6"/>
  <c r="C50" i="6"/>
  <c r="C51" i="6"/>
  <c r="G66" i="12"/>
  <c r="F70" i="12"/>
  <c r="F83" i="12"/>
  <c r="I65" i="8"/>
  <c r="H70" i="8"/>
  <c r="N78" i="11"/>
  <c r="N81" i="11"/>
  <c r="L78" i="13"/>
  <c r="K81" i="13"/>
  <c r="D4" i="12"/>
  <c r="C10" i="12"/>
  <c r="C87" i="12"/>
  <c r="C89" i="12"/>
  <c r="N39" i="8"/>
  <c r="J62" i="11"/>
  <c r="K54" i="11"/>
  <c r="J55" i="8"/>
  <c r="I62" i="8"/>
  <c r="M46" i="8"/>
  <c r="M50" i="8"/>
  <c r="L50" i="8"/>
  <c r="H16" i="11"/>
  <c r="G27" i="11"/>
  <c r="G83" i="11"/>
  <c r="H78" i="8"/>
  <c r="G81" i="8"/>
  <c r="I39" i="12"/>
  <c r="H41" i="12"/>
  <c r="D10" i="11"/>
  <c r="D87" i="11"/>
  <c r="D89" i="11"/>
  <c r="E4" i="11"/>
  <c r="L81" i="13"/>
  <c r="M78" i="13"/>
  <c r="H66" i="12"/>
  <c r="G70" i="12"/>
  <c r="G83" i="12"/>
  <c r="J34" i="12"/>
  <c r="I36" i="12"/>
  <c r="K60" i="13"/>
  <c r="J62" i="13"/>
  <c r="I66" i="11"/>
  <c r="H70" i="11"/>
  <c r="K54" i="12"/>
  <c r="J62" i="12"/>
  <c r="J67" i="13"/>
  <c r="I70" i="13"/>
  <c r="N46" i="8"/>
  <c r="N50" i="8"/>
  <c r="E4" i="12"/>
  <c r="D10" i="12"/>
  <c r="D87" i="12"/>
  <c r="D89" i="12"/>
  <c r="I70" i="8"/>
  <c r="J65" i="8"/>
  <c r="H50" i="11"/>
  <c r="I44" i="11"/>
  <c r="N30" i="8"/>
  <c r="L46" i="13"/>
  <c r="K50" i="13"/>
  <c r="I50" i="12"/>
  <c r="J44" i="12"/>
  <c r="M65" i="12"/>
  <c r="I30" i="13"/>
  <c r="H36" i="13"/>
  <c r="J32" i="8"/>
  <c r="I36" i="8"/>
  <c r="L81" i="12"/>
  <c r="M78" i="12"/>
  <c r="M46" i="13"/>
  <c r="M50" i="13"/>
  <c r="L50" i="13"/>
  <c r="J70" i="8"/>
  <c r="K65" i="8"/>
  <c r="K34" i="12"/>
  <c r="J36" i="12"/>
  <c r="I36" i="13"/>
  <c r="J30" i="13"/>
  <c r="K44" i="12"/>
  <c r="J50" i="12"/>
  <c r="L54" i="12"/>
  <c r="K62" i="12"/>
  <c r="J44" i="11"/>
  <c r="I50" i="11"/>
  <c r="K32" i="8"/>
  <c r="J36" i="8"/>
  <c r="K67" i="13"/>
  <c r="J70" i="13"/>
  <c r="I66" i="12"/>
  <c r="H70" i="12"/>
  <c r="H83" i="12"/>
  <c r="K55" i="8"/>
  <c r="J62" i="8"/>
  <c r="J39" i="12"/>
  <c r="I41" i="12"/>
  <c r="L60" i="13"/>
  <c r="K62" i="13"/>
  <c r="F4" i="11"/>
  <c r="E10" i="11"/>
  <c r="E87" i="11"/>
  <c r="E89" i="11"/>
  <c r="I78" i="8"/>
  <c r="H81" i="8"/>
  <c r="N65" i="12"/>
  <c r="M81" i="12"/>
  <c r="N78" i="12"/>
  <c r="N81" i="12"/>
  <c r="F4" i="12"/>
  <c r="E10" i="12"/>
  <c r="E87" i="12"/>
  <c r="E89" i="12"/>
  <c r="J66" i="11"/>
  <c r="I70" i="11"/>
  <c r="M81" i="13"/>
  <c r="N78" i="13"/>
  <c r="N81" i="13"/>
  <c r="H27" i="11"/>
  <c r="H83" i="11"/>
  <c r="I16" i="11"/>
  <c r="K62" i="11"/>
  <c r="L54" i="11"/>
  <c r="I83" i="12"/>
  <c r="G4" i="12"/>
  <c r="F10" i="12"/>
  <c r="F87" i="12"/>
  <c r="F89" i="12"/>
  <c r="L67" i="13"/>
  <c r="K70" i="13"/>
  <c r="K44" i="11"/>
  <c r="J50" i="11"/>
  <c r="K30" i="13"/>
  <c r="J36" i="13"/>
  <c r="L65" i="8"/>
  <c r="K70" i="8"/>
  <c r="L62" i="11"/>
  <c r="M54" i="11"/>
  <c r="M62" i="11"/>
  <c r="J66" i="12"/>
  <c r="I70" i="12"/>
  <c r="N46" i="13"/>
  <c r="N50" i="13"/>
  <c r="M54" i="12"/>
  <c r="L62" i="12"/>
  <c r="J16" i="11"/>
  <c r="I27" i="11"/>
  <c r="I83" i="11"/>
  <c r="G4" i="11"/>
  <c r="F10" i="11"/>
  <c r="F87" i="11"/>
  <c r="F89" i="11"/>
  <c r="L55" i="8"/>
  <c r="K62" i="8"/>
  <c r="L32" i="8"/>
  <c r="K36" i="8"/>
  <c r="J41" i="12"/>
  <c r="K39" i="12"/>
  <c r="K66" i="11"/>
  <c r="J70" i="11"/>
  <c r="J78" i="8"/>
  <c r="I81" i="8"/>
  <c r="K50" i="12"/>
  <c r="L44" i="12"/>
  <c r="M60" i="13"/>
  <c r="M62" i="13"/>
  <c r="L62" i="13"/>
  <c r="L34" i="12"/>
  <c r="K36" i="12"/>
  <c r="K66" i="12"/>
  <c r="J70" i="12"/>
  <c r="J83" i="12"/>
  <c r="K36" i="13"/>
  <c r="L30" i="13"/>
  <c r="L50" i="12"/>
  <c r="M44" i="12"/>
  <c r="K78" i="8"/>
  <c r="J81" i="8"/>
  <c r="M34" i="12"/>
  <c r="L36" i="12"/>
  <c r="L39" i="12"/>
  <c r="K41" i="12"/>
  <c r="M32" i="8"/>
  <c r="L36" i="8"/>
  <c r="N54" i="11"/>
  <c r="N62" i="11"/>
  <c r="L70" i="8"/>
  <c r="M65" i="8"/>
  <c r="K50" i="11"/>
  <c r="L44" i="11"/>
  <c r="H4" i="12"/>
  <c r="G10" i="12"/>
  <c r="G87" i="12"/>
  <c r="G89" i="12"/>
  <c r="H4" i="11"/>
  <c r="G10" i="11"/>
  <c r="G87" i="11"/>
  <c r="G89" i="11"/>
  <c r="L66" i="11"/>
  <c r="L70" i="11"/>
  <c r="K70" i="11"/>
  <c r="N66" i="11"/>
  <c r="N70" i="11"/>
  <c r="J27" i="11"/>
  <c r="J83" i="11"/>
  <c r="K16" i="11"/>
  <c r="M55" i="8"/>
  <c r="M62" i="8"/>
  <c r="L62" i="8"/>
  <c r="M67" i="13"/>
  <c r="L70" i="13"/>
  <c r="M62" i="12"/>
  <c r="N54" i="12"/>
  <c r="N62" i="12"/>
  <c r="N60" i="13"/>
  <c r="N62" i="13"/>
  <c r="M36" i="12"/>
  <c r="N34" i="12"/>
  <c r="L66" i="12"/>
  <c r="K70" i="12"/>
  <c r="K83" i="12"/>
  <c r="H10" i="11"/>
  <c r="H87" i="11"/>
  <c r="H89" i="11"/>
  <c r="I4" i="11"/>
  <c r="M70" i="8"/>
  <c r="N65" i="8"/>
  <c r="N70" i="8"/>
  <c r="M50" i="12"/>
  <c r="N44" i="12"/>
  <c r="N50" i="12"/>
  <c r="M30" i="13"/>
  <c r="L36" i="13"/>
  <c r="M44" i="11"/>
  <c r="M50" i="11"/>
  <c r="L50" i="11"/>
  <c r="M36" i="8"/>
  <c r="N32" i="8"/>
  <c r="L16" i="11"/>
  <c r="K27" i="11"/>
  <c r="K83" i="11"/>
  <c r="M70" i="13"/>
  <c r="N67" i="13"/>
  <c r="N70" i="13"/>
  <c r="I4" i="12"/>
  <c r="H10" i="12"/>
  <c r="H87" i="12"/>
  <c r="H89" i="12"/>
  <c r="L41" i="12"/>
  <c r="M39" i="12"/>
  <c r="K81" i="8"/>
  <c r="L78" i="8"/>
  <c r="N55" i="8"/>
  <c r="N62" i="8"/>
  <c r="M41" i="12"/>
  <c r="N41" i="12"/>
  <c r="N39" i="12"/>
  <c r="J4" i="12"/>
  <c r="I10" i="12"/>
  <c r="I87" i="12"/>
  <c r="I89" i="12"/>
  <c r="M78" i="8"/>
  <c r="L81" i="8"/>
  <c r="N36" i="8"/>
  <c r="J4" i="11"/>
  <c r="I10" i="11"/>
  <c r="I87" i="11"/>
  <c r="I89" i="11"/>
  <c r="L27" i="11"/>
  <c r="L83" i="11"/>
  <c r="M16" i="11"/>
  <c r="M27" i="11"/>
  <c r="M83" i="11"/>
  <c r="N44" i="11"/>
  <c r="N50" i="11"/>
  <c r="N83" i="11"/>
  <c r="N87" i="11"/>
  <c r="N88" i="11"/>
  <c r="N89" i="11"/>
  <c r="M36" i="13"/>
  <c r="N36" i="13"/>
  <c r="N30" i="13"/>
  <c r="M66" i="12"/>
  <c r="L70" i="12"/>
  <c r="L83" i="12"/>
  <c r="N36" i="12"/>
  <c r="M81" i="8"/>
  <c r="N78" i="8"/>
  <c r="N81" i="8"/>
  <c r="J10" i="11"/>
  <c r="J87" i="11"/>
  <c r="J89" i="11"/>
  <c r="K4" i="11"/>
  <c r="N66" i="12"/>
  <c r="N70" i="12"/>
  <c r="N83" i="12"/>
  <c r="N87" i="12"/>
  <c r="N88" i="12"/>
  <c r="N89" i="12"/>
  <c r="M70" i="12"/>
  <c r="M83" i="12"/>
  <c r="K4" i="12"/>
  <c r="J10" i="12"/>
  <c r="J87" i="12"/>
  <c r="J89" i="12"/>
  <c r="L4" i="11"/>
  <c r="K10" i="11"/>
  <c r="K87" i="11"/>
  <c r="K89" i="11"/>
  <c r="L4" i="12"/>
  <c r="K10" i="12"/>
  <c r="K87" i="12"/>
  <c r="K89" i="12"/>
  <c r="M4" i="12"/>
  <c r="M10" i="12"/>
  <c r="M87" i="12"/>
  <c r="M89" i="12"/>
  <c r="L10" i="12"/>
  <c r="L87" i="12"/>
  <c r="L89" i="12"/>
  <c r="M4" i="11"/>
  <c r="M10" i="11"/>
  <c r="M87" i="11"/>
  <c r="M89" i="11"/>
  <c r="L10" i="11"/>
  <c r="L87" i="11"/>
  <c r="L89" i="11"/>
  <c r="F5" i="13"/>
  <c r="G5" i="13"/>
  <c r="H5" i="13"/>
  <c r="I5" i="13"/>
  <c r="J5" i="13"/>
  <c r="K5" i="13"/>
  <c r="L5" i="13"/>
  <c r="M5" i="13"/>
  <c r="D10" i="13"/>
  <c r="E4" i="13"/>
  <c r="E5" i="8"/>
  <c r="F5" i="8"/>
  <c r="G5" i="8"/>
  <c r="H5" i="8"/>
  <c r="I5" i="8"/>
  <c r="J5" i="8"/>
  <c r="K5" i="8"/>
  <c r="L5" i="8"/>
  <c r="M5" i="8"/>
  <c r="D10" i="8"/>
  <c r="E4" i="8"/>
  <c r="N5" i="13"/>
  <c r="F4" i="13"/>
  <c r="E10" i="13"/>
  <c r="N5" i="8"/>
  <c r="E10" i="8"/>
  <c r="F4" i="8"/>
  <c r="F10" i="13"/>
  <c r="G4" i="13"/>
  <c r="F10" i="8"/>
  <c r="G4" i="8"/>
  <c r="H4" i="13"/>
  <c r="G10" i="13"/>
  <c r="H4" i="8"/>
  <c r="G10" i="8"/>
  <c r="I4" i="13"/>
  <c r="I4" i="8"/>
  <c r="H10" i="8"/>
  <c r="I10" i="13"/>
  <c r="J4" i="13"/>
  <c r="I10" i="8"/>
  <c r="J4" i="8"/>
  <c r="K4" i="13"/>
  <c r="J10" i="13"/>
  <c r="K4" i="8"/>
  <c r="J10" i="8"/>
  <c r="L4" i="13"/>
  <c r="L4" i="8"/>
  <c r="M4" i="13"/>
  <c r="L10" i="13"/>
  <c r="M4" i="8"/>
  <c r="L10" i="8"/>
  <c r="M10" i="13"/>
  <c r="N4" i="13"/>
  <c r="M10" i="8"/>
  <c r="N4" i="8"/>
  <c r="H7" i="13" l="1"/>
  <c r="N7" i="8"/>
  <c r="K10" i="8"/>
  <c r="N10" i="8" s="1"/>
  <c r="D16" i="8"/>
  <c r="N19" i="13"/>
  <c r="N16" i="13"/>
  <c r="D27" i="17"/>
  <c r="B15" i="13" s="1"/>
  <c r="B27" i="13" s="1"/>
  <c r="B83" i="13" s="1"/>
  <c r="B87" i="13" s="1"/>
  <c r="B89" i="13" s="1"/>
  <c r="D17" i="17"/>
  <c r="D18" i="17" s="1"/>
  <c r="H10" i="13" l="1"/>
  <c r="K7" i="13"/>
  <c r="K10" i="13" s="1"/>
  <c r="N7" i="13"/>
  <c r="D27" i="8"/>
  <c r="D83" i="8" s="1"/>
  <c r="D87" i="8" s="1"/>
  <c r="D89" i="8" s="1"/>
  <c r="E16" i="8"/>
  <c r="C15" i="13"/>
  <c r="C27" i="13" s="1"/>
  <c r="C83" i="13" s="1"/>
  <c r="C87" i="13" s="1"/>
  <c r="C89" i="13" s="1"/>
  <c r="D15" i="13"/>
  <c r="N10" i="13" l="1"/>
  <c r="F16" i="8"/>
  <c r="E27" i="8"/>
  <c r="E83" i="8" s="1"/>
  <c r="E87" i="8" s="1"/>
  <c r="E89" i="8" s="1"/>
  <c r="E15" i="13"/>
  <c r="D27" i="13"/>
  <c r="D83" i="13" s="1"/>
  <c r="D87" i="13" s="1"/>
  <c r="D89" i="13" s="1"/>
  <c r="G16" i="8" l="1"/>
  <c r="F27" i="8"/>
  <c r="F83" i="8" s="1"/>
  <c r="F87" i="8" s="1"/>
  <c r="F89" i="8" s="1"/>
  <c r="E27" i="13"/>
  <c r="E83" i="13" s="1"/>
  <c r="E87" i="13" s="1"/>
  <c r="E89" i="13" s="1"/>
  <c r="F15" i="13"/>
  <c r="H16" i="8" l="1"/>
  <c r="G27" i="8"/>
  <c r="G83" i="8" s="1"/>
  <c r="G87" i="8" s="1"/>
  <c r="G89" i="8" s="1"/>
  <c r="G15" i="13"/>
  <c r="F27" i="13"/>
  <c r="F83" i="13" s="1"/>
  <c r="F87" i="13" s="1"/>
  <c r="F89" i="13" s="1"/>
  <c r="I16" i="8" l="1"/>
  <c r="H27" i="8"/>
  <c r="H83" i="8" s="1"/>
  <c r="H87" i="8" s="1"/>
  <c r="H89" i="8" s="1"/>
  <c r="G27" i="13"/>
  <c r="G83" i="13" s="1"/>
  <c r="G87" i="13" s="1"/>
  <c r="G89" i="13" s="1"/>
  <c r="H15" i="13"/>
  <c r="J16" i="8" l="1"/>
  <c r="I27" i="8"/>
  <c r="I83" i="8" s="1"/>
  <c r="I87" i="8" s="1"/>
  <c r="I89" i="8" s="1"/>
  <c r="I15" i="13"/>
  <c r="H27" i="13"/>
  <c r="H83" i="13" s="1"/>
  <c r="H87" i="13" s="1"/>
  <c r="H89" i="13" s="1"/>
  <c r="K16" i="8" l="1"/>
  <c r="J27" i="8"/>
  <c r="J83" i="8" s="1"/>
  <c r="J87" i="8" s="1"/>
  <c r="J89" i="8" s="1"/>
  <c r="I27" i="13"/>
  <c r="I83" i="13" s="1"/>
  <c r="I87" i="13" s="1"/>
  <c r="I89" i="13" s="1"/>
  <c r="J15" i="13"/>
  <c r="K27" i="8" l="1"/>
  <c r="K83" i="8" s="1"/>
  <c r="K87" i="8" s="1"/>
  <c r="K89" i="8" s="1"/>
  <c r="L16" i="8"/>
  <c r="K15" i="13"/>
  <c r="J27" i="13"/>
  <c r="J83" i="13" s="1"/>
  <c r="J87" i="13" s="1"/>
  <c r="J89" i="13" s="1"/>
  <c r="L27" i="8" l="1"/>
  <c r="L83" i="8" s="1"/>
  <c r="L87" i="8" s="1"/>
  <c r="L89" i="8" s="1"/>
  <c r="M16" i="8"/>
  <c r="L15" i="13"/>
  <c r="K27" i="13"/>
  <c r="K83" i="13" s="1"/>
  <c r="K87" i="13" s="1"/>
  <c r="K89" i="13" s="1"/>
  <c r="M27" i="8" l="1"/>
  <c r="M83" i="8" s="1"/>
  <c r="M87" i="8" s="1"/>
  <c r="M89" i="8" s="1"/>
  <c r="N16" i="8"/>
  <c r="N27" i="8" s="1"/>
  <c r="N83" i="8" s="1"/>
  <c r="N87" i="8" s="1"/>
  <c r="N88" i="8" s="1"/>
  <c r="N89" i="8" s="1"/>
  <c r="L27" i="13"/>
  <c r="L83" i="13" s="1"/>
  <c r="L87" i="13" s="1"/>
  <c r="L89" i="13" s="1"/>
  <c r="M15" i="13"/>
  <c r="M27" i="13" l="1"/>
  <c r="M83" i="13" s="1"/>
  <c r="M87" i="13" s="1"/>
  <c r="M89" i="13" s="1"/>
  <c r="N15" i="13"/>
  <c r="N27" i="13" s="1"/>
  <c r="N83" i="13" s="1"/>
  <c r="N87" i="13" s="1"/>
  <c r="N88" i="13" s="1"/>
  <c r="N89" i="13" s="1"/>
</calcChain>
</file>

<file path=xl/sharedStrings.xml><?xml version="1.0" encoding="utf-8"?>
<sst xmlns="http://schemas.openxmlformats.org/spreadsheetml/2006/main" count="767" uniqueCount="231">
  <si>
    <t>Opgave Boligkøb - III</t>
  </si>
  <si>
    <t>Skatteberegningsprogram 2010</t>
  </si>
  <si>
    <t>Jens og Anna</t>
  </si>
  <si>
    <t>Jens</t>
  </si>
  <si>
    <t>Anna</t>
  </si>
  <si>
    <t xml:space="preserve"> </t>
  </si>
  <si>
    <t>Arbejdsmarkedsbidrag</t>
  </si>
  <si>
    <t>Indskud på kapitalpension</t>
  </si>
  <si>
    <t>Personfradrag</t>
  </si>
  <si>
    <t>Skatteloft</t>
  </si>
  <si>
    <t>Ren løn</t>
  </si>
  <si>
    <t xml:space="preserve"> - pensionsindbetaling 5 pct.(arb.giver)</t>
  </si>
  <si>
    <t xml:space="preserve"> + firmabil</t>
  </si>
  <si>
    <t xml:space="preserve"> + multimedieskat</t>
  </si>
  <si>
    <t>Bruttoarbejdsindkomst</t>
  </si>
  <si>
    <t>- Indskud på Ratepension</t>
  </si>
  <si>
    <t>= Personlig Indkomst</t>
  </si>
  <si>
    <t>Renteindtægter</t>
  </si>
  <si>
    <t>Prioritetsrenteudgfter</t>
  </si>
  <si>
    <t>Andre renteudgifter</t>
  </si>
  <si>
    <t>+ Kapitalindkomst  i alt</t>
  </si>
  <si>
    <t>Maksimalt</t>
  </si>
  <si>
    <t>Beskæftigelsesfradrag 4,25%</t>
  </si>
  <si>
    <t>Maksimum 13600</t>
  </si>
  <si>
    <t>A-kasse, fagforening, efterløn</t>
  </si>
  <si>
    <t>IDA</t>
  </si>
  <si>
    <t>http://www.iak.dk/Bliv_medlem/Kontingent.aspx</t>
  </si>
  <si>
    <t>Befordring</t>
  </si>
  <si>
    <t>Pædagogisk</t>
  </si>
  <si>
    <t>http://www.bupl.dk/iwfile/BALG-86JG4F/$file/Kontingent%20juli%202010.pdf</t>
  </si>
  <si>
    <t>Andre ligningsmæssige fradrag</t>
  </si>
  <si>
    <t>http://www.skm.dk/tal_statistik/skatteberegning/7940.html</t>
  </si>
  <si>
    <t>- Ligningsmæssige fradrag i alt</t>
  </si>
  <si>
    <t>= Skattepligtig indkomst</t>
  </si>
  <si>
    <t>Beregningsgrundlag</t>
  </si>
  <si>
    <t>Skat</t>
  </si>
  <si>
    <t>Beregning af skat</t>
  </si>
  <si>
    <t>Procent</t>
  </si>
  <si>
    <t>Bundfradag/
personfradrag</t>
  </si>
  <si>
    <t>Bundskat</t>
  </si>
  <si>
    <t>Sundhedsskat</t>
  </si>
  <si>
    <t>Kommuneskat</t>
  </si>
  <si>
    <t>Topskat</t>
  </si>
  <si>
    <t>Evt. nedslag i topskatten</t>
  </si>
  <si>
    <t xml:space="preserve">A-Skat </t>
  </si>
  <si>
    <t>AM-bidrag</t>
  </si>
  <si>
    <t>Skat i alt excl. Grøn check og ejendomsværdiskat</t>
  </si>
  <si>
    <t>Ejendomsværdiskat</t>
  </si>
  <si>
    <t>- GRØN CHECK</t>
  </si>
  <si>
    <t>Jens får ingen grøncheck, da hans personlige indkomst er for høj</t>
  </si>
  <si>
    <t>Skat i alt incl GRØN CHECK</t>
  </si>
  <si>
    <t>Anna får fuld grøn check, da hun hendes indkomstgrundlag for topskat er under 362.800 kr.</t>
  </si>
  <si>
    <t>Indkomst efter skat</t>
  </si>
  <si>
    <t>Lønindkomst</t>
  </si>
  <si>
    <t>- pensionsindbetaling (arb.)</t>
  </si>
  <si>
    <t>- skat</t>
  </si>
  <si>
    <t>Lønindkomst efter skat, om år</t>
  </si>
  <si>
    <t>Lønindkomst efter skat,  pr. måned</t>
  </si>
  <si>
    <t>Marginalskat</t>
  </si>
  <si>
    <t>S+B+K+T</t>
  </si>
  <si>
    <t>S+B+K</t>
  </si>
  <si>
    <t>sats</t>
  </si>
  <si>
    <t>dage</t>
  </si>
  <si>
    <t>km/dag</t>
  </si>
  <si>
    <t>min.</t>
  </si>
  <si>
    <t>frad./dag</t>
  </si>
  <si>
    <t>fradrag i alt</t>
  </si>
  <si>
    <t>Over 100 km</t>
  </si>
  <si>
    <t>I alt</t>
  </si>
  <si>
    <t>Hvis man er lavtlønnet kan man få 25 pct. ekstra befordringsfradrag, jf. link:</t>
  </si>
  <si>
    <t>Privatbudget - IB og Berit - udgangspunkt, rådighedsbeløb NU</t>
  </si>
  <si>
    <t>Indtægter</t>
  </si>
  <si>
    <t>jan</t>
  </si>
  <si>
    <t>feb</t>
  </si>
  <si>
    <t>mar</t>
  </si>
  <si>
    <t>apr</t>
  </si>
  <si>
    <t>maj</t>
  </si>
  <si>
    <t xml:space="preserve">juni </t>
  </si>
  <si>
    <t>juli</t>
  </si>
  <si>
    <t>aug</t>
  </si>
  <si>
    <t>sept</t>
  </si>
  <si>
    <t>okt</t>
  </si>
  <si>
    <t>nov</t>
  </si>
  <si>
    <t>dec</t>
  </si>
  <si>
    <t>TOTAL</t>
  </si>
  <si>
    <t>Ib Løn, efter skat</t>
  </si>
  <si>
    <t>Berit Løn, efter skat</t>
  </si>
  <si>
    <t>Renter/udbytte</t>
  </si>
  <si>
    <t>Børnefamilie ydelser</t>
  </si>
  <si>
    <t>Børnebidrag</t>
  </si>
  <si>
    <t>Diverse</t>
  </si>
  <si>
    <t>Indtægter i alt</t>
  </si>
  <si>
    <t>Udgifter</t>
  </si>
  <si>
    <t>Bolig</t>
  </si>
  <si>
    <t>Prioritetsydelser ejerbolig</t>
  </si>
  <si>
    <t>Husleje lejebolig</t>
  </si>
  <si>
    <t>Renovation</t>
  </si>
  <si>
    <t>Varme</t>
  </si>
  <si>
    <t>Elektricitet</t>
  </si>
  <si>
    <t>Vand</t>
  </si>
  <si>
    <t>Ejendomsskatter</t>
  </si>
  <si>
    <t>Fællesudgifter</t>
  </si>
  <si>
    <t>Grundejerforening</t>
  </si>
  <si>
    <t>Vedligeholdelse</t>
  </si>
  <si>
    <t>Hus forsikring</t>
  </si>
  <si>
    <t>Bolig i alt</t>
  </si>
  <si>
    <t xml:space="preserve">Bil </t>
  </si>
  <si>
    <t>Forsikring</t>
  </si>
  <si>
    <t>Vægtafgift</t>
  </si>
  <si>
    <t>Benzin</t>
  </si>
  <si>
    <t>Falck</t>
  </si>
  <si>
    <t xml:space="preserve">Billån </t>
  </si>
  <si>
    <t>Vedligehold/reparation</t>
  </si>
  <si>
    <t>Biludgifter i alt</t>
  </si>
  <si>
    <t>Transport øvrig</t>
  </si>
  <si>
    <t>Offentlig transport</t>
  </si>
  <si>
    <t>Transport i alt</t>
  </si>
  <si>
    <t>Kommunikation/TV</t>
  </si>
  <si>
    <t>Fastnettelefon</t>
  </si>
  <si>
    <t>Mobiltelefon</t>
  </si>
  <si>
    <t>Internet</t>
  </si>
  <si>
    <t>Hybridnet/kabel-TV</t>
  </si>
  <si>
    <t>Licens</t>
  </si>
  <si>
    <t xml:space="preserve">Kommun./TV i alt </t>
  </si>
  <si>
    <t>Forsikringer</t>
  </si>
  <si>
    <t>A-kasse og fagforening</t>
  </si>
  <si>
    <t>Efterlønsordning</t>
  </si>
  <si>
    <t>Familieforsikring</t>
  </si>
  <si>
    <t>Ulykkesforsikring</t>
  </si>
  <si>
    <t>Sygeforsikring Danmark</t>
  </si>
  <si>
    <t>Receptpligtig medecin</t>
  </si>
  <si>
    <t>Forsikringer i alt</t>
  </si>
  <si>
    <t>Børneudgifter</t>
  </si>
  <si>
    <t>SFO</t>
  </si>
  <si>
    <t>Vuggestue/børnehave</t>
  </si>
  <si>
    <t>Transport</t>
  </si>
  <si>
    <t>Skoleudgifter</t>
  </si>
  <si>
    <t>Børneudgifter i alt</t>
  </si>
  <si>
    <t>Gældsforpligtelser</t>
  </si>
  <si>
    <t>Forpligtelser i alt</t>
  </si>
  <si>
    <t>Ferieopsparing</t>
  </si>
  <si>
    <t xml:space="preserve">   Andet</t>
  </si>
  <si>
    <t>Diverse i alt</t>
  </si>
  <si>
    <t>Udgifter i alt</t>
  </si>
  <si>
    <t>Oversigt</t>
  </si>
  <si>
    <t>Overskud/underskud</t>
  </si>
  <si>
    <t>Årligt rådighedsbeløb</t>
  </si>
  <si>
    <t>Månedligt rådighedsbeløb</t>
  </si>
  <si>
    <t>Lånets størrelse (hovedstolen)</t>
  </si>
  <si>
    <t>jf. J11 og D15</t>
  </si>
  <si>
    <t>Løbetid, år</t>
  </si>
  <si>
    <t>Antal terminer pr. år</t>
  </si>
  <si>
    <t>Rente pr år, (pålydende/nominel)</t>
  </si>
  <si>
    <t>de har god økonomi, jf. rådighedsbeløb og de kommer med en god udbetaling (som er et godt stykke over krav om 5 pct. af den tekniske pris!)</t>
  </si>
  <si>
    <t>Effektiv rente pr. år</t>
  </si>
  <si>
    <t>Etableringsomkostninger:</t>
  </si>
  <si>
    <t>Andelspris</t>
  </si>
  <si>
    <t>Staten, tinglysning</t>
  </si>
  <si>
    <t xml:space="preserve"> - udbetaling</t>
  </si>
  <si>
    <t>(man skal mindst lægge 5% af den tekniske pris, så 480.000 kr er mere end nok)</t>
  </si>
  <si>
    <t>Pengeinstitut, etablering</t>
  </si>
  <si>
    <t>anslået</t>
  </si>
  <si>
    <t xml:space="preserve">Lånebehov </t>
  </si>
  <si>
    <t>De 5% beregnes af den tekniske pris som er salgsprisen + boligens andel af den samlede gæld.</t>
  </si>
  <si>
    <t>Etableringsomkostninger i alt</t>
  </si>
  <si>
    <t>Provenu (hvad får jeg i hånden)</t>
  </si>
  <si>
    <t>målsøgning</t>
  </si>
  <si>
    <t>Omkostninger i procent pr. termin</t>
  </si>
  <si>
    <t>ÅOP</t>
  </si>
  <si>
    <t>Ydelse pr. termin før skat</t>
  </si>
  <si>
    <t>Renteudgifter år 1</t>
  </si>
  <si>
    <t>Skattefar betaler 1/3</t>
  </si>
  <si>
    <t>Skattebesparelse pr. termin</t>
  </si>
  <si>
    <t>Ydelse pr. termin efter skat</t>
  </si>
  <si>
    <t>Privatbudget - IB og Berit - Køb af andel: Peblingevej 35</t>
  </si>
  <si>
    <t>Ydelse andelsboliglån efter skat</t>
  </si>
  <si>
    <t>Boligafgift</t>
  </si>
  <si>
    <t>Se salgsopstilling</t>
  </si>
  <si>
    <t>antagelse</t>
  </si>
  <si>
    <t>A-kasse og fagforening, Jens</t>
  </si>
  <si>
    <t>A-kasse og fagforening, Anna</t>
  </si>
  <si>
    <t>Efter boligkøb</t>
  </si>
  <si>
    <t>Renteudg. Realkredit</t>
  </si>
  <si>
    <t>Renteudgift banklån</t>
  </si>
  <si>
    <t>jf. salgsopstillingen hvor ejendomsværdiskatten er opgjort til 21525 kr.</t>
  </si>
  <si>
    <t>, dsv. ingen problemstilling mht. Skrå skatteloft</t>
  </si>
  <si>
    <t>Finansiering af køb af andelsbolig og rådighedsbeløb</t>
  </si>
  <si>
    <t>Lånebehov</t>
  </si>
  <si>
    <t>Pris på andelsbolig</t>
  </si>
  <si>
    <t>Opsparing</t>
  </si>
  <si>
    <t>Udgangspunkt: Anvender 150.000 kr. til udbetaling og 50.000 kr. til låneomkostninger</t>
  </si>
  <si>
    <t>og nye gardiner mv.</t>
  </si>
  <si>
    <t>Hovedstol når 150.000 kr. i "udbetaling"</t>
  </si>
  <si>
    <t>Låneomkostninger:</t>
  </si>
  <si>
    <t>Etableringsomkostninger til banken</t>
  </si>
  <si>
    <t>Tinglysning - grundsats</t>
  </si>
  <si>
    <t>Tinglysning - 1,5 pct. af hovedstol</t>
  </si>
  <si>
    <t>Pålydende rente:</t>
  </si>
  <si>
    <t>udfra Nordea Prioritet</t>
  </si>
  <si>
    <t>Pålydende pr. kvartal</t>
  </si>
  <si>
    <t>-Antager at der er kvartalsvis renteskrivning og ydelse</t>
  </si>
  <si>
    <t>Løbetid:</t>
  </si>
  <si>
    <t>20 år</t>
  </si>
  <si>
    <t xml:space="preserve">Antal terminer </t>
  </si>
  <si>
    <t>kvartalsvis ydelse og rentetilskrivning</t>
  </si>
  <si>
    <t>Kvartalsvis ydelse</t>
  </si>
  <si>
    <t>I Excel under ydelse:</t>
  </si>
  <si>
    <t>og den skal ind i rådighedsbeløbs-regningerne (i ark: Budget og rådighedsbeløb ved huskøb)</t>
  </si>
  <si>
    <t>Skatteeffekt</t>
  </si>
  <si>
    <t>For at kunne regne skatteeffekten af renteudgifterne skal vi finde renteudgifter 1.år:</t>
  </si>
  <si>
    <t xml:space="preserve">  </t>
  </si>
  <si>
    <t>Renteudgifter i år 1:</t>
  </si>
  <si>
    <t>Pr. år</t>
  </si>
  <si>
    <t xml:space="preserve"> Gå ind i "AKK.Rente" og indsæt terminer, provenu (NV) og ydelse</t>
  </si>
  <si>
    <t>og den skal ind i skatteberegningen (i regneark: Skat og indkomst efter skat ved huskøb)</t>
  </si>
  <si>
    <t>Skattefar betaler 0,3404 (Roskilde kommune, incl. Folkekirke)</t>
  </si>
  <si>
    <t>Nettorenteudgifter</t>
  </si>
  <si>
    <t>Pr. måned</t>
  </si>
  <si>
    <t xml:space="preserve">Nettoydelsen på lånet </t>
  </si>
  <si>
    <t>- nettorenter</t>
  </si>
  <si>
    <t xml:space="preserve"> - afdrag</t>
  </si>
  <si>
    <t>Samlet nettoydelse pr år</t>
  </si>
  <si>
    <t>Samlet ydelse pr. md.</t>
  </si>
  <si>
    <r>
      <t xml:space="preserve">Privatbudget - Jens og Anna   </t>
    </r>
    <r>
      <rPr>
        <b/>
        <sz val="16"/>
        <color indexed="10"/>
        <rFont val="Verdana"/>
        <family val="2"/>
      </rPr>
      <t xml:space="preserve"> ved køb af bolig</t>
    </r>
  </si>
  <si>
    <t>Jens Løn, efter skat</t>
  </si>
  <si>
    <t>Anna Løn, efter skat</t>
  </si>
  <si>
    <t>Banklån</t>
  </si>
  <si>
    <t>antaget at 1 kw koster 1,5 kr.</t>
  </si>
  <si>
    <r>
      <t xml:space="preserve">Privatbudget - Jens og Anna   </t>
    </r>
    <r>
      <rPr>
        <b/>
        <sz val="16"/>
        <color indexed="10"/>
        <rFont val="Verdana"/>
        <family val="2"/>
      </rPr>
      <t xml:space="preserve"> ved køb af bolig + BØRN</t>
    </r>
  </si>
  <si>
    <t>Antaget  et barn på 0-2 år, Sociale ydelser 2010, s104</t>
  </si>
  <si>
    <t>ca.2025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</si>
</sst>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_(* #,##0.00_);_(* \(#,##0.00\);_(* &quot;-&quot;??_);_(@_)"/>
    <numFmt numFmtId="167" formatCode="&quot;kr.&quot;\ #,##0.00;[Red]&quot;kr.&quot;\ \-#,##0.00"/>
    <numFmt numFmtId="168" formatCode="_ * #,##0.00_ ;_ * \-#,##0.00_ ;_ * &quot;-&quot;??_ ;_ @_ "/>
    <numFmt numFmtId="169" formatCode="&quot;kr&quot;\ #,##0.00;[Red]&quot;kr&quot;\ \-#,##0.00"/>
    <numFmt numFmtId="170" formatCode="&quot;kr.&quot;\ #,##0.00_);[Red]\(&quot;kr.&quot;\ #,##0.00\)"/>
    <numFmt numFmtId="171" formatCode="&quot;kr&quot;\ #,##0.00"/>
    <numFmt numFmtId="172" formatCode="0.0%"/>
    <numFmt numFmtId="173" formatCode="_(* #,##0.000_);_(* \(#,##0.000\);_(* &quot;-&quot;??_);_(@_)"/>
    <numFmt numFmtId="174" formatCode="_(* #,##0.0000_);_(* \(#,##0.0000\);_(* &quot;-&quot;??_);_(@_)"/>
    <numFmt numFmtId="175" formatCode="#,##0.000"/>
    <numFmt numFmtId="176" formatCode="#,##0.000000"/>
    <numFmt numFmtId="177" formatCode="_(* #,##0.0_);_(* \(#,##0.0\);_(* &quot;-&quot;??_);_(@_)"/>
    <numFmt numFmtId="178" formatCode="_(* #,##0_);_(* \(#,##0\);_(* &quot;-&quot;??_);_(@_)"/>
    <numFmt numFmtId="179" formatCode="0.0"/>
    <numFmt numFmtId="181" formatCode="_ * #,##0_ ;_ * \-#,##0_ ;_ * &quot;-&quot;??_ ;_ @_ "/>
  </numFmts>
  <fonts count="51">
    <font>
      <sz val="10"/>
      <name val="Arial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MS Sans Serif"/>
      <family val="2"/>
    </font>
    <font>
      <sz val="10"/>
      <name val="MS Sans Serif"/>
      <family val="2"/>
    </font>
    <font>
      <sz val="9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b/>
      <sz val="12"/>
      <color indexed="8"/>
      <name val="Verdana"/>
      <family val="2"/>
    </font>
    <font>
      <sz val="9"/>
      <color indexed="8"/>
      <name val="Verdana"/>
      <family val="2"/>
    </font>
    <font>
      <b/>
      <sz val="9"/>
      <color indexed="8"/>
      <name val="Verdana"/>
      <family val="2"/>
    </font>
    <font>
      <sz val="16"/>
      <color indexed="8"/>
      <name val="Verdana"/>
      <family val="2"/>
    </font>
    <font>
      <b/>
      <sz val="16"/>
      <color indexed="8"/>
      <name val="Verdana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color indexed="30"/>
      <name val="Cambria"/>
      <family val="1"/>
    </font>
    <font>
      <sz val="12"/>
      <name val="Arial"/>
      <family val="2"/>
    </font>
    <font>
      <b/>
      <sz val="14"/>
      <name val="Arial"/>
      <family val="2"/>
    </font>
    <font>
      <b/>
      <sz val="16"/>
      <color indexed="10"/>
      <name val="Verdana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6"/>
      <color rgb="FFFF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color rgb="FFFF0000"/>
      <name val="Verdana"/>
      <family val="2"/>
    </font>
    <font>
      <b/>
      <sz val="10"/>
      <color rgb="FFFF0000"/>
      <name val="Verdana"/>
      <family val="2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9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 style="thin">
        <color indexed="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 style="thin">
        <color indexed="55"/>
      </top>
      <bottom style="thin">
        <color indexed="9"/>
      </bottom>
      <diagonal/>
    </border>
    <border>
      <left/>
      <right style="thin">
        <color indexed="64"/>
      </right>
      <top style="thin">
        <color indexed="23"/>
      </top>
      <bottom style="thin">
        <color indexed="9"/>
      </bottom>
      <diagonal/>
    </border>
    <border>
      <left/>
      <right/>
      <top style="thin">
        <color indexed="23"/>
      </top>
      <bottom style="thin">
        <color indexed="9"/>
      </bottom>
      <diagonal/>
    </border>
    <border>
      <left style="thin">
        <color indexed="23"/>
      </left>
      <right/>
      <top style="thin">
        <color indexed="23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55"/>
      </bottom>
      <diagonal/>
    </border>
    <border>
      <left/>
      <right/>
      <top style="thin">
        <color indexed="9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55"/>
      </top>
      <bottom style="thin">
        <color indexed="9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2">
    <xf numFmtId="0" fontId="0" fillId="0" borderId="0"/>
    <xf numFmtId="165" fontId="9" fillId="0" borderId="0" applyFont="0" applyFill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8" borderId="0" applyNumberFormat="0" applyBorder="0" applyAlignment="0" applyProtection="0"/>
    <xf numFmtId="0" fontId="21" fillId="2" borderId="0" applyNumberFormat="0" applyBorder="0" applyAlignment="0" applyProtection="0"/>
    <xf numFmtId="0" fontId="16" fillId="9" borderId="1" applyNumberFormat="0" applyAlignment="0" applyProtection="0"/>
    <xf numFmtId="0" fontId="15" fillId="0" borderId="0" applyNumberFormat="0" applyFill="0" applyBorder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8" fontId="3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0" fillId="0" borderId="5" applyNumberFormat="0" applyFill="0" applyAlignment="0" applyProtection="0"/>
    <xf numFmtId="0" fontId="9" fillId="0" borderId="0"/>
    <xf numFmtId="0" fontId="35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0" fontId="35" fillId="0" borderId="0"/>
    <xf numFmtId="9" fontId="1" fillId="0" borderId="0" applyFont="0" applyFill="0" applyBorder="0" applyAlignment="0" applyProtection="0"/>
    <xf numFmtId="16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</cellStyleXfs>
  <cellXfs count="229">
    <xf numFmtId="0" fontId="0" fillId="0" borderId="0" xfId="0"/>
    <xf numFmtId="3" fontId="12" fillId="0" borderId="0" xfId="0" applyNumberFormat="1" applyFont="1" applyAlignment="1">
      <alignment horizontal="center"/>
    </xf>
    <xf numFmtId="3" fontId="0" fillId="0" borderId="0" xfId="0" applyNumberFormat="1"/>
    <xf numFmtId="0" fontId="0" fillId="0" borderId="0" xfId="0" quotePrefix="1" applyAlignment="1">
      <alignment horizontal="left"/>
    </xf>
    <xf numFmtId="2" fontId="0" fillId="0" borderId="0" xfId="0" applyNumberFormat="1"/>
    <xf numFmtId="3" fontId="4" fillId="0" borderId="0" xfId="0" applyNumberFormat="1" applyFont="1"/>
    <xf numFmtId="0" fontId="0" fillId="0" borderId="0" xfId="0" applyAlignment="1">
      <alignment horizontal="left"/>
    </xf>
    <xf numFmtId="10" fontId="3" fillId="0" borderId="0" xfId="22" applyNumberFormat="1" applyFont="1"/>
    <xf numFmtId="10" fontId="0" fillId="0" borderId="0" xfId="22" applyNumberFormat="1" applyFont="1"/>
    <xf numFmtId="3" fontId="3" fillId="0" borderId="0" xfId="15" applyNumberFormat="1" applyFont="1"/>
    <xf numFmtId="10" fontId="0" fillId="0" borderId="0" xfId="0" applyNumberFormat="1"/>
    <xf numFmtId="171" fontId="3" fillId="0" borderId="0" xfId="0" applyNumberFormat="1" applyFo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5" fillId="0" borderId="0" xfId="0" applyNumberFormat="1" applyFont="1" applyAlignment="1">
      <alignment horizontal="right"/>
    </xf>
    <xf numFmtId="3" fontId="0" fillId="0" borderId="0" xfId="0" quotePrefix="1" applyNumberFormat="1" applyAlignment="1">
      <alignment horizontal="right"/>
    </xf>
    <xf numFmtId="3" fontId="0" fillId="0" borderId="0" xfId="15" applyNumberFormat="1" applyFont="1"/>
    <xf numFmtId="3" fontId="6" fillId="0" borderId="0" xfId="15" applyNumberFormat="1" applyFont="1"/>
    <xf numFmtId="10" fontId="6" fillId="0" borderId="0" xfId="22" applyNumberFormat="1" applyFont="1"/>
    <xf numFmtId="0" fontId="0" fillId="0" borderId="0" xfId="0" quotePrefix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7" fillId="0" borderId="0" xfId="0" applyFont="1"/>
    <xf numFmtId="174" fontId="0" fillId="0" borderId="0" xfId="15" applyNumberFormat="1" applyFont="1"/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left"/>
    </xf>
    <xf numFmtId="0" fontId="11" fillId="0" borderId="0" xfId="0" applyFont="1"/>
    <xf numFmtId="3" fontId="10" fillId="0" borderId="0" xfId="0" applyNumberFormat="1" applyFont="1"/>
    <xf numFmtId="0" fontId="13" fillId="0" borderId="0" xfId="0" applyFont="1" applyAlignment="1">
      <alignment horizontal="center"/>
    </xf>
    <xf numFmtId="3" fontId="13" fillId="0" borderId="0" xfId="0" applyNumberFormat="1" applyFont="1" applyAlignment="1">
      <alignment horizontal="center"/>
    </xf>
    <xf numFmtId="1" fontId="6" fillId="0" borderId="0" xfId="22" applyNumberFormat="1" applyFont="1"/>
    <xf numFmtId="1" fontId="0" fillId="0" borderId="0" xfId="0" applyNumberFormat="1"/>
    <xf numFmtId="3" fontId="36" fillId="0" borderId="0" xfId="0" applyNumberFormat="1" applyFont="1"/>
    <xf numFmtId="0" fontId="8" fillId="0" borderId="0" xfId="18" applyAlignment="1" applyProtection="1"/>
    <xf numFmtId="0" fontId="7" fillId="0" borderId="0" xfId="0" quotePrefix="1" applyFont="1" applyAlignment="1">
      <alignment horizontal="left"/>
    </xf>
    <xf numFmtId="0" fontId="37" fillId="0" borderId="0" xfId="0" applyFont="1"/>
    <xf numFmtId="0" fontId="7" fillId="0" borderId="0" xfId="0" applyFont="1" applyAlignment="1">
      <alignment horizontal="left"/>
    </xf>
    <xf numFmtId="177" fontId="0" fillId="0" borderId="0" xfId="15" applyNumberFormat="1" applyFont="1"/>
    <xf numFmtId="3" fontId="5" fillId="0" borderId="0" xfId="0" applyNumberFormat="1" applyFont="1" applyAlignment="1">
      <alignment horizontal="right" wrapText="1"/>
    </xf>
    <xf numFmtId="0" fontId="38" fillId="0" borderId="0" xfId="0" applyFont="1"/>
    <xf numFmtId="3" fontId="38" fillId="0" borderId="6" xfId="0" applyNumberFormat="1" applyFont="1" applyBorder="1"/>
    <xf numFmtId="0" fontId="39" fillId="0" borderId="0" xfId="0" quotePrefix="1" applyFont="1"/>
    <xf numFmtId="10" fontId="40" fillId="0" borderId="0" xfId="22" applyNumberFormat="1" applyFont="1"/>
    <xf numFmtId="3" fontId="40" fillId="0" borderId="0" xfId="0" applyNumberFormat="1" applyFont="1"/>
    <xf numFmtId="3" fontId="39" fillId="0" borderId="0" xfId="0" applyNumberFormat="1" applyFont="1"/>
    <xf numFmtId="0" fontId="41" fillId="14" borderId="0" xfId="0" applyFont="1" applyFill="1"/>
    <xf numFmtId="10" fontId="42" fillId="14" borderId="0" xfId="22" applyNumberFormat="1" applyFont="1" applyFill="1"/>
    <xf numFmtId="3" fontId="42" fillId="14" borderId="0" xfId="0" applyNumberFormat="1" applyFont="1" applyFill="1"/>
    <xf numFmtId="3" fontId="41" fillId="14" borderId="0" xfId="0" applyNumberFormat="1" applyFont="1" applyFill="1"/>
    <xf numFmtId="0" fontId="12" fillId="0" borderId="0" xfId="0" applyFont="1"/>
    <xf numFmtId="3" fontId="7" fillId="0" borderId="0" xfId="0" applyNumberFormat="1" applyFont="1"/>
    <xf numFmtId="3" fontId="12" fillId="0" borderId="0" xfId="0" applyNumberFormat="1" applyFont="1"/>
    <xf numFmtId="178" fontId="12" fillId="0" borderId="0" xfId="15" applyNumberFormat="1" applyFont="1"/>
    <xf numFmtId="165" fontId="0" fillId="0" borderId="0" xfId="0" applyNumberFormat="1"/>
    <xf numFmtId="165" fontId="0" fillId="0" borderId="0" xfId="15" applyFont="1"/>
    <xf numFmtId="3" fontId="22" fillId="10" borderId="7" xfId="0" applyNumberFormat="1" applyFont="1" applyFill="1" applyBorder="1"/>
    <xf numFmtId="3" fontId="22" fillId="10" borderId="8" xfId="0" applyNumberFormat="1" applyFont="1" applyFill="1" applyBorder="1"/>
    <xf numFmtId="3" fontId="22" fillId="10" borderId="0" xfId="0" applyNumberFormat="1" applyFont="1" applyFill="1"/>
    <xf numFmtId="3" fontId="23" fillId="10" borderId="9" xfId="0" applyNumberFormat="1" applyFont="1" applyFill="1" applyBorder="1"/>
    <xf numFmtId="3" fontId="23" fillId="10" borderId="0" xfId="0" applyNumberFormat="1" applyFont="1" applyFill="1"/>
    <xf numFmtId="3" fontId="23" fillId="11" borderId="10" xfId="0" applyNumberFormat="1" applyFont="1" applyFill="1" applyBorder="1"/>
    <xf numFmtId="3" fontId="22" fillId="11" borderId="11" xfId="0" applyNumberFormat="1" applyFont="1" applyFill="1" applyBorder="1"/>
    <xf numFmtId="3" fontId="22" fillId="11" borderId="12" xfId="0" applyNumberFormat="1" applyFont="1" applyFill="1" applyBorder="1"/>
    <xf numFmtId="3" fontId="23" fillId="11" borderId="13" xfId="0" applyNumberFormat="1" applyFont="1" applyFill="1" applyBorder="1"/>
    <xf numFmtId="3" fontId="22" fillId="11" borderId="14" xfId="0" applyNumberFormat="1" applyFont="1" applyFill="1" applyBorder="1"/>
    <xf numFmtId="3" fontId="22" fillId="11" borderId="15" xfId="0" applyNumberFormat="1" applyFont="1" applyFill="1" applyBorder="1"/>
    <xf numFmtId="3" fontId="22" fillId="11" borderId="16" xfId="0" applyNumberFormat="1" applyFont="1" applyFill="1" applyBorder="1" applyAlignment="1">
      <alignment horizontal="left"/>
    </xf>
    <xf numFmtId="3" fontId="23" fillId="11" borderId="17" xfId="0" applyNumberFormat="1" applyFont="1" applyFill="1" applyBorder="1"/>
    <xf numFmtId="3" fontId="23" fillId="11" borderId="0" xfId="0" applyNumberFormat="1" applyFont="1" applyFill="1" applyAlignment="1">
      <alignment horizontal="left"/>
    </xf>
    <xf numFmtId="3" fontId="23" fillId="11" borderId="13" xfId="0" applyNumberFormat="1" applyFont="1" applyFill="1" applyBorder="1" applyProtection="1">
      <protection hidden="1"/>
    </xf>
    <xf numFmtId="3" fontId="22" fillId="11" borderId="14" xfId="0" applyNumberFormat="1" applyFont="1" applyFill="1" applyBorder="1" applyProtection="1">
      <protection hidden="1"/>
    </xf>
    <xf numFmtId="3" fontId="22" fillId="11" borderId="15" xfId="0" applyNumberFormat="1" applyFont="1" applyFill="1" applyBorder="1" applyProtection="1">
      <protection hidden="1"/>
    </xf>
    <xf numFmtId="3" fontId="22" fillId="11" borderId="16" xfId="0" applyNumberFormat="1" applyFont="1" applyFill="1" applyBorder="1" applyProtection="1">
      <protection locked="0" hidden="1"/>
    </xf>
    <xf numFmtId="1" fontId="23" fillId="11" borderId="18" xfId="0" applyNumberFormat="1" applyFont="1" applyFill="1" applyBorder="1" applyAlignment="1" applyProtection="1">
      <alignment horizontal="center"/>
      <protection locked="0" hidden="1"/>
    </xf>
    <xf numFmtId="1" fontId="23" fillId="11" borderId="19" xfId="0" applyNumberFormat="1" applyFont="1" applyFill="1" applyBorder="1" applyAlignment="1" applyProtection="1">
      <alignment horizontal="center"/>
      <protection locked="0" hidden="1"/>
    </xf>
    <xf numFmtId="3" fontId="23" fillId="11" borderId="19" xfId="0" applyNumberFormat="1" applyFont="1" applyFill="1" applyBorder="1" applyAlignment="1" applyProtection="1">
      <alignment horizontal="center"/>
      <protection locked="0" hidden="1"/>
    </xf>
    <xf numFmtId="3" fontId="24" fillId="11" borderId="20" xfId="0" applyNumberFormat="1" applyFont="1" applyFill="1" applyBorder="1" applyProtection="1">
      <protection locked="0" hidden="1"/>
    </xf>
    <xf numFmtId="3" fontId="22" fillId="10" borderId="21" xfId="0" applyNumberFormat="1" applyFont="1" applyFill="1" applyBorder="1"/>
    <xf numFmtId="3" fontId="22" fillId="10" borderId="21" xfId="0" applyNumberFormat="1" applyFont="1" applyFill="1" applyBorder="1" applyProtection="1">
      <protection locked="0" hidden="1"/>
    </xf>
    <xf numFmtId="3" fontId="25" fillId="10" borderId="7" xfId="0" applyNumberFormat="1" applyFont="1" applyFill="1" applyBorder="1"/>
    <xf numFmtId="3" fontId="25" fillId="10" borderId="8" xfId="0" applyNumberFormat="1" applyFont="1" applyFill="1" applyBorder="1"/>
    <xf numFmtId="3" fontId="25" fillId="10" borderId="0" xfId="0" applyNumberFormat="1" applyFont="1" applyFill="1"/>
    <xf numFmtId="3" fontId="26" fillId="11" borderId="10" xfId="0" applyNumberFormat="1" applyFont="1" applyFill="1" applyBorder="1"/>
    <xf numFmtId="3" fontId="25" fillId="11" borderId="11" xfId="0" applyNumberFormat="1" applyFont="1" applyFill="1" applyBorder="1"/>
    <xf numFmtId="3" fontId="25" fillId="11" borderId="12" xfId="0" applyNumberFormat="1" applyFont="1" applyFill="1" applyBorder="1" applyProtection="1">
      <protection locked="0" hidden="1"/>
    </xf>
    <xf numFmtId="3" fontId="23" fillId="11" borderId="22" xfId="0" applyNumberFormat="1" applyFont="1" applyFill="1" applyBorder="1"/>
    <xf numFmtId="3" fontId="23" fillId="11" borderId="14" xfId="0" applyNumberFormat="1" applyFont="1" applyFill="1" applyBorder="1"/>
    <xf numFmtId="3" fontId="23" fillId="11" borderId="15" xfId="0" applyNumberFormat="1" applyFont="1" applyFill="1" applyBorder="1"/>
    <xf numFmtId="3" fontId="24" fillId="11" borderId="16" xfId="0" applyNumberFormat="1" applyFont="1" applyFill="1" applyBorder="1" applyProtection="1">
      <protection locked="0" hidden="1"/>
    </xf>
    <xf numFmtId="3" fontId="26" fillId="11" borderId="17" xfId="0" applyNumberFormat="1" applyFont="1" applyFill="1" applyBorder="1"/>
    <xf numFmtId="3" fontId="25" fillId="11" borderId="0" xfId="0" applyNumberFormat="1" applyFont="1" applyFill="1"/>
    <xf numFmtId="3" fontId="26" fillId="11" borderId="16" xfId="0" applyNumberFormat="1" applyFont="1" applyFill="1" applyBorder="1" applyProtection="1">
      <protection locked="0" hidden="1"/>
    </xf>
    <xf numFmtId="3" fontId="23" fillId="10" borderId="7" xfId="0" applyNumberFormat="1" applyFont="1" applyFill="1" applyBorder="1"/>
    <xf numFmtId="3" fontId="23" fillId="10" borderId="8" xfId="0" applyNumberFormat="1" applyFont="1" applyFill="1" applyBorder="1"/>
    <xf numFmtId="3" fontId="23" fillId="12" borderId="17" xfId="0" applyNumberFormat="1" applyFont="1" applyFill="1" applyBorder="1" applyProtection="1">
      <protection hidden="1"/>
    </xf>
    <xf numFmtId="3" fontId="23" fillId="12" borderId="0" xfId="0" applyNumberFormat="1" applyFont="1" applyFill="1" applyProtection="1">
      <protection hidden="1"/>
    </xf>
    <xf numFmtId="3" fontId="23" fillId="12" borderId="16" xfId="0" applyNumberFormat="1" applyFont="1" applyFill="1" applyBorder="1" applyAlignment="1" applyProtection="1">
      <alignment horizontal="left"/>
      <protection locked="0" hidden="1"/>
    </xf>
    <xf numFmtId="3" fontId="23" fillId="12" borderId="23" xfId="0" applyNumberFormat="1" applyFont="1" applyFill="1" applyBorder="1" applyProtection="1">
      <protection hidden="1"/>
    </xf>
    <xf numFmtId="3" fontId="22" fillId="12" borderId="24" xfId="0" applyNumberFormat="1" applyFont="1" applyFill="1" applyBorder="1" applyProtection="1">
      <protection locked="0" hidden="1"/>
    </xf>
    <xf numFmtId="3" fontId="22" fillId="12" borderId="25" xfId="0" applyNumberFormat="1" applyFont="1" applyFill="1" applyBorder="1" applyProtection="1">
      <protection locked="0" hidden="1"/>
    </xf>
    <xf numFmtId="3" fontId="22" fillId="12" borderId="16" xfId="0" applyNumberFormat="1" applyFont="1" applyFill="1" applyBorder="1" applyAlignment="1" applyProtection="1">
      <alignment horizontal="left"/>
      <protection locked="0" hidden="1"/>
    </xf>
    <xf numFmtId="3" fontId="22" fillId="12" borderId="0" xfId="0" applyNumberFormat="1" applyFont="1" applyFill="1" applyProtection="1">
      <protection locked="0" hidden="1"/>
    </xf>
    <xf numFmtId="3" fontId="23" fillId="12" borderId="17" xfId="0" applyNumberFormat="1" applyFont="1" applyFill="1" applyBorder="1"/>
    <xf numFmtId="3" fontId="22" fillId="12" borderId="0" xfId="0" applyNumberFormat="1" applyFont="1" applyFill="1"/>
    <xf numFmtId="3" fontId="26" fillId="12" borderId="17" xfId="0" applyNumberFormat="1" applyFont="1" applyFill="1" applyBorder="1" applyProtection="1">
      <protection locked="0" hidden="1"/>
    </xf>
    <xf numFmtId="3" fontId="25" fillId="12" borderId="0" xfId="0" applyNumberFormat="1" applyFont="1" applyFill="1" applyProtection="1">
      <protection locked="0" hidden="1"/>
    </xf>
    <xf numFmtId="3" fontId="26" fillId="12" borderId="16" xfId="0" applyNumberFormat="1" applyFont="1" applyFill="1" applyBorder="1" applyAlignment="1" applyProtection="1">
      <alignment horizontal="left"/>
      <protection locked="0" hidden="1"/>
    </xf>
    <xf numFmtId="3" fontId="23" fillId="12" borderId="13" xfId="0" applyNumberFormat="1" applyFont="1" applyFill="1" applyBorder="1" applyProtection="1">
      <protection locked="0" hidden="1"/>
    </xf>
    <xf numFmtId="3" fontId="23" fillId="12" borderId="14" xfId="0" applyNumberFormat="1" applyFont="1" applyFill="1" applyBorder="1" applyProtection="1">
      <protection locked="0" hidden="1"/>
    </xf>
    <xf numFmtId="3" fontId="23" fillId="12" borderId="15" xfId="0" applyNumberFormat="1" applyFont="1" applyFill="1" applyBorder="1" applyProtection="1">
      <protection locked="0" hidden="1"/>
    </xf>
    <xf numFmtId="3" fontId="26" fillId="12" borderId="17" xfId="0" applyNumberFormat="1" applyFont="1" applyFill="1" applyBorder="1" applyProtection="1">
      <protection hidden="1"/>
    </xf>
    <xf numFmtId="3" fontId="25" fillId="12" borderId="0" xfId="0" applyNumberFormat="1" applyFont="1" applyFill="1" applyProtection="1">
      <protection hidden="1"/>
    </xf>
    <xf numFmtId="3" fontId="26" fillId="10" borderId="7" xfId="0" applyNumberFormat="1" applyFont="1" applyFill="1" applyBorder="1"/>
    <xf numFmtId="3" fontId="26" fillId="10" borderId="8" xfId="0" applyNumberFormat="1" applyFont="1" applyFill="1" applyBorder="1"/>
    <xf numFmtId="3" fontId="26" fillId="10" borderId="0" xfId="0" applyNumberFormat="1" applyFont="1" applyFill="1"/>
    <xf numFmtId="3" fontId="22" fillId="12" borderId="24" xfId="0" applyNumberFormat="1" applyFont="1" applyFill="1" applyBorder="1" applyProtection="1">
      <protection hidden="1"/>
    </xf>
    <xf numFmtId="3" fontId="22" fillId="12" borderId="0" xfId="0" applyNumberFormat="1" applyFont="1" applyFill="1" applyProtection="1">
      <protection hidden="1"/>
    </xf>
    <xf numFmtId="3" fontId="22" fillId="12" borderId="25" xfId="0" applyNumberFormat="1" applyFont="1" applyFill="1" applyBorder="1" applyProtection="1">
      <protection hidden="1"/>
    </xf>
    <xf numFmtId="3" fontId="23" fillId="12" borderId="13" xfId="0" applyNumberFormat="1" applyFont="1" applyFill="1" applyBorder="1" applyProtection="1">
      <protection hidden="1"/>
    </xf>
    <xf numFmtId="3" fontId="23" fillId="12" borderId="14" xfId="0" applyNumberFormat="1" applyFont="1" applyFill="1" applyBorder="1" applyProtection="1">
      <protection hidden="1"/>
    </xf>
    <xf numFmtId="3" fontId="23" fillId="12" borderId="15" xfId="0" applyNumberFormat="1" applyFont="1" applyFill="1" applyBorder="1" applyProtection="1">
      <protection hidden="1"/>
    </xf>
    <xf numFmtId="3" fontId="23" fillId="12" borderId="17" xfId="0" applyNumberFormat="1" applyFont="1" applyFill="1" applyBorder="1" applyProtection="1">
      <protection locked="0" hidden="1"/>
    </xf>
    <xf numFmtId="3" fontId="23" fillId="12" borderId="23" xfId="0" applyNumberFormat="1" applyFont="1" applyFill="1" applyBorder="1" applyProtection="1">
      <protection locked="0" hidden="1"/>
    </xf>
    <xf numFmtId="3" fontId="22" fillId="12" borderId="26" xfId="0" applyNumberFormat="1" applyFont="1" applyFill="1" applyBorder="1" applyProtection="1">
      <protection locked="0" hidden="1"/>
    </xf>
    <xf numFmtId="3" fontId="22" fillId="12" borderId="14" xfId="0" applyNumberFormat="1" applyFont="1" applyFill="1" applyBorder="1" applyProtection="1">
      <protection locked="0" hidden="1"/>
    </xf>
    <xf numFmtId="3" fontId="22" fillId="12" borderId="15" xfId="0" applyNumberFormat="1" applyFont="1" applyFill="1" applyBorder="1" applyProtection="1">
      <protection locked="0" hidden="1"/>
    </xf>
    <xf numFmtId="3" fontId="23" fillId="12" borderId="27" xfId="0" applyNumberFormat="1" applyFont="1" applyFill="1" applyBorder="1" applyProtection="1">
      <protection hidden="1"/>
    </xf>
    <xf numFmtId="3" fontId="22" fillId="12" borderId="28" xfId="0" applyNumberFormat="1" applyFont="1" applyFill="1" applyBorder="1" applyProtection="1">
      <protection locked="0" hidden="1"/>
    </xf>
    <xf numFmtId="3" fontId="23" fillId="12" borderId="29" xfId="0" applyNumberFormat="1" applyFont="1" applyFill="1" applyBorder="1" applyProtection="1">
      <protection hidden="1"/>
    </xf>
    <xf numFmtId="3" fontId="22" fillId="12" borderId="30" xfId="0" applyNumberFormat="1" applyFont="1" applyFill="1" applyBorder="1" applyProtection="1">
      <protection locked="0" hidden="1"/>
    </xf>
    <xf numFmtId="3" fontId="22" fillId="12" borderId="31" xfId="0" applyNumberFormat="1" applyFont="1" applyFill="1" applyBorder="1" applyProtection="1">
      <protection locked="0" hidden="1"/>
    </xf>
    <xf numFmtId="3" fontId="22" fillId="12" borderId="17" xfId="0" applyNumberFormat="1" applyFont="1" applyFill="1" applyBorder="1"/>
    <xf numFmtId="3" fontId="22" fillId="10" borderId="0" xfId="0" applyNumberFormat="1" applyFont="1" applyFill="1" applyAlignment="1">
      <alignment vertical="center"/>
    </xf>
    <xf numFmtId="3" fontId="22" fillId="10" borderId="19" xfId="0" applyNumberFormat="1" applyFont="1" applyFill="1" applyBorder="1" applyAlignment="1">
      <alignment vertical="center"/>
    </xf>
    <xf numFmtId="1" fontId="23" fillId="12" borderId="18" xfId="0" applyNumberFormat="1" applyFont="1" applyFill="1" applyBorder="1" applyAlignment="1">
      <alignment horizontal="center"/>
    </xf>
    <xf numFmtId="1" fontId="23" fillId="12" borderId="19" xfId="0" applyNumberFormat="1" applyFont="1" applyFill="1" applyBorder="1" applyAlignment="1">
      <alignment horizontal="center"/>
    </xf>
    <xf numFmtId="3" fontId="23" fillId="12" borderId="19" xfId="0" applyNumberFormat="1" applyFont="1" applyFill="1" applyBorder="1" applyAlignment="1">
      <alignment horizontal="center"/>
    </xf>
    <xf numFmtId="3" fontId="24" fillId="12" borderId="20" xfId="0" applyNumberFormat="1" applyFont="1" applyFill="1" applyBorder="1" applyAlignment="1" applyProtection="1">
      <alignment horizontal="left" vertical="center"/>
      <protection locked="0" hidden="1"/>
    </xf>
    <xf numFmtId="3" fontId="22" fillId="10" borderId="19" xfId="0" applyNumberFormat="1" applyFont="1" applyFill="1" applyBorder="1"/>
    <xf numFmtId="3" fontId="22" fillId="13" borderId="0" xfId="0" applyNumberFormat="1" applyFont="1" applyFill="1" applyProtection="1">
      <protection hidden="1"/>
    </xf>
    <xf numFmtId="3" fontId="22" fillId="13" borderId="0" xfId="0" applyNumberFormat="1" applyFont="1" applyFill="1" applyProtection="1">
      <protection locked="0" hidden="1"/>
    </xf>
    <xf numFmtId="3" fontId="22" fillId="13" borderId="0" xfId="0" applyNumberFormat="1" applyFont="1" applyFill="1" applyAlignment="1" applyProtection="1">
      <alignment horizontal="left"/>
      <protection locked="0" hidden="1"/>
    </xf>
    <xf numFmtId="3" fontId="26" fillId="10" borderId="19" xfId="0" applyNumberFormat="1" applyFont="1" applyFill="1" applyBorder="1"/>
    <xf numFmtId="3" fontId="25" fillId="12" borderId="32" xfId="0" applyNumberFormat="1" applyFont="1" applyFill="1" applyBorder="1" applyProtection="1">
      <protection hidden="1"/>
    </xf>
    <xf numFmtId="3" fontId="25" fillId="12" borderId="33" xfId="0" applyNumberFormat="1" applyFont="1" applyFill="1" applyBorder="1" applyProtection="1">
      <protection locked="0" hidden="1"/>
    </xf>
    <xf numFmtId="3" fontId="26" fillId="12" borderId="34" xfId="0" applyNumberFormat="1" applyFont="1" applyFill="1" applyBorder="1" applyAlignment="1" applyProtection="1">
      <alignment horizontal="left"/>
      <protection locked="0" hidden="1"/>
    </xf>
    <xf numFmtId="3" fontId="23" fillId="12" borderId="35" xfId="0" applyNumberFormat="1" applyFont="1" applyFill="1" applyBorder="1" applyProtection="1">
      <protection hidden="1"/>
    </xf>
    <xf numFmtId="3" fontId="24" fillId="12" borderId="36" xfId="0" applyNumberFormat="1" applyFont="1" applyFill="1" applyBorder="1" applyAlignment="1" applyProtection="1">
      <alignment horizontal="left"/>
      <protection locked="0" hidden="1"/>
    </xf>
    <xf numFmtId="3" fontId="23" fillId="12" borderId="37" xfId="0" applyNumberFormat="1" applyFont="1" applyFill="1" applyBorder="1" applyProtection="1">
      <protection hidden="1"/>
    </xf>
    <xf numFmtId="3" fontId="22" fillId="12" borderId="36" xfId="0" applyNumberFormat="1" applyFont="1" applyFill="1" applyBorder="1" applyAlignment="1" applyProtection="1">
      <alignment horizontal="left"/>
      <protection locked="0" hidden="1"/>
    </xf>
    <xf numFmtId="3" fontId="23" fillId="12" borderId="38" xfId="0" applyNumberFormat="1" applyFont="1" applyFill="1" applyBorder="1" applyProtection="1">
      <protection hidden="1"/>
    </xf>
    <xf numFmtId="1" fontId="23" fillId="12" borderId="39" xfId="0" applyNumberFormat="1" applyFont="1" applyFill="1" applyBorder="1" applyAlignment="1">
      <alignment horizontal="center"/>
    </xf>
    <xf numFmtId="1" fontId="23" fillId="12" borderId="40" xfId="0" applyNumberFormat="1" applyFont="1" applyFill="1" applyBorder="1" applyAlignment="1">
      <alignment horizontal="center"/>
    </xf>
    <xf numFmtId="3" fontId="23" fillId="12" borderId="40" xfId="0" applyNumberFormat="1" applyFont="1" applyFill="1" applyBorder="1" applyAlignment="1">
      <alignment horizontal="center"/>
    </xf>
    <xf numFmtId="3" fontId="24" fillId="12" borderId="41" xfId="0" applyNumberFormat="1" applyFont="1" applyFill="1" applyBorder="1"/>
    <xf numFmtId="3" fontId="22" fillId="10" borderId="11" xfId="0" applyNumberFormat="1" applyFont="1" applyFill="1" applyBorder="1"/>
    <xf numFmtId="3" fontId="27" fillId="10" borderId="0" xfId="0" applyNumberFormat="1" applyFont="1" applyFill="1"/>
    <xf numFmtId="3" fontId="28" fillId="10" borderId="0" xfId="0" applyNumberFormat="1" applyFont="1" applyFill="1"/>
    <xf numFmtId="0" fontId="9" fillId="0" borderId="0" xfId="20"/>
    <xf numFmtId="0" fontId="12" fillId="0" borderId="0" xfId="20" applyFont="1"/>
    <xf numFmtId="165" fontId="43" fillId="0" borderId="7" xfId="20" applyNumberFormat="1" applyFont="1" applyBorder="1"/>
    <xf numFmtId="0" fontId="43" fillId="0" borderId="7" xfId="20" applyFont="1" applyBorder="1"/>
    <xf numFmtId="165" fontId="44" fillId="0" borderId="0" xfId="1" applyFont="1"/>
    <xf numFmtId="0" fontId="44" fillId="0" borderId="0" xfId="20" applyFont="1"/>
    <xf numFmtId="165" fontId="0" fillId="0" borderId="0" xfId="1" applyFont="1"/>
    <xf numFmtId="0" fontId="9" fillId="0" borderId="0" xfId="20" quotePrefix="1"/>
    <xf numFmtId="173" fontId="0" fillId="0" borderId="0" xfId="1" applyNumberFormat="1" applyFont="1"/>
    <xf numFmtId="0" fontId="9" fillId="0" borderId="0" xfId="20" quotePrefix="1" applyAlignment="1">
      <alignment wrapText="1"/>
    </xf>
    <xf numFmtId="0" fontId="7" fillId="0" borderId="0" xfId="20" applyFont="1"/>
    <xf numFmtId="0" fontId="9" fillId="15" borderId="0" xfId="20" applyFill="1"/>
    <xf numFmtId="179" fontId="9" fillId="0" borderId="0" xfId="20" applyNumberFormat="1"/>
    <xf numFmtId="169" fontId="9" fillId="0" borderId="0" xfId="20" applyNumberFormat="1"/>
    <xf numFmtId="169" fontId="7" fillId="0" borderId="0" xfId="20" applyNumberFormat="1" applyFont="1"/>
    <xf numFmtId="0" fontId="29" fillId="0" borderId="0" xfId="20" applyFont="1"/>
    <xf numFmtId="170" fontId="9" fillId="0" borderId="0" xfId="20" applyNumberFormat="1"/>
    <xf numFmtId="0" fontId="30" fillId="0" borderId="0" xfId="20" applyFont="1" applyAlignment="1">
      <alignment horizontal="justify"/>
    </xf>
    <xf numFmtId="178" fontId="29" fillId="0" borderId="0" xfId="1" applyNumberFormat="1" applyFont="1" applyAlignment="1">
      <alignment horizontal="right" indent="2"/>
    </xf>
    <xf numFmtId="0" fontId="29" fillId="0" borderId="0" xfId="20" quotePrefix="1" applyFont="1"/>
    <xf numFmtId="173" fontId="29" fillId="0" borderId="0" xfId="1" applyNumberFormat="1" applyFont="1" applyAlignment="1">
      <alignment horizontal="right" indent="2"/>
    </xf>
    <xf numFmtId="0" fontId="29" fillId="0" borderId="0" xfId="20" applyFont="1" applyAlignment="1">
      <alignment horizontal="left" indent="2"/>
    </xf>
    <xf numFmtId="0" fontId="45" fillId="0" borderId="0" xfId="20" applyFont="1"/>
    <xf numFmtId="0" fontId="31" fillId="0" borderId="0" xfId="20" applyFont="1"/>
    <xf numFmtId="0" fontId="32" fillId="0" borderId="0" xfId="0" applyFont="1"/>
    <xf numFmtId="0" fontId="32" fillId="0" borderId="0" xfId="0" quotePrefix="1" applyFont="1"/>
    <xf numFmtId="0" fontId="12" fillId="16" borderId="0" xfId="0" applyFont="1" applyFill="1"/>
    <xf numFmtId="178" fontId="7" fillId="16" borderId="0" xfId="15" applyNumberFormat="1" applyFont="1" applyFill="1"/>
    <xf numFmtId="178" fontId="12" fillId="16" borderId="0" xfId="15" applyNumberFormat="1" applyFont="1" applyFill="1"/>
    <xf numFmtId="3" fontId="38" fillId="0" borderId="0" xfId="0" applyNumberFormat="1" applyFont="1"/>
    <xf numFmtId="0" fontId="7" fillId="15" borderId="0" xfId="20" applyFont="1" applyFill="1"/>
    <xf numFmtId="3" fontId="43" fillId="0" borderId="0" xfId="0" applyNumberFormat="1" applyFont="1"/>
    <xf numFmtId="178" fontId="0" fillId="0" borderId="0" xfId="15" applyNumberFormat="1" applyFont="1"/>
    <xf numFmtId="178" fontId="5" fillId="0" borderId="0" xfId="15" applyNumberFormat="1" applyFont="1"/>
    <xf numFmtId="3" fontId="46" fillId="10" borderId="0" xfId="0" applyNumberFormat="1" applyFont="1" applyFill="1"/>
    <xf numFmtId="165" fontId="44" fillId="0" borderId="0" xfId="15" applyFont="1"/>
    <xf numFmtId="3" fontId="47" fillId="11" borderId="13" xfId="0" applyNumberFormat="1" applyFont="1" applyFill="1" applyBorder="1"/>
    <xf numFmtId="3" fontId="46" fillId="11" borderId="16" xfId="0" applyNumberFormat="1" applyFont="1" applyFill="1" applyBorder="1" applyAlignment="1">
      <alignment horizontal="left"/>
    </xf>
    <xf numFmtId="0" fontId="29" fillId="0" borderId="0" xfId="20" applyFont="1" applyAlignment="1">
      <alignment horizontal="left" vertical="center" indent="2"/>
    </xf>
    <xf numFmtId="0" fontId="30" fillId="0" borderId="0" xfId="20" applyFont="1" applyAlignment="1">
      <alignment horizontal="left" indent="2"/>
    </xf>
    <xf numFmtId="178" fontId="30" fillId="0" borderId="0" xfId="1" applyNumberFormat="1" applyFont="1" applyAlignment="1">
      <alignment horizontal="right" indent="2"/>
    </xf>
    <xf numFmtId="168" fontId="9" fillId="0" borderId="0" xfId="20" applyNumberFormat="1"/>
    <xf numFmtId="165" fontId="9" fillId="0" borderId="0" xfId="20" applyNumberFormat="1"/>
    <xf numFmtId="0" fontId="36" fillId="0" borderId="0" xfId="20" applyFont="1"/>
    <xf numFmtId="168" fontId="36" fillId="0" borderId="0" xfId="20" applyNumberFormat="1" applyFont="1"/>
    <xf numFmtId="0" fontId="33" fillId="0" borderId="0" xfId="0" applyFont="1"/>
    <xf numFmtId="167" fontId="33" fillId="0" borderId="0" xfId="0" applyNumberFormat="1" applyFont="1"/>
    <xf numFmtId="181" fontId="33" fillId="0" borderId="0" xfId="15" applyNumberFormat="1" applyFont="1"/>
    <xf numFmtId="0" fontId="10" fillId="0" borderId="0" xfId="0" applyFont="1"/>
    <xf numFmtId="167" fontId="10" fillId="0" borderId="0" xfId="0" applyNumberFormat="1" applyFont="1"/>
    <xf numFmtId="10" fontId="10" fillId="0" borderId="0" xfId="22" applyNumberFormat="1" applyFont="1"/>
    <xf numFmtId="181" fontId="10" fillId="0" borderId="0" xfId="0" applyNumberFormat="1" applyFont="1"/>
    <xf numFmtId="181" fontId="10" fillId="0" borderId="0" xfId="15" applyNumberFormat="1" applyFont="1"/>
    <xf numFmtId="0" fontId="48" fillId="0" borderId="0" xfId="0" applyFont="1"/>
    <xf numFmtId="181" fontId="10" fillId="0" borderId="0" xfId="22" applyNumberFormat="1" applyFont="1"/>
    <xf numFmtId="0" fontId="49" fillId="16" borderId="0" xfId="0" applyFont="1" applyFill="1"/>
    <xf numFmtId="10" fontId="49" fillId="16" borderId="0" xfId="22" applyNumberFormat="1" applyFont="1" applyFill="1"/>
    <xf numFmtId="167" fontId="49" fillId="16" borderId="0" xfId="0" applyNumberFormat="1" applyFont="1" applyFill="1"/>
    <xf numFmtId="172" fontId="10" fillId="0" borderId="0" xfId="0" applyNumberFormat="1" applyFont="1"/>
    <xf numFmtId="3" fontId="2" fillId="0" borderId="0" xfId="0" applyNumberFormat="1" applyFont="1"/>
    <xf numFmtId="176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175" fontId="2" fillId="0" borderId="0" xfId="0" applyNumberFormat="1" applyFont="1"/>
    <xf numFmtId="10" fontId="2" fillId="0" borderId="0" xfId="0" applyNumberFormat="1" applyFont="1"/>
    <xf numFmtId="165" fontId="2" fillId="0" borderId="0" xfId="15" applyFont="1"/>
    <xf numFmtId="0" fontId="50" fillId="0" borderId="0" xfId="0" applyFont="1"/>
    <xf numFmtId="3" fontId="12" fillId="0" borderId="0" xfId="0" applyNumberFormat="1" applyFont="1" applyAlignment="1">
      <alignment horizontal="center"/>
    </xf>
  </cellXfs>
  <cellStyles count="32">
    <cellStyle name="1000-sep (2 dec) 2" xfId="1" xr:uid="{00000000-0005-0000-0000-000000000000}"/>
    <cellStyle name="Accent1" xfId="2" xr:uid="{00000000-0005-0000-0000-000001000000}"/>
    <cellStyle name="Accent2" xfId="3" xr:uid="{00000000-0005-0000-0000-000002000000}"/>
    <cellStyle name="Accent3" xfId="4" xr:uid="{00000000-0005-0000-0000-000003000000}"/>
    <cellStyle name="Accent4" xfId="5" xr:uid="{00000000-0005-0000-0000-000004000000}"/>
    <cellStyle name="Accent5" xfId="6" xr:uid="{00000000-0005-0000-0000-000005000000}"/>
    <cellStyle name="Accent6" xfId="7" xr:uid="{00000000-0005-0000-0000-000006000000}"/>
    <cellStyle name="Bad" xfId="8" xr:uid="{00000000-0005-0000-0000-000007000000}"/>
    <cellStyle name="Check Cell" xfId="9" xr:uid="{00000000-0005-0000-0000-000008000000}"/>
    <cellStyle name="Comma" xfId="15" builtinId="3"/>
    <cellStyle name="Explanatory Text" xfId="10" xr:uid="{00000000-0005-0000-0000-00000A000000}"/>
    <cellStyle name="Heading 1" xfId="11" xr:uid="{00000000-0005-0000-0000-00000B000000}"/>
    <cellStyle name="Heading 2" xfId="12" xr:uid="{00000000-0005-0000-0000-00000C000000}"/>
    <cellStyle name="Heading 3" xfId="13" xr:uid="{00000000-0005-0000-0000-00000D000000}"/>
    <cellStyle name="Heading 4" xfId="14" xr:uid="{00000000-0005-0000-0000-00000E000000}"/>
    <cellStyle name="Hyperlink" xfId="18" builtinId="8"/>
    <cellStyle name="Komma 2" xfId="16" xr:uid="{00000000-0005-0000-0000-000010000000}"/>
    <cellStyle name="Komma 2 2 2" xfId="29" xr:uid="{4712E9A0-D7E0-B64D-BE52-802443F99FD0}"/>
    <cellStyle name="Komma 3" xfId="27" xr:uid="{C7A1B756-229C-6445-A3BA-5C4C1F249250}"/>
    <cellStyle name="Komma 4" xfId="17" xr:uid="{00000000-0005-0000-0000-000011000000}"/>
    <cellStyle name="Linked Cell" xfId="19" xr:uid="{00000000-0005-0000-0000-000012000000}"/>
    <cellStyle name="Normal" xfId="0" builtinId="0"/>
    <cellStyle name="Normal 2" xfId="20" xr:uid="{00000000-0005-0000-0000-000014000000}"/>
    <cellStyle name="Normal 2 2" xfId="25" xr:uid="{D9108136-49FF-0847-BE73-EEEC5ACC4AC5}"/>
    <cellStyle name="Normal 3" xfId="24" xr:uid="{4146F1C5-8C63-0F4A-94A6-5E52BB944212}"/>
    <cellStyle name="Normal 5" xfId="21" xr:uid="{00000000-0005-0000-0000-000015000000}"/>
    <cellStyle name="Percent" xfId="22" builtinId="5"/>
    <cellStyle name="Procent 2" xfId="26" xr:uid="{9C197651-9981-6942-853A-FC2AC5B13E52}"/>
    <cellStyle name="Procent 3" xfId="23" xr:uid="{00000000-0005-0000-0000-000017000000}"/>
    <cellStyle name="Procent 3 2" xfId="30" xr:uid="{FA90B2B2-CB52-D846-A23D-37F0219C34FC}"/>
    <cellStyle name="Procent 4" xfId="28" xr:uid="{7C9B073F-6B01-FD43-B360-67DF99FD14D0}"/>
    <cellStyle name="Procent 5" xfId="31" xr:uid="{3EEBC269-CD0F-804A-A96E-0A4D6368EF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fif.sharepoint.com/Users/ENG/Downloads/2024%20Master%20skabelon%20&#8211;%20NY%20(11).xlsx" TargetMode="External"/><Relationship Id="rId1" Type="http://schemas.openxmlformats.org/officeDocument/2006/relationships/externalLinkPath" Target="https://efif.sharepoint.com/Users/ENG/Downloads/2024%20Master%20skabelon%20&#8211;%20NY%20(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lig før boligkøb"/>
      <sheetName val="Ægtepar før boligkøb"/>
      <sheetName val="Budget før boligkøb"/>
      <sheetName val="Hvordan finansieres huset"/>
      <sheetName val="NY Hvordan finansieres boligen"/>
      <sheetName val="Banklån"/>
      <sheetName val="Realkredit finansiering"/>
      <sheetName val="F5"/>
      <sheetName val="Enlig efter boligkøb"/>
      <sheetName val="Ægtepar efter boligkøb"/>
      <sheetName val="Budget efter boligkøb"/>
      <sheetName val="Rådighedsbeløb - oversigt"/>
      <sheetName val="Nedkonvertering"/>
      <sheetName val="Opkonvertering"/>
      <sheetName val="Byg realkredit beregn restgæld"/>
      <sheetName val="Pensionsberegner 2024"/>
      <sheetName val="Investering"/>
      <sheetName val="Hvor meget har jeg at leve for"/>
      <sheetName val="Andelsboliglån"/>
      <sheetName val="Andelsværdiberegner"/>
      <sheetName val="Forældrekøb"/>
      <sheetName val="Låneskabelon"/>
      <sheetName val="Skattesatser"/>
      <sheetName val="Ark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ak.dk/Bliv_medlem/Kontingen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6"/>
  <sheetViews>
    <sheetView zoomScaleNormal="100" workbookViewId="0">
      <selection activeCell="G15" sqref="G15"/>
    </sheetView>
  </sheetViews>
  <sheetFormatPr baseColWidth="10" defaultColWidth="8.83203125" defaultRowHeight="13"/>
  <cols>
    <col min="1" max="1" width="5.6640625" style="25" customWidth="1"/>
    <col min="2" max="2" width="38.33203125" customWidth="1"/>
    <col min="3" max="3" width="14.83203125" customWidth="1"/>
    <col min="4" max="4" width="15.33203125" style="2" customWidth="1"/>
    <col min="5" max="5" width="14.1640625" style="2" customWidth="1"/>
    <col min="6" max="6" width="12.6640625" style="2" customWidth="1"/>
    <col min="7" max="7" width="14.83203125" style="2" customWidth="1"/>
    <col min="8" max="8" width="12.1640625" style="2" bestFit="1" customWidth="1"/>
    <col min="9" max="9" width="12.6640625" customWidth="1"/>
    <col min="10" max="26" width="11" customWidth="1"/>
  </cols>
  <sheetData>
    <row r="1" spans="1:10" ht="20">
      <c r="B1" s="37" t="s">
        <v>0</v>
      </c>
      <c r="C1" s="29" t="s">
        <v>1</v>
      </c>
    </row>
    <row r="2" spans="1:10" ht="20">
      <c r="B2" s="28" t="s">
        <v>2</v>
      </c>
      <c r="C2" s="30" t="s">
        <v>3</v>
      </c>
      <c r="D2" s="31" t="s">
        <v>4</v>
      </c>
      <c r="F2" s="219" t="s">
        <v>5</v>
      </c>
    </row>
    <row r="3" spans="1:10">
      <c r="B3" s="6" t="s">
        <v>6</v>
      </c>
      <c r="C3" s="18">
        <v>0.08</v>
      </c>
      <c r="D3" s="18">
        <v>0.08</v>
      </c>
    </row>
    <row r="4" spans="1:10">
      <c r="B4" s="6" t="s">
        <v>7</v>
      </c>
      <c r="C4" s="17">
        <v>0</v>
      </c>
      <c r="D4" s="17">
        <v>0</v>
      </c>
    </row>
    <row r="5" spans="1:10">
      <c r="B5" s="6" t="s">
        <v>8</v>
      </c>
      <c r="C5" s="17">
        <v>42900</v>
      </c>
      <c r="D5" s="17">
        <v>42900</v>
      </c>
    </row>
    <row r="6" spans="1:10">
      <c r="B6" t="s">
        <v>9</v>
      </c>
      <c r="C6" s="18">
        <v>0.51500000000000001</v>
      </c>
      <c r="D6" s="18">
        <v>0.51500000000000001</v>
      </c>
    </row>
    <row r="7" spans="1:10" s="12" customFormat="1">
      <c r="A7" s="24"/>
      <c r="C7" s="20"/>
      <c r="D7" s="20"/>
      <c r="E7" s="13"/>
      <c r="F7" s="13" t="s">
        <v>5</v>
      </c>
      <c r="G7" s="13"/>
      <c r="H7" s="13"/>
    </row>
    <row r="8" spans="1:10" s="12" customFormat="1">
      <c r="A8" s="24"/>
      <c r="B8" s="6" t="s">
        <v>10</v>
      </c>
      <c r="C8" s="14">
        <f>52000*12</f>
        <v>624000</v>
      </c>
      <c r="D8" s="14">
        <f>12*22000</f>
        <v>264000</v>
      </c>
      <c r="E8" s="13"/>
      <c r="F8" s="13"/>
      <c r="G8" s="13"/>
      <c r="H8" s="220" t="s">
        <v>5</v>
      </c>
    </row>
    <row r="9" spans="1:10" s="12" customFormat="1">
      <c r="A9" s="24"/>
      <c r="B9" s="221" t="s">
        <v>11</v>
      </c>
      <c r="C9" s="14">
        <f>0.05*C8</f>
        <v>31200</v>
      </c>
      <c r="D9" s="14">
        <f>0.05*D8</f>
        <v>13200</v>
      </c>
      <c r="E9" s="13"/>
      <c r="F9" s="13"/>
      <c r="G9" s="13"/>
      <c r="H9" s="13"/>
    </row>
    <row r="10" spans="1:10" s="12" customFormat="1">
      <c r="A10" s="24"/>
      <c r="B10" s="222" t="s">
        <v>12</v>
      </c>
      <c r="C10" s="14">
        <f>0.25*300000+0.2*(350000-300000)+4500</f>
        <v>89500</v>
      </c>
      <c r="D10" s="14"/>
      <c r="E10" s="13"/>
      <c r="F10" s="13"/>
      <c r="G10" s="13"/>
      <c r="H10" s="13"/>
    </row>
    <row r="11" spans="1:10" s="12" customFormat="1">
      <c r="A11" s="24"/>
      <c r="B11" s="221" t="s">
        <v>13</v>
      </c>
      <c r="C11" s="14">
        <v>3000</v>
      </c>
      <c r="D11" s="14">
        <v>0</v>
      </c>
      <c r="E11" s="13"/>
      <c r="F11" s="13"/>
      <c r="G11" s="13"/>
      <c r="H11" s="13"/>
    </row>
    <row r="12" spans="1:10">
      <c r="B12" s="38" t="s">
        <v>14</v>
      </c>
      <c r="C12" s="17">
        <f>C8-C9+C10+C11</f>
        <v>685300</v>
      </c>
      <c r="D12" s="17">
        <f>D8-D9+D10+D11</f>
        <v>250800</v>
      </c>
      <c r="E12" s="17"/>
      <c r="I12" s="2"/>
      <c r="J12" s="23"/>
    </row>
    <row r="13" spans="1:10">
      <c r="B13" s="6" t="s">
        <v>6</v>
      </c>
      <c r="C13" s="17">
        <f>+C12*0.08</f>
        <v>54824</v>
      </c>
      <c r="D13" s="2">
        <f>+D12*0.08</f>
        <v>20064</v>
      </c>
      <c r="E13" s="17"/>
      <c r="F13" s="56" t="s">
        <v>5</v>
      </c>
      <c r="G13" s="219" t="s">
        <v>5</v>
      </c>
      <c r="I13" s="2"/>
      <c r="J13" s="23"/>
    </row>
    <row r="14" spans="1:10">
      <c r="B14" s="3" t="s">
        <v>15</v>
      </c>
      <c r="C14" s="2">
        <v>0</v>
      </c>
      <c r="D14" s="2">
        <v>0</v>
      </c>
      <c r="G14"/>
      <c r="H14" s="4"/>
    </row>
    <row r="15" spans="1:10">
      <c r="A15" s="26"/>
      <c r="B15" s="36" t="s">
        <v>16</v>
      </c>
      <c r="C15" s="2">
        <f>+C12-C13-C14</f>
        <v>630476</v>
      </c>
      <c r="D15" s="2">
        <f>+D12-D13-D14</f>
        <v>230736</v>
      </c>
      <c r="G15" s="219" t="s">
        <v>5</v>
      </c>
    </row>
    <row r="16" spans="1:10" ht="7.25" customHeight="1">
      <c r="A16" s="26"/>
      <c r="B16" s="3"/>
    </row>
    <row r="17" spans="1:12">
      <c r="A17" s="24"/>
      <c r="B17" s="3" t="s">
        <v>17</v>
      </c>
      <c r="C17">
        <v>0</v>
      </c>
      <c r="D17" s="2">
        <v>0</v>
      </c>
      <c r="F17" s="17"/>
    </row>
    <row r="18" spans="1:12">
      <c r="A18" s="24"/>
      <c r="B18" t="s">
        <v>18</v>
      </c>
      <c r="F18" s="219" t="s">
        <v>5</v>
      </c>
    </row>
    <row r="19" spans="1:12">
      <c r="A19" s="24"/>
      <c r="B19" t="s">
        <v>19</v>
      </c>
      <c r="C19">
        <v>0</v>
      </c>
      <c r="D19"/>
      <c r="F19" s="17"/>
      <c r="G19"/>
    </row>
    <row r="20" spans="1:12">
      <c r="A20" s="24"/>
      <c r="B20" s="3" t="s">
        <v>20</v>
      </c>
      <c r="C20" s="21">
        <f>SUM(C17:C19)</f>
        <v>0</v>
      </c>
      <c r="D20" s="21">
        <f>SUM(D17:D19)</f>
        <v>0</v>
      </c>
      <c r="F20" s="5"/>
    </row>
    <row r="21" spans="1:12">
      <c r="A21" s="24"/>
      <c r="C21" s="20" t="s">
        <v>21</v>
      </c>
      <c r="D21" s="14" t="s">
        <v>21</v>
      </c>
    </row>
    <row r="22" spans="1:12">
      <c r="A22" s="24"/>
      <c r="B22" s="6" t="s">
        <v>22</v>
      </c>
      <c r="C22" s="2">
        <f>MIN((C12)*0.0425,13600)</f>
        <v>13600</v>
      </c>
      <c r="D22" s="2">
        <f>MIN((D12-D14)*0.0425,13600)</f>
        <v>10659</v>
      </c>
      <c r="F22" s="2" t="s">
        <v>23</v>
      </c>
      <c r="I22" s="223"/>
    </row>
    <row r="23" spans="1:12">
      <c r="A23" s="24"/>
      <c r="B23" s="222" t="s">
        <v>24</v>
      </c>
      <c r="C23" s="32">
        <f>4*2454</f>
        <v>9816</v>
      </c>
      <c r="D23">
        <f>1339*12</f>
        <v>16068</v>
      </c>
      <c r="F23" s="17"/>
      <c r="H23" s="223" t="s">
        <v>25</v>
      </c>
      <c r="I23" s="35" t="s">
        <v>26</v>
      </c>
    </row>
    <row r="24" spans="1:12">
      <c r="B24" s="6" t="s">
        <v>27</v>
      </c>
      <c r="C24">
        <v>0</v>
      </c>
      <c r="D24" s="2">
        <v>0</v>
      </c>
      <c r="E24" s="219" t="s">
        <v>5</v>
      </c>
      <c r="H24" s="27" t="s">
        <v>28</v>
      </c>
      <c r="I24" s="35" t="s">
        <v>29</v>
      </c>
    </row>
    <row r="25" spans="1:12">
      <c r="B25" s="6" t="s">
        <v>30</v>
      </c>
      <c r="C25">
        <v>0</v>
      </c>
      <c r="D25">
        <v>0</v>
      </c>
      <c r="F25" s="17" t="s">
        <v>31</v>
      </c>
    </row>
    <row r="26" spans="1:12">
      <c r="B26" s="3" t="s">
        <v>32</v>
      </c>
      <c r="C26" s="33">
        <f>SUM(C22:C25)</f>
        <v>23416</v>
      </c>
      <c r="D26" s="33">
        <f>SUM(D22:D25)</f>
        <v>26727</v>
      </c>
    </row>
    <row r="27" spans="1:12">
      <c r="B27" s="36" t="s">
        <v>33</v>
      </c>
      <c r="C27" s="39">
        <f>+C15+C20-C26</f>
        <v>607060</v>
      </c>
      <c r="D27" s="39">
        <f>+D15+D20-D26</f>
        <v>204009</v>
      </c>
    </row>
    <row r="28" spans="1:12" ht="16">
      <c r="B28" s="3"/>
      <c r="D28"/>
      <c r="E28" s="228" t="s">
        <v>34</v>
      </c>
      <c r="F28" s="228"/>
      <c r="G28" s="228" t="s">
        <v>35</v>
      </c>
      <c r="H28" s="228"/>
    </row>
    <row r="29" spans="1:12" ht="16">
      <c r="A29" s="25" t="s">
        <v>5</v>
      </c>
      <c r="B29" s="22" t="s">
        <v>36</v>
      </c>
      <c r="C29" s="12"/>
      <c r="D29" s="12"/>
      <c r="E29" s="1" t="s">
        <v>3</v>
      </c>
      <c r="F29" s="1" t="s">
        <v>4</v>
      </c>
      <c r="G29" s="1" t="s">
        <v>3</v>
      </c>
      <c r="H29" s="1" t="s">
        <v>4</v>
      </c>
      <c r="I29" s="1" t="s">
        <v>5</v>
      </c>
      <c r="J29" s="14"/>
      <c r="K29" s="2"/>
    </row>
    <row r="30" spans="1:12" ht="26">
      <c r="B30" s="12"/>
      <c r="C30" s="20" t="s">
        <v>37</v>
      </c>
      <c r="D30" s="40" t="s">
        <v>38</v>
      </c>
      <c r="F30" s="14"/>
      <c r="G30" s="14"/>
      <c r="H30" s="14"/>
      <c r="J30" s="14"/>
      <c r="K30" s="2"/>
      <c r="L30" s="2"/>
    </row>
    <row r="31" spans="1:12">
      <c r="B31" t="s">
        <v>39</v>
      </c>
      <c r="C31" s="18">
        <v>3.6700000000000003E-2</v>
      </c>
      <c r="D31" s="16">
        <f>C5</f>
        <v>42900</v>
      </c>
      <c r="E31" s="2">
        <f>+C15+C20</f>
        <v>630476</v>
      </c>
      <c r="F31" s="2">
        <f>+D15+D20</f>
        <v>230736</v>
      </c>
      <c r="G31" s="2">
        <f t="shared" ref="G31:H33" si="0">+(E31-$D31)*$C31</f>
        <v>21564.039200000003</v>
      </c>
      <c r="H31" s="2">
        <f t="shared" si="0"/>
        <v>6893.5812000000005</v>
      </c>
      <c r="I31" s="2"/>
      <c r="J31" s="219" t="s">
        <v>5</v>
      </c>
    </row>
    <row r="32" spans="1:12">
      <c r="B32" t="s">
        <v>40</v>
      </c>
      <c r="C32" s="18">
        <v>0.08</v>
      </c>
      <c r="D32" s="16">
        <f>+D31</f>
        <v>42900</v>
      </c>
      <c r="E32" s="2">
        <f>+C27</f>
        <v>607060</v>
      </c>
      <c r="F32" s="2">
        <f>+D27</f>
        <v>204009</v>
      </c>
      <c r="G32" s="2">
        <f t="shared" si="0"/>
        <v>45132.800000000003</v>
      </c>
      <c r="H32" s="2">
        <f t="shared" si="0"/>
        <v>12888.720000000001</v>
      </c>
      <c r="I32" s="2"/>
      <c r="J32" s="18"/>
    </row>
    <row r="33" spans="1:10">
      <c r="B33" t="s">
        <v>41</v>
      </c>
      <c r="C33" s="18">
        <v>0.23699999999999999</v>
      </c>
      <c r="D33" s="16">
        <f>+D32</f>
        <v>42900</v>
      </c>
      <c r="E33" s="2">
        <f>+C27</f>
        <v>607060</v>
      </c>
      <c r="F33" s="2">
        <f>+D27</f>
        <v>204009</v>
      </c>
      <c r="G33" s="2">
        <f t="shared" si="0"/>
        <v>133705.91999999998</v>
      </c>
      <c r="H33" s="2">
        <f t="shared" si="0"/>
        <v>38182.832999999999</v>
      </c>
      <c r="I33" s="2"/>
      <c r="J33" s="2"/>
    </row>
    <row r="34" spans="1:10">
      <c r="B34" t="s">
        <v>42</v>
      </c>
      <c r="C34" s="18">
        <v>0.15</v>
      </c>
      <c r="D34" s="17">
        <v>389900</v>
      </c>
      <c r="E34" s="2">
        <f>C15</f>
        <v>630476</v>
      </c>
      <c r="F34" s="2">
        <f>+D15</f>
        <v>230736</v>
      </c>
      <c r="G34" s="2">
        <f>+(E34-D34)*C34</f>
        <v>36086.400000000001</v>
      </c>
      <c r="H34" s="2">
        <f>MAX((F34-D34)*C34,0)</f>
        <v>0</v>
      </c>
      <c r="I34" s="2"/>
      <c r="J34" s="2"/>
    </row>
    <row r="35" spans="1:10">
      <c r="B35" t="s">
        <v>43</v>
      </c>
      <c r="C35" s="18">
        <f>IF(C56&gt;C6,C56-C6,0)</f>
        <v>0</v>
      </c>
      <c r="J35" s="2"/>
    </row>
    <row r="36" spans="1:10">
      <c r="B36" s="223" t="s">
        <v>44</v>
      </c>
      <c r="C36" s="18"/>
      <c r="G36" s="2">
        <f>SUM(G31:G35)</f>
        <v>236489.15919999997</v>
      </c>
      <c r="H36" s="2">
        <f>SUM(H31:H35)</f>
        <v>57965.1342</v>
      </c>
      <c r="J36" s="219" t="s">
        <v>5</v>
      </c>
    </row>
    <row r="37" spans="1:10">
      <c r="B37" t="s">
        <v>45</v>
      </c>
      <c r="C37" s="18"/>
      <c r="G37" s="2">
        <f>C13</f>
        <v>54824</v>
      </c>
      <c r="H37" s="2">
        <f>D13</f>
        <v>20064</v>
      </c>
      <c r="J37" s="2"/>
    </row>
    <row r="38" spans="1:10" ht="17" thickBot="1">
      <c r="B38" s="41" t="s">
        <v>46</v>
      </c>
      <c r="C38" s="18"/>
      <c r="G38" s="42">
        <f>G36+G37</f>
        <v>291313.15919999999</v>
      </c>
      <c r="H38" s="42">
        <f>H36+H37</f>
        <v>78029.1342</v>
      </c>
      <c r="J38" s="2"/>
    </row>
    <row r="39" spans="1:10" ht="17" thickTop="1">
      <c r="B39" s="184" t="s">
        <v>47</v>
      </c>
      <c r="C39" s="18"/>
      <c r="G39" s="189"/>
      <c r="H39" s="189"/>
      <c r="J39" s="2"/>
    </row>
    <row r="40" spans="1:10" ht="16">
      <c r="B40" s="43" t="s">
        <v>48</v>
      </c>
      <c r="C40" s="44"/>
      <c r="D40" s="45"/>
      <c r="E40" s="45"/>
      <c r="F40" s="45"/>
      <c r="G40" s="46"/>
      <c r="H40" s="46">
        <v>1300</v>
      </c>
      <c r="I40" s="223" t="s">
        <v>49</v>
      </c>
      <c r="J40" s="2"/>
    </row>
    <row r="41" spans="1:10" ht="16">
      <c r="B41" s="47" t="s">
        <v>50</v>
      </c>
      <c r="C41" s="48"/>
      <c r="D41" s="49"/>
      <c r="E41" s="49"/>
      <c r="F41" s="49"/>
      <c r="G41" s="50">
        <f>G38-G40+G39</f>
        <v>291313.15919999999</v>
      </c>
      <c r="H41" s="50">
        <f>H38-H40+H39</f>
        <v>76729.1342</v>
      </c>
      <c r="I41" s="219" t="s">
        <v>51</v>
      </c>
      <c r="J41" s="2"/>
    </row>
    <row r="42" spans="1:10" ht="16">
      <c r="B42" s="47"/>
      <c r="C42" s="48"/>
      <c r="D42" s="49"/>
      <c r="E42" s="49"/>
      <c r="F42" s="49"/>
      <c r="G42" s="50"/>
      <c r="H42" s="50"/>
      <c r="J42" s="2"/>
    </row>
    <row r="43" spans="1:10" ht="16">
      <c r="B43" s="47"/>
      <c r="C43" s="48"/>
      <c r="D43" s="49"/>
      <c r="E43" s="49"/>
      <c r="F43" s="49"/>
      <c r="G43" s="50"/>
      <c r="H43" s="50"/>
      <c r="J43" s="2"/>
    </row>
    <row r="44" spans="1:10">
      <c r="I44" s="223"/>
      <c r="J44" s="2"/>
    </row>
    <row r="45" spans="1:10" ht="16">
      <c r="A45" s="25" t="s">
        <v>5</v>
      </c>
      <c r="B45" s="51" t="s">
        <v>52</v>
      </c>
      <c r="G45" s="52" t="s">
        <v>5</v>
      </c>
      <c r="H45" s="52" t="s">
        <v>5</v>
      </c>
      <c r="I45" s="53" t="s">
        <v>5</v>
      </c>
      <c r="J45" s="219" t="s">
        <v>5</v>
      </c>
    </row>
    <row r="46" spans="1:10" ht="16">
      <c r="B46" s="51"/>
      <c r="C46" s="223" t="s">
        <v>3</v>
      </c>
      <c r="D46" s="219" t="s">
        <v>4</v>
      </c>
      <c r="G46" s="52"/>
      <c r="H46" s="52"/>
      <c r="I46" s="53"/>
      <c r="J46" s="219"/>
    </row>
    <row r="47" spans="1:10" ht="16">
      <c r="B47" s="184" t="s">
        <v>53</v>
      </c>
      <c r="C47" s="2">
        <f>C8</f>
        <v>624000</v>
      </c>
      <c r="D47" s="2">
        <f>D8</f>
        <v>264000</v>
      </c>
      <c r="G47" s="52"/>
      <c r="H47" s="52"/>
      <c r="I47" s="53"/>
      <c r="J47" s="219"/>
    </row>
    <row r="48" spans="1:10" ht="16">
      <c r="B48" s="185" t="s">
        <v>54</v>
      </c>
      <c r="C48" s="2">
        <f>C9</f>
        <v>31200</v>
      </c>
      <c r="D48" s="2">
        <f>D9</f>
        <v>13200</v>
      </c>
      <c r="G48" s="52"/>
      <c r="H48" s="52"/>
      <c r="I48" s="53"/>
      <c r="J48" s="219"/>
    </row>
    <row r="49" spans="2:12" ht="16">
      <c r="B49" s="185" t="s">
        <v>55</v>
      </c>
      <c r="C49" s="2">
        <f>G41</f>
        <v>291313.15919999999</v>
      </c>
      <c r="D49" s="2">
        <f>H41</f>
        <v>76729.1342</v>
      </c>
      <c r="G49" s="52"/>
      <c r="H49" s="52"/>
      <c r="I49" s="53"/>
      <c r="J49" s="219"/>
    </row>
    <row r="50" spans="2:12" ht="16">
      <c r="B50" s="51" t="s">
        <v>56</v>
      </c>
      <c r="C50" s="2">
        <f>C47-C48-C49</f>
        <v>301486.84080000001</v>
      </c>
      <c r="D50" s="2">
        <f>D47-D48-D49</f>
        <v>174070.8658</v>
      </c>
      <c r="G50" s="52"/>
      <c r="H50" s="52"/>
      <c r="I50" s="53"/>
      <c r="J50" s="219"/>
    </row>
    <row r="51" spans="2:12" ht="16">
      <c r="B51" s="186" t="s">
        <v>57</v>
      </c>
      <c r="C51" s="188">
        <f>C50/12</f>
        <v>25123.903399999999</v>
      </c>
      <c r="D51" s="188">
        <f>D50/12</f>
        <v>14505.905483333334</v>
      </c>
      <c r="I51" s="54" t="s">
        <v>5</v>
      </c>
      <c r="J51" s="219" t="s">
        <v>5</v>
      </c>
    </row>
    <row r="52" spans="2:12" ht="16">
      <c r="B52" s="186"/>
      <c r="C52" s="187"/>
      <c r="D52" s="187"/>
      <c r="I52" s="54"/>
      <c r="J52" s="219"/>
    </row>
    <row r="53" spans="2:12">
      <c r="J53" s="219" t="s">
        <v>5</v>
      </c>
      <c r="K53" s="55"/>
    </row>
    <row r="54" spans="2:12">
      <c r="J54" s="219"/>
      <c r="K54" s="55"/>
    </row>
    <row r="55" spans="2:12">
      <c r="D55" s="219" t="s">
        <v>58</v>
      </c>
      <c r="J55" s="219"/>
      <c r="K55" s="55"/>
    </row>
    <row r="56" spans="2:12">
      <c r="B56" s="222" t="s">
        <v>59</v>
      </c>
      <c r="C56" s="10">
        <f>C31+C32+C33+C34</f>
        <v>0.50370000000000004</v>
      </c>
      <c r="D56" s="224">
        <f>0.92*C56+C57</f>
        <v>0.543404</v>
      </c>
      <c r="E56" s="9"/>
      <c r="G56" s="225" t="s">
        <v>5</v>
      </c>
      <c r="H56" s="10"/>
      <c r="J56" s="219" t="s">
        <v>5</v>
      </c>
    </row>
    <row r="57" spans="2:12">
      <c r="B57" t="s">
        <v>6</v>
      </c>
      <c r="C57" s="18">
        <v>0.08</v>
      </c>
      <c r="G57" s="10"/>
      <c r="I57" s="2"/>
      <c r="K57" s="8"/>
    </row>
    <row r="58" spans="2:12" ht="18.75" customHeight="1">
      <c r="B58" s="223" t="s">
        <v>60</v>
      </c>
      <c r="C58" s="10">
        <f>SUM(C31:C33)</f>
        <v>0.35370000000000001</v>
      </c>
      <c r="D58" s="224">
        <f>0.92*C58+C57</f>
        <v>0.40540400000000004</v>
      </c>
      <c r="F58" s="219" t="s">
        <v>5</v>
      </c>
      <c r="G58" s="10"/>
    </row>
    <row r="59" spans="2:12">
      <c r="B59" s="223"/>
      <c r="C59" s="8" t="s">
        <v>5</v>
      </c>
      <c r="K59" s="8"/>
      <c r="L59" s="8"/>
    </row>
    <row r="60" spans="2:12" ht="13.5" customHeight="1">
      <c r="C60" s="7"/>
      <c r="G60" s="10"/>
    </row>
    <row r="61" spans="2:12">
      <c r="C61" s="2"/>
    </row>
    <row r="62" spans="2:12">
      <c r="C62" s="12" t="s">
        <v>61</v>
      </c>
      <c r="D62" s="12" t="s">
        <v>62</v>
      </c>
      <c r="E62" s="19" t="s">
        <v>63</v>
      </c>
      <c r="F62" s="15" t="s">
        <v>64</v>
      </c>
      <c r="G62" s="15" t="s">
        <v>65</v>
      </c>
      <c r="H62" s="13" t="s">
        <v>66</v>
      </c>
      <c r="K62" s="219" t="s">
        <v>5</v>
      </c>
    </row>
    <row r="63" spans="2:12">
      <c r="B63" s="22" t="s">
        <v>27</v>
      </c>
      <c r="C63" s="11">
        <v>1.9</v>
      </c>
      <c r="D63" s="9">
        <v>216</v>
      </c>
      <c r="E63" s="9">
        <v>0</v>
      </c>
      <c r="F63" s="9">
        <v>24</v>
      </c>
      <c r="G63" s="2">
        <f>IF(E63&gt;F63,MIN(E63,100)-F63,0)</f>
        <v>0</v>
      </c>
      <c r="H63" s="2">
        <f>+(D63*G63)*C63</f>
        <v>0</v>
      </c>
    </row>
    <row r="64" spans="2:12">
      <c r="B64" t="s">
        <v>67</v>
      </c>
      <c r="C64" s="11">
        <v>0.95</v>
      </c>
      <c r="D64" s="2">
        <f>+D63</f>
        <v>216</v>
      </c>
      <c r="E64" s="2">
        <f>MAX(E63-100,0)</f>
        <v>0</v>
      </c>
      <c r="F64" s="9"/>
      <c r="G64" s="2">
        <f>MAX(E64,0)</f>
        <v>0</v>
      </c>
      <c r="H64" s="2">
        <f>+(D64*G64)*C64</f>
        <v>0</v>
      </c>
    </row>
    <row r="65" spans="2:8">
      <c r="B65" t="s">
        <v>68</v>
      </c>
      <c r="C65" s="11"/>
      <c r="F65" s="9"/>
      <c r="H65" s="2">
        <f>+H63+H64</f>
        <v>0</v>
      </c>
    </row>
    <row r="66" spans="2:8" hidden="1">
      <c r="C66" s="2"/>
    </row>
    <row r="67" spans="2:8" hidden="1">
      <c r="C67" s="2"/>
    </row>
    <row r="68" spans="2:8" hidden="1">
      <c r="C68" s="2"/>
    </row>
    <row r="69" spans="2:8" hidden="1">
      <c r="C69" s="2"/>
      <c r="E69" s="8"/>
      <c r="F69" s="8"/>
    </row>
    <row r="70" spans="2:8" hidden="1">
      <c r="C70" s="2"/>
    </row>
    <row r="71" spans="2:8" hidden="1">
      <c r="C71" s="2"/>
      <c r="G71" s="34"/>
    </row>
    <row r="72" spans="2:8" hidden="1">
      <c r="C72" s="2"/>
    </row>
    <row r="73" spans="2:8" hidden="1">
      <c r="C73" s="2"/>
    </row>
    <row r="74" spans="2:8" hidden="1">
      <c r="C74" s="2"/>
    </row>
    <row r="75" spans="2:8" hidden="1">
      <c r="C75" s="2"/>
    </row>
    <row r="76" spans="2:8">
      <c r="B76" s="223" t="s">
        <v>69</v>
      </c>
      <c r="C76" s="2"/>
    </row>
    <row r="77" spans="2:8">
      <c r="C77" s="2"/>
    </row>
    <row r="78" spans="2:8">
      <c r="B78" s="35" t="s">
        <v>31</v>
      </c>
      <c r="C78" s="2"/>
    </row>
    <row r="79" spans="2:8">
      <c r="C79" s="2"/>
    </row>
    <row r="80" spans="2:8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</sheetData>
  <mergeCells count="2">
    <mergeCell ref="E28:F28"/>
    <mergeCell ref="G28:H28"/>
  </mergeCells>
  <hyperlinks>
    <hyperlink ref="I23" r:id="rId1" xr:uid="{00000000-0004-0000-0000-000000000000}"/>
  </hyperlinks>
  <pageMargins left="0.74803149606299213" right="0.74803149606299213" top="0.98425196850393704" bottom="0.98425196850393704" header="0" footer="0"/>
  <pageSetup paperSize="9" scale="48" orientation="landscape" horizontalDpi="12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T161"/>
  <sheetViews>
    <sheetView showGridLines="0" zoomScale="69" zoomScaleNormal="70" workbookViewId="0">
      <selection activeCell="N89" sqref="N89"/>
    </sheetView>
  </sheetViews>
  <sheetFormatPr baseColWidth="10" defaultColWidth="9.1640625" defaultRowHeight="13"/>
  <cols>
    <col min="1" max="1" width="28" style="57" customWidth="1"/>
    <col min="2" max="2" width="8.33203125" style="57" customWidth="1"/>
    <col min="3" max="3" width="9" style="57" customWidth="1"/>
    <col min="4" max="4" width="10.6640625" style="57" bestFit="1" customWidth="1"/>
    <col min="5" max="5" width="10.83203125" style="57" customWidth="1"/>
    <col min="6" max="6" width="8.83203125" style="57" customWidth="1"/>
    <col min="7" max="7" width="8.1640625" style="57" customWidth="1"/>
    <col min="8" max="8" width="10.5" style="57" customWidth="1"/>
    <col min="9" max="9" width="8.33203125" style="57" customWidth="1"/>
    <col min="10" max="10" width="8.5" style="57" customWidth="1"/>
    <col min="11" max="11" width="8.83203125" style="57" customWidth="1"/>
    <col min="12" max="12" width="8.6640625" style="57" customWidth="1"/>
    <col min="13" max="13" width="8.83203125" style="57" customWidth="1"/>
    <col min="14" max="14" width="12.6640625" style="60" customWidth="1"/>
    <col min="15" max="33" width="11.5" style="59" customWidth="1"/>
    <col min="34" max="34" width="11.5" style="58" customWidth="1"/>
    <col min="35" max="256" width="11.5" style="57" customWidth="1"/>
    <col min="257" max="16384" width="9.1640625" style="57"/>
  </cols>
  <sheetData>
    <row r="1" spans="1:254" s="158" customFormat="1" ht="20">
      <c r="A1" s="159" t="s">
        <v>70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254" s="157" customForma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254" ht="16">
      <c r="A3" s="156" t="s">
        <v>71</v>
      </c>
      <c r="B3" s="155" t="s">
        <v>72</v>
      </c>
      <c r="C3" s="154" t="s">
        <v>73</v>
      </c>
      <c r="D3" s="154" t="s">
        <v>74</v>
      </c>
      <c r="E3" s="154" t="s">
        <v>75</v>
      </c>
      <c r="F3" s="154" t="s">
        <v>76</v>
      </c>
      <c r="G3" s="154" t="s">
        <v>77</v>
      </c>
      <c r="H3" s="154" t="s">
        <v>78</v>
      </c>
      <c r="I3" s="154" t="s">
        <v>79</v>
      </c>
      <c r="J3" s="154" t="s">
        <v>80</v>
      </c>
      <c r="K3" s="154" t="s">
        <v>81</v>
      </c>
      <c r="L3" s="154" t="s">
        <v>82</v>
      </c>
      <c r="M3" s="154" t="s">
        <v>83</v>
      </c>
      <c r="N3" s="153" t="s">
        <v>84</v>
      </c>
    </row>
    <row r="4" spans="1:254">
      <c r="A4" s="151" t="s">
        <v>85</v>
      </c>
      <c r="B4" s="101">
        <v>17000</v>
      </c>
      <c r="C4" s="100">
        <f t="shared" ref="C4:M4" si="0">B4</f>
        <v>17000</v>
      </c>
      <c r="D4" s="100">
        <f t="shared" si="0"/>
        <v>17000</v>
      </c>
      <c r="E4" s="100">
        <f t="shared" si="0"/>
        <v>17000</v>
      </c>
      <c r="F4" s="100">
        <f t="shared" si="0"/>
        <v>17000</v>
      </c>
      <c r="G4" s="100">
        <f t="shared" si="0"/>
        <v>17000</v>
      </c>
      <c r="H4" s="100">
        <f t="shared" si="0"/>
        <v>17000</v>
      </c>
      <c r="I4" s="100">
        <f t="shared" si="0"/>
        <v>17000</v>
      </c>
      <c r="J4" s="100">
        <f t="shared" si="0"/>
        <v>17000</v>
      </c>
      <c r="K4" s="100">
        <f t="shared" si="0"/>
        <v>17000</v>
      </c>
      <c r="L4" s="100">
        <f t="shared" si="0"/>
        <v>17000</v>
      </c>
      <c r="M4" s="100">
        <f t="shared" si="0"/>
        <v>17000</v>
      </c>
      <c r="N4" s="152">
        <f t="shared" ref="N4:N10" si="1">SUM(B4:M4)</f>
        <v>204000</v>
      </c>
    </row>
    <row r="5" spans="1:254">
      <c r="A5" s="151" t="s">
        <v>86</v>
      </c>
      <c r="B5" s="103">
        <v>18300</v>
      </c>
      <c r="C5" s="103">
        <f t="shared" ref="C5:M5" si="2">B5</f>
        <v>18300</v>
      </c>
      <c r="D5" s="103">
        <f t="shared" si="2"/>
        <v>18300</v>
      </c>
      <c r="E5" s="103">
        <f t="shared" si="2"/>
        <v>18300</v>
      </c>
      <c r="F5" s="103">
        <f t="shared" si="2"/>
        <v>18300</v>
      </c>
      <c r="G5" s="103">
        <f t="shared" si="2"/>
        <v>18300</v>
      </c>
      <c r="H5" s="103">
        <f t="shared" si="2"/>
        <v>18300</v>
      </c>
      <c r="I5" s="103">
        <f t="shared" si="2"/>
        <v>18300</v>
      </c>
      <c r="J5" s="103">
        <f t="shared" si="2"/>
        <v>18300</v>
      </c>
      <c r="K5" s="103">
        <f t="shared" si="2"/>
        <v>18300</v>
      </c>
      <c r="L5" s="103">
        <f t="shared" si="2"/>
        <v>18300</v>
      </c>
      <c r="M5" s="103">
        <f t="shared" si="2"/>
        <v>18300</v>
      </c>
      <c r="N5" s="150">
        <f t="shared" si="1"/>
        <v>219600</v>
      </c>
    </row>
    <row r="6" spans="1:254">
      <c r="A6" s="151" t="s">
        <v>87</v>
      </c>
      <c r="B6" s="101">
        <v>0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52">
        <f t="shared" si="1"/>
        <v>0</v>
      </c>
    </row>
    <row r="7" spans="1:254">
      <c r="A7" s="151" t="s">
        <v>88</v>
      </c>
      <c r="B7" s="103">
        <v>3300</v>
      </c>
      <c r="C7" s="103">
        <v>0</v>
      </c>
      <c r="D7" s="103">
        <v>0</v>
      </c>
      <c r="E7" s="103">
        <f>B7</f>
        <v>3300</v>
      </c>
      <c r="F7" s="103">
        <v>0</v>
      </c>
      <c r="G7" s="103">
        <v>0</v>
      </c>
      <c r="H7" s="103">
        <f>E7</f>
        <v>3300</v>
      </c>
      <c r="I7" s="103">
        <v>0</v>
      </c>
      <c r="J7" s="103">
        <v>0</v>
      </c>
      <c r="K7" s="103">
        <f>H7</f>
        <v>3300</v>
      </c>
      <c r="L7" s="103">
        <v>0</v>
      </c>
      <c r="M7" s="103">
        <v>0</v>
      </c>
      <c r="N7" s="150">
        <f t="shared" si="1"/>
        <v>13200</v>
      </c>
      <c r="O7" s="59" t="s">
        <v>230</v>
      </c>
    </row>
    <row r="8" spans="1:254">
      <c r="A8" s="151" t="s">
        <v>89</v>
      </c>
      <c r="B8" s="101">
        <v>0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52">
        <f t="shared" si="1"/>
        <v>0</v>
      </c>
    </row>
    <row r="9" spans="1:254">
      <c r="A9" s="151" t="s">
        <v>90</v>
      </c>
      <c r="B9" s="103">
        <v>0</v>
      </c>
      <c r="C9" s="103">
        <v>0</v>
      </c>
      <c r="D9" s="103">
        <v>0</v>
      </c>
      <c r="E9" s="103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50">
        <f t="shared" si="1"/>
        <v>0</v>
      </c>
    </row>
    <row r="10" spans="1:254" s="94" customFormat="1" ht="16">
      <c r="A10" s="149" t="s">
        <v>91</v>
      </c>
      <c r="B10" s="111">
        <f t="shared" ref="B10:M10" si="3">SUM(B4:B9)</f>
        <v>38600</v>
      </c>
      <c r="C10" s="110">
        <f t="shared" si="3"/>
        <v>35300</v>
      </c>
      <c r="D10" s="110">
        <f t="shared" si="3"/>
        <v>35300</v>
      </c>
      <c r="E10" s="110">
        <f t="shared" si="3"/>
        <v>38600</v>
      </c>
      <c r="F10" s="110">
        <f t="shared" si="3"/>
        <v>35300</v>
      </c>
      <c r="G10" s="110">
        <f t="shared" si="3"/>
        <v>35300</v>
      </c>
      <c r="H10" s="110">
        <f t="shared" si="3"/>
        <v>38600</v>
      </c>
      <c r="I10" s="110">
        <f t="shared" si="3"/>
        <v>35300</v>
      </c>
      <c r="J10" s="110">
        <f t="shared" si="3"/>
        <v>35300</v>
      </c>
      <c r="K10" s="110">
        <f t="shared" si="3"/>
        <v>38600</v>
      </c>
      <c r="L10" s="110">
        <f t="shared" si="3"/>
        <v>35300</v>
      </c>
      <c r="M10" s="110">
        <f t="shared" si="3"/>
        <v>35300</v>
      </c>
      <c r="N10" s="148">
        <f t="shared" si="1"/>
        <v>436800</v>
      </c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95"/>
    </row>
    <row r="11" spans="1:254" s="116" customFormat="1" ht="12">
      <c r="A11" s="147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5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  <c r="HV11" s="144"/>
      <c r="HW11" s="144"/>
      <c r="HX11" s="144"/>
      <c r="HY11" s="144"/>
      <c r="HZ11" s="144"/>
      <c r="IA11" s="144"/>
      <c r="IB11" s="144"/>
      <c r="IC11" s="144"/>
      <c r="ID11" s="144"/>
      <c r="IE11" s="144"/>
      <c r="IF11" s="144"/>
      <c r="IG11" s="144"/>
      <c r="IH11" s="144"/>
      <c r="II11" s="144"/>
      <c r="IJ11" s="144"/>
      <c r="IK11" s="144"/>
      <c r="IL11" s="144"/>
      <c r="IM11" s="144"/>
      <c r="IN11" s="144"/>
      <c r="IO11" s="144"/>
      <c r="IP11" s="144"/>
      <c r="IQ11" s="144"/>
      <c r="IR11" s="144"/>
      <c r="IS11" s="144"/>
      <c r="IT11" s="144"/>
    </row>
    <row r="12" spans="1:254" s="59" customFormat="1">
      <c r="A12" s="143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1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40"/>
      <c r="FC12" s="140"/>
      <c r="FD12" s="140"/>
      <c r="FE12" s="140"/>
      <c r="FF12" s="140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0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140"/>
      <c r="GC12" s="140"/>
      <c r="GD12" s="140"/>
      <c r="GE12" s="140"/>
      <c r="GF12" s="140"/>
      <c r="GG12" s="140"/>
      <c r="GH12" s="140"/>
      <c r="GI12" s="140"/>
      <c r="GJ12" s="140"/>
      <c r="GK12" s="140"/>
      <c r="GL12" s="140"/>
      <c r="GM12" s="140"/>
      <c r="GN12" s="140"/>
      <c r="GO12" s="140"/>
      <c r="GP12" s="140"/>
      <c r="GQ12" s="140"/>
      <c r="GR12" s="140"/>
      <c r="GS12" s="140"/>
      <c r="GT12" s="140"/>
      <c r="GU12" s="140"/>
      <c r="GV12" s="140"/>
      <c r="GW12" s="140"/>
      <c r="GX12" s="140"/>
      <c r="GY12" s="140"/>
      <c r="GZ12" s="140"/>
      <c r="HA12" s="140"/>
      <c r="HB12" s="140"/>
      <c r="HC12" s="140"/>
      <c r="HD12" s="140"/>
      <c r="HE12" s="140"/>
      <c r="HF12" s="140"/>
      <c r="HG12" s="140"/>
      <c r="HH12" s="140"/>
      <c r="HI12" s="140"/>
      <c r="HJ12" s="140"/>
      <c r="HK12" s="140"/>
      <c r="HL12" s="140"/>
      <c r="HM12" s="140"/>
      <c r="HN12" s="140"/>
      <c r="HO12" s="140"/>
      <c r="HP12" s="140"/>
      <c r="HQ12" s="140"/>
      <c r="HR12" s="140"/>
      <c r="HS12" s="140"/>
      <c r="HT12" s="140"/>
      <c r="HU12" s="140"/>
      <c r="HV12" s="140"/>
      <c r="HW12" s="140"/>
      <c r="HX12" s="140"/>
      <c r="HY12" s="140"/>
      <c r="HZ12" s="140"/>
      <c r="IA12" s="140"/>
      <c r="IB12" s="140"/>
      <c r="IC12" s="140"/>
      <c r="ID12" s="140"/>
      <c r="IE12" s="140"/>
      <c r="IF12" s="140"/>
      <c r="IG12" s="140"/>
      <c r="IH12" s="140"/>
      <c r="II12" s="140"/>
      <c r="IJ12" s="140"/>
      <c r="IK12" s="140"/>
      <c r="IL12" s="140"/>
      <c r="IM12" s="140"/>
      <c r="IN12" s="140"/>
      <c r="IO12" s="140"/>
      <c r="IP12" s="140"/>
      <c r="IQ12" s="140"/>
      <c r="IR12" s="140"/>
      <c r="IS12" s="140"/>
      <c r="IT12" s="140"/>
    </row>
    <row r="13" spans="1:254" s="134" customFormat="1" ht="16">
      <c r="A13" s="139" t="s">
        <v>92</v>
      </c>
      <c r="B13" s="138" t="s">
        <v>72</v>
      </c>
      <c r="C13" s="137" t="s">
        <v>73</v>
      </c>
      <c r="D13" s="137" t="s">
        <v>74</v>
      </c>
      <c r="E13" s="137" t="s">
        <v>75</v>
      </c>
      <c r="F13" s="137" t="s">
        <v>76</v>
      </c>
      <c r="G13" s="137" t="s">
        <v>77</v>
      </c>
      <c r="H13" s="137" t="s">
        <v>78</v>
      </c>
      <c r="I13" s="137" t="s">
        <v>79</v>
      </c>
      <c r="J13" s="137" t="s">
        <v>80</v>
      </c>
      <c r="K13" s="137" t="s">
        <v>81</v>
      </c>
      <c r="L13" s="137" t="s">
        <v>82</v>
      </c>
      <c r="M13" s="137" t="s">
        <v>83</v>
      </c>
      <c r="N13" s="136" t="s">
        <v>84</v>
      </c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</row>
    <row r="14" spans="1:254">
      <c r="A14" s="98" t="s">
        <v>93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33"/>
    </row>
    <row r="15" spans="1:254">
      <c r="A15" s="102" t="s">
        <v>94</v>
      </c>
      <c r="B15" s="101">
        <v>0</v>
      </c>
      <c r="C15" s="100">
        <f t="shared" ref="C15:M15" si="4">B15</f>
        <v>0</v>
      </c>
      <c r="D15" s="100">
        <f t="shared" si="4"/>
        <v>0</v>
      </c>
      <c r="E15" s="100">
        <f t="shared" si="4"/>
        <v>0</v>
      </c>
      <c r="F15" s="100">
        <f t="shared" si="4"/>
        <v>0</v>
      </c>
      <c r="G15" s="100">
        <f t="shared" si="4"/>
        <v>0</v>
      </c>
      <c r="H15" s="100">
        <f t="shared" si="4"/>
        <v>0</v>
      </c>
      <c r="I15" s="100">
        <f t="shared" si="4"/>
        <v>0</v>
      </c>
      <c r="J15" s="100">
        <f t="shared" si="4"/>
        <v>0</v>
      </c>
      <c r="K15" s="100">
        <f t="shared" si="4"/>
        <v>0</v>
      </c>
      <c r="L15" s="100">
        <f t="shared" si="4"/>
        <v>0</v>
      </c>
      <c r="M15" s="100">
        <f t="shared" si="4"/>
        <v>0</v>
      </c>
      <c r="N15" s="124">
        <f t="shared" ref="N15:N26" si="5">SUM(B15:M15)</f>
        <v>0</v>
      </c>
    </row>
    <row r="16" spans="1:254">
      <c r="A16" s="102" t="s">
        <v>95</v>
      </c>
      <c r="B16" s="103">
        <v>11500</v>
      </c>
      <c r="C16" s="103">
        <f t="shared" ref="C16:M16" si="6">B16</f>
        <v>11500</v>
      </c>
      <c r="D16" s="103">
        <f t="shared" si="6"/>
        <v>11500</v>
      </c>
      <c r="E16" s="103">
        <f t="shared" si="6"/>
        <v>11500</v>
      </c>
      <c r="F16" s="103">
        <f t="shared" si="6"/>
        <v>11500</v>
      </c>
      <c r="G16" s="103">
        <f t="shared" si="6"/>
        <v>11500</v>
      </c>
      <c r="H16" s="103">
        <f t="shared" si="6"/>
        <v>11500</v>
      </c>
      <c r="I16" s="103">
        <f t="shared" si="6"/>
        <v>11500</v>
      </c>
      <c r="J16" s="103">
        <f t="shared" si="6"/>
        <v>11500</v>
      </c>
      <c r="K16" s="103">
        <f t="shared" si="6"/>
        <v>11500</v>
      </c>
      <c r="L16" s="103">
        <f t="shared" si="6"/>
        <v>11500</v>
      </c>
      <c r="M16" s="103">
        <f t="shared" si="6"/>
        <v>11500</v>
      </c>
      <c r="N16" s="123">
        <f t="shared" si="5"/>
        <v>138000</v>
      </c>
    </row>
    <row r="17" spans="1:34">
      <c r="A17" s="102" t="s">
        <v>96</v>
      </c>
      <c r="B17" s="101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100">
        <v>0</v>
      </c>
      <c r="N17" s="124">
        <f t="shared" si="5"/>
        <v>0</v>
      </c>
    </row>
    <row r="18" spans="1:34">
      <c r="A18" s="102" t="s">
        <v>97</v>
      </c>
      <c r="B18" s="103">
        <v>0</v>
      </c>
      <c r="C18" s="103">
        <f>B18</f>
        <v>0</v>
      </c>
      <c r="D18" s="103">
        <f t="shared" ref="D18:M19" si="7">C18</f>
        <v>0</v>
      </c>
      <c r="E18" s="103">
        <f t="shared" si="7"/>
        <v>0</v>
      </c>
      <c r="F18" s="103">
        <f t="shared" si="7"/>
        <v>0</v>
      </c>
      <c r="G18" s="103">
        <f t="shared" si="7"/>
        <v>0</v>
      </c>
      <c r="H18" s="103">
        <f t="shared" si="7"/>
        <v>0</v>
      </c>
      <c r="I18" s="103">
        <f t="shared" si="7"/>
        <v>0</v>
      </c>
      <c r="J18" s="103">
        <f t="shared" si="7"/>
        <v>0</v>
      </c>
      <c r="K18" s="103">
        <f t="shared" si="7"/>
        <v>0</v>
      </c>
      <c r="L18" s="103">
        <f t="shared" si="7"/>
        <v>0</v>
      </c>
      <c r="M18" s="103">
        <f t="shared" si="7"/>
        <v>0</v>
      </c>
      <c r="N18" s="123">
        <f t="shared" si="5"/>
        <v>0</v>
      </c>
    </row>
    <row r="19" spans="1:34">
      <c r="A19" s="102" t="s">
        <v>98</v>
      </c>
      <c r="B19" s="101" t="s">
        <v>5</v>
      </c>
      <c r="C19" s="100" t="str">
        <f>B19</f>
        <v xml:space="preserve"> </v>
      </c>
      <c r="D19" s="100" t="str">
        <f t="shared" si="7"/>
        <v xml:space="preserve"> </v>
      </c>
      <c r="E19" s="100" t="str">
        <f t="shared" si="7"/>
        <v xml:space="preserve"> </v>
      </c>
      <c r="F19" s="100" t="str">
        <f t="shared" si="7"/>
        <v xml:space="preserve"> </v>
      </c>
      <c r="G19" s="100" t="str">
        <f t="shared" si="7"/>
        <v xml:space="preserve"> </v>
      </c>
      <c r="H19" s="100" t="str">
        <f t="shared" si="7"/>
        <v xml:space="preserve"> </v>
      </c>
      <c r="I19" s="100" t="str">
        <f t="shared" si="7"/>
        <v xml:space="preserve"> </v>
      </c>
      <c r="J19" s="100" t="str">
        <f t="shared" si="7"/>
        <v xml:space="preserve"> </v>
      </c>
      <c r="K19" s="100" t="str">
        <f t="shared" si="7"/>
        <v xml:space="preserve"> </v>
      </c>
      <c r="L19" s="100" t="str">
        <f t="shared" si="7"/>
        <v xml:space="preserve"> </v>
      </c>
      <c r="M19" s="100" t="str">
        <f t="shared" si="7"/>
        <v xml:space="preserve"> </v>
      </c>
      <c r="N19" s="124">
        <f t="shared" si="5"/>
        <v>0</v>
      </c>
    </row>
    <row r="20" spans="1:34">
      <c r="A20" s="102" t="s">
        <v>99</v>
      </c>
      <c r="B20" s="103">
        <v>0</v>
      </c>
      <c r="C20" s="103">
        <v>0</v>
      </c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23">
        <f t="shared" si="5"/>
        <v>0</v>
      </c>
    </row>
    <row r="21" spans="1:34">
      <c r="A21" s="102" t="s">
        <v>100</v>
      </c>
      <c r="B21" s="101">
        <v>0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99">
        <f t="shared" si="5"/>
        <v>0</v>
      </c>
    </row>
    <row r="22" spans="1:34">
      <c r="A22" s="102" t="s">
        <v>101</v>
      </c>
      <c r="B22" s="103">
        <v>0</v>
      </c>
      <c r="C22" s="103">
        <f t="shared" ref="C22:M22" si="8">B22</f>
        <v>0</v>
      </c>
      <c r="D22" s="103">
        <f t="shared" si="8"/>
        <v>0</v>
      </c>
      <c r="E22" s="103">
        <f t="shared" si="8"/>
        <v>0</v>
      </c>
      <c r="F22" s="103">
        <f t="shared" si="8"/>
        <v>0</v>
      </c>
      <c r="G22" s="103">
        <f t="shared" si="8"/>
        <v>0</v>
      </c>
      <c r="H22" s="103">
        <f t="shared" si="8"/>
        <v>0</v>
      </c>
      <c r="I22" s="103">
        <f t="shared" si="8"/>
        <v>0</v>
      </c>
      <c r="J22" s="103">
        <f t="shared" si="8"/>
        <v>0</v>
      </c>
      <c r="K22" s="103">
        <f t="shared" si="8"/>
        <v>0</v>
      </c>
      <c r="L22" s="103">
        <f t="shared" si="8"/>
        <v>0</v>
      </c>
      <c r="M22" s="103">
        <f t="shared" si="8"/>
        <v>0</v>
      </c>
      <c r="N22" s="96">
        <f t="shared" si="5"/>
        <v>0</v>
      </c>
    </row>
    <row r="23" spans="1:34">
      <c r="A23" s="102" t="s">
        <v>102</v>
      </c>
      <c r="B23" s="101">
        <v>0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0</v>
      </c>
      <c r="K23" s="100">
        <v>0</v>
      </c>
      <c r="L23" s="100">
        <v>0</v>
      </c>
      <c r="M23" s="100">
        <v>0</v>
      </c>
      <c r="N23" s="99">
        <f t="shared" si="5"/>
        <v>0</v>
      </c>
    </row>
    <row r="24" spans="1:34">
      <c r="A24" s="102" t="s">
        <v>103</v>
      </c>
      <c r="B24" s="103">
        <v>0</v>
      </c>
      <c r="C24" s="103">
        <v>0</v>
      </c>
      <c r="D24" s="103">
        <v>0</v>
      </c>
      <c r="E24" s="103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96">
        <f t="shared" si="5"/>
        <v>0</v>
      </c>
    </row>
    <row r="25" spans="1:34">
      <c r="A25" s="102" t="s">
        <v>104</v>
      </c>
      <c r="B25" s="101">
        <v>0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99">
        <f t="shared" si="5"/>
        <v>0</v>
      </c>
    </row>
    <row r="26" spans="1:34">
      <c r="A26" s="102" t="s">
        <v>90</v>
      </c>
      <c r="B26" s="103">
        <v>0</v>
      </c>
      <c r="C26" s="103">
        <v>0</v>
      </c>
      <c r="D26" s="103">
        <v>0</v>
      </c>
      <c r="E26" s="103">
        <v>0</v>
      </c>
      <c r="F26" s="103">
        <v>0</v>
      </c>
      <c r="G26" s="103">
        <v>0</v>
      </c>
      <c r="H26" s="103">
        <v>0</v>
      </c>
      <c r="I26" s="103">
        <v>0</v>
      </c>
      <c r="J26" s="103">
        <v>0</v>
      </c>
      <c r="K26" s="103">
        <v>0</v>
      </c>
      <c r="L26" s="103">
        <v>0</v>
      </c>
      <c r="M26" s="103">
        <v>0</v>
      </c>
      <c r="N26" s="96">
        <f t="shared" si="5"/>
        <v>0</v>
      </c>
    </row>
    <row r="27" spans="1:34" s="94" customFormat="1">
      <c r="A27" s="98" t="s">
        <v>105</v>
      </c>
      <c r="B27" s="122">
        <f t="shared" ref="B27:N27" si="9">SUM(B15:B26)</f>
        <v>11500</v>
      </c>
      <c r="C27" s="121">
        <f t="shared" si="9"/>
        <v>11500</v>
      </c>
      <c r="D27" s="121">
        <f t="shared" si="9"/>
        <v>11500</v>
      </c>
      <c r="E27" s="121">
        <f t="shared" si="9"/>
        <v>11500</v>
      </c>
      <c r="F27" s="121">
        <f t="shared" si="9"/>
        <v>11500</v>
      </c>
      <c r="G27" s="121">
        <f t="shared" si="9"/>
        <v>11500</v>
      </c>
      <c r="H27" s="121">
        <f t="shared" si="9"/>
        <v>11500</v>
      </c>
      <c r="I27" s="121">
        <f t="shared" si="9"/>
        <v>11500</v>
      </c>
      <c r="J27" s="121">
        <f t="shared" si="9"/>
        <v>11500</v>
      </c>
      <c r="K27" s="121">
        <f t="shared" si="9"/>
        <v>11500</v>
      </c>
      <c r="L27" s="121">
        <f t="shared" si="9"/>
        <v>11500</v>
      </c>
      <c r="M27" s="121">
        <f t="shared" si="9"/>
        <v>11500</v>
      </c>
      <c r="N27" s="120">
        <f t="shared" si="9"/>
        <v>138000</v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95"/>
    </row>
    <row r="28" spans="1:34" s="114" customFormat="1" ht="12">
      <c r="A28" s="108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2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5"/>
    </row>
    <row r="29" spans="1:34">
      <c r="A29" s="98" t="s">
        <v>106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4"/>
    </row>
    <row r="30" spans="1:34">
      <c r="A30" s="102" t="s">
        <v>107</v>
      </c>
      <c r="B30" s="132">
        <v>1000</v>
      </c>
      <c r="C30" s="131">
        <f>B30</f>
        <v>1000</v>
      </c>
      <c r="D30" s="131">
        <f t="shared" ref="D30:M30" si="10">C30</f>
        <v>1000</v>
      </c>
      <c r="E30" s="131">
        <f t="shared" si="10"/>
        <v>1000</v>
      </c>
      <c r="F30" s="131">
        <f t="shared" si="10"/>
        <v>1000</v>
      </c>
      <c r="G30" s="131">
        <f t="shared" si="10"/>
        <v>1000</v>
      </c>
      <c r="H30" s="131">
        <f t="shared" si="10"/>
        <v>1000</v>
      </c>
      <c r="I30" s="131">
        <f t="shared" si="10"/>
        <v>1000</v>
      </c>
      <c r="J30" s="131">
        <f t="shared" si="10"/>
        <v>1000</v>
      </c>
      <c r="K30" s="131">
        <f t="shared" si="10"/>
        <v>1000</v>
      </c>
      <c r="L30" s="131">
        <f t="shared" si="10"/>
        <v>1000</v>
      </c>
      <c r="M30" s="131">
        <f t="shared" si="10"/>
        <v>1000</v>
      </c>
      <c r="N30" s="130">
        <f t="shared" ref="N30:N36" si="11">SUM(B30:M30)</f>
        <v>12000</v>
      </c>
    </row>
    <row r="31" spans="1:34">
      <c r="A31" s="102" t="s">
        <v>108</v>
      </c>
      <c r="B31" s="129">
        <v>0</v>
      </c>
      <c r="C31" s="129">
        <v>0</v>
      </c>
      <c r="D31" s="129">
        <v>0</v>
      </c>
      <c r="E31" s="129">
        <v>0</v>
      </c>
      <c r="F31" s="129">
        <v>0</v>
      </c>
      <c r="G31" s="129">
        <v>0</v>
      </c>
      <c r="H31" s="129">
        <v>0</v>
      </c>
      <c r="I31" s="129">
        <v>0</v>
      </c>
      <c r="J31" s="129">
        <v>0</v>
      </c>
      <c r="K31" s="129">
        <v>0</v>
      </c>
      <c r="L31" s="129">
        <v>0</v>
      </c>
      <c r="M31" s="129">
        <v>0</v>
      </c>
      <c r="N31" s="128">
        <f t="shared" si="11"/>
        <v>0</v>
      </c>
    </row>
    <row r="32" spans="1:34">
      <c r="A32" s="102" t="s">
        <v>109</v>
      </c>
      <c r="B32" s="127">
        <v>0</v>
      </c>
      <c r="C32" s="126">
        <f t="shared" ref="C32:M32" si="12">B32</f>
        <v>0</v>
      </c>
      <c r="D32" s="126">
        <f t="shared" si="12"/>
        <v>0</v>
      </c>
      <c r="E32" s="126">
        <f t="shared" si="12"/>
        <v>0</v>
      </c>
      <c r="F32" s="126">
        <f t="shared" si="12"/>
        <v>0</v>
      </c>
      <c r="G32" s="126">
        <f t="shared" si="12"/>
        <v>0</v>
      </c>
      <c r="H32" s="126">
        <f t="shared" si="12"/>
        <v>0</v>
      </c>
      <c r="I32" s="126">
        <f t="shared" si="12"/>
        <v>0</v>
      </c>
      <c r="J32" s="126">
        <f t="shared" si="12"/>
        <v>0</v>
      </c>
      <c r="K32" s="126">
        <f t="shared" si="12"/>
        <v>0</v>
      </c>
      <c r="L32" s="126">
        <f t="shared" si="12"/>
        <v>0</v>
      </c>
      <c r="M32" s="126">
        <f t="shared" si="12"/>
        <v>0</v>
      </c>
      <c r="N32" s="120">
        <f t="shared" si="11"/>
        <v>0</v>
      </c>
    </row>
    <row r="33" spans="1:34">
      <c r="A33" s="102" t="s">
        <v>110</v>
      </c>
      <c r="B33" s="125">
        <v>0</v>
      </c>
      <c r="C33" s="103">
        <v>0</v>
      </c>
      <c r="D33" s="103">
        <v>0</v>
      </c>
      <c r="E33" s="103">
        <v>0</v>
      </c>
      <c r="F33" s="103">
        <v>0</v>
      </c>
      <c r="G33" s="103">
        <v>0</v>
      </c>
      <c r="H33" s="103">
        <v>0</v>
      </c>
      <c r="I33" s="103">
        <v>0</v>
      </c>
      <c r="J33" s="103">
        <v>0</v>
      </c>
      <c r="K33" s="103">
        <v>0</v>
      </c>
      <c r="L33" s="103">
        <v>0</v>
      </c>
      <c r="M33" s="103">
        <v>0</v>
      </c>
      <c r="N33" s="96">
        <f t="shared" si="11"/>
        <v>0</v>
      </c>
    </row>
    <row r="34" spans="1:34">
      <c r="A34" s="102" t="s">
        <v>111</v>
      </c>
      <c r="B34" s="127">
        <v>0</v>
      </c>
      <c r="C34" s="126">
        <f t="shared" ref="C34:M34" si="13">B34</f>
        <v>0</v>
      </c>
      <c r="D34" s="126">
        <f t="shared" si="13"/>
        <v>0</v>
      </c>
      <c r="E34" s="126">
        <f t="shared" si="13"/>
        <v>0</v>
      </c>
      <c r="F34" s="126">
        <f t="shared" si="13"/>
        <v>0</v>
      </c>
      <c r="G34" s="126">
        <f t="shared" si="13"/>
        <v>0</v>
      </c>
      <c r="H34" s="126">
        <f t="shared" si="13"/>
        <v>0</v>
      </c>
      <c r="I34" s="126">
        <f t="shared" si="13"/>
        <v>0</v>
      </c>
      <c r="J34" s="126">
        <f t="shared" si="13"/>
        <v>0</v>
      </c>
      <c r="K34" s="126">
        <f t="shared" si="13"/>
        <v>0</v>
      </c>
      <c r="L34" s="126">
        <f t="shared" si="13"/>
        <v>0</v>
      </c>
      <c r="M34" s="126">
        <f t="shared" si="13"/>
        <v>0</v>
      </c>
      <c r="N34" s="120">
        <f t="shared" si="11"/>
        <v>0</v>
      </c>
    </row>
    <row r="35" spans="1:34">
      <c r="A35" s="102" t="s">
        <v>112</v>
      </c>
      <c r="B35" s="125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96">
        <f t="shared" si="11"/>
        <v>0</v>
      </c>
    </row>
    <row r="36" spans="1:34" s="94" customFormat="1">
      <c r="A36" s="98" t="s">
        <v>113</v>
      </c>
      <c r="B36" s="122">
        <f t="shared" ref="B36:M36" si="14">SUM(B30:B35)</f>
        <v>1000</v>
      </c>
      <c r="C36" s="121">
        <f t="shared" si="14"/>
        <v>1000</v>
      </c>
      <c r="D36" s="121">
        <f t="shared" si="14"/>
        <v>1000</v>
      </c>
      <c r="E36" s="121">
        <f t="shared" si="14"/>
        <v>1000</v>
      </c>
      <c r="F36" s="121">
        <f t="shared" si="14"/>
        <v>1000</v>
      </c>
      <c r="G36" s="121">
        <f t="shared" si="14"/>
        <v>1000</v>
      </c>
      <c r="H36" s="121">
        <f t="shared" si="14"/>
        <v>1000</v>
      </c>
      <c r="I36" s="121">
        <f t="shared" si="14"/>
        <v>1000</v>
      </c>
      <c r="J36" s="121">
        <f t="shared" si="14"/>
        <v>1000</v>
      </c>
      <c r="K36" s="121">
        <f t="shared" si="14"/>
        <v>1000</v>
      </c>
      <c r="L36" s="121">
        <f t="shared" si="14"/>
        <v>1000</v>
      </c>
      <c r="M36" s="121">
        <f t="shared" si="14"/>
        <v>1000</v>
      </c>
      <c r="N36" s="120">
        <f t="shared" si="11"/>
        <v>12000</v>
      </c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95"/>
    </row>
    <row r="37" spans="1:34" s="114" customFormat="1" ht="12">
      <c r="A37" s="108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2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5"/>
    </row>
    <row r="38" spans="1:34">
      <c r="A38" s="98" t="s">
        <v>114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4"/>
    </row>
    <row r="39" spans="1:34">
      <c r="A39" s="102" t="s">
        <v>115</v>
      </c>
      <c r="B39" s="127">
        <v>0</v>
      </c>
      <c r="C39" s="126">
        <f t="shared" ref="C39:M39" si="15">B39</f>
        <v>0</v>
      </c>
      <c r="D39" s="126">
        <f t="shared" si="15"/>
        <v>0</v>
      </c>
      <c r="E39" s="126">
        <f t="shared" si="15"/>
        <v>0</v>
      </c>
      <c r="F39" s="126">
        <f t="shared" si="15"/>
        <v>0</v>
      </c>
      <c r="G39" s="126">
        <f t="shared" si="15"/>
        <v>0</v>
      </c>
      <c r="H39" s="126">
        <f t="shared" si="15"/>
        <v>0</v>
      </c>
      <c r="I39" s="126">
        <f t="shared" si="15"/>
        <v>0</v>
      </c>
      <c r="J39" s="126">
        <f t="shared" si="15"/>
        <v>0</v>
      </c>
      <c r="K39" s="126">
        <f t="shared" si="15"/>
        <v>0</v>
      </c>
      <c r="L39" s="126">
        <f t="shared" si="15"/>
        <v>0</v>
      </c>
      <c r="M39" s="126">
        <f t="shared" si="15"/>
        <v>0</v>
      </c>
      <c r="N39" s="120">
        <f>SUM(B39:M39)</f>
        <v>0</v>
      </c>
    </row>
    <row r="40" spans="1:34">
      <c r="A40" s="102" t="s">
        <v>90</v>
      </c>
      <c r="B40" s="125">
        <v>0</v>
      </c>
      <c r="C40" s="103">
        <v>0</v>
      </c>
      <c r="D40" s="103">
        <v>0</v>
      </c>
      <c r="E40" s="103">
        <v>0</v>
      </c>
      <c r="F40" s="103">
        <v>0</v>
      </c>
      <c r="G40" s="103">
        <v>0</v>
      </c>
      <c r="H40" s="103">
        <v>0</v>
      </c>
      <c r="I40" s="103">
        <v>0</v>
      </c>
      <c r="J40" s="103">
        <v>0</v>
      </c>
      <c r="K40" s="103">
        <v>0</v>
      </c>
      <c r="L40" s="103">
        <v>0</v>
      </c>
      <c r="M40" s="103">
        <v>0</v>
      </c>
      <c r="N40" s="96">
        <f>SUM(B40:M40)</f>
        <v>0</v>
      </c>
    </row>
    <row r="41" spans="1:34" s="94" customFormat="1">
      <c r="A41" s="98" t="s">
        <v>116</v>
      </c>
      <c r="B41" s="122">
        <f t="shared" ref="B41:M41" si="16">SUM(B39:B40)</f>
        <v>0</v>
      </c>
      <c r="C41" s="121">
        <f t="shared" si="16"/>
        <v>0</v>
      </c>
      <c r="D41" s="121">
        <f t="shared" si="16"/>
        <v>0</v>
      </c>
      <c r="E41" s="121">
        <f t="shared" si="16"/>
        <v>0</v>
      </c>
      <c r="F41" s="121">
        <f t="shared" si="16"/>
        <v>0</v>
      </c>
      <c r="G41" s="121">
        <f t="shared" si="16"/>
        <v>0</v>
      </c>
      <c r="H41" s="121">
        <f t="shared" si="16"/>
        <v>0</v>
      </c>
      <c r="I41" s="121">
        <f t="shared" si="16"/>
        <v>0</v>
      </c>
      <c r="J41" s="121">
        <f t="shared" si="16"/>
        <v>0</v>
      </c>
      <c r="K41" s="121">
        <f t="shared" si="16"/>
        <v>0</v>
      </c>
      <c r="L41" s="121">
        <f t="shared" si="16"/>
        <v>0</v>
      </c>
      <c r="M41" s="121">
        <f t="shared" si="16"/>
        <v>0</v>
      </c>
      <c r="N41" s="120">
        <f>SUM(B41:M41)</f>
        <v>0</v>
      </c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95"/>
    </row>
    <row r="42" spans="1:34" s="114" customFormat="1" ht="12">
      <c r="A42" s="108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2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5"/>
    </row>
    <row r="43" spans="1:34">
      <c r="A43" s="98" t="s">
        <v>117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4"/>
    </row>
    <row r="44" spans="1:34">
      <c r="A44" s="102" t="s">
        <v>118</v>
      </c>
      <c r="B44" s="101">
        <v>0</v>
      </c>
      <c r="C44" s="100">
        <f t="shared" ref="C44:M44" si="17">B44</f>
        <v>0</v>
      </c>
      <c r="D44" s="100">
        <f t="shared" si="17"/>
        <v>0</v>
      </c>
      <c r="E44" s="100">
        <f t="shared" si="17"/>
        <v>0</v>
      </c>
      <c r="F44" s="100">
        <f t="shared" si="17"/>
        <v>0</v>
      </c>
      <c r="G44" s="100">
        <f t="shared" si="17"/>
        <v>0</v>
      </c>
      <c r="H44" s="100">
        <f t="shared" si="17"/>
        <v>0</v>
      </c>
      <c r="I44" s="100">
        <f t="shared" si="17"/>
        <v>0</v>
      </c>
      <c r="J44" s="100">
        <f t="shared" si="17"/>
        <v>0</v>
      </c>
      <c r="K44" s="100">
        <f t="shared" si="17"/>
        <v>0</v>
      </c>
      <c r="L44" s="100">
        <f t="shared" si="17"/>
        <v>0</v>
      </c>
      <c r="M44" s="100">
        <f t="shared" si="17"/>
        <v>0</v>
      </c>
      <c r="N44" s="99">
        <f t="shared" ref="N44:N49" si="18">SUM(B44:M44)</f>
        <v>0</v>
      </c>
    </row>
    <row r="45" spans="1:34">
      <c r="A45" s="102" t="s">
        <v>119</v>
      </c>
      <c r="B45" s="103">
        <v>0</v>
      </c>
      <c r="C45" s="103">
        <f t="shared" ref="C45:M45" si="19">B45</f>
        <v>0</v>
      </c>
      <c r="D45" s="103">
        <f t="shared" si="19"/>
        <v>0</v>
      </c>
      <c r="E45" s="103">
        <f t="shared" si="19"/>
        <v>0</v>
      </c>
      <c r="F45" s="103">
        <f t="shared" si="19"/>
        <v>0</v>
      </c>
      <c r="G45" s="103">
        <f t="shared" si="19"/>
        <v>0</v>
      </c>
      <c r="H45" s="103">
        <f t="shared" si="19"/>
        <v>0</v>
      </c>
      <c r="I45" s="103">
        <f t="shared" si="19"/>
        <v>0</v>
      </c>
      <c r="J45" s="103">
        <f t="shared" si="19"/>
        <v>0</v>
      </c>
      <c r="K45" s="103">
        <f t="shared" si="19"/>
        <v>0</v>
      </c>
      <c r="L45" s="103">
        <f t="shared" si="19"/>
        <v>0</v>
      </c>
      <c r="M45" s="103">
        <f t="shared" si="19"/>
        <v>0</v>
      </c>
      <c r="N45" s="96">
        <f t="shared" si="18"/>
        <v>0</v>
      </c>
    </row>
    <row r="46" spans="1:34">
      <c r="A46" s="102" t="s">
        <v>120</v>
      </c>
      <c r="B46" s="101">
        <v>0</v>
      </c>
      <c r="C46" s="100">
        <f t="shared" ref="C46:M46" si="20">B46</f>
        <v>0</v>
      </c>
      <c r="D46" s="100">
        <f t="shared" si="20"/>
        <v>0</v>
      </c>
      <c r="E46" s="100">
        <f t="shared" si="20"/>
        <v>0</v>
      </c>
      <c r="F46" s="100">
        <f t="shared" si="20"/>
        <v>0</v>
      </c>
      <c r="G46" s="100">
        <f t="shared" si="20"/>
        <v>0</v>
      </c>
      <c r="H46" s="100">
        <f t="shared" si="20"/>
        <v>0</v>
      </c>
      <c r="I46" s="100">
        <f t="shared" si="20"/>
        <v>0</v>
      </c>
      <c r="J46" s="100">
        <f t="shared" si="20"/>
        <v>0</v>
      </c>
      <c r="K46" s="100">
        <f t="shared" si="20"/>
        <v>0</v>
      </c>
      <c r="L46" s="100">
        <f t="shared" si="20"/>
        <v>0</v>
      </c>
      <c r="M46" s="100">
        <f t="shared" si="20"/>
        <v>0</v>
      </c>
      <c r="N46" s="99">
        <f t="shared" si="18"/>
        <v>0</v>
      </c>
    </row>
    <row r="47" spans="1:34">
      <c r="A47" s="102" t="s">
        <v>121</v>
      </c>
      <c r="B47" s="103" t="s">
        <v>5</v>
      </c>
      <c r="C47" s="103" t="str">
        <f t="shared" ref="C47:M47" si="21">B47</f>
        <v xml:space="preserve"> </v>
      </c>
      <c r="D47" s="103" t="str">
        <f t="shared" si="21"/>
        <v xml:space="preserve"> </v>
      </c>
      <c r="E47" s="103" t="str">
        <f t="shared" si="21"/>
        <v xml:space="preserve"> </v>
      </c>
      <c r="F47" s="103" t="str">
        <f t="shared" si="21"/>
        <v xml:space="preserve"> </v>
      </c>
      <c r="G47" s="103" t="str">
        <f t="shared" si="21"/>
        <v xml:space="preserve"> </v>
      </c>
      <c r="H47" s="103" t="str">
        <f t="shared" si="21"/>
        <v xml:space="preserve"> </v>
      </c>
      <c r="I47" s="103" t="str">
        <f t="shared" si="21"/>
        <v xml:space="preserve"> </v>
      </c>
      <c r="J47" s="103" t="str">
        <f t="shared" si="21"/>
        <v xml:space="preserve"> </v>
      </c>
      <c r="K47" s="103" t="str">
        <f t="shared" si="21"/>
        <v xml:space="preserve"> </v>
      </c>
      <c r="L47" s="103" t="str">
        <f t="shared" si="21"/>
        <v xml:space="preserve"> </v>
      </c>
      <c r="M47" s="103" t="str">
        <f t="shared" si="21"/>
        <v xml:space="preserve"> </v>
      </c>
      <c r="N47" s="123">
        <f t="shared" si="18"/>
        <v>0</v>
      </c>
    </row>
    <row r="48" spans="1:34">
      <c r="A48" s="102" t="s">
        <v>122</v>
      </c>
      <c r="B48" s="101">
        <v>0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 t="s">
        <v>5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24">
        <f t="shared" si="18"/>
        <v>0</v>
      </c>
      <c r="O48" s="194"/>
    </row>
    <row r="49" spans="1:34">
      <c r="A49" s="102" t="s">
        <v>90</v>
      </c>
      <c r="B49" s="103">
        <v>1000</v>
      </c>
      <c r="C49" s="103">
        <f>B49</f>
        <v>1000</v>
      </c>
      <c r="D49" s="103">
        <f t="shared" ref="D49:M49" si="22">C49</f>
        <v>1000</v>
      </c>
      <c r="E49" s="103">
        <f t="shared" si="22"/>
        <v>1000</v>
      </c>
      <c r="F49" s="103">
        <f t="shared" si="22"/>
        <v>1000</v>
      </c>
      <c r="G49" s="103">
        <f t="shared" si="22"/>
        <v>1000</v>
      </c>
      <c r="H49" s="103">
        <f t="shared" si="22"/>
        <v>1000</v>
      </c>
      <c r="I49" s="103">
        <f t="shared" si="22"/>
        <v>1000</v>
      </c>
      <c r="J49" s="103">
        <f t="shared" si="22"/>
        <v>1000</v>
      </c>
      <c r="K49" s="103">
        <f t="shared" si="22"/>
        <v>1000</v>
      </c>
      <c r="L49" s="103">
        <f t="shared" si="22"/>
        <v>1000</v>
      </c>
      <c r="M49" s="103">
        <f t="shared" si="22"/>
        <v>1000</v>
      </c>
      <c r="N49" s="123">
        <f t="shared" si="18"/>
        <v>12000</v>
      </c>
    </row>
    <row r="50" spans="1:34" s="94" customFormat="1">
      <c r="A50" s="98" t="s">
        <v>123</v>
      </c>
      <c r="B50" s="122">
        <f t="shared" ref="B50:N50" si="23">SUM(B44:B49)</f>
        <v>1000</v>
      </c>
      <c r="C50" s="121">
        <f t="shared" si="23"/>
        <v>1000</v>
      </c>
      <c r="D50" s="121">
        <f t="shared" si="23"/>
        <v>1000</v>
      </c>
      <c r="E50" s="121">
        <f t="shared" si="23"/>
        <v>1000</v>
      </c>
      <c r="F50" s="121">
        <f t="shared" si="23"/>
        <v>1000</v>
      </c>
      <c r="G50" s="121">
        <f t="shared" si="23"/>
        <v>1000</v>
      </c>
      <c r="H50" s="121">
        <f t="shared" si="23"/>
        <v>1000</v>
      </c>
      <c r="I50" s="121">
        <f t="shared" si="23"/>
        <v>1000</v>
      </c>
      <c r="J50" s="121">
        <f t="shared" si="23"/>
        <v>1000</v>
      </c>
      <c r="K50" s="121">
        <f t="shared" si="23"/>
        <v>1000</v>
      </c>
      <c r="L50" s="121">
        <f t="shared" si="23"/>
        <v>1000</v>
      </c>
      <c r="M50" s="121">
        <f t="shared" si="23"/>
        <v>1000</v>
      </c>
      <c r="N50" s="120">
        <f t="shared" si="23"/>
        <v>12000</v>
      </c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95"/>
    </row>
    <row r="51" spans="1:34" s="114" customFormat="1" ht="12">
      <c r="A51" s="108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2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5"/>
    </row>
    <row r="52" spans="1:34">
      <c r="A52" s="98" t="s">
        <v>124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4"/>
    </row>
    <row r="53" spans="1:34">
      <c r="A53" s="102" t="s">
        <v>125</v>
      </c>
      <c r="B53" s="119" t="s">
        <v>5</v>
      </c>
      <c r="C53" s="117" t="s">
        <v>5</v>
      </c>
      <c r="D53" s="117" t="s">
        <v>5</v>
      </c>
      <c r="E53" s="117" t="str">
        <f>B53</f>
        <v xml:space="preserve"> </v>
      </c>
      <c r="F53" s="117" t="s">
        <v>5</v>
      </c>
      <c r="G53" s="117" t="s">
        <v>5</v>
      </c>
      <c r="H53" s="117" t="str">
        <f>E53</f>
        <v xml:space="preserve"> </v>
      </c>
      <c r="I53" s="117" t="s">
        <v>5</v>
      </c>
      <c r="J53" s="117" t="s">
        <v>5</v>
      </c>
      <c r="K53" s="117" t="str">
        <f>H53</f>
        <v xml:space="preserve"> </v>
      </c>
      <c r="L53" s="117" t="s">
        <v>5</v>
      </c>
      <c r="M53" s="117" t="s">
        <v>5</v>
      </c>
      <c r="N53" s="99">
        <f t="shared" ref="N53:N61" si="24">SUM(B53:M53)</f>
        <v>0</v>
      </c>
    </row>
    <row r="54" spans="1:34">
      <c r="A54" s="102" t="s">
        <v>125</v>
      </c>
      <c r="B54" s="118" t="s">
        <v>5</v>
      </c>
      <c r="C54" s="118" t="str">
        <f t="shared" ref="C54:M54" si="25">B54</f>
        <v xml:space="preserve"> </v>
      </c>
      <c r="D54" s="118" t="str">
        <f t="shared" si="25"/>
        <v xml:space="preserve"> </v>
      </c>
      <c r="E54" s="118" t="str">
        <f t="shared" si="25"/>
        <v xml:space="preserve"> </v>
      </c>
      <c r="F54" s="118" t="str">
        <f t="shared" si="25"/>
        <v xml:space="preserve"> </v>
      </c>
      <c r="G54" s="118" t="str">
        <f t="shared" si="25"/>
        <v xml:space="preserve"> </v>
      </c>
      <c r="H54" s="118" t="str">
        <f t="shared" si="25"/>
        <v xml:space="preserve"> </v>
      </c>
      <c r="I54" s="118" t="str">
        <f t="shared" si="25"/>
        <v xml:space="preserve"> </v>
      </c>
      <c r="J54" s="118" t="str">
        <f t="shared" si="25"/>
        <v xml:space="preserve"> </v>
      </c>
      <c r="K54" s="118" t="str">
        <f t="shared" si="25"/>
        <v xml:space="preserve"> </v>
      </c>
      <c r="L54" s="118" t="str">
        <f t="shared" si="25"/>
        <v xml:space="preserve"> </v>
      </c>
      <c r="M54" s="118" t="str">
        <f t="shared" si="25"/>
        <v xml:space="preserve"> </v>
      </c>
      <c r="N54" s="96">
        <f t="shared" si="24"/>
        <v>0</v>
      </c>
    </row>
    <row r="55" spans="1:34">
      <c r="A55" s="102" t="s">
        <v>126</v>
      </c>
      <c r="B55" s="119">
        <v>0</v>
      </c>
      <c r="C55" s="117">
        <f t="shared" ref="C55:M55" si="26">B55</f>
        <v>0</v>
      </c>
      <c r="D55" s="117">
        <f t="shared" si="26"/>
        <v>0</v>
      </c>
      <c r="E55" s="117">
        <f t="shared" si="26"/>
        <v>0</v>
      </c>
      <c r="F55" s="117">
        <f t="shared" si="26"/>
        <v>0</v>
      </c>
      <c r="G55" s="117">
        <f t="shared" si="26"/>
        <v>0</v>
      </c>
      <c r="H55" s="117">
        <f t="shared" si="26"/>
        <v>0</v>
      </c>
      <c r="I55" s="117">
        <f t="shared" si="26"/>
        <v>0</v>
      </c>
      <c r="J55" s="117">
        <f t="shared" si="26"/>
        <v>0</v>
      </c>
      <c r="K55" s="117">
        <f t="shared" si="26"/>
        <v>0</v>
      </c>
      <c r="L55" s="117">
        <f t="shared" si="26"/>
        <v>0</v>
      </c>
      <c r="M55" s="117">
        <f t="shared" si="26"/>
        <v>0</v>
      </c>
      <c r="N55" s="99">
        <f t="shared" si="24"/>
        <v>0</v>
      </c>
    </row>
    <row r="56" spans="1:34">
      <c r="A56" s="102" t="s">
        <v>126</v>
      </c>
      <c r="B56" s="118">
        <v>0</v>
      </c>
      <c r="C56" s="118">
        <f t="shared" ref="C56:M56" si="27">B56</f>
        <v>0</v>
      </c>
      <c r="D56" s="118">
        <f t="shared" si="27"/>
        <v>0</v>
      </c>
      <c r="E56" s="118">
        <f t="shared" si="27"/>
        <v>0</v>
      </c>
      <c r="F56" s="118">
        <f t="shared" si="27"/>
        <v>0</v>
      </c>
      <c r="G56" s="118">
        <f t="shared" si="27"/>
        <v>0</v>
      </c>
      <c r="H56" s="118">
        <f t="shared" si="27"/>
        <v>0</v>
      </c>
      <c r="I56" s="118">
        <f t="shared" si="27"/>
        <v>0</v>
      </c>
      <c r="J56" s="118">
        <f t="shared" si="27"/>
        <v>0</v>
      </c>
      <c r="K56" s="118">
        <f t="shared" si="27"/>
        <v>0</v>
      </c>
      <c r="L56" s="118">
        <f t="shared" si="27"/>
        <v>0</v>
      </c>
      <c r="M56" s="118">
        <f t="shared" si="27"/>
        <v>0</v>
      </c>
      <c r="N56" s="96">
        <f t="shared" si="24"/>
        <v>0</v>
      </c>
    </row>
    <row r="57" spans="1:34">
      <c r="A57" s="102" t="s">
        <v>127</v>
      </c>
      <c r="B57" s="119" t="s">
        <v>5</v>
      </c>
      <c r="C57" s="117" t="s">
        <v>5</v>
      </c>
      <c r="D57" s="117" t="str">
        <f t="shared" ref="D57:M57" si="28">C57</f>
        <v xml:space="preserve"> </v>
      </c>
      <c r="E57" s="117" t="str">
        <f t="shared" si="28"/>
        <v xml:space="preserve"> </v>
      </c>
      <c r="F57" s="117" t="str">
        <f t="shared" si="28"/>
        <v xml:space="preserve"> </v>
      </c>
      <c r="G57" s="117" t="str">
        <f t="shared" si="28"/>
        <v xml:space="preserve"> </v>
      </c>
      <c r="H57" s="117" t="str">
        <f t="shared" si="28"/>
        <v xml:space="preserve"> </v>
      </c>
      <c r="I57" s="117" t="str">
        <f t="shared" si="28"/>
        <v xml:space="preserve"> </v>
      </c>
      <c r="J57" s="117" t="str">
        <f t="shared" si="28"/>
        <v xml:space="preserve"> </v>
      </c>
      <c r="K57" s="117" t="str">
        <f t="shared" si="28"/>
        <v xml:space="preserve"> </v>
      </c>
      <c r="L57" s="117" t="str">
        <f t="shared" si="28"/>
        <v xml:space="preserve"> </v>
      </c>
      <c r="M57" s="117" t="str">
        <f t="shared" si="28"/>
        <v xml:space="preserve"> </v>
      </c>
      <c r="N57" s="99">
        <f t="shared" si="24"/>
        <v>0</v>
      </c>
    </row>
    <row r="58" spans="1:34">
      <c r="A58" s="102" t="s">
        <v>128</v>
      </c>
      <c r="B58" s="118">
        <v>0</v>
      </c>
      <c r="C58" s="118">
        <v>0</v>
      </c>
      <c r="D58" s="118">
        <v>0</v>
      </c>
      <c r="E58" s="118">
        <v>0</v>
      </c>
      <c r="F58" s="118">
        <v>0</v>
      </c>
      <c r="G58" s="118">
        <v>0</v>
      </c>
      <c r="H58" s="118">
        <v>0</v>
      </c>
      <c r="I58" s="118">
        <v>0</v>
      </c>
      <c r="J58" s="118">
        <v>0</v>
      </c>
      <c r="K58" s="118">
        <v>0</v>
      </c>
      <c r="L58" s="118">
        <v>0</v>
      </c>
      <c r="M58" s="118">
        <v>0</v>
      </c>
      <c r="N58" s="96">
        <f t="shared" si="24"/>
        <v>0</v>
      </c>
    </row>
    <row r="59" spans="1:34">
      <c r="A59" s="102" t="s">
        <v>129</v>
      </c>
      <c r="B59" s="119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99">
        <f t="shared" si="24"/>
        <v>0</v>
      </c>
    </row>
    <row r="60" spans="1:34">
      <c r="A60" s="102" t="s">
        <v>130</v>
      </c>
      <c r="B60" s="118">
        <v>0</v>
      </c>
      <c r="C60" s="118">
        <f t="shared" ref="C60:M61" si="29">B60</f>
        <v>0</v>
      </c>
      <c r="D60" s="118">
        <f t="shared" si="29"/>
        <v>0</v>
      </c>
      <c r="E60" s="118">
        <f t="shared" si="29"/>
        <v>0</v>
      </c>
      <c r="F60" s="118">
        <f t="shared" si="29"/>
        <v>0</v>
      </c>
      <c r="G60" s="118">
        <f t="shared" si="29"/>
        <v>0</v>
      </c>
      <c r="H60" s="118">
        <f t="shared" si="29"/>
        <v>0</v>
      </c>
      <c r="I60" s="118">
        <f t="shared" si="29"/>
        <v>0</v>
      </c>
      <c r="J60" s="118">
        <f t="shared" si="29"/>
        <v>0</v>
      </c>
      <c r="K60" s="118">
        <f t="shared" si="29"/>
        <v>0</v>
      </c>
      <c r="L60" s="118">
        <f t="shared" si="29"/>
        <v>0</v>
      </c>
      <c r="M60" s="118">
        <f t="shared" si="29"/>
        <v>0</v>
      </c>
      <c r="N60" s="96">
        <f t="shared" si="24"/>
        <v>0</v>
      </c>
    </row>
    <row r="61" spans="1:34">
      <c r="A61" s="102" t="s">
        <v>90</v>
      </c>
      <c r="B61" s="101">
        <f>4000/12</f>
        <v>333.33333333333331</v>
      </c>
      <c r="C61" s="117">
        <f>B61</f>
        <v>333.33333333333331</v>
      </c>
      <c r="D61" s="117">
        <f t="shared" si="29"/>
        <v>333.33333333333331</v>
      </c>
      <c r="E61" s="117">
        <f t="shared" si="29"/>
        <v>333.33333333333331</v>
      </c>
      <c r="F61" s="117">
        <f t="shared" si="29"/>
        <v>333.33333333333331</v>
      </c>
      <c r="G61" s="117">
        <f t="shared" si="29"/>
        <v>333.33333333333331</v>
      </c>
      <c r="H61" s="117">
        <f t="shared" si="29"/>
        <v>333.33333333333331</v>
      </c>
      <c r="I61" s="117">
        <f t="shared" si="29"/>
        <v>333.33333333333331</v>
      </c>
      <c r="J61" s="117">
        <f t="shared" si="29"/>
        <v>333.33333333333331</v>
      </c>
      <c r="K61" s="117">
        <f t="shared" si="29"/>
        <v>333.33333333333331</v>
      </c>
      <c r="L61" s="117">
        <f t="shared" si="29"/>
        <v>333.33333333333331</v>
      </c>
      <c r="M61" s="117">
        <f t="shared" si="29"/>
        <v>333.33333333333331</v>
      </c>
      <c r="N61" s="99">
        <f t="shared" si="24"/>
        <v>4000.0000000000005</v>
      </c>
    </row>
    <row r="62" spans="1:34" s="94" customFormat="1">
      <c r="A62" s="98" t="s">
        <v>131</v>
      </c>
      <c r="B62" s="97">
        <f t="shared" ref="B62:N62" si="30">SUM(B53:B61)</f>
        <v>333.33333333333331</v>
      </c>
      <c r="C62" s="97">
        <f t="shared" si="30"/>
        <v>333.33333333333331</v>
      </c>
      <c r="D62" s="97">
        <f t="shared" si="30"/>
        <v>333.33333333333331</v>
      </c>
      <c r="E62" s="97">
        <f t="shared" si="30"/>
        <v>333.33333333333331</v>
      </c>
      <c r="F62" s="97">
        <f t="shared" si="30"/>
        <v>333.33333333333331</v>
      </c>
      <c r="G62" s="97">
        <f t="shared" si="30"/>
        <v>333.33333333333331</v>
      </c>
      <c r="H62" s="97">
        <f t="shared" si="30"/>
        <v>333.33333333333331</v>
      </c>
      <c r="I62" s="97">
        <f t="shared" si="30"/>
        <v>333.33333333333331</v>
      </c>
      <c r="J62" s="97">
        <f t="shared" si="30"/>
        <v>333.33333333333331</v>
      </c>
      <c r="K62" s="97">
        <f t="shared" si="30"/>
        <v>333.33333333333331</v>
      </c>
      <c r="L62" s="97">
        <f t="shared" si="30"/>
        <v>333.33333333333331</v>
      </c>
      <c r="M62" s="97">
        <f t="shared" si="30"/>
        <v>333.33333333333331</v>
      </c>
      <c r="N62" s="96">
        <f t="shared" si="30"/>
        <v>4000.0000000000005</v>
      </c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95"/>
    </row>
    <row r="63" spans="1:34" s="114" customFormat="1" ht="12">
      <c r="A63" s="108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2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5"/>
    </row>
    <row r="64" spans="1:34">
      <c r="A64" s="98" t="s">
        <v>132</v>
      </c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4"/>
    </row>
    <row r="65" spans="1:34">
      <c r="A65" s="102" t="s">
        <v>133</v>
      </c>
      <c r="B65" s="101">
        <v>0</v>
      </c>
      <c r="C65" s="100">
        <f t="shared" ref="C65:M65" si="31">B65</f>
        <v>0</v>
      </c>
      <c r="D65" s="100">
        <f t="shared" si="31"/>
        <v>0</v>
      </c>
      <c r="E65" s="100">
        <f t="shared" si="31"/>
        <v>0</v>
      </c>
      <c r="F65" s="100">
        <f t="shared" si="31"/>
        <v>0</v>
      </c>
      <c r="G65" s="100">
        <f t="shared" si="31"/>
        <v>0</v>
      </c>
      <c r="H65" s="100">
        <f t="shared" si="31"/>
        <v>0</v>
      </c>
      <c r="I65" s="100">
        <f t="shared" si="31"/>
        <v>0</v>
      </c>
      <c r="J65" s="100">
        <f t="shared" si="31"/>
        <v>0</v>
      </c>
      <c r="K65" s="100">
        <f t="shared" si="31"/>
        <v>0</v>
      </c>
      <c r="L65" s="100">
        <f t="shared" si="31"/>
        <v>0</v>
      </c>
      <c r="M65" s="100">
        <f t="shared" si="31"/>
        <v>0</v>
      </c>
      <c r="N65" s="99">
        <f>SUM(B65:M65)</f>
        <v>0</v>
      </c>
    </row>
    <row r="66" spans="1:34">
      <c r="A66" s="102" t="s">
        <v>134</v>
      </c>
      <c r="B66" s="103">
        <v>0</v>
      </c>
      <c r="C66" s="103">
        <f t="shared" ref="C66:M66" si="32">B66</f>
        <v>0</v>
      </c>
      <c r="D66" s="103">
        <f t="shared" si="32"/>
        <v>0</v>
      </c>
      <c r="E66" s="103">
        <f t="shared" si="32"/>
        <v>0</v>
      </c>
      <c r="F66" s="103">
        <f t="shared" si="32"/>
        <v>0</v>
      </c>
      <c r="G66" s="103">
        <f t="shared" si="32"/>
        <v>0</v>
      </c>
      <c r="H66" s="103">
        <f t="shared" si="32"/>
        <v>0</v>
      </c>
      <c r="I66" s="103">
        <f t="shared" si="32"/>
        <v>0</v>
      </c>
      <c r="J66" s="103">
        <f t="shared" si="32"/>
        <v>0</v>
      </c>
      <c r="K66" s="103">
        <f t="shared" si="32"/>
        <v>0</v>
      </c>
      <c r="L66" s="103">
        <f t="shared" si="32"/>
        <v>0</v>
      </c>
      <c r="M66" s="103">
        <f t="shared" si="32"/>
        <v>0</v>
      </c>
      <c r="N66" s="96">
        <f>SUM(B66:M66)</f>
        <v>0</v>
      </c>
    </row>
    <row r="67" spans="1:34">
      <c r="A67" s="102" t="s">
        <v>135</v>
      </c>
      <c r="B67" s="101">
        <v>0</v>
      </c>
      <c r="C67" s="100">
        <f t="shared" ref="C67:M67" si="33">B67</f>
        <v>0</v>
      </c>
      <c r="D67" s="100">
        <f t="shared" si="33"/>
        <v>0</v>
      </c>
      <c r="E67" s="100">
        <f t="shared" si="33"/>
        <v>0</v>
      </c>
      <c r="F67" s="100">
        <f t="shared" si="33"/>
        <v>0</v>
      </c>
      <c r="G67" s="100">
        <f t="shared" si="33"/>
        <v>0</v>
      </c>
      <c r="H67" s="100">
        <f t="shared" si="33"/>
        <v>0</v>
      </c>
      <c r="I67" s="100">
        <f t="shared" si="33"/>
        <v>0</v>
      </c>
      <c r="J67" s="100">
        <f t="shared" si="33"/>
        <v>0</v>
      </c>
      <c r="K67" s="100">
        <f t="shared" si="33"/>
        <v>0</v>
      </c>
      <c r="L67" s="100">
        <f t="shared" si="33"/>
        <v>0</v>
      </c>
      <c r="M67" s="100">
        <f t="shared" si="33"/>
        <v>0</v>
      </c>
      <c r="N67" s="99">
        <f>SUM(B67:M67)</f>
        <v>0</v>
      </c>
    </row>
    <row r="68" spans="1:34">
      <c r="A68" s="102" t="s">
        <v>136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96">
        <f>SUM(B68:M68)</f>
        <v>0</v>
      </c>
    </row>
    <row r="69" spans="1:34">
      <c r="A69" s="102" t="s">
        <v>90</v>
      </c>
      <c r="B69" s="101">
        <v>0</v>
      </c>
      <c r="C69" s="100">
        <v>0</v>
      </c>
      <c r="D69" s="100">
        <v>0</v>
      </c>
      <c r="E69" s="100">
        <v>0</v>
      </c>
      <c r="F69" s="100">
        <v>0</v>
      </c>
      <c r="G69" s="100">
        <v>0</v>
      </c>
      <c r="H69" s="100">
        <v>0</v>
      </c>
      <c r="I69" s="100">
        <v>0</v>
      </c>
      <c r="J69" s="100">
        <v>0</v>
      </c>
      <c r="K69" s="100">
        <v>0</v>
      </c>
      <c r="L69" s="100">
        <v>0</v>
      </c>
      <c r="M69" s="100">
        <v>0</v>
      </c>
      <c r="N69" s="99">
        <f>SUM(B69:M69)</f>
        <v>0</v>
      </c>
    </row>
    <row r="70" spans="1:34">
      <c r="A70" s="98" t="s">
        <v>137</v>
      </c>
      <c r="B70" s="97">
        <f t="shared" ref="B70:N70" si="34">SUM(B65:B69)</f>
        <v>0</v>
      </c>
      <c r="C70" s="97">
        <f t="shared" si="34"/>
        <v>0</v>
      </c>
      <c r="D70" s="97">
        <f t="shared" si="34"/>
        <v>0</v>
      </c>
      <c r="E70" s="97">
        <f t="shared" si="34"/>
        <v>0</v>
      </c>
      <c r="F70" s="97">
        <f t="shared" si="34"/>
        <v>0</v>
      </c>
      <c r="G70" s="97">
        <f t="shared" si="34"/>
        <v>0</v>
      </c>
      <c r="H70" s="97">
        <f t="shared" si="34"/>
        <v>0</v>
      </c>
      <c r="I70" s="97">
        <f t="shared" si="34"/>
        <v>0</v>
      </c>
      <c r="J70" s="97">
        <f t="shared" si="34"/>
        <v>0</v>
      </c>
      <c r="K70" s="97">
        <f t="shared" si="34"/>
        <v>0</v>
      </c>
      <c r="L70" s="97">
        <f t="shared" si="34"/>
        <v>0</v>
      </c>
      <c r="M70" s="97">
        <f t="shared" si="34"/>
        <v>0</v>
      </c>
      <c r="N70" s="96">
        <f t="shared" si="34"/>
        <v>0</v>
      </c>
    </row>
    <row r="71" spans="1:34" s="81" customFormat="1" ht="12" hidden="1">
      <c r="A71" s="108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2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2"/>
    </row>
    <row r="72" spans="1:34" hidden="1">
      <c r="A72" s="98" t="s">
        <v>138</v>
      </c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4"/>
    </row>
    <row r="73" spans="1:34" hidden="1">
      <c r="A73" s="102" t="s">
        <v>90</v>
      </c>
      <c r="B73" s="101">
        <v>0</v>
      </c>
      <c r="C73" s="100">
        <v>0</v>
      </c>
      <c r="D73" s="100">
        <v>0</v>
      </c>
      <c r="E73" s="100">
        <v>0</v>
      </c>
      <c r="F73" s="100">
        <v>0</v>
      </c>
      <c r="G73" s="100">
        <v>0</v>
      </c>
      <c r="H73" s="100">
        <v>0</v>
      </c>
      <c r="I73" s="100">
        <v>0</v>
      </c>
      <c r="J73" s="100">
        <v>0</v>
      </c>
      <c r="K73" s="100">
        <v>0</v>
      </c>
      <c r="L73" s="100">
        <v>0</v>
      </c>
      <c r="M73" s="100">
        <v>0</v>
      </c>
      <c r="N73" s="99">
        <f>SUM(B73:M73)</f>
        <v>0</v>
      </c>
    </row>
    <row r="74" spans="1:34" hidden="1">
      <c r="A74" s="102" t="s">
        <v>90</v>
      </c>
      <c r="B74" s="103">
        <v>0</v>
      </c>
      <c r="C74" s="103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>
        <v>0</v>
      </c>
      <c r="J74" s="103">
        <v>0</v>
      </c>
      <c r="K74" s="103">
        <v>0</v>
      </c>
      <c r="L74" s="103">
        <v>0</v>
      </c>
      <c r="M74" s="103">
        <v>0</v>
      </c>
      <c r="N74" s="96">
        <f>SUM(B74:M74)</f>
        <v>0</v>
      </c>
    </row>
    <row r="75" spans="1:34" hidden="1">
      <c r="A75" s="98" t="s">
        <v>139</v>
      </c>
      <c r="B75" s="111">
        <f t="shared" ref="B75:N75" si="35">SUM(B73:B74)</f>
        <v>0</v>
      </c>
      <c r="C75" s="110">
        <f t="shared" si="35"/>
        <v>0</v>
      </c>
      <c r="D75" s="110">
        <f t="shared" si="35"/>
        <v>0</v>
      </c>
      <c r="E75" s="110">
        <f t="shared" si="35"/>
        <v>0</v>
      </c>
      <c r="F75" s="110">
        <f t="shared" si="35"/>
        <v>0</v>
      </c>
      <c r="G75" s="110">
        <f t="shared" si="35"/>
        <v>0</v>
      </c>
      <c r="H75" s="110">
        <f t="shared" si="35"/>
        <v>0</v>
      </c>
      <c r="I75" s="110">
        <f t="shared" si="35"/>
        <v>0</v>
      </c>
      <c r="J75" s="110">
        <f t="shared" si="35"/>
        <v>0</v>
      </c>
      <c r="K75" s="110">
        <f t="shared" si="35"/>
        <v>0</v>
      </c>
      <c r="L75" s="110">
        <f t="shared" si="35"/>
        <v>0</v>
      </c>
      <c r="M75" s="110">
        <f t="shared" si="35"/>
        <v>0</v>
      </c>
      <c r="N75" s="109">
        <f t="shared" si="35"/>
        <v>0</v>
      </c>
    </row>
    <row r="76" spans="1:34" s="81" customFormat="1" ht="12">
      <c r="A76" s="108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6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2"/>
    </row>
    <row r="77" spans="1:34">
      <c r="A77" s="98" t="s">
        <v>90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4"/>
    </row>
    <row r="78" spans="1:34">
      <c r="A78" s="102" t="s">
        <v>140</v>
      </c>
      <c r="B78" s="101">
        <v>0</v>
      </c>
      <c r="C78" s="100">
        <f>B78</f>
        <v>0</v>
      </c>
      <c r="D78" s="100">
        <f t="shared" ref="D78:M79" si="36">C78</f>
        <v>0</v>
      </c>
      <c r="E78" s="100">
        <f t="shared" si="36"/>
        <v>0</v>
      </c>
      <c r="F78" s="100">
        <f t="shared" si="36"/>
        <v>0</v>
      </c>
      <c r="G78" s="100">
        <f t="shared" si="36"/>
        <v>0</v>
      </c>
      <c r="H78" s="100">
        <f t="shared" si="36"/>
        <v>0</v>
      </c>
      <c r="I78" s="100">
        <f t="shared" si="36"/>
        <v>0</v>
      </c>
      <c r="J78" s="100">
        <f t="shared" si="36"/>
        <v>0</v>
      </c>
      <c r="K78" s="100">
        <f t="shared" si="36"/>
        <v>0</v>
      </c>
      <c r="L78" s="100">
        <f t="shared" si="36"/>
        <v>0</v>
      </c>
      <c r="M78" s="100">
        <f t="shared" si="36"/>
        <v>0</v>
      </c>
      <c r="N78" s="99">
        <f>SUM(B78:M78)</f>
        <v>0</v>
      </c>
    </row>
    <row r="79" spans="1:34">
      <c r="A79" s="102" t="s">
        <v>141</v>
      </c>
      <c r="B79" s="103">
        <v>1250</v>
      </c>
      <c r="C79" s="103">
        <f>B79</f>
        <v>1250</v>
      </c>
      <c r="D79" s="103">
        <f t="shared" si="36"/>
        <v>1250</v>
      </c>
      <c r="E79" s="103">
        <f t="shared" si="36"/>
        <v>1250</v>
      </c>
      <c r="F79" s="103">
        <f t="shared" si="36"/>
        <v>1250</v>
      </c>
      <c r="G79" s="103">
        <f t="shared" si="36"/>
        <v>1250</v>
      </c>
      <c r="H79" s="103">
        <f t="shared" si="36"/>
        <v>1250</v>
      </c>
      <c r="I79" s="103">
        <f t="shared" si="36"/>
        <v>1250</v>
      </c>
      <c r="J79" s="103">
        <f t="shared" si="36"/>
        <v>1250</v>
      </c>
      <c r="K79" s="103">
        <f t="shared" si="36"/>
        <v>1250</v>
      </c>
      <c r="L79" s="103">
        <f t="shared" si="36"/>
        <v>1250</v>
      </c>
      <c r="M79" s="103">
        <f t="shared" si="36"/>
        <v>1250</v>
      </c>
      <c r="N79" s="96">
        <f>SUM(B79:M79)</f>
        <v>15000</v>
      </c>
    </row>
    <row r="80" spans="1:34">
      <c r="A80" s="102" t="s">
        <v>141</v>
      </c>
      <c r="B80" s="101">
        <v>0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99">
        <f>SUM(B80:M80)</f>
        <v>0</v>
      </c>
    </row>
    <row r="81" spans="1:34" s="94" customFormat="1">
      <c r="A81" s="98" t="s">
        <v>142</v>
      </c>
      <c r="B81" s="97">
        <f t="shared" ref="B81:N81" si="37">SUM(B78:B80)</f>
        <v>1250</v>
      </c>
      <c r="C81" s="97">
        <f t="shared" si="37"/>
        <v>1250</v>
      </c>
      <c r="D81" s="97">
        <f t="shared" si="37"/>
        <v>1250</v>
      </c>
      <c r="E81" s="97">
        <f t="shared" si="37"/>
        <v>1250</v>
      </c>
      <c r="F81" s="97">
        <f t="shared" si="37"/>
        <v>1250</v>
      </c>
      <c r="G81" s="97">
        <f t="shared" si="37"/>
        <v>1250</v>
      </c>
      <c r="H81" s="97">
        <f t="shared" si="37"/>
        <v>1250</v>
      </c>
      <c r="I81" s="97">
        <f t="shared" si="37"/>
        <v>1250</v>
      </c>
      <c r="J81" s="97">
        <f t="shared" si="37"/>
        <v>1250</v>
      </c>
      <c r="K81" s="97">
        <f t="shared" si="37"/>
        <v>1250</v>
      </c>
      <c r="L81" s="97">
        <f t="shared" si="37"/>
        <v>1250</v>
      </c>
      <c r="M81" s="97">
        <f t="shared" si="37"/>
        <v>1250</v>
      </c>
      <c r="N81" s="96">
        <f t="shared" si="37"/>
        <v>15000</v>
      </c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95"/>
    </row>
    <row r="82" spans="1:34" s="81" customFormat="1" ht="12">
      <c r="A82" s="93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1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2"/>
    </row>
    <row r="83" spans="1:34" ht="16">
      <c r="A83" s="90" t="s">
        <v>143</v>
      </c>
      <c r="B83" s="89">
        <f t="shared" ref="B83:N83" si="38">B27+B36+B41+B50+B62+B70+B75+B81</f>
        <v>15083.333333333334</v>
      </c>
      <c r="C83" s="88">
        <f t="shared" si="38"/>
        <v>15083.333333333334</v>
      </c>
      <c r="D83" s="88">
        <f t="shared" si="38"/>
        <v>15083.333333333334</v>
      </c>
      <c r="E83" s="88">
        <f t="shared" si="38"/>
        <v>15083.333333333334</v>
      </c>
      <c r="F83" s="88">
        <f t="shared" si="38"/>
        <v>15083.333333333334</v>
      </c>
      <c r="G83" s="88">
        <f t="shared" si="38"/>
        <v>15083.333333333334</v>
      </c>
      <c r="H83" s="88">
        <f t="shared" si="38"/>
        <v>15083.333333333334</v>
      </c>
      <c r="I83" s="88">
        <f t="shared" si="38"/>
        <v>15083.333333333334</v>
      </c>
      <c r="J83" s="88">
        <f t="shared" si="38"/>
        <v>15083.333333333334</v>
      </c>
      <c r="K83" s="88">
        <f t="shared" si="38"/>
        <v>15083.333333333334</v>
      </c>
      <c r="L83" s="88">
        <f t="shared" si="38"/>
        <v>15083.333333333334</v>
      </c>
      <c r="M83" s="88">
        <f t="shared" si="38"/>
        <v>15083.333333333334</v>
      </c>
      <c r="N83" s="87">
        <f t="shared" si="38"/>
        <v>181000</v>
      </c>
    </row>
    <row r="84" spans="1:34" s="81" customFormat="1" ht="12">
      <c r="A84" s="86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4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2"/>
    </row>
    <row r="85" spans="1:34" ht="14.25" customHeight="1">
      <c r="A85" s="80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</row>
    <row r="86" spans="1:34" ht="16">
      <c r="A86" s="78" t="s">
        <v>144</v>
      </c>
      <c r="B86" s="77" t="str">
        <f t="shared" ref="B86:N86" si="39">B3</f>
        <v>jan</v>
      </c>
      <c r="C86" s="76" t="str">
        <f t="shared" si="39"/>
        <v>feb</v>
      </c>
      <c r="D86" s="76" t="str">
        <f t="shared" si="39"/>
        <v>mar</v>
      </c>
      <c r="E86" s="76" t="str">
        <f t="shared" si="39"/>
        <v>apr</v>
      </c>
      <c r="F86" s="76" t="str">
        <f t="shared" si="39"/>
        <v>maj</v>
      </c>
      <c r="G86" s="76" t="str">
        <f t="shared" si="39"/>
        <v xml:space="preserve">juni </v>
      </c>
      <c r="H86" s="76" t="str">
        <f t="shared" si="39"/>
        <v>juli</v>
      </c>
      <c r="I86" s="76" t="str">
        <f t="shared" si="39"/>
        <v>aug</v>
      </c>
      <c r="J86" s="76" t="str">
        <f t="shared" si="39"/>
        <v>sept</v>
      </c>
      <c r="K86" s="76" t="str">
        <f t="shared" si="39"/>
        <v>okt</v>
      </c>
      <c r="L86" s="76" t="str">
        <f t="shared" si="39"/>
        <v>nov</v>
      </c>
      <c r="M86" s="76" t="str">
        <f t="shared" si="39"/>
        <v>dec</v>
      </c>
      <c r="N86" s="75" t="str">
        <f t="shared" si="39"/>
        <v>TOTAL</v>
      </c>
    </row>
    <row r="87" spans="1:34">
      <c r="A87" s="74" t="s">
        <v>145</v>
      </c>
      <c r="B87" s="73">
        <f t="shared" ref="B87:N87" si="40">SUM(B10-B83)</f>
        <v>23516.666666666664</v>
      </c>
      <c r="C87" s="72">
        <f t="shared" si="40"/>
        <v>20216.666666666664</v>
      </c>
      <c r="D87" s="72">
        <f t="shared" si="40"/>
        <v>20216.666666666664</v>
      </c>
      <c r="E87" s="72">
        <f t="shared" si="40"/>
        <v>23516.666666666664</v>
      </c>
      <c r="F87" s="72">
        <f t="shared" si="40"/>
        <v>20216.666666666664</v>
      </c>
      <c r="G87" s="72">
        <f t="shared" si="40"/>
        <v>20216.666666666664</v>
      </c>
      <c r="H87" s="72">
        <f t="shared" si="40"/>
        <v>23516.666666666664</v>
      </c>
      <c r="I87" s="72">
        <f t="shared" si="40"/>
        <v>20216.666666666664</v>
      </c>
      <c r="J87" s="72">
        <f t="shared" si="40"/>
        <v>20216.666666666664</v>
      </c>
      <c r="K87" s="72">
        <f t="shared" si="40"/>
        <v>23516.666666666664</v>
      </c>
      <c r="L87" s="72">
        <f t="shared" si="40"/>
        <v>20216.666666666664</v>
      </c>
      <c r="M87" s="72">
        <f t="shared" si="40"/>
        <v>20216.666666666664</v>
      </c>
      <c r="N87" s="71">
        <f t="shared" si="40"/>
        <v>255800</v>
      </c>
    </row>
    <row r="88" spans="1:34">
      <c r="A88" s="68" t="s">
        <v>146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69">
        <f>N87</f>
        <v>255800</v>
      </c>
    </row>
    <row r="89" spans="1:34">
      <c r="A89" s="197" t="s">
        <v>147</v>
      </c>
      <c r="B89" s="67">
        <f t="shared" ref="B89:M89" si="41">B87</f>
        <v>23516.666666666664</v>
      </c>
      <c r="C89" s="66">
        <f t="shared" si="41"/>
        <v>20216.666666666664</v>
      </c>
      <c r="D89" s="66">
        <f t="shared" si="41"/>
        <v>20216.666666666664</v>
      </c>
      <c r="E89" s="66">
        <f t="shared" si="41"/>
        <v>23516.666666666664</v>
      </c>
      <c r="F89" s="66">
        <f t="shared" si="41"/>
        <v>20216.666666666664</v>
      </c>
      <c r="G89" s="66">
        <f t="shared" si="41"/>
        <v>20216.666666666664</v>
      </c>
      <c r="H89" s="66">
        <f t="shared" si="41"/>
        <v>23516.666666666664</v>
      </c>
      <c r="I89" s="66">
        <f t="shared" si="41"/>
        <v>20216.666666666664</v>
      </c>
      <c r="J89" s="66">
        <f t="shared" si="41"/>
        <v>20216.666666666664</v>
      </c>
      <c r="K89" s="66">
        <f t="shared" si="41"/>
        <v>23516.666666666664</v>
      </c>
      <c r="L89" s="66">
        <f t="shared" si="41"/>
        <v>20216.666666666664</v>
      </c>
      <c r="M89" s="66">
        <f t="shared" si="41"/>
        <v>20216.666666666664</v>
      </c>
      <c r="N89" s="196">
        <f>N88/12</f>
        <v>21316.666666666668</v>
      </c>
    </row>
    <row r="90" spans="1:34" s="59" customFormat="1">
      <c r="A90" s="64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2"/>
    </row>
    <row r="91" spans="1:34" s="59" customFormat="1">
      <c r="N91" s="61"/>
    </row>
    <row r="92" spans="1:34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61"/>
    </row>
    <row r="93" spans="1:34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61"/>
    </row>
    <row r="94" spans="1:3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61"/>
    </row>
    <row r="95" spans="1:34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61"/>
    </row>
    <row r="96" spans="1:34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61"/>
    </row>
    <row r="97" spans="1:14" s="57" customForma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61"/>
    </row>
    <row r="98" spans="1:14" s="57" customForma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61"/>
    </row>
    <row r="99" spans="1:14" s="57" customForma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61"/>
    </row>
    <row r="100" spans="1:14" s="57" customForma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61"/>
    </row>
    <row r="101" spans="1:14" s="57" customForma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61"/>
    </row>
    <row r="102" spans="1:14" s="57" customForma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61"/>
    </row>
    <row r="103" spans="1:14" s="57" customForma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61"/>
    </row>
    <row r="104" spans="1:14" s="57" customForma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61"/>
    </row>
    <row r="105" spans="1:14" s="57" customForma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61"/>
    </row>
    <row r="106" spans="1:14" s="57" customForma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61"/>
    </row>
    <row r="107" spans="1:14" s="57" customForma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61"/>
    </row>
    <row r="108" spans="1:14" s="57" customForma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61"/>
    </row>
    <row r="109" spans="1:14" s="57" customForma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61"/>
    </row>
    <row r="110" spans="1:14" s="57" customForma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61"/>
    </row>
    <row r="111" spans="1:14" s="57" customForma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61"/>
    </row>
    <row r="112" spans="1:14" s="57" customForma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61"/>
    </row>
    <row r="113" spans="1:14" s="57" customForma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61"/>
    </row>
    <row r="114" spans="1:14" s="57" customForma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61"/>
    </row>
    <row r="115" spans="1:14" s="57" customForma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61"/>
    </row>
    <row r="116" spans="1:14" s="57" customForma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61"/>
    </row>
    <row r="117" spans="1:14" s="57" customForma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61"/>
    </row>
    <row r="118" spans="1:14" s="57" customForma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61"/>
    </row>
    <row r="119" spans="1:14" s="57" customForma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61"/>
    </row>
    <row r="120" spans="1:14" s="57" customForma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61"/>
    </row>
    <row r="121" spans="1:14" s="57" customForma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61"/>
    </row>
    <row r="122" spans="1:14" s="57" customForma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61"/>
    </row>
    <row r="123" spans="1:14" s="57" customForma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61"/>
    </row>
    <row r="124" spans="1:14" s="57" customForma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61"/>
    </row>
    <row r="125" spans="1:14" s="57" customForma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61"/>
    </row>
    <row r="126" spans="1:14" s="57" customForma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61"/>
    </row>
    <row r="127" spans="1:14" s="57" customForma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61"/>
    </row>
    <row r="128" spans="1:14" s="57" customForma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61"/>
    </row>
    <row r="129" spans="1:14" s="57" customForma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61"/>
    </row>
    <row r="130" spans="1:14" s="57" customForma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61"/>
    </row>
    <row r="131" spans="1:14" s="57" customForma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61"/>
    </row>
    <row r="132" spans="1:14" s="57" customForma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61"/>
    </row>
    <row r="133" spans="1:14" s="57" customForma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61"/>
    </row>
    <row r="134" spans="1:14" s="57" customForma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61"/>
    </row>
    <row r="135" spans="1:14" s="57" customForma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61"/>
    </row>
    <row r="136" spans="1:14" s="57" customForma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61"/>
    </row>
    <row r="137" spans="1:14" s="57" customForma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61"/>
    </row>
    <row r="138" spans="1:14" s="57" customForma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61"/>
    </row>
    <row r="139" spans="1:14" s="57" customForma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61"/>
    </row>
    <row r="140" spans="1:14" s="57" customForma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61"/>
    </row>
    <row r="141" spans="1:14" s="57" customForma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61"/>
    </row>
    <row r="142" spans="1:14" s="57" customForma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61"/>
    </row>
    <row r="143" spans="1:14" s="57" customForma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61"/>
    </row>
    <row r="144" spans="1:14" s="57" customForma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61"/>
    </row>
    <row r="145" spans="1:14" s="57" customForma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61"/>
    </row>
    <row r="146" spans="1:14" s="57" customForma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61"/>
    </row>
    <row r="147" spans="1:14" s="57" customForma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61"/>
    </row>
    <row r="148" spans="1:14" s="57" customForma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61"/>
    </row>
    <row r="149" spans="1:14" s="57" customForma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61"/>
    </row>
    <row r="150" spans="1:14" s="57" customForma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61"/>
    </row>
    <row r="151" spans="1:14" s="57" customForma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61"/>
    </row>
    <row r="152" spans="1:14" s="57" customForma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61"/>
    </row>
    <row r="153" spans="1:14" s="57" customForma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61"/>
    </row>
    <row r="154" spans="1:14" s="57" customForma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61"/>
    </row>
    <row r="155" spans="1:14" s="57" customForma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61"/>
    </row>
    <row r="156" spans="1:14" s="57" customForma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61"/>
    </row>
    <row r="157" spans="1:14" s="57" customForma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61"/>
    </row>
    <row r="158" spans="1:14" s="57" customForma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61"/>
    </row>
    <row r="159" spans="1:14" s="57" customForma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61"/>
    </row>
    <row r="160" spans="1:14" s="57" customForma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61"/>
    </row>
    <row r="161" spans="1:14" s="57" customForma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61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68" orientation="portrait" cellComments="atEnd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K28"/>
  <sheetViews>
    <sheetView zoomScale="75" zoomScaleNormal="120" workbookViewId="0">
      <selection activeCell="D27" sqref="D27"/>
    </sheetView>
  </sheetViews>
  <sheetFormatPr baseColWidth="10" defaultColWidth="8.83203125" defaultRowHeight="13"/>
  <cols>
    <col min="1" max="1" width="8.83203125" customWidth="1"/>
    <col min="2" max="2" width="35.6640625" customWidth="1"/>
    <col min="3" max="3" width="8.83203125" customWidth="1"/>
    <col min="4" max="4" width="26.83203125" customWidth="1"/>
    <col min="5" max="9" width="8.83203125" customWidth="1"/>
    <col min="10" max="10" width="24.5" customWidth="1"/>
  </cols>
  <sheetData>
    <row r="3" spans="2:11" ht="18">
      <c r="B3" s="205" t="s">
        <v>148</v>
      </c>
      <c r="C3" s="206" t="s">
        <v>5</v>
      </c>
      <c r="D3" s="207">
        <v>1545454.0842212075</v>
      </c>
      <c r="E3" s="208" t="s">
        <v>149</v>
      </c>
    </row>
    <row r="4" spans="2:11" ht="18">
      <c r="B4" s="208" t="s">
        <v>150</v>
      </c>
      <c r="C4" s="208"/>
      <c r="D4" s="208">
        <v>30</v>
      </c>
      <c r="E4" s="208"/>
      <c r="F4" s="208"/>
    </row>
    <row r="5" spans="2:11" ht="18">
      <c r="B5" s="208" t="s">
        <v>151</v>
      </c>
      <c r="C5" s="208"/>
      <c r="D5" s="208">
        <v>12</v>
      </c>
      <c r="E5" s="208"/>
      <c r="F5" s="208"/>
    </row>
    <row r="6" spans="2:11" ht="18">
      <c r="B6" s="208" t="s">
        <v>152</v>
      </c>
      <c r="C6" s="209" t="s">
        <v>5</v>
      </c>
      <c r="D6" s="218">
        <v>0.05</v>
      </c>
      <c r="E6" s="208" t="s">
        <v>153</v>
      </c>
      <c r="F6" s="208"/>
    </row>
    <row r="7" spans="2:11" ht="18">
      <c r="B7" s="208" t="s">
        <v>154</v>
      </c>
      <c r="C7" s="208"/>
      <c r="D7" s="210">
        <f>(1+D6/D5)^D5-1</f>
        <v>5.116189788173342E-2</v>
      </c>
      <c r="E7" s="208"/>
      <c r="F7" s="208"/>
    </row>
    <row r="8" spans="2:11" ht="18">
      <c r="B8" s="208"/>
      <c r="C8" s="208"/>
      <c r="D8" s="210"/>
      <c r="E8" s="208"/>
      <c r="F8" s="208"/>
    </row>
    <row r="9" spans="2:11" ht="18">
      <c r="B9" s="208" t="s">
        <v>155</v>
      </c>
      <c r="C9" s="208"/>
      <c r="D9" s="210"/>
      <c r="E9" s="208"/>
      <c r="F9" s="208"/>
      <c r="H9" s="207" t="s">
        <v>156</v>
      </c>
      <c r="I9" s="207"/>
      <c r="J9" s="207">
        <v>1996220</v>
      </c>
    </row>
    <row r="10" spans="2:11" ht="18">
      <c r="B10" s="208" t="s">
        <v>157</v>
      </c>
      <c r="C10" s="208"/>
      <c r="D10" s="211">
        <f>1825+1.45%*D3</f>
        <v>24234.084221207508</v>
      </c>
      <c r="E10" s="208"/>
      <c r="F10" s="208"/>
      <c r="H10" s="207" t="s">
        <v>158</v>
      </c>
      <c r="I10" s="207"/>
      <c r="J10" s="207">
        <v>480000</v>
      </c>
      <c r="K10" t="s">
        <v>159</v>
      </c>
    </row>
    <row r="11" spans="2:11" ht="19">
      <c r="B11" s="208" t="s">
        <v>160</v>
      </c>
      <c r="C11" s="208"/>
      <c r="D11" s="212">
        <v>5000</v>
      </c>
      <c r="E11" s="213" t="s">
        <v>161</v>
      </c>
      <c r="F11" s="208"/>
      <c r="H11" s="207" t="s">
        <v>162</v>
      </c>
      <c r="I11" s="207"/>
      <c r="J11" s="207">
        <f>J9-J10</f>
        <v>1516220</v>
      </c>
      <c r="K11" t="s">
        <v>163</v>
      </c>
    </row>
    <row r="12" spans="2:11" ht="18">
      <c r="B12" s="208"/>
      <c r="C12" s="208"/>
      <c r="D12" s="210"/>
      <c r="E12" s="208"/>
      <c r="F12" s="208"/>
    </row>
    <row r="13" spans="2:11" ht="18">
      <c r="B13" s="208" t="s">
        <v>164</v>
      </c>
      <c r="C13" s="208"/>
      <c r="D13" s="214">
        <f>SUM(D10:D12)</f>
        <v>29234.084221207508</v>
      </c>
      <c r="E13" s="208"/>
      <c r="F13" s="208"/>
    </row>
    <row r="14" spans="2:11" ht="18">
      <c r="B14" s="208"/>
      <c r="C14" s="208"/>
      <c r="D14" s="210"/>
      <c r="E14" s="208"/>
      <c r="F14" s="208"/>
    </row>
    <row r="15" spans="2:11" ht="18">
      <c r="B15" s="208" t="s">
        <v>165</v>
      </c>
      <c r="C15" s="208"/>
      <c r="D15" s="214">
        <f>D3-D13</f>
        <v>1516220</v>
      </c>
      <c r="E15" s="227" t="s">
        <v>166</v>
      </c>
      <c r="F15" s="208"/>
    </row>
    <row r="16" spans="2:11" ht="18">
      <c r="B16" s="208"/>
      <c r="C16" s="208"/>
      <c r="D16" s="210"/>
      <c r="E16" s="208"/>
      <c r="F16" s="208"/>
    </row>
    <row r="17" spans="2:6" ht="18">
      <c r="B17" s="208" t="s">
        <v>167</v>
      </c>
      <c r="C17" s="208"/>
      <c r="D17" s="210">
        <f>RATE(D4*D5,D21,D15)</f>
        <v>4.3071567349832899E-3</v>
      </c>
      <c r="E17" s="208"/>
      <c r="F17" s="208"/>
    </row>
    <row r="18" spans="2:6" ht="19">
      <c r="B18" s="215" t="s">
        <v>168</v>
      </c>
      <c r="C18" s="215"/>
      <c r="D18" s="216">
        <f>(1+D17)^D5-1</f>
        <v>5.292803692501602E-2</v>
      </c>
      <c r="E18" s="208"/>
      <c r="F18" s="208"/>
    </row>
    <row r="19" spans="2:6" ht="18">
      <c r="B19" s="208"/>
      <c r="C19" s="208"/>
      <c r="D19" s="210"/>
      <c r="E19" s="208"/>
      <c r="F19" s="208"/>
    </row>
    <row r="20" spans="2:6" ht="18">
      <c r="B20" s="208"/>
      <c r="C20" s="208"/>
      <c r="D20" s="208"/>
      <c r="E20" s="208"/>
      <c r="F20" s="208"/>
    </row>
    <row r="21" spans="2:6" ht="18">
      <c r="B21" s="208" t="s">
        <v>169</v>
      </c>
      <c r="C21" s="208"/>
      <c r="D21" s="209">
        <f>PMT(D6/D5,D4*D5,D3)</f>
        <v>-8296.3316978236762</v>
      </c>
      <c r="E21" s="208"/>
      <c r="F21" s="208"/>
    </row>
    <row r="22" spans="2:6" ht="18">
      <c r="B22" s="208"/>
      <c r="C22" s="208"/>
      <c r="D22" s="208"/>
      <c r="E22" s="208"/>
      <c r="F22" s="208"/>
    </row>
    <row r="23" spans="2:6" ht="18">
      <c r="B23" s="208" t="s">
        <v>170</v>
      </c>
      <c r="C23" s="208"/>
      <c r="D23" s="212">
        <f>_xlfn.SINGLE(CUMIPMT(D6/D5,D4*D5,D3,1,D5,0))</f>
        <v>-76754.886383627163</v>
      </c>
      <c r="E23" s="208"/>
      <c r="F23" s="208"/>
    </row>
    <row r="24" spans="2:6" ht="18">
      <c r="B24" s="208" t="s">
        <v>171</v>
      </c>
      <c r="C24" s="208"/>
      <c r="D24" s="211">
        <f>1/3*D23</f>
        <v>-25584.962127875719</v>
      </c>
      <c r="E24" s="208"/>
      <c r="F24" s="208"/>
    </row>
    <row r="25" spans="2:6" ht="18">
      <c r="B25" s="208" t="s">
        <v>172</v>
      </c>
      <c r="C25" s="208"/>
      <c r="D25" s="211">
        <f>D24/D5</f>
        <v>-2132.0801773229764</v>
      </c>
      <c r="E25" s="208"/>
      <c r="F25" s="208"/>
    </row>
    <row r="26" spans="2:6" ht="18">
      <c r="B26" s="208"/>
      <c r="C26" s="208"/>
      <c r="D26" s="208"/>
      <c r="E26" s="208"/>
      <c r="F26" s="208"/>
    </row>
    <row r="27" spans="2:6" ht="19">
      <c r="B27" s="215" t="s">
        <v>173</v>
      </c>
      <c r="C27" s="215"/>
      <c r="D27" s="217">
        <f>D21-D25</f>
        <v>-6164.2515205007003</v>
      </c>
      <c r="E27" s="208"/>
      <c r="F27" s="208"/>
    </row>
    <row r="28" spans="2:6" ht="18">
      <c r="B28" s="208"/>
      <c r="C28" s="208"/>
      <c r="D28" s="208"/>
      <c r="E28" s="208"/>
      <c r="F28" s="208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T161"/>
  <sheetViews>
    <sheetView showGridLines="0" tabSelected="1" zoomScale="68" zoomScaleNormal="100" workbookViewId="0">
      <selection activeCell="N89" sqref="N89"/>
    </sheetView>
  </sheetViews>
  <sheetFormatPr baseColWidth="10" defaultColWidth="9.1640625" defaultRowHeight="13"/>
  <cols>
    <col min="1" max="1" width="40.33203125" style="57" customWidth="1"/>
    <col min="2" max="2" width="8.33203125" style="57" customWidth="1"/>
    <col min="3" max="3" width="9" style="57" customWidth="1"/>
    <col min="4" max="4" width="9.83203125" style="57" customWidth="1"/>
    <col min="5" max="5" width="10.83203125" style="57" customWidth="1"/>
    <col min="6" max="6" width="8.83203125" style="57" customWidth="1"/>
    <col min="7" max="7" width="8.1640625" style="57" customWidth="1"/>
    <col min="8" max="8" width="10.5" style="57" customWidth="1"/>
    <col min="9" max="9" width="8.33203125" style="57" customWidth="1"/>
    <col min="10" max="10" width="8.5" style="57" customWidth="1"/>
    <col min="11" max="11" width="8.83203125" style="57" customWidth="1"/>
    <col min="12" max="12" width="8.6640625" style="57" customWidth="1"/>
    <col min="13" max="13" width="8.83203125" style="57" customWidth="1"/>
    <col min="14" max="14" width="12.6640625" style="60" customWidth="1"/>
    <col min="15" max="33" width="11.5" style="59" customWidth="1"/>
    <col min="34" max="34" width="11.5" style="58" customWidth="1"/>
    <col min="35" max="256" width="11.5" style="57" customWidth="1"/>
    <col min="257" max="16384" width="9.1640625" style="57"/>
  </cols>
  <sheetData>
    <row r="1" spans="1:254" s="158" customFormat="1" ht="20">
      <c r="A1" s="159" t="s">
        <v>174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254" s="157" customForma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254" ht="16">
      <c r="A3" s="156" t="s">
        <v>71</v>
      </c>
      <c r="B3" s="155" t="s">
        <v>72</v>
      </c>
      <c r="C3" s="154" t="s">
        <v>73</v>
      </c>
      <c r="D3" s="154" t="s">
        <v>74</v>
      </c>
      <c r="E3" s="154" t="s">
        <v>75</v>
      </c>
      <c r="F3" s="154" t="s">
        <v>76</v>
      </c>
      <c r="G3" s="154" t="s">
        <v>77</v>
      </c>
      <c r="H3" s="154" t="s">
        <v>78</v>
      </c>
      <c r="I3" s="154" t="s">
        <v>79</v>
      </c>
      <c r="J3" s="154" t="s">
        <v>80</v>
      </c>
      <c r="K3" s="154" t="s">
        <v>81</v>
      </c>
      <c r="L3" s="154" t="s">
        <v>82</v>
      </c>
      <c r="M3" s="154" t="s">
        <v>83</v>
      </c>
      <c r="N3" s="153" t="s">
        <v>84</v>
      </c>
    </row>
    <row r="4" spans="1:254">
      <c r="A4" s="151" t="s">
        <v>85</v>
      </c>
      <c r="B4" s="101">
        <v>17000</v>
      </c>
      <c r="C4" s="100">
        <f t="shared" ref="C4:M5" si="0">B4</f>
        <v>17000</v>
      </c>
      <c r="D4" s="100">
        <f t="shared" si="0"/>
        <v>17000</v>
      </c>
      <c r="E4" s="100">
        <f t="shared" si="0"/>
        <v>17000</v>
      </c>
      <c r="F4" s="100">
        <f t="shared" si="0"/>
        <v>17000</v>
      </c>
      <c r="G4" s="100">
        <f t="shared" si="0"/>
        <v>17000</v>
      </c>
      <c r="H4" s="100">
        <f t="shared" si="0"/>
        <v>17000</v>
      </c>
      <c r="I4" s="100">
        <f t="shared" si="0"/>
        <v>17000</v>
      </c>
      <c r="J4" s="100">
        <f t="shared" si="0"/>
        <v>17000</v>
      </c>
      <c r="K4" s="100">
        <f t="shared" si="0"/>
        <v>17000</v>
      </c>
      <c r="L4" s="100">
        <f t="shared" si="0"/>
        <v>17000</v>
      </c>
      <c r="M4" s="100">
        <f t="shared" si="0"/>
        <v>17000</v>
      </c>
      <c r="N4" s="152">
        <f t="shared" ref="N4:N10" si="1">SUM(B4:M4)</f>
        <v>204000</v>
      </c>
    </row>
    <row r="5" spans="1:254">
      <c r="A5" s="151" t="s">
        <v>86</v>
      </c>
      <c r="B5" s="103">
        <v>18300</v>
      </c>
      <c r="C5" s="103">
        <f t="shared" si="0"/>
        <v>18300</v>
      </c>
      <c r="D5" s="103">
        <f t="shared" si="0"/>
        <v>18300</v>
      </c>
      <c r="E5" s="103">
        <f t="shared" si="0"/>
        <v>18300</v>
      </c>
      <c r="F5" s="103">
        <f t="shared" si="0"/>
        <v>18300</v>
      </c>
      <c r="G5" s="103">
        <f t="shared" si="0"/>
        <v>18300</v>
      </c>
      <c r="H5" s="103">
        <f t="shared" si="0"/>
        <v>18300</v>
      </c>
      <c r="I5" s="103">
        <f t="shared" si="0"/>
        <v>18300</v>
      </c>
      <c r="J5" s="103">
        <f t="shared" si="0"/>
        <v>18300</v>
      </c>
      <c r="K5" s="103">
        <f t="shared" si="0"/>
        <v>18300</v>
      </c>
      <c r="L5" s="103">
        <f t="shared" si="0"/>
        <v>18300</v>
      </c>
      <c r="M5" s="103">
        <f t="shared" si="0"/>
        <v>18300</v>
      </c>
      <c r="N5" s="150">
        <f t="shared" si="1"/>
        <v>219600</v>
      </c>
      <c r="O5" s="59" t="s">
        <v>5</v>
      </c>
    </row>
    <row r="6" spans="1:254">
      <c r="A6" s="151" t="s">
        <v>87</v>
      </c>
      <c r="B6" s="101" t="s">
        <v>5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52">
        <f t="shared" si="1"/>
        <v>0</v>
      </c>
      <c r="O6" s="59" t="s">
        <v>5</v>
      </c>
    </row>
    <row r="7" spans="1:254">
      <c r="A7" s="151" t="s">
        <v>88</v>
      </c>
      <c r="B7" s="103">
        <v>3300</v>
      </c>
      <c r="C7" s="103">
        <v>0</v>
      </c>
      <c r="D7" s="103">
        <v>0</v>
      </c>
      <c r="E7" s="103">
        <f>B7</f>
        <v>3300</v>
      </c>
      <c r="F7" s="103">
        <v>0</v>
      </c>
      <c r="G7" s="103">
        <v>0</v>
      </c>
      <c r="H7" s="103">
        <f>E7</f>
        <v>3300</v>
      </c>
      <c r="I7" s="103">
        <v>0</v>
      </c>
      <c r="J7" s="103">
        <v>0</v>
      </c>
      <c r="K7" s="103">
        <f>H7</f>
        <v>3300</v>
      </c>
      <c r="L7" s="103">
        <v>0</v>
      </c>
      <c r="M7" s="103">
        <v>0</v>
      </c>
      <c r="N7" s="150">
        <f t="shared" si="1"/>
        <v>13200</v>
      </c>
      <c r="O7" s="59" t="s">
        <v>5</v>
      </c>
    </row>
    <row r="8" spans="1:254">
      <c r="A8" s="151" t="s">
        <v>89</v>
      </c>
      <c r="B8" s="101">
        <v>0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52">
        <f t="shared" si="1"/>
        <v>0</v>
      </c>
    </row>
    <row r="9" spans="1:254">
      <c r="A9" s="151" t="s">
        <v>90</v>
      </c>
      <c r="B9" s="103">
        <v>0</v>
      </c>
      <c r="C9" s="103">
        <v>0</v>
      </c>
      <c r="D9" s="103">
        <v>0</v>
      </c>
      <c r="E9" s="103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50">
        <f t="shared" si="1"/>
        <v>0</v>
      </c>
    </row>
    <row r="10" spans="1:254" s="94" customFormat="1" ht="16">
      <c r="A10" s="149" t="s">
        <v>91</v>
      </c>
      <c r="B10" s="111">
        <f t="shared" ref="B10:M10" si="2">SUM(B4:B9)</f>
        <v>38600</v>
      </c>
      <c r="C10" s="110">
        <f t="shared" si="2"/>
        <v>35300</v>
      </c>
      <c r="D10" s="110">
        <f t="shared" si="2"/>
        <v>35300</v>
      </c>
      <c r="E10" s="110">
        <f t="shared" si="2"/>
        <v>38600</v>
      </c>
      <c r="F10" s="110">
        <f t="shared" si="2"/>
        <v>35300</v>
      </c>
      <c r="G10" s="110">
        <f t="shared" si="2"/>
        <v>35300</v>
      </c>
      <c r="H10" s="110">
        <f t="shared" si="2"/>
        <v>38600</v>
      </c>
      <c r="I10" s="110">
        <f t="shared" si="2"/>
        <v>35300</v>
      </c>
      <c r="J10" s="110">
        <f t="shared" si="2"/>
        <v>35300</v>
      </c>
      <c r="K10" s="110">
        <f t="shared" si="2"/>
        <v>38600</v>
      </c>
      <c r="L10" s="110">
        <f t="shared" si="2"/>
        <v>35300</v>
      </c>
      <c r="M10" s="110">
        <f t="shared" si="2"/>
        <v>35300</v>
      </c>
      <c r="N10" s="148">
        <f t="shared" si="1"/>
        <v>436800</v>
      </c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95"/>
    </row>
    <row r="11" spans="1:254" s="116" customFormat="1" ht="12">
      <c r="A11" s="147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5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  <c r="HV11" s="144"/>
      <c r="HW11" s="144"/>
      <c r="HX11" s="144"/>
      <c r="HY11" s="144"/>
      <c r="HZ11" s="144"/>
      <c r="IA11" s="144"/>
      <c r="IB11" s="144"/>
      <c r="IC11" s="144"/>
      <c r="ID11" s="144"/>
      <c r="IE11" s="144"/>
      <c r="IF11" s="144"/>
      <c r="IG11" s="144"/>
      <c r="IH11" s="144"/>
      <c r="II11" s="144"/>
      <c r="IJ11" s="144"/>
      <c r="IK11" s="144"/>
      <c r="IL11" s="144"/>
      <c r="IM11" s="144"/>
      <c r="IN11" s="144"/>
      <c r="IO11" s="144"/>
      <c r="IP11" s="144"/>
      <c r="IQ11" s="144"/>
      <c r="IR11" s="144"/>
      <c r="IS11" s="144"/>
      <c r="IT11" s="144"/>
    </row>
    <row r="12" spans="1:254" s="59" customFormat="1">
      <c r="A12" s="143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1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40"/>
      <c r="FC12" s="140"/>
      <c r="FD12" s="140"/>
      <c r="FE12" s="140"/>
      <c r="FF12" s="140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0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140"/>
      <c r="GC12" s="140"/>
      <c r="GD12" s="140"/>
      <c r="GE12" s="140"/>
      <c r="GF12" s="140"/>
      <c r="GG12" s="140"/>
      <c r="GH12" s="140"/>
      <c r="GI12" s="140"/>
      <c r="GJ12" s="140"/>
      <c r="GK12" s="140"/>
      <c r="GL12" s="140"/>
      <c r="GM12" s="140"/>
      <c r="GN12" s="140"/>
      <c r="GO12" s="140"/>
      <c r="GP12" s="140"/>
      <c r="GQ12" s="140"/>
      <c r="GR12" s="140"/>
      <c r="GS12" s="140"/>
      <c r="GT12" s="140"/>
      <c r="GU12" s="140"/>
      <c r="GV12" s="140"/>
      <c r="GW12" s="140"/>
      <c r="GX12" s="140"/>
      <c r="GY12" s="140"/>
      <c r="GZ12" s="140"/>
      <c r="HA12" s="140"/>
      <c r="HB12" s="140"/>
      <c r="HC12" s="140"/>
      <c r="HD12" s="140"/>
      <c r="HE12" s="140"/>
      <c r="HF12" s="140"/>
      <c r="HG12" s="140"/>
      <c r="HH12" s="140"/>
      <c r="HI12" s="140"/>
      <c r="HJ12" s="140"/>
      <c r="HK12" s="140"/>
      <c r="HL12" s="140"/>
      <c r="HM12" s="140"/>
      <c r="HN12" s="140"/>
      <c r="HO12" s="140"/>
      <c r="HP12" s="140"/>
      <c r="HQ12" s="140"/>
      <c r="HR12" s="140"/>
      <c r="HS12" s="140"/>
      <c r="HT12" s="140"/>
      <c r="HU12" s="140"/>
      <c r="HV12" s="140"/>
      <c r="HW12" s="140"/>
      <c r="HX12" s="140"/>
      <c r="HY12" s="140"/>
      <c r="HZ12" s="140"/>
      <c r="IA12" s="140"/>
      <c r="IB12" s="140"/>
      <c r="IC12" s="140"/>
      <c r="ID12" s="140"/>
      <c r="IE12" s="140"/>
      <c r="IF12" s="140"/>
      <c r="IG12" s="140"/>
      <c r="IH12" s="140"/>
      <c r="II12" s="140"/>
      <c r="IJ12" s="140"/>
      <c r="IK12" s="140"/>
      <c r="IL12" s="140"/>
      <c r="IM12" s="140"/>
      <c r="IN12" s="140"/>
      <c r="IO12" s="140"/>
      <c r="IP12" s="140"/>
      <c r="IQ12" s="140"/>
      <c r="IR12" s="140"/>
      <c r="IS12" s="140"/>
      <c r="IT12" s="140"/>
    </row>
    <row r="13" spans="1:254" s="134" customFormat="1" ht="16">
      <c r="A13" s="139" t="s">
        <v>92</v>
      </c>
      <c r="B13" s="138" t="s">
        <v>72</v>
      </c>
      <c r="C13" s="137" t="s">
        <v>73</v>
      </c>
      <c r="D13" s="137" t="s">
        <v>74</v>
      </c>
      <c r="E13" s="137" t="s">
        <v>75</v>
      </c>
      <c r="F13" s="137" t="s">
        <v>76</v>
      </c>
      <c r="G13" s="137" t="s">
        <v>77</v>
      </c>
      <c r="H13" s="137" t="s">
        <v>78</v>
      </c>
      <c r="I13" s="137" t="s">
        <v>79</v>
      </c>
      <c r="J13" s="137" t="s">
        <v>80</v>
      </c>
      <c r="K13" s="137" t="s">
        <v>81</v>
      </c>
      <c r="L13" s="137" t="s">
        <v>82</v>
      </c>
      <c r="M13" s="137" t="s">
        <v>83</v>
      </c>
      <c r="N13" s="136" t="s">
        <v>84</v>
      </c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</row>
    <row r="14" spans="1:254">
      <c r="A14" s="98" t="s">
        <v>93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33"/>
    </row>
    <row r="15" spans="1:254">
      <c r="A15" s="102" t="s">
        <v>175</v>
      </c>
      <c r="B15" s="101">
        <f>-'Lån - andelsbolig'!D27</f>
        <v>6164.2515205007003</v>
      </c>
      <c r="C15" s="100">
        <f t="shared" ref="C15:M16" si="3">B15</f>
        <v>6164.2515205007003</v>
      </c>
      <c r="D15" s="100">
        <f t="shared" si="3"/>
        <v>6164.2515205007003</v>
      </c>
      <c r="E15" s="100">
        <f t="shared" si="3"/>
        <v>6164.2515205007003</v>
      </c>
      <c r="F15" s="100">
        <f t="shared" si="3"/>
        <v>6164.2515205007003</v>
      </c>
      <c r="G15" s="100">
        <f t="shared" si="3"/>
        <v>6164.2515205007003</v>
      </c>
      <c r="H15" s="100">
        <f t="shared" si="3"/>
        <v>6164.2515205007003</v>
      </c>
      <c r="I15" s="100">
        <f t="shared" si="3"/>
        <v>6164.2515205007003</v>
      </c>
      <c r="J15" s="100">
        <f t="shared" si="3"/>
        <v>6164.2515205007003</v>
      </c>
      <c r="K15" s="100">
        <f t="shared" si="3"/>
        <v>6164.2515205007003</v>
      </c>
      <c r="L15" s="100">
        <f t="shared" si="3"/>
        <v>6164.2515205007003</v>
      </c>
      <c r="M15" s="100">
        <f t="shared" si="3"/>
        <v>6164.2515205007003</v>
      </c>
      <c r="N15" s="124">
        <f t="shared" ref="N15:N26" si="4">SUM(B15:M15)</f>
        <v>73971.018246008403</v>
      </c>
    </row>
    <row r="16" spans="1:254">
      <c r="A16" s="102" t="s">
        <v>176</v>
      </c>
      <c r="B16" s="103">
        <v>5408</v>
      </c>
      <c r="C16" s="103">
        <f t="shared" si="3"/>
        <v>5408</v>
      </c>
      <c r="D16" s="103">
        <f t="shared" si="3"/>
        <v>5408</v>
      </c>
      <c r="E16" s="103">
        <f t="shared" si="3"/>
        <v>5408</v>
      </c>
      <c r="F16" s="103">
        <f t="shared" si="3"/>
        <v>5408</v>
      </c>
      <c r="G16" s="103">
        <f t="shared" si="3"/>
        <v>5408</v>
      </c>
      <c r="H16" s="103">
        <f t="shared" si="3"/>
        <v>5408</v>
      </c>
      <c r="I16" s="103">
        <f t="shared" si="3"/>
        <v>5408</v>
      </c>
      <c r="J16" s="103">
        <f t="shared" si="3"/>
        <v>5408</v>
      </c>
      <c r="K16" s="103">
        <f t="shared" si="3"/>
        <v>5408</v>
      </c>
      <c r="L16" s="103">
        <f t="shared" si="3"/>
        <v>5408</v>
      </c>
      <c r="M16" s="103">
        <f t="shared" si="3"/>
        <v>5408</v>
      </c>
      <c r="N16" s="123">
        <f t="shared" si="4"/>
        <v>64896</v>
      </c>
    </row>
    <row r="17" spans="1:34">
      <c r="A17" s="102" t="s">
        <v>96</v>
      </c>
      <c r="B17" s="101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100">
        <v>0</v>
      </c>
      <c r="N17" s="124">
        <f t="shared" si="4"/>
        <v>0</v>
      </c>
    </row>
    <row r="18" spans="1:34">
      <c r="A18" s="102" t="s">
        <v>97</v>
      </c>
      <c r="B18" s="103">
        <f>N18/12</f>
        <v>706.16666666666663</v>
      </c>
      <c r="C18" s="103">
        <f>B18</f>
        <v>706.16666666666663</v>
      </c>
      <c r="D18" s="103">
        <f t="shared" ref="D18:M19" si="5">C18</f>
        <v>706.16666666666663</v>
      </c>
      <c r="E18" s="103">
        <f t="shared" si="5"/>
        <v>706.16666666666663</v>
      </c>
      <c r="F18" s="103">
        <f t="shared" si="5"/>
        <v>706.16666666666663</v>
      </c>
      <c r="G18" s="103">
        <f t="shared" si="5"/>
        <v>706.16666666666663</v>
      </c>
      <c r="H18" s="103">
        <f t="shared" si="5"/>
        <v>706.16666666666663</v>
      </c>
      <c r="I18" s="103">
        <f t="shared" si="5"/>
        <v>706.16666666666663</v>
      </c>
      <c r="J18" s="103">
        <f t="shared" si="5"/>
        <v>706.16666666666663</v>
      </c>
      <c r="K18" s="103">
        <f t="shared" si="5"/>
        <v>706.16666666666663</v>
      </c>
      <c r="L18" s="103">
        <f t="shared" si="5"/>
        <v>706.16666666666663</v>
      </c>
      <c r="M18" s="103">
        <f t="shared" si="5"/>
        <v>706.16666666666663</v>
      </c>
      <c r="N18" s="123">
        <v>8474</v>
      </c>
      <c r="O18" s="59" t="s">
        <v>177</v>
      </c>
    </row>
    <row r="19" spans="1:34">
      <c r="A19" s="102" t="s">
        <v>98</v>
      </c>
      <c r="B19" s="101">
        <v>500</v>
      </c>
      <c r="C19" s="100">
        <f>B19</f>
        <v>500</v>
      </c>
      <c r="D19" s="100">
        <f t="shared" si="5"/>
        <v>500</v>
      </c>
      <c r="E19" s="100">
        <f t="shared" si="5"/>
        <v>500</v>
      </c>
      <c r="F19" s="100">
        <f t="shared" si="5"/>
        <v>500</v>
      </c>
      <c r="G19" s="100">
        <f t="shared" si="5"/>
        <v>500</v>
      </c>
      <c r="H19" s="100">
        <f t="shared" si="5"/>
        <v>500</v>
      </c>
      <c r="I19" s="100">
        <f t="shared" si="5"/>
        <v>500</v>
      </c>
      <c r="J19" s="100">
        <f t="shared" si="5"/>
        <v>500</v>
      </c>
      <c r="K19" s="100">
        <f t="shared" si="5"/>
        <v>500</v>
      </c>
      <c r="L19" s="100">
        <f t="shared" si="5"/>
        <v>500</v>
      </c>
      <c r="M19" s="100">
        <f t="shared" si="5"/>
        <v>500</v>
      </c>
      <c r="N19" s="124">
        <f t="shared" si="4"/>
        <v>6000</v>
      </c>
      <c r="O19" s="194" t="s">
        <v>178</v>
      </c>
    </row>
    <row r="20" spans="1:34">
      <c r="A20" s="102" t="s">
        <v>99</v>
      </c>
      <c r="B20" s="103">
        <v>400</v>
      </c>
      <c r="C20" s="103">
        <v>400</v>
      </c>
      <c r="D20" s="103">
        <v>400</v>
      </c>
      <c r="E20" s="103">
        <v>400</v>
      </c>
      <c r="F20" s="103">
        <v>400</v>
      </c>
      <c r="G20" s="103">
        <v>400</v>
      </c>
      <c r="H20" s="103">
        <v>400</v>
      </c>
      <c r="I20" s="103">
        <v>400</v>
      </c>
      <c r="J20" s="103">
        <v>400</v>
      </c>
      <c r="K20" s="103">
        <v>400</v>
      </c>
      <c r="L20" s="103">
        <v>400</v>
      </c>
      <c r="M20" s="103">
        <v>400</v>
      </c>
      <c r="N20" s="123">
        <f t="shared" si="4"/>
        <v>4800</v>
      </c>
      <c r="O20" s="194" t="s">
        <v>178</v>
      </c>
    </row>
    <row r="21" spans="1:34">
      <c r="A21" s="102" t="s">
        <v>100</v>
      </c>
      <c r="B21" s="101">
        <v>0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99">
        <f t="shared" si="4"/>
        <v>0</v>
      </c>
    </row>
    <row r="22" spans="1:34">
      <c r="A22" s="102" t="s">
        <v>101</v>
      </c>
      <c r="B22" s="103">
        <v>0</v>
      </c>
      <c r="C22" s="103">
        <f t="shared" ref="C22:M22" si="6">B22</f>
        <v>0</v>
      </c>
      <c r="D22" s="103">
        <f t="shared" si="6"/>
        <v>0</v>
      </c>
      <c r="E22" s="103">
        <f t="shared" si="6"/>
        <v>0</v>
      </c>
      <c r="F22" s="103">
        <f t="shared" si="6"/>
        <v>0</v>
      </c>
      <c r="G22" s="103">
        <f t="shared" si="6"/>
        <v>0</v>
      </c>
      <c r="H22" s="103">
        <f t="shared" si="6"/>
        <v>0</v>
      </c>
      <c r="I22" s="103">
        <f t="shared" si="6"/>
        <v>0</v>
      </c>
      <c r="J22" s="103">
        <f t="shared" si="6"/>
        <v>0</v>
      </c>
      <c r="K22" s="103">
        <f t="shared" si="6"/>
        <v>0</v>
      </c>
      <c r="L22" s="103">
        <f t="shared" si="6"/>
        <v>0</v>
      </c>
      <c r="M22" s="103">
        <f t="shared" si="6"/>
        <v>0</v>
      </c>
      <c r="N22" s="96">
        <f t="shared" si="4"/>
        <v>0</v>
      </c>
    </row>
    <row r="23" spans="1:34">
      <c r="A23" s="102" t="s">
        <v>102</v>
      </c>
      <c r="B23" s="101">
        <v>0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0</v>
      </c>
      <c r="K23" s="100">
        <v>0</v>
      </c>
      <c r="L23" s="100">
        <v>0</v>
      </c>
      <c r="M23" s="100">
        <v>0</v>
      </c>
      <c r="N23" s="99">
        <f t="shared" si="4"/>
        <v>0</v>
      </c>
    </row>
    <row r="24" spans="1:34">
      <c r="A24" s="102" t="s">
        <v>103</v>
      </c>
      <c r="B24" s="103">
        <v>0</v>
      </c>
      <c r="C24" s="103">
        <v>0</v>
      </c>
      <c r="D24" s="103">
        <v>0</v>
      </c>
      <c r="E24" s="103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96">
        <f t="shared" si="4"/>
        <v>0</v>
      </c>
    </row>
    <row r="25" spans="1:34">
      <c r="A25" s="102" t="s">
        <v>104</v>
      </c>
      <c r="B25" s="101">
        <v>0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99">
        <f t="shared" si="4"/>
        <v>0</v>
      </c>
    </row>
    <row r="26" spans="1:34">
      <c r="A26" s="102" t="s">
        <v>90</v>
      </c>
      <c r="B26" s="103">
        <v>0</v>
      </c>
      <c r="C26" s="103">
        <v>0</v>
      </c>
      <c r="D26" s="103">
        <v>0</v>
      </c>
      <c r="E26" s="103">
        <v>0</v>
      </c>
      <c r="F26" s="103">
        <v>0</v>
      </c>
      <c r="G26" s="103">
        <v>0</v>
      </c>
      <c r="H26" s="103">
        <v>0</v>
      </c>
      <c r="I26" s="103">
        <v>0</v>
      </c>
      <c r="J26" s="103">
        <v>0</v>
      </c>
      <c r="K26" s="103">
        <v>0</v>
      </c>
      <c r="L26" s="103">
        <v>0</v>
      </c>
      <c r="M26" s="103">
        <v>0</v>
      </c>
      <c r="N26" s="96">
        <f t="shared" si="4"/>
        <v>0</v>
      </c>
    </row>
    <row r="27" spans="1:34" s="94" customFormat="1">
      <c r="A27" s="98" t="s">
        <v>105</v>
      </c>
      <c r="B27" s="122">
        <f t="shared" ref="B27:N27" si="7">SUM(B15:B26)</f>
        <v>13178.418187167366</v>
      </c>
      <c r="C27" s="121">
        <f t="shared" si="7"/>
        <v>13178.418187167366</v>
      </c>
      <c r="D27" s="121">
        <f t="shared" si="7"/>
        <v>13178.418187167366</v>
      </c>
      <c r="E27" s="121">
        <f t="shared" si="7"/>
        <v>13178.418187167366</v>
      </c>
      <c r="F27" s="121">
        <f t="shared" si="7"/>
        <v>13178.418187167366</v>
      </c>
      <c r="G27" s="121">
        <f t="shared" si="7"/>
        <v>13178.418187167366</v>
      </c>
      <c r="H27" s="121">
        <f t="shared" si="7"/>
        <v>13178.418187167366</v>
      </c>
      <c r="I27" s="121">
        <f t="shared" si="7"/>
        <v>13178.418187167366</v>
      </c>
      <c r="J27" s="121">
        <f t="shared" si="7"/>
        <v>13178.418187167366</v>
      </c>
      <c r="K27" s="121">
        <f t="shared" si="7"/>
        <v>13178.418187167366</v>
      </c>
      <c r="L27" s="121">
        <f t="shared" si="7"/>
        <v>13178.418187167366</v>
      </c>
      <c r="M27" s="121">
        <f t="shared" si="7"/>
        <v>13178.418187167366</v>
      </c>
      <c r="N27" s="120">
        <f t="shared" si="7"/>
        <v>158141.0182460084</v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95"/>
    </row>
    <row r="28" spans="1:34" s="114" customFormat="1" ht="12">
      <c r="A28" s="108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2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5"/>
    </row>
    <row r="29" spans="1:34">
      <c r="A29" s="98" t="s">
        <v>106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4"/>
    </row>
    <row r="30" spans="1:34">
      <c r="A30" s="102" t="s">
        <v>107</v>
      </c>
      <c r="B30" s="132">
        <v>1000</v>
      </c>
      <c r="C30" s="131">
        <f>B30</f>
        <v>1000</v>
      </c>
      <c r="D30" s="131">
        <f t="shared" ref="D30:M30" si="8">C30</f>
        <v>1000</v>
      </c>
      <c r="E30" s="131">
        <f t="shared" si="8"/>
        <v>1000</v>
      </c>
      <c r="F30" s="131">
        <f t="shared" si="8"/>
        <v>1000</v>
      </c>
      <c r="G30" s="131">
        <f t="shared" si="8"/>
        <v>1000</v>
      </c>
      <c r="H30" s="131">
        <f t="shared" si="8"/>
        <v>1000</v>
      </c>
      <c r="I30" s="131">
        <f t="shared" si="8"/>
        <v>1000</v>
      </c>
      <c r="J30" s="131">
        <f t="shared" si="8"/>
        <v>1000</v>
      </c>
      <c r="K30" s="131">
        <f t="shared" si="8"/>
        <v>1000</v>
      </c>
      <c r="L30" s="131">
        <f t="shared" si="8"/>
        <v>1000</v>
      </c>
      <c r="M30" s="131">
        <f t="shared" si="8"/>
        <v>1000</v>
      </c>
      <c r="N30" s="130">
        <f t="shared" ref="N30:N36" si="9">SUM(B30:M30)</f>
        <v>12000</v>
      </c>
    </row>
    <row r="31" spans="1:34">
      <c r="A31" s="102" t="s">
        <v>108</v>
      </c>
      <c r="B31" s="129">
        <v>0</v>
      </c>
      <c r="C31" s="129">
        <v>0</v>
      </c>
      <c r="D31" s="129">
        <v>0</v>
      </c>
      <c r="E31" s="129">
        <v>0</v>
      </c>
      <c r="F31" s="129">
        <v>0</v>
      </c>
      <c r="G31" s="129">
        <v>0</v>
      </c>
      <c r="H31" s="129">
        <v>0</v>
      </c>
      <c r="I31" s="129">
        <v>0</v>
      </c>
      <c r="J31" s="129">
        <v>0</v>
      </c>
      <c r="K31" s="129">
        <v>0</v>
      </c>
      <c r="L31" s="129">
        <v>0</v>
      </c>
      <c r="M31" s="129">
        <v>0</v>
      </c>
      <c r="N31" s="128">
        <f t="shared" si="9"/>
        <v>0</v>
      </c>
    </row>
    <row r="32" spans="1:34">
      <c r="A32" s="102" t="s">
        <v>109</v>
      </c>
      <c r="B32" s="127">
        <v>0</v>
      </c>
      <c r="C32" s="126">
        <f t="shared" ref="C32:M32" si="10">B32</f>
        <v>0</v>
      </c>
      <c r="D32" s="126">
        <f t="shared" si="10"/>
        <v>0</v>
      </c>
      <c r="E32" s="126">
        <f t="shared" si="10"/>
        <v>0</v>
      </c>
      <c r="F32" s="126">
        <f t="shared" si="10"/>
        <v>0</v>
      </c>
      <c r="G32" s="126">
        <f t="shared" si="10"/>
        <v>0</v>
      </c>
      <c r="H32" s="126">
        <f t="shared" si="10"/>
        <v>0</v>
      </c>
      <c r="I32" s="126">
        <f t="shared" si="10"/>
        <v>0</v>
      </c>
      <c r="J32" s="126">
        <f t="shared" si="10"/>
        <v>0</v>
      </c>
      <c r="K32" s="126">
        <f t="shared" si="10"/>
        <v>0</v>
      </c>
      <c r="L32" s="126">
        <f t="shared" si="10"/>
        <v>0</v>
      </c>
      <c r="M32" s="126">
        <f t="shared" si="10"/>
        <v>0</v>
      </c>
      <c r="N32" s="120">
        <f t="shared" si="9"/>
        <v>0</v>
      </c>
    </row>
    <row r="33" spans="1:34">
      <c r="A33" s="102" t="s">
        <v>110</v>
      </c>
      <c r="B33" s="125">
        <v>0</v>
      </c>
      <c r="C33" s="103">
        <v>0</v>
      </c>
      <c r="D33" s="103">
        <v>0</v>
      </c>
      <c r="E33" s="103">
        <v>0</v>
      </c>
      <c r="F33" s="103">
        <v>0</v>
      </c>
      <c r="G33" s="103">
        <v>0</v>
      </c>
      <c r="H33" s="103">
        <v>0</v>
      </c>
      <c r="I33" s="103">
        <v>0</v>
      </c>
      <c r="J33" s="103">
        <v>0</v>
      </c>
      <c r="K33" s="103">
        <v>0</v>
      </c>
      <c r="L33" s="103">
        <v>0</v>
      </c>
      <c r="M33" s="103">
        <v>0</v>
      </c>
      <c r="N33" s="96">
        <f t="shared" si="9"/>
        <v>0</v>
      </c>
    </row>
    <row r="34" spans="1:34">
      <c r="A34" s="102" t="s">
        <v>111</v>
      </c>
      <c r="B34" s="127">
        <v>0</v>
      </c>
      <c r="C34" s="126">
        <f t="shared" ref="C34:M34" si="11">B34</f>
        <v>0</v>
      </c>
      <c r="D34" s="126">
        <f t="shared" si="11"/>
        <v>0</v>
      </c>
      <c r="E34" s="126">
        <f t="shared" si="11"/>
        <v>0</v>
      </c>
      <c r="F34" s="126">
        <f t="shared" si="11"/>
        <v>0</v>
      </c>
      <c r="G34" s="126">
        <f t="shared" si="11"/>
        <v>0</v>
      </c>
      <c r="H34" s="126">
        <f t="shared" si="11"/>
        <v>0</v>
      </c>
      <c r="I34" s="126">
        <f t="shared" si="11"/>
        <v>0</v>
      </c>
      <c r="J34" s="126">
        <f t="shared" si="11"/>
        <v>0</v>
      </c>
      <c r="K34" s="126">
        <f t="shared" si="11"/>
        <v>0</v>
      </c>
      <c r="L34" s="126">
        <f t="shared" si="11"/>
        <v>0</v>
      </c>
      <c r="M34" s="126">
        <f t="shared" si="11"/>
        <v>0</v>
      </c>
      <c r="N34" s="120">
        <f t="shared" si="9"/>
        <v>0</v>
      </c>
    </row>
    <row r="35" spans="1:34">
      <c r="A35" s="102" t="s">
        <v>112</v>
      </c>
      <c r="B35" s="125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96">
        <f t="shared" si="9"/>
        <v>0</v>
      </c>
    </row>
    <row r="36" spans="1:34" s="94" customFormat="1">
      <c r="A36" s="98" t="s">
        <v>113</v>
      </c>
      <c r="B36" s="122">
        <f t="shared" ref="B36:M36" si="12">SUM(B30:B35)</f>
        <v>1000</v>
      </c>
      <c r="C36" s="121">
        <f t="shared" si="12"/>
        <v>1000</v>
      </c>
      <c r="D36" s="121">
        <f t="shared" si="12"/>
        <v>1000</v>
      </c>
      <c r="E36" s="121">
        <f t="shared" si="12"/>
        <v>1000</v>
      </c>
      <c r="F36" s="121">
        <f t="shared" si="12"/>
        <v>1000</v>
      </c>
      <c r="G36" s="121">
        <f t="shared" si="12"/>
        <v>1000</v>
      </c>
      <c r="H36" s="121">
        <f t="shared" si="12"/>
        <v>1000</v>
      </c>
      <c r="I36" s="121">
        <f t="shared" si="12"/>
        <v>1000</v>
      </c>
      <c r="J36" s="121">
        <f t="shared" si="12"/>
        <v>1000</v>
      </c>
      <c r="K36" s="121">
        <f t="shared" si="12"/>
        <v>1000</v>
      </c>
      <c r="L36" s="121">
        <f t="shared" si="12"/>
        <v>1000</v>
      </c>
      <c r="M36" s="121">
        <f t="shared" si="12"/>
        <v>1000</v>
      </c>
      <c r="N36" s="120">
        <f t="shared" si="9"/>
        <v>12000</v>
      </c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95"/>
    </row>
    <row r="37" spans="1:34" s="114" customFormat="1" ht="12">
      <c r="A37" s="108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2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5"/>
    </row>
    <row r="38" spans="1:34">
      <c r="A38" s="98" t="s">
        <v>114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4"/>
    </row>
    <row r="39" spans="1:34">
      <c r="A39" s="102" t="s">
        <v>115</v>
      </c>
      <c r="B39" s="127">
        <v>0</v>
      </c>
      <c r="C39" s="126">
        <f t="shared" ref="C39:M39" si="13">B39</f>
        <v>0</v>
      </c>
      <c r="D39" s="126">
        <f t="shared" si="13"/>
        <v>0</v>
      </c>
      <c r="E39" s="126">
        <f t="shared" si="13"/>
        <v>0</v>
      </c>
      <c r="F39" s="126">
        <f t="shared" si="13"/>
        <v>0</v>
      </c>
      <c r="G39" s="126">
        <f t="shared" si="13"/>
        <v>0</v>
      </c>
      <c r="H39" s="126">
        <f t="shared" si="13"/>
        <v>0</v>
      </c>
      <c r="I39" s="126">
        <f t="shared" si="13"/>
        <v>0</v>
      </c>
      <c r="J39" s="126">
        <f t="shared" si="13"/>
        <v>0</v>
      </c>
      <c r="K39" s="126">
        <f t="shared" si="13"/>
        <v>0</v>
      </c>
      <c r="L39" s="126">
        <f t="shared" si="13"/>
        <v>0</v>
      </c>
      <c r="M39" s="126">
        <f t="shared" si="13"/>
        <v>0</v>
      </c>
      <c r="N39" s="120">
        <f>SUM(B39:M39)</f>
        <v>0</v>
      </c>
    </row>
    <row r="40" spans="1:34">
      <c r="A40" s="102" t="s">
        <v>90</v>
      </c>
      <c r="B40" s="125">
        <v>0</v>
      </c>
      <c r="C40" s="103">
        <v>0</v>
      </c>
      <c r="D40" s="103">
        <v>0</v>
      </c>
      <c r="E40" s="103">
        <v>0</v>
      </c>
      <c r="F40" s="103">
        <v>0</v>
      </c>
      <c r="G40" s="103">
        <v>0</v>
      </c>
      <c r="H40" s="103">
        <v>0</v>
      </c>
      <c r="I40" s="103">
        <v>0</v>
      </c>
      <c r="J40" s="103">
        <v>0</v>
      </c>
      <c r="K40" s="103">
        <v>0</v>
      </c>
      <c r="L40" s="103">
        <v>0</v>
      </c>
      <c r="M40" s="103">
        <v>0</v>
      </c>
      <c r="N40" s="96">
        <f>SUM(B40:M40)</f>
        <v>0</v>
      </c>
    </row>
    <row r="41" spans="1:34" s="94" customFormat="1">
      <c r="A41" s="98" t="s">
        <v>116</v>
      </c>
      <c r="B41" s="122">
        <f t="shared" ref="B41:M41" si="14">SUM(B39:B40)</f>
        <v>0</v>
      </c>
      <c r="C41" s="121">
        <f t="shared" si="14"/>
        <v>0</v>
      </c>
      <c r="D41" s="121">
        <f t="shared" si="14"/>
        <v>0</v>
      </c>
      <c r="E41" s="121">
        <f t="shared" si="14"/>
        <v>0</v>
      </c>
      <c r="F41" s="121">
        <f t="shared" si="14"/>
        <v>0</v>
      </c>
      <c r="G41" s="121">
        <f t="shared" si="14"/>
        <v>0</v>
      </c>
      <c r="H41" s="121">
        <f t="shared" si="14"/>
        <v>0</v>
      </c>
      <c r="I41" s="121">
        <f t="shared" si="14"/>
        <v>0</v>
      </c>
      <c r="J41" s="121">
        <f t="shared" si="14"/>
        <v>0</v>
      </c>
      <c r="K41" s="121">
        <f t="shared" si="14"/>
        <v>0</v>
      </c>
      <c r="L41" s="121">
        <f t="shared" si="14"/>
        <v>0</v>
      </c>
      <c r="M41" s="121">
        <f t="shared" si="14"/>
        <v>0</v>
      </c>
      <c r="N41" s="120">
        <f>SUM(B41:M41)</f>
        <v>0</v>
      </c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95"/>
    </row>
    <row r="42" spans="1:34" s="114" customFormat="1" ht="12">
      <c r="A42" s="108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2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5"/>
    </row>
    <row r="43" spans="1:34">
      <c r="A43" s="98" t="s">
        <v>117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4"/>
    </row>
    <row r="44" spans="1:34">
      <c r="A44" s="102" t="s">
        <v>118</v>
      </c>
      <c r="B44" s="101">
        <v>0</v>
      </c>
      <c r="C44" s="100">
        <f t="shared" ref="C44:M47" si="15">B44</f>
        <v>0</v>
      </c>
      <c r="D44" s="100">
        <f t="shared" si="15"/>
        <v>0</v>
      </c>
      <c r="E44" s="100">
        <f t="shared" si="15"/>
        <v>0</v>
      </c>
      <c r="F44" s="100">
        <f t="shared" si="15"/>
        <v>0</v>
      </c>
      <c r="G44" s="100">
        <f t="shared" si="15"/>
        <v>0</v>
      </c>
      <c r="H44" s="100">
        <f t="shared" si="15"/>
        <v>0</v>
      </c>
      <c r="I44" s="100">
        <f t="shared" si="15"/>
        <v>0</v>
      </c>
      <c r="J44" s="100">
        <f t="shared" si="15"/>
        <v>0</v>
      </c>
      <c r="K44" s="100">
        <f t="shared" si="15"/>
        <v>0</v>
      </c>
      <c r="L44" s="100">
        <f t="shared" si="15"/>
        <v>0</v>
      </c>
      <c r="M44" s="100">
        <f t="shared" si="15"/>
        <v>0</v>
      </c>
      <c r="N44" s="99">
        <f t="shared" ref="N44:N49" si="16">SUM(B44:M44)</f>
        <v>0</v>
      </c>
    </row>
    <row r="45" spans="1:34">
      <c r="A45" s="102" t="s">
        <v>119</v>
      </c>
      <c r="B45" s="103">
        <v>0</v>
      </c>
      <c r="C45" s="103">
        <f t="shared" si="15"/>
        <v>0</v>
      </c>
      <c r="D45" s="103">
        <f t="shared" si="15"/>
        <v>0</v>
      </c>
      <c r="E45" s="103">
        <f t="shared" si="15"/>
        <v>0</v>
      </c>
      <c r="F45" s="103">
        <f t="shared" si="15"/>
        <v>0</v>
      </c>
      <c r="G45" s="103">
        <f t="shared" si="15"/>
        <v>0</v>
      </c>
      <c r="H45" s="103">
        <f t="shared" si="15"/>
        <v>0</v>
      </c>
      <c r="I45" s="103">
        <f t="shared" si="15"/>
        <v>0</v>
      </c>
      <c r="J45" s="103">
        <f t="shared" si="15"/>
        <v>0</v>
      </c>
      <c r="K45" s="103">
        <f t="shared" si="15"/>
        <v>0</v>
      </c>
      <c r="L45" s="103">
        <f t="shared" si="15"/>
        <v>0</v>
      </c>
      <c r="M45" s="103">
        <f t="shared" si="15"/>
        <v>0</v>
      </c>
      <c r="N45" s="96">
        <f t="shared" si="16"/>
        <v>0</v>
      </c>
    </row>
    <row r="46" spans="1:34">
      <c r="A46" s="102" t="s">
        <v>120</v>
      </c>
      <c r="B46" s="101">
        <v>0</v>
      </c>
      <c r="C46" s="100">
        <f t="shared" si="15"/>
        <v>0</v>
      </c>
      <c r="D46" s="100">
        <f t="shared" si="15"/>
        <v>0</v>
      </c>
      <c r="E46" s="100">
        <f t="shared" si="15"/>
        <v>0</v>
      </c>
      <c r="F46" s="100">
        <f t="shared" si="15"/>
        <v>0</v>
      </c>
      <c r="G46" s="100">
        <f t="shared" si="15"/>
        <v>0</v>
      </c>
      <c r="H46" s="100">
        <f t="shared" si="15"/>
        <v>0</v>
      </c>
      <c r="I46" s="100">
        <f t="shared" si="15"/>
        <v>0</v>
      </c>
      <c r="J46" s="100">
        <f t="shared" si="15"/>
        <v>0</v>
      </c>
      <c r="K46" s="100">
        <f t="shared" si="15"/>
        <v>0</v>
      </c>
      <c r="L46" s="100">
        <f t="shared" si="15"/>
        <v>0</v>
      </c>
      <c r="M46" s="100">
        <f t="shared" si="15"/>
        <v>0</v>
      </c>
      <c r="N46" s="99">
        <f t="shared" si="16"/>
        <v>0</v>
      </c>
    </row>
    <row r="47" spans="1:34">
      <c r="A47" s="102" t="s">
        <v>121</v>
      </c>
      <c r="B47" s="103" t="s">
        <v>5</v>
      </c>
      <c r="C47" s="103" t="str">
        <f t="shared" si="15"/>
        <v xml:space="preserve"> </v>
      </c>
      <c r="D47" s="103" t="str">
        <f t="shared" si="15"/>
        <v xml:space="preserve"> </v>
      </c>
      <c r="E47" s="103" t="str">
        <f t="shared" si="15"/>
        <v xml:space="preserve"> </v>
      </c>
      <c r="F47" s="103" t="str">
        <f t="shared" si="15"/>
        <v xml:space="preserve"> </v>
      </c>
      <c r="G47" s="103" t="str">
        <f t="shared" si="15"/>
        <v xml:space="preserve"> </v>
      </c>
      <c r="H47" s="103" t="str">
        <f t="shared" si="15"/>
        <v xml:space="preserve"> </v>
      </c>
      <c r="I47" s="103" t="str">
        <f t="shared" si="15"/>
        <v xml:space="preserve"> </v>
      </c>
      <c r="J47" s="103" t="str">
        <f t="shared" si="15"/>
        <v xml:space="preserve"> </v>
      </c>
      <c r="K47" s="103" t="str">
        <f t="shared" si="15"/>
        <v xml:space="preserve"> </v>
      </c>
      <c r="L47" s="103" t="str">
        <f t="shared" si="15"/>
        <v xml:space="preserve"> </v>
      </c>
      <c r="M47" s="103" t="str">
        <f t="shared" si="15"/>
        <v xml:space="preserve"> </v>
      </c>
      <c r="N47" s="123">
        <f t="shared" si="16"/>
        <v>0</v>
      </c>
    </row>
    <row r="48" spans="1:34">
      <c r="A48" s="102" t="s">
        <v>122</v>
      </c>
      <c r="B48" s="101"/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 t="s">
        <v>5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24">
        <f t="shared" si="16"/>
        <v>0</v>
      </c>
      <c r="O48" s="194"/>
    </row>
    <row r="49" spans="1:34">
      <c r="A49" s="102" t="s">
        <v>90</v>
      </c>
      <c r="B49" s="103">
        <v>1000</v>
      </c>
      <c r="C49" s="103">
        <f>B49</f>
        <v>1000</v>
      </c>
      <c r="D49" s="103">
        <f t="shared" ref="D49:M49" si="17">C49</f>
        <v>1000</v>
      </c>
      <c r="E49" s="103">
        <f t="shared" si="17"/>
        <v>1000</v>
      </c>
      <c r="F49" s="103">
        <f t="shared" si="17"/>
        <v>1000</v>
      </c>
      <c r="G49" s="103">
        <f t="shared" si="17"/>
        <v>1000</v>
      </c>
      <c r="H49" s="103">
        <f t="shared" si="17"/>
        <v>1000</v>
      </c>
      <c r="I49" s="103">
        <f t="shared" si="17"/>
        <v>1000</v>
      </c>
      <c r="J49" s="103">
        <f t="shared" si="17"/>
        <v>1000</v>
      </c>
      <c r="K49" s="103">
        <f t="shared" si="17"/>
        <v>1000</v>
      </c>
      <c r="L49" s="103">
        <f t="shared" si="17"/>
        <v>1000</v>
      </c>
      <c r="M49" s="103">
        <f t="shared" si="17"/>
        <v>1000</v>
      </c>
      <c r="N49" s="123">
        <f t="shared" si="16"/>
        <v>12000</v>
      </c>
    </row>
    <row r="50" spans="1:34" s="94" customFormat="1">
      <c r="A50" s="98" t="s">
        <v>123</v>
      </c>
      <c r="B50" s="122">
        <f t="shared" ref="B50:N50" si="18">SUM(B44:B49)</f>
        <v>1000</v>
      </c>
      <c r="C50" s="121">
        <f t="shared" si="18"/>
        <v>1000</v>
      </c>
      <c r="D50" s="121">
        <f t="shared" si="18"/>
        <v>1000</v>
      </c>
      <c r="E50" s="121">
        <f t="shared" si="18"/>
        <v>1000</v>
      </c>
      <c r="F50" s="121">
        <f t="shared" si="18"/>
        <v>1000</v>
      </c>
      <c r="G50" s="121">
        <f t="shared" si="18"/>
        <v>1000</v>
      </c>
      <c r="H50" s="121">
        <f t="shared" si="18"/>
        <v>1000</v>
      </c>
      <c r="I50" s="121">
        <f t="shared" si="18"/>
        <v>1000</v>
      </c>
      <c r="J50" s="121">
        <f t="shared" si="18"/>
        <v>1000</v>
      </c>
      <c r="K50" s="121">
        <f t="shared" si="18"/>
        <v>1000</v>
      </c>
      <c r="L50" s="121">
        <f t="shared" si="18"/>
        <v>1000</v>
      </c>
      <c r="M50" s="121">
        <f t="shared" si="18"/>
        <v>1000</v>
      </c>
      <c r="N50" s="120">
        <f t="shared" si="18"/>
        <v>12000</v>
      </c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95"/>
    </row>
    <row r="51" spans="1:34" s="114" customFormat="1" ht="12">
      <c r="A51" s="108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2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5"/>
    </row>
    <row r="52" spans="1:34">
      <c r="A52" s="98" t="s">
        <v>124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4"/>
    </row>
    <row r="53" spans="1:34">
      <c r="A53" s="102" t="s">
        <v>179</v>
      </c>
      <c r="B53" s="119" t="s">
        <v>5</v>
      </c>
      <c r="C53" s="117" t="s">
        <v>5</v>
      </c>
      <c r="D53" s="117" t="s">
        <v>5</v>
      </c>
      <c r="E53" s="117" t="str">
        <f>B53</f>
        <v xml:space="preserve"> </v>
      </c>
      <c r="F53" s="117" t="s">
        <v>5</v>
      </c>
      <c r="G53" s="117" t="s">
        <v>5</v>
      </c>
      <c r="H53" s="117" t="str">
        <f>E53</f>
        <v xml:space="preserve"> </v>
      </c>
      <c r="I53" s="117" t="s">
        <v>5</v>
      </c>
      <c r="J53" s="117" t="s">
        <v>5</v>
      </c>
      <c r="K53" s="117" t="str">
        <f>H53</f>
        <v xml:space="preserve"> </v>
      </c>
      <c r="L53" s="117" t="s">
        <v>5</v>
      </c>
      <c r="M53" s="117" t="s">
        <v>5</v>
      </c>
      <c r="N53" s="99">
        <f t="shared" ref="N53:N61" si="19">SUM(B53:M53)</f>
        <v>0</v>
      </c>
    </row>
    <row r="54" spans="1:34">
      <c r="A54" s="102" t="s">
        <v>180</v>
      </c>
      <c r="B54" s="118" t="s">
        <v>5</v>
      </c>
      <c r="C54" s="118" t="str">
        <f t="shared" ref="C54:M57" si="20">B54</f>
        <v xml:space="preserve"> </v>
      </c>
      <c r="D54" s="118" t="str">
        <f t="shared" si="20"/>
        <v xml:space="preserve"> </v>
      </c>
      <c r="E54" s="118" t="str">
        <f t="shared" si="20"/>
        <v xml:space="preserve"> </v>
      </c>
      <c r="F54" s="118" t="str">
        <f t="shared" si="20"/>
        <v xml:space="preserve"> </v>
      </c>
      <c r="G54" s="118" t="str">
        <f t="shared" si="20"/>
        <v xml:space="preserve"> </v>
      </c>
      <c r="H54" s="118" t="str">
        <f t="shared" si="20"/>
        <v xml:space="preserve"> </v>
      </c>
      <c r="I54" s="118" t="str">
        <f t="shared" si="20"/>
        <v xml:space="preserve"> </v>
      </c>
      <c r="J54" s="118" t="str">
        <f t="shared" si="20"/>
        <v xml:space="preserve"> </v>
      </c>
      <c r="K54" s="118" t="str">
        <f t="shared" si="20"/>
        <v xml:space="preserve"> </v>
      </c>
      <c r="L54" s="118" t="str">
        <f t="shared" si="20"/>
        <v xml:space="preserve"> </v>
      </c>
      <c r="M54" s="118" t="str">
        <f t="shared" si="20"/>
        <v xml:space="preserve"> </v>
      </c>
      <c r="N54" s="96">
        <f t="shared" si="19"/>
        <v>0</v>
      </c>
    </row>
    <row r="55" spans="1:34">
      <c r="A55" s="102" t="s">
        <v>126</v>
      </c>
      <c r="B55" s="119">
        <v>0</v>
      </c>
      <c r="C55" s="117">
        <f t="shared" si="20"/>
        <v>0</v>
      </c>
      <c r="D55" s="117">
        <f t="shared" si="20"/>
        <v>0</v>
      </c>
      <c r="E55" s="117">
        <f t="shared" si="20"/>
        <v>0</v>
      </c>
      <c r="F55" s="117">
        <f t="shared" si="20"/>
        <v>0</v>
      </c>
      <c r="G55" s="117">
        <f t="shared" si="20"/>
        <v>0</v>
      </c>
      <c r="H55" s="117">
        <f t="shared" si="20"/>
        <v>0</v>
      </c>
      <c r="I55" s="117">
        <f t="shared" si="20"/>
        <v>0</v>
      </c>
      <c r="J55" s="117">
        <f t="shared" si="20"/>
        <v>0</v>
      </c>
      <c r="K55" s="117">
        <f t="shared" si="20"/>
        <v>0</v>
      </c>
      <c r="L55" s="117">
        <f t="shared" si="20"/>
        <v>0</v>
      </c>
      <c r="M55" s="117">
        <f t="shared" si="20"/>
        <v>0</v>
      </c>
      <c r="N55" s="99">
        <f t="shared" si="19"/>
        <v>0</v>
      </c>
    </row>
    <row r="56" spans="1:34">
      <c r="A56" s="102" t="s">
        <v>126</v>
      </c>
      <c r="B56" s="118">
        <v>0</v>
      </c>
      <c r="C56" s="118">
        <f t="shared" si="20"/>
        <v>0</v>
      </c>
      <c r="D56" s="118">
        <f t="shared" si="20"/>
        <v>0</v>
      </c>
      <c r="E56" s="118">
        <f t="shared" si="20"/>
        <v>0</v>
      </c>
      <c r="F56" s="118">
        <f t="shared" si="20"/>
        <v>0</v>
      </c>
      <c r="G56" s="118">
        <f t="shared" si="20"/>
        <v>0</v>
      </c>
      <c r="H56" s="118">
        <f t="shared" si="20"/>
        <v>0</v>
      </c>
      <c r="I56" s="118">
        <f t="shared" si="20"/>
        <v>0</v>
      </c>
      <c r="J56" s="118">
        <f t="shared" si="20"/>
        <v>0</v>
      </c>
      <c r="K56" s="118">
        <f t="shared" si="20"/>
        <v>0</v>
      </c>
      <c r="L56" s="118">
        <f t="shared" si="20"/>
        <v>0</v>
      </c>
      <c r="M56" s="118">
        <f t="shared" si="20"/>
        <v>0</v>
      </c>
      <c r="N56" s="96">
        <f t="shared" si="19"/>
        <v>0</v>
      </c>
    </row>
    <row r="57" spans="1:34">
      <c r="A57" s="102" t="s">
        <v>127</v>
      </c>
      <c r="B57" s="119" t="s">
        <v>5</v>
      </c>
      <c r="C57" s="117" t="s">
        <v>5</v>
      </c>
      <c r="D57" s="117" t="str">
        <f t="shared" si="20"/>
        <v xml:space="preserve"> </v>
      </c>
      <c r="E57" s="117" t="str">
        <f t="shared" si="20"/>
        <v xml:space="preserve"> </v>
      </c>
      <c r="F57" s="117" t="str">
        <f t="shared" si="20"/>
        <v xml:space="preserve"> </v>
      </c>
      <c r="G57" s="117" t="str">
        <f t="shared" si="20"/>
        <v xml:space="preserve"> </v>
      </c>
      <c r="H57" s="117" t="str">
        <f t="shared" si="20"/>
        <v xml:space="preserve"> </v>
      </c>
      <c r="I57" s="117" t="str">
        <f t="shared" si="20"/>
        <v xml:space="preserve"> </v>
      </c>
      <c r="J57" s="117" t="str">
        <f t="shared" si="20"/>
        <v xml:space="preserve"> </v>
      </c>
      <c r="K57" s="117" t="str">
        <f t="shared" si="20"/>
        <v xml:space="preserve"> </v>
      </c>
      <c r="L57" s="117" t="str">
        <f t="shared" si="20"/>
        <v xml:space="preserve"> </v>
      </c>
      <c r="M57" s="117" t="str">
        <f t="shared" si="20"/>
        <v xml:space="preserve"> </v>
      </c>
      <c r="N57" s="99">
        <f t="shared" si="19"/>
        <v>0</v>
      </c>
    </row>
    <row r="58" spans="1:34">
      <c r="A58" s="102" t="s">
        <v>128</v>
      </c>
      <c r="B58" s="118">
        <v>0</v>
      </c>
      <c r="C58" s="118">
        <v>0</v>
      </c>
      <c r="D58" s="118">
        <v>0</v>
      </c>
      <c r="E58" s="118">
        <v>0</v>
      </c>
      <c r="F58" s="118">
        <v>0</v>
      </c>
      <c r="G58" s="118">
        <v>0</v>
      </c>
      <c r="H58" s="118">
        <v>0</v>
      </c>
      <c r="I58" s="118">
        <v>0</v>
      </c>
      <c r="J58" s="118">
        <v>0</v>
      </c>
      <c r="K58" s="118">
        <v>0</v>
      </c>
      <c r="L58" s="118">
        <v>0</v>
      </c>
      <c r="M58" s="118">
        <v>0</v>
      </c>
      <c r="N58" s="96">
        <f t="shared" si="19"/>
        <v>0</v>
      </c>
    </row>
    <row r="59" spans="1:34">
      <c r="A59" s="102" t="s">
        <v>129</v>
      </c>
      <c r="B59" s="119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99">
        <f t="shared" si="19"/>
        <v>0</v>
      </c>
    </row>
    <row r="60" spans="1:34">
      <c r="A60" s="102" t="s">
        <v>130</v>
      </c>
      <c r="B60" s="118">
        <v>0</v>
      </c>
      <c r="C60" s="118">
        <f t="shared" ref="C60:M61" si="21">B60</f>
        <v>0</v>
      </c>
      <c r="D60" s="118">
        <f t="shared" si="21"/>
        <v>0</v>
      </c>
      <c r="E60" s="118">
        <f t="shared" si="21"/>
        <v>0</v>
      </c>
      <c r="F60" s="118">
        <f t="shared" si="21"/>
        <v>0</v>
      </c>
      <c r="G60" s="118">
        <f t="shared" si="21"/>
        <v>0</v>
      </c>
      <c r="H60" s="118">
        <f t="shared" si="21"/>
        <v>0</v>
      </c>
      <c r="I60" s="118">
        <f t="shared" si="21"/>
        <v>0</v>
      </c>
      <c r="J60" s="118">
        <f t="shared" si="21"/>
        <v>0</v>
      </c>
      <c r="K60" s="118">
        <f t="shared" si="21"/>
        <v>0</v>
      </c>
      <c r="L60" s="118">
        <f t="shared" si="21"/>
        <v>0</v>
      </c>
      <c r="M60" s="118">
        <f t="shared" si="21"/>
        <v>0</v>
      </c>
      <c r="N60" s="96">
        <f t="shared" si="19"/>
        <v>0</v>
      </c>
    </row>
    <row r="61" spans="1:34">
      <c r="A61" s="102" t="s">
        <v>90</v>
      </c>
      <c r="B61" s="101">
        <f>4000/12</f>
        <v>333.33333333333331</v>
      </c>
      <c r="C61" s="117">
        <f>B61</f>
        <v>333.33333333333331</v>
      </c>
      <c r="D61" s="117">
        <f t="shared" si="21"/>
        <v>333.33333333333331</v>
      </c>
      <c r="E61" s="117">
        <f t="shared" si="21"/>
        <v>333.33333333333331</v>
      </c>
      <c r="F61" s="117">
        <f t="shared" si="21"/>
        <v>333.33333333333331</v>
      </c>
      <c r="G61" s="117">
        <f t="shared" si="21"/>
        <v>333.33333333333331</v>
      </c>
      <c r="H61" s="117">
        <f t="shared" si="21"/>
        <v>333.33333333333331</v>
      </c>
      <c r="I61" s="117">
        <f t="shared" si="21"/>
        <v>333.33333333333331</v>
      </c>
      <c r="J61" s="117">
        <f t="shared" si="21"/>
        <v>333.33333333333331</v>
      </c>
      <c r="K61" s="117">
        <f t="shared" si="21"/>
        <v>333.33333333333331</v>
      </c>
      <c r="L61" s="117">
        <f t="shared" si="21"/>
        <v>333.33333333333331</v>
      </c>
      <c r="M61" s="117">
        <f t="shared" si="21"/>
        <v>333.33333333333331</v>
      </c>
      <c r="N61" s="99">
        <f t="shared" si="19"/>
        <v>4000.0000000000005</v>
      </c>
    </row>
    <row r="62" spans="1:34" s="94" customFormat="1">
      <c r="A62" s="98" t="s">
        <v>131</v>
      </c>
      <c r="B62" s="97">
        <f t="shared" ref="B62:N62" si="22">SUM(B53:B61)</f>
        <v>333.33333333333331</v>
      </c>
      <c r="C62" s="97">
        <f t="shared" si="22"/>
        <v>333.33333333333331</v>
      </c>
      <c r="D62" s="97">
        <f t="shared" si="22"/>
        <v>333.33333333333331</v>
      </c>
      <c r="E62" s="97">
        <f t="shared" si="22"/>
        <v>333.33333333333331</v>
      </c>
      <c r="F62" s="97">
        <f t="shared" si="22"/>
        <v>333.33333333333331</v>
      </c>
      <c r="G62" s="97">
        <f t="shared" si="22"/>
        <v>333.33333333333331</v>
      </c>
      <c r="H62" s="97">
        <f t="shared" si="22"/>
        <v>333.33333333333331</v>
      </c>
      <c r="I62" s="97">
        <f t="shared" si="22"/>
        <v>333.33333333333331</v>
      </c>
      <c r="J62" s="97">
        <f t="shared" si="22"/>
        <v>333.33333333333331</v>
      </c>
      <c r="K62" s="97">
        <f t="shared" si="22"/>
        <v>333.33333333333331</v>
      </c>
      <c r="L62" s="97">
        <f t="shared" si="22"/>
        <v>333.33333333333331</v>
      </c>
      <c r="M62" s="97">
        <f t="shared" si="22"/>
        <v>333.33333333333331</v>
      </c>
      <c r="N62" s="96">
        <f t="shared" si="22"/>
        <v>4000.0000000000005</v>
      </c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95"/>
    </row>
    <row r="63" spans="1:34" s="114" customFormat="1" ht="12">
      <c r="A63" s="108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2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5"/>
    </row>
    <row r="64" spans="1:34">
      <c r="A64" s="98" t="s">
        <v>132</v>
      </c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4"/>
    </row>
    <row r="65" spans="1:34">
      <c r="A65" s="102" t="s">
        <v>133</v>
      </c>
      <c r="B65" s="101">
        <v>0</v>
      </c>
      <c r="C65" s="100">
        <f t="shared" ref="C65:M67" si="23">B65</f>
        <v>0</v>
      </c>
      <c r="D65" s="100">
        <f t="shared" si="23"/>
        <v>0</v>
      </c>
      <c r="E65" s="100">
        <f t="shared" si="23"/>
        <v>0</v>
      </c>
      <c r="F65" s="100">
        <f t="shared" si="23"/>
        <v>0</v>
      </c>
      <c r="G65" s="100">
        <f t="shared" si="23"/>
        <v>0</v>
      </c>
      <c r="H65" s="100">
        <f t="shared" si="23"/>
        <v>0</v>
      </c>
      <c r="I65" s="100">
        <f t="shared" si="23"/>
        <v>0</v>
      </c>
      <c r="J65" s="100">
        <f t="shared" si="23"/>
        <v>0</v>
      </c>
      <c r="K65" s="100">
        <f t="shared" si="23"/>
        <v>0</v>
      </c>
      <c r="L65" s="100">
        <f t="shared" si="23"/>
        <v>0</v>
      </c>
      <c r="M65" s="100">
        <f t="shared" si="23"/>
        <v>0</v>
      </c>
      <c r="N65" s="99">
        <f>SUM(B65:M65)</f>
        <v>0</v>
      </c>
    </row>
    <row r="66" spans="1:34">
      <c r="A66" s="102" t="s">
        <v>134</v>
      </c>
      <c r="B66" s="103">
        <v>0</v>
      </c>
      <c r="C66" s="103">
        <f t="shared" si="23"/>
        <v>0</v>
      </c>
      <c r="D66" s="103">
        <f t="shared" si="23"/>
        <v>0</v>
      </c>
      <c r="E66" s="103">
        <f t="shared" si="23"/>
        <v>0</v>
      </c>
      <c r="F66" s="103">
        <f t="shared" si="23"/>
        <v>0</v>
      </c>
      <c r="G66" s="103">
        <f t="shared" si="23"/>
        <v>0</v>
      </c>
      <c r="H66" s="103">
        <f t="shared" si="23"/>
        <v>0</v>
      </c>
      <c r="I66" s="103">
        <f t="shared" si="23"/>
        <v>0</v>
      </c>
      <c r="J66" s="103">
        <f t="shared" si="23"/>
        <v>0</v>
      </c>
      <c r="K66" s="103">
        <f t="shared" si="23"/>
        <v>0</v>
      </c>
      <c r="L66" s="103">
        <f t="shared" si="23"/>
        <v>0</v>
      </c>
      <c r="M66" s="103">
        <f t="shared" si="23"/>
        <v>0</v>
      </c>
      <c r="N66" s="96">
        <f>SUM(B66:M66)</f>
        <v>0</v>
      </c>
    </row>
    <row r="67" spans="1:34">
      <c r="A67" s="102" t="s">
        <v>135</v>
      </c>
      <c r="B67" s="101">
        <v>0</v>
      </c>
      <c r="C67" s="100">
        <f t="shared" si="23"/>
        <v>0</v>
      </c>
      <c r="D67" s="100">
        <f t="shared" si="23"/>
        <v>0</v>
      </c>
      <c r="E67" s="100">
        <f t="shared" si="23"/>
        <v>0</v>
      </c>
      <c r="F67" s="100">
        <f t="shared" si="23"/>
        <v>0</v>
      </c>
      <c r="G67" s="100">
        <f t="shared" si="23"/>
        <v>0</v>
      </c>
      <c r="H67" s="100">
        <f t="shared" si="23"/>
        <v>0</v>
      </c>
      <c r="I67" s="100">
        <f t="shared" si="23"/>
        <v>0</v>
      </c>
      <c r="J67" s="100">
        <f t="shared" si="23"/>
        <v>0</v>
      </c>
      <c r="K67" s="100">
        <f t="shared" si="23"/>
        <v>0</v>
      </c>
      <c r="L67" s="100">
        <f t="shared" si="23"/>
        <v>0</v>
      </c>
      <c r="M67" s="100">
        <f t="shared" si="23"/>
        <v>0</v>
      </c>
      <c r="N67" s="99">
        <f>SUM(B67:M67)</f>
        <v>0</v>
      </c>
    </row>
    <row r="68" spans="1:34">
      <c r="A68" s="102" t="s">
        <v>136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96">
        <f>SUM(B68:M68)</f>
        <v>0</v>
      </c>
    </row>
    <row r="69" spans="1:34">
      <c r="A69" s="102" t="s">
        <v>90</v>
      </c>
      <c r="B69" s="101">
        <v>0</v>
      </c>
      <c r="C69" s="100">
        <v>0</v>
      </c>
      <c r="D69" s="100">
        <v>0</v>
      </c>
      <c r="E69" s="100">
        <v>0</v>
      </c>
      <c r="F69" s="100">
        <v>0</v>
      </c>
      <c r="G69" s="100">
        <v>0</v>
      </c>
      <c r="H69" s="100">
        <v>0</v>
      </c>
      <c r="I69" s="100">
        <v>0</v>
      </c>
      <c r="J69" s="100">
        <v>0</v>
      </c>
      <c r="K69" s="100">
        <v>0</v>
      </c>
      <c r="L69" s="100">
        <v>0</v>
      </c>
      <c r="M69" s="100">
        <v>0</v>
      </c>
      <c r="N69" s="99">
        <f>SUM(B69:M69)</f>
        <v>0</v>
      </c>
    </row>
    <row r="70" spans="1:34">
      <c r="A70" s="98" t="s">
        <v>137</v>
      </c>
      <c r="B70" s="97">
        <f t="shared" ref="B70:N70" si="24">SUM(B65:B69)</f>
        <v>0</v>
      </c>
      <c r="C70" s="97">
        <f t="shared" si="24"/>
        <v>0</v>
      </c>
      <c r="D70" s="97">
        <f t="shared" si="24"/>
        <v>0</v>
      </c>
      <c r="E70" s="97">
        <f t="shared" si="24"/>
        <v>0</v>
      </c>
      <c r="F70" s="97">
        <f t="shared" si="24"/>
        <v>0</v>
      </c>
      <c r="G70" s="97">
        <f t="shared" si="24"/>
        <v>0</v>
      </c>
      <c r="H70" s="97">
        <f t="shared" si="24"/>
        <v>0</v>
      </c>
      <c r="I70" s="97">
        <f t="shared" si="24"/>
        <v>0</v>
      </c>
      <c r="J70" s="97">
        <f t="shared" si="24"/>
        <v>0</v>
      </c>
      <c r="K70" s="97">
        <f t="shared" si="24"/>
        <v>0</v>
      </c>
      <c r="L70" s="97">
        <f t="shared" si="24"/>
        <v>0</v>
      </c>
      <c r="M70" s="97">
        <f t="shared" si="24"/>
        <v>0</v>
      </c>
      <c r="N70" s="96">
        <f t="shared" si="24"/>
        <v>0</v>
      </c>
    </row>
    <row r="71" spans="1:34" s="81" customFormat="1" ht="12">
      <c r="A71" s="108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2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2"/>
    </row>
    <row r="72" spans="1:34">
      <c r="A72" s="98" t="s">
        <v>138</v>
      </c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4"/>
    </row>
    <row r="73" spans="1:34">
      <c r="A73" s="102" t="s">
        <v>90</v>
      </c>
      <c r="B73" s="101">
        <v>0</v>
      </c>
      <c r="C73" s="100">
        <v>0</v>
      </c>
      <c r="D73" s="100">
        <v>0</v>
      </c>
      <c r="E73" s="100">
        <v>0</v>
      </c>
      <c r="F73" s="100">
        <v>0</v>
      </c>
      <c r="G73" s="100">
        <v>0</v>
      </c>
      <c r="H73" s="100">
        <v>0</v>
      </c>
      <c r="I73" s="100">
        <v>0</v>
      </c>
      <c r="J73" s="100">
        <v>0</v>
      </c>
      <c r="K73" s="100">
        <v>0</v>
      </c>
      <c r="L73" s="100">
        <v>0</v>
      </c>
      <c r="M73" s="100">
        <v>0</v>
      </c>
      <c r="N73" s="99">
        <f>SUM(B73:M73)</f>
        <v>0</v>
      </c>
    </row>
    <row r="74" spans="1:34">
      <c r="A74" s="102" t="s">
        <v>90</v>
      </c>
      <c r="B74" s="103">
        <v>0</v>
      </c>
      <c r="C74" s="103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>
        <v>0</v>
      </c>
      <c r="J74" s="103">
        <v>0</v>
      </c>
      <c r="K74" s="103">
        <v>0</v>
      </c>
      <c r="L74" s="103">
        <v>0</v>
      </c>
      <c r="M74" s="103">
        <v>0</v>
      </c>
      <c r="N74" s="96">
        <f>SUM(B74:M74)</f>
        <v>0</v>
      </c>
    </row>
    <row r="75" spans="1:34">
      <c r="A75" s="98" t="s">
        <v>139</v>
      </c>
      <c r="B75" s="111">
        <f t="shared" ref="B75:N75" si="25">SUM(B73:B74)</f>
        <v>0</v>
      </c>
      <c r="C75" s="110">
        <f t="shared" si="25"/>
        <v>0</v>
      </c>
      <c r="D75" s="110">
        <f t="shared" si="25"/>
        <v>0</v>
      </c>
      <c r="E75" s="110">
        <f t="shared" si="25"/>
        <v>0</v>
      </c>
      <c r="F75" s="110">
        <f t="shared" si="25"/>
        <v>0</v>
      </c>
      <c r="G75" s="110">
        <f t="shared" si="25"/>
        <v>0</v>
      </c>
      <c r="H75" s="110">
        <f t="shared" si="25"/>
        <v>0</v>
      </c>
      <c r="I75" s="110">
        <f t="shared" si="25"/>
        <v>0</v>
      </c>
      <c r="J75" s="110">
        <f t="shared" si="25"/>
        <v>0</v>
      </c>
      <c r="K75" s="110">
        <f t="shared" si="25"/>
        <v>0</v>
      </c>
      <c r="L75" s="110">
        <f t="shared" si="25"/>
        <v>0</v>
      </c>
      <c r="M75" s="110">
        <f t="shared" si="25"/>
        <v>0</v>
      </c>
      <c r="N75" s="109">
        <f t="shared" si="25"/>
        <v>0</v>
      </c>
    </row>
    <row r="76" spans="1:34" s="81" customFormat="1" ht="12">
      <c r="A76" s="108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6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2"/>
    </row>
    <row r="77" spans="1:34">
      <c r="A77" s="98" t="s">
        <v>90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4"/>
    </row>
    <row r="78" spans="1:34">
      <c r="A78" s="102" t="s">
        <v>140</v>
      </c>
      <c r="B78" s="101">
        <v>0</v>
      </c>
      <c r="C78" s="100">
        <f>B78</f>
        <v>0</v>
      </c>
      <c r="D78" s="100">
        <f t="shared" ref="D78:M79" si="26">C78</f>
        <v>0</v>
      </c>
      <c r="E78" s="100">
        <f t="shared" si="26"/>
        <v>0</v>
      </c>
      <c r="F78" s="100">
        <f t="shared" si="26"/>
        <v>0</v>
      </c>
      <c r="G78" s="100">
        <f t="shared" si="26"/>
        <v>0</v>
      </c>
      <c r="H78" s="100">
        <f t="shared" si="26"/>
        <v>0</v>
      </c>
      <c r="I78" s="100">
        <f t="shared" si="26"/>
        <v>0</v>
      </c>
      <c r="J78" s="100">
        <f t="shared" si="26"/>
        <v>0</v>
      </c>
      <c r="K78" s="100">
        <f t="shared" si="26"/>
        <v>0</v>
      </c>
      <c r="L78" s="100">
        <f t="shared" si="26"/>
        <v>0</v>
      </c>
      <c r="M78" s="100">
        <f t="shared" si="26"/>
        <v>0</v>
      </c>
      <c r="N78" s="99">
        <f>SUM(B78:M78)</f>
        <v>0</v>
      </c>
    </row>
    <row r="79" spans="1:34">
      <c r="A79" s="102" t="s">
        <v>141</v>
      </c>
      <c r="B79" s="103">
        <v>1250</v>
      </c>
      <c r="C79" s="103">
        <f>B79</f>
        <v>1250</v>
      </c>
      <c r="D79" s="103">
        <f t="shared" si="26"/>
        <v>1250</v>
      </c>
      <c r="E79" s="103">
        <f t="shared" si="26"/>
        <v>1250</v>
      </c>
      <c r="F79" s="103">
        <f t="shared" si="26"/>
        <v>1250</v>
      </c>
      <c r="G79" s="103">
        <f t="shared" si="26"/>
        <v>1250</v>
      </c>
      <c r="H79" s="103">
        <f t="shared" si="26"/>
        <v>1250</v>
      </c>
      <c r="I79" s="103">
        <f t="shared" si="26"/>
        <v>1250</v>
      </c>
      <c r="J79" s="103">
        <f t="shared" si="26"/>
        <v>1250</v>
      </c>
      <c r="K79" s="103">
        <f t="shared" si="26"/>
        <v>1250</v>
      </c>
      <c r="L79" s="103">
        <f t="shared" si="26"/>
        <v>1250</v>
      </c>
      <c r="M79" s="103">
        <f t="shared" si="26"/>
        <v>1250</v>
      </c>
      <c r="N79" s="96">
        <f>SUM(B79:M79)</f>
        <v>15000</v>
      </c>
    </row>
    <row r="80" spans="1:34">
      <c r="A80" s="102" t="s">
        <v>141</v>
      </c>
      <c r="B80" s="101">
        <v>0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99">
        <f>SUM(B80:M80)</f>
        <v>0</v>
      </c>
    </row>
    <row r="81" spans="1:34" s="94" customFormat="1">
      <c r="A81" s="98" t="s">
        <v>142</v>
      </c>
      <c r="B81" s="97">
        <f t="shared" ref="B81:N81" si="27">SUM(B78:B80)</f>
        <v>1250</v>
      </c>
      <c r="C81" s="97">
        <f t="shared" si="27"/>
        <v>1250</v>
      </c>
      <c r="D81" s="97">
        <f t="shared" si="27"/>
        <v>1250</v>
      </c>
      <c r="E81" s="97">
        <f t="shared" si="27"/>
        <v>1250</v>
      </c>
      <c r="F81" s="97">
        <f t="shared" si="27"/>
        <v>1250</v>
      </c>
      <c r="G81" s="97">
        <f t="shared" si="27"/>
        <v>1250</v>
      </c>
      <c r="H81" s="97">
        <f t="shared" si="27"/>
        <v>1250</v>
      </c>
      <c r="I81" s="97">
        <f t="shared" si="27"/>
        <v>1250</v>
      </c>
      <c r="J81" s="97">
        <f t="shared" si="27"/>
        <v>1250</v>
      </c>
      <c r="K81" s="97">
        <f t="shared" si="27"/>
        <v>1250</v>
      </c>
      <c r="L81" s="97">
        <f t="shared" si="27"/>
        <v>1250</v>
      </c>
      <c r="M81" s="97">
        <f t="shared" si="27"/>
        <v>1250</v>
      </c>
      <c r="N81" s="96">
        <f t="shared" si="27"/>
        <v>15000</v>
      </c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95"/>
    </row>
    <row r="82" spans="1:34" s="81" customFormat="1" ht="12">
      <c r="A82" s="93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1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2"/>
    </row>
    <row r="83" spans="1:34" ht="16">
      <c r="A83" s="90" t="s">
        <v>143</v>
      </c>
      <c r="B83" s="89">
        <f t="shared" ref="B83:N83" si="28">B27+B36+B41+B50+B62+B70+B75+B81</f>
        <v>16761.7515205007</v>
      </c>
      <c r="C83" s="88">
        <f t="shared" si="28"/>
        <v>16761.7515205007</v>
      </c>
      <c r="D83" s="88">
        <f t="shared" si="28"/>
        <v>16761.7515205007</v>
      </c>
      <c r="E83" s="88">
        <f t="shared" si="28"/>
        <v>16761.7515205007</v>
      </c>
      <c r="F83" s="88">
        <f t="shared" si="28"/>
        <v>16761.7515205007</v>
      </c>
      <c r="G83" s="88">
        <f t="shared" si="28"/>
        <v>16761.7515205007</v>
      </c>
      <c r="H83" s="88">
        <f t="shared" si="28"/>
        <v>16761.7515205007</v>
      </c>
      <c r="I83" s="88">
        <f t="shared" si="28"/>
        <v>16761.7515205007</v>
      </c>
      <c r="J83" s="88">
        <f t="shared" si="28"/>
        <v>16761.7515205007</v>
      </c>
      <c r="K83" s="88">
        <f t="shared" si="28"/>
        <v>16761.7515205007</v>
      </c>
      <c r="L83" s="88">
        <f t="shared" si="28"/>
        <v>16761.7515205007</v>
      </c>
      <c r="M83" s="88">
        <f t="shared" si="28"/>
        <v>16761.7515205007</v>
      </c>
      <c r="N83" s="87">
        <f t="shared" si="28"/>
        <v>201141.0182460084</v>
      </c>
    </row>
    <row r="84" spans="1:34" s="81" customFormat="1" ht="12">
      <c r="A84" s="86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4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2"/>
    </row>
    <row r="85" spans="1:34" ht="14.25" customHeight="1">
      <c r="A85" s="80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</row>
    <row r="86" spans="1:34" ht="16">
      <c r="A86" s="78" t="s">
        <v>144</v>
      </c>
      <c r="B86" s="77" t="str">
        <f t="shared" ref="B86:N86" si="29">B3</f>
        <v>jan</v>
      </c>
      <c r="C86" s="76" t="str">
        <f t="shared" si="29"/>
        <v>feb</v>
      </c>
      <c r="D86" s="76" t="str">
        <f t="shared" si="29"/>
        <v>mar</v>
      </c>
      <c r="E86" s="76" t="str">
        <f t="shared" si="29"/>
        <v>apr</v>
      </c>
      <c r="F86" s="76" t="str">
        <f t="shared" si="29"/>
        <v>maj</v>
      </c>
      <c r="G86" s="76" t="str">
        <f t="shared" si="29"/>
        <v xml:space="preserve">juni </v>
      </c>
      <c r="H86" s="76" t="str">
        <f t="shared" si="29"/>
        <v>juli</v>
      </c>
      <c r="I86" s="76" t="str">
        <f t="shared" si="29"/>
        <v>aug</v>
      </c>
      <c r="J86" s="76" t="str">
        <f t="shared" si="29"/>
        <v>sept</v>
      </c>
      <c r="K86" s="76" t="str">
        <f t="shared" si="29"/>
        <v>okt</v>
      </c>
      <c r="L86" s="76" t="str">
        <f t="shared" si="29"/>
        <v>nov</v>
      </c>
      <c r="M86" s="76" t="str">
        <f t="shared" si="29"/>
        <v>dec</v>
      </c>
      <c r="N86" s="75" t="str">
        <f t="shared" si="29"/>
        <v>TOTAL</v>
      </c>
    </row>
    <row r="87" spans="1:34">
      <c r="A87" s="74" t="s">
        <v>145</v>
      </c>
      <c r="B87" s="73">
        <f t="shared" ref="B87:N87" si="30">SUM(B10-B83)</f>
        <v>21838.2484794993</v>
      </c>
      <c r="C87" s="72">
        <f t="shared" si="30"/>
        <v>18538.2484794993</v>
      </c>
      <c r="D87" s="72">
        <f t="shared" si="30"/>
        <v>18538.2484794993</v>
      </c>
      <c r="E87" s="72">
        <f t="shared" si="30"/>
        <v>21838.2484794993</v>
      </c>
      <c r="F87" s="72">
        <f t="shared" si="30"/>
        <v>18538.2484794993</v>
      </c>
      <c r="G87" s="72">
        <f t="shared" si="30"/>
        <v>18538.2484794993</v>
      </c>
      <c r="H87" s="72">
        <f t="shared" si="30"/>
        <v>21838.2484794993</v>
      </c>
      <c r="I87" s="72">
        <f t="shared" si="30"/>
        <v>18538.2484794993</v>
      </c>
      <c r="J87" s="72">
        <f t="shared" si="30"/>
        <v>18538.2484794993</v>
      </c>
      <c r="K87" s="72">
        <f t="shared" si="30"/>
        <v>21838.2484794993</v>
      </c>
      <c r="L87" s="72">
        <f t="shared" si="30"/>
        <v>18538.2484794993</v>
      </c>
      <c r="M87" s="72">
        <f t="shared" si="30"/>
        <v>18538.2484794993</v>
      </c>
      <c r="N87" s="71">
        <f t="shared" si="30"/>
        <v>235658.9817539916</v>
      </c>
    </row>
    <row r="88" spans="1:34">
      <c r="A88" s="68" t="s">
        <v>146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69">
        <f>N87</f>
        <v>235658.9817539916</v>
      </c>
    </row>
    <row r="89" spans="1:34">
      <c r="A89" s="197" t="s">
        <v>147</v>
      </c>
      <c r="B89" s="67">
        <f t="shared" ref="B89:M89" si="31">B87</f>
        <v>21838.2484794993</v>
      </c>
      <c r="C89" s="66">
        <f t="shared" si="31"/>
        <v>18538.2484794993</v>
      </c>
      <c r="D89" s="66">
        <f t="shared" si="31"/>
        <v>18538.2484794993</v>
      </c>
      <c r="E89" s="66">
        <f t="shared" si="31"/>
        <v>21838.2484794993</v>
      </c>
      <c r="F89" s="66">
        <f t="shared" si="31"/>
        <v>18538.2484794993</v>
      </c>
      <c r="G89" s="66">
        <f t="shared" si="31"/>
        <v>18538.2484794993</v>
      </c>
      <c r="H89" s="66">
        <f t="shared" si="31"/>
        <v>21838.2484794993</v>
      </c>
      <c r="I89" s="66">
        <f t="shared" si="31"/>
        <v>18538.2484794993</v>
      </c>
      <c r="J89" s="66">
        <f t="shared" si="31"/>
        <v>18538.2484794993</v>
      </c>
      <c r="K89" s="66">
        <f t="shared" si="31"/>
        <v>21838.2484794993</v>
      </c>
      <c r="L89" s="66">
        <f t="shared" si="31"/>
        <v>18538.2484794993</v>
      </c>
      <c r="M89" s="66">
        <f t="shared" si="31"/>
        <v>18538.2484794993</v>
      </c>
      <c r="N89" s="196">
        <f>N88/12</f>
        <v>19638.2484794993</v>
      </c>
    </row>
    <row r="90" spans="1:34" s="59" customFormat="1">
      <c r="A90" s="64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2"/>
    </row>
    <row r="91" spans="1:34" s="59" customFormat="1">
      <c r="N91" s="61"/>
    </row>
    <row r="92" spans="1:34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61"/>
    </row>
    <row r="93" spans="1:34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61"/>
    </row>
    <row r="94" spans="1:3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61"/>
    </row>
    <row r="95" spans="1:34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61"/>
    </row>
    <row r="96" spans="1:34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61"/>
    </row>
    <row r="97" spans="1:14" s="57" customForma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61"/>
    </row>
    <row r="98" spans="1:14" s="57" customForma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61"/>
    </row>
    <row r="99" spans="1:14" s="57" customForma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61"/>
    </row>
    <row r="100" spans="1:14" s="57" customForma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61"/>
    </row>
    <row r="101" spans="1:14" s="57" customForma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61"/>
    </row>
    <row r="102" spans="1:14" s="57" customForma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61"/>
    </row>
    <row r="103" spans="1:14" s="57" customForma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61"/>
    </row>
    <row r="104" spans="1:14" s="57" customForma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61"/>
    </row>
    <row r="105" spans="1:14" s="57" customForma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61"/>
    </row>
    <row r="106" spans="1:14" s="57" customForma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61"/>
    </row>
    <row r="107" spans="1:14" s="57" customForma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61"/>
    </row>
    <row r="108" spans="1:14" s="57" customForma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61"/>
    </row>
    <row r="109" spans="1:14" s="57" customForma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61"/>
    </row>
    <row r="110" spans="1:14" s="57" customForma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61"/>
    </row>
    <row r="111" spans="1:14" s="57" customForma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61"/>
    </row>
    <row r="112" spans="1:14" s="57" customForma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61"/>
    </row>
    <row r="113" spans="1:14" s="57" customForma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61"/>
    </row>
    <row r="114" spans="1:14" s="57" customForma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61"/>
    </row>
    <row r="115" spans="1:14" s="57" customForma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61"/>
    </row>
    <row r="116" spans="1:14" s="57" customForma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61"/>
    </row>
    <row r="117" spans="1:14" s="57" customForma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61"/>
    </row>
    <row r="118" spans="1:14" s="57" customForma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61"/>
    </row>
    <row r="119" spans="1:14" s="57" customForma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61"/>
    </row>
    <row r="120" spans="1:14" s="57" customForma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61"/>
    </row>
    <row r="121" spans="1:14" s="57" customForma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61"/>
    </row>
    <row r="122" spans="1:14" s="57" customForma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61"/>
    </row>
    <row r="123" spans="1:14" s="57" customForma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61"/>
    </row>
    <row r="124" spans="1:14" s="57" customForma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61"/>
    </row>
    <row r="125" spans="1:14" s="57" customForma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61"/>
    </row>
    <row r="126" spans="1:14" s="57" customForma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61"/>
    </row>
    <row r="127" spans="1:14" s="57" customForma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61"/>
    </row>
    <row r="128" spans="1:14" s="57" customForma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61"/>
    </row>
    <row r="129" spans="1:14" s="57" customForma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61"/>
    </row>
    <row r="130" spans="1:14" s="57" customForma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61"/>
    </row>
    <row r="131" spans="1:14" s="57" customForma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61"/>
    </row>
    <row r="132" spans="1:14" s="57" customForma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61"/>
    </row>
    <row r="133" spans="1:14" s="57" customForma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61"/>
    </row>
    <row r="134" spans="1:14" s="57" customForma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61"/>
    </row>
    <row r="135" spans="1:14" s="57" customForma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61"/>
    </row>
    <row r="136" spans="1:14" s="57" customForma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61"/>
    </row>
    <row r="137" spans="1:14" s="57" customForma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61"/>
    </row>
    <row r="138" spans="1:14" s="57" customForma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61"/>
    </row>
    <row r="139" spans="1:14" s="57" customForma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61"/>
    </row>
    <row r="140" spans="1:14" s="57" customForma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61"/>
    </row>
    <row r="141" spans="1:14" s="57" customForma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61"/>
    </row>
    <row r="142" spans="1:14" s="57" customForma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61"/>
    </row>
    <row r="143" spans="1:14" s="57" customForma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61"/>
    </row>
    <row r="144" spans="1:14" s="57" customForma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61"/>
    </row>
    <row r="145" spans="1:14" s="57" customForma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61"/>
    </row>
    <row r="146" spans="1:14" s="57" customForma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61"/>
    </row>
    <row r="147" spans="1:14" s="57" customForma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61"/>
    </row>
    <row r="148" spans="1:14" s="57" customForma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61"/>
    </row>
    <row r="149" spans="1:14" s="57" customForma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61"/>
    </row>
    <row r="150" spans="1:14" s="57" customForma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61"/>
    </row>
    <row r="151" spans="1:14" s="57" customForma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61"/>
    </row>
    <row r="152" spans="1:14" s="57" customForma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61"/>
    </row>
    <row r="153" spans="1:14" s="57" customForma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61"/>
    </row>
    <row r="154" spans="1:14" s="57" customForma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61"/>
    </row>
    <row r="155" spans="1:14" s="57" customForma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61"/>
    </row>
    <row r="156" spans="1:14" s="57" customForma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61"/>
    </row>
    <row r="157" spans="1:14" s="57" customForma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61"/>
    </row>
    <row r="158" spans="1:14" s="57" customForma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61"/>
    </row>
    <row r="159" spans="1:14" s="57" customForma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61"/>
    </row>
    <row r="160" spans="1:14" s="57" customForma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61"/>
    </row>
    <row r="161" spans="1:14" s="57" customForma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61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68" orientation="portrait" cellComments="atEnd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56"/>
  <sheetViews>
    <sheetView zoomScaleNormal="100" workbookViewId="0">
      <selection activeCell="D61" sqref="D61"/>
    </sheetView>
  </sheetViews>
  <sheetFormatPr baseColWidth="10" defaultColWidth="8.83203125" defaultRowHeight="13"/>
  <cols>
    <col min="1" max="1" width="5.6640625" style="25" customWidth="1"/>
    <col min="2" max="2" width="38.33203125" customWidth="1"/>
    <col min="3" max="3" width="14.83203125" customWidth="1"/>
    <col min="4" max="4" width="15.33203125" style="2" customWidth="1"/>
    <col min="5" max="5" width="17.83203125" style="2" customWidth="1"/>
    <col min="6" max="6" width="12.6640625" style="2" customWidth="1"/>
    <col min="7" max="7" width="14.83203125" style="2" customWidth="1"/>
    <col min="8" max="8" width="12.1640625" style="2" bestFit="1" customWidth="1"/>
    <col min="9" max="9" width="12.6640625" customWidth="1"/>
    <col min="10" max="26" width="11" customWidth="1"/>
  </cols>
  <sheetData>
    <row r="1" spans="1:10" ht="20">
      <c r="B1" s="37" t="s">
        <v>0</v>
      </c>
      <c r="C1" s="29" t="s">
        <v>1</v>
      </c>
      <c r="F1" s="191" t="s">
        <v>181</v>
      </c>
    </row>
    <row r="2" spans="1:10" ht="20">
      <c r="B2" s="28" t="s">
        <v>2</v>
      </c>
      <c r="C2" s="30" t="s">
        <v>3</v>
      </c>
      <c r="D2" s="31" t="s">
        <v>4</v>
      </c>
      <c r="F2" s="219" t="s">
        <v>5</v>
      </c>
    </row>
    <row r="3" spans="1:10">
      <c r="B3" s="6" t="s">
        <v>6</v>
      </c>
      <c r="C3" s="18">
        <v>0.08</v>
      </c>
      <c r="D3" s="18">
        <v>0.08</v>
      </c>
    </row>
    <row r="4" spans="1:10">
      <c r="B4" s="6" t="s">
        <v>7</v>
      </c>
      <c r="C4" s="17">
        <v>0</v>
      </c>
      <c r="D4" s="17">
        <v>0</v>
      </c>
    </row>
    <row r="5" spans="1:10">
      <c r="B5" s="6" t="s">
        <v>8</v>
      </c>
      <c r="C5" s="17">
        <v>42900</v>
      </c>
      <c r="D5" s="17">
        <v>42900</v>
      </c>
    </row>
    <row r="6" spans="1:10">
      <c r="B6" t="s">
        <v>9</v>
      </c>
      <c r="C6" s="18">
        <v>0.51500000000000001</v>
      </c>
      <c r="D6" s="18">
        <v>0.51500000000000001</v>
      </c>
    </row>
    <row r="7" spans="1:10" s="12" customFormat="1">
      <c r="A7" s="24"/>
      <c r="C7" s="20"/>
      <c r="D7" s="20"/>
      <c r="E7" s="13"/>
      <c r="F7" s="13" t="s">
        <v>5</v>
      </c>
      <c r="G7" s="13"/>
      <c r="H7" s="13"/>
    </row>
    <row r="8" spans="1:10" s="12" customFormat="1">
      <c r="A8" s="24"/>
      <c r="B8" s="6" t="s">
        <v>10</v>
      </c>
      <c r="C8" s="14">
        <f>52000*12</f>
        <v>624000</v>
      </c>
      <c r="D8" s="14">
        <f>12*22000</f>
        <v>264000</v>
      </c>
      <c r="E8" s="13"/>
      <c r="F8" s="13"/>
      <c r="G8" s="13"/>
      <c r="H8" s="220" t="s">
        <v>5</v>
      </c>
    </row>
    <row r="9" spans="1:10" s="12" customFormat="1">
      <c r="A9" s="24"/>
      <c r="B9" s="221" t="s">
        <v>11</v>
      </c>
      <c r="C9" s="14">
        <f>0.05*C8</f>
        <v>31200</v>
      </c>
      <c r="D9" s="14">
        <f>0.05*D8</f>
        <v>13200</v>
      </c>
      <c r="E9" s="13"/>
      <c r="F9" s="13"/>
      <c r="G9" s="13"/>
      <c r="H9" s="13"/>
    </row>
    <row r="10" spans="1:10" s="12" customFormat="1">
      <c r="A10" s="24"/>
      <c r="B10" s="222" t="s">
        <v>12</v>
      </c>
      <c r="C10" s="14">
        <f>0.25*300000+0.2*(350000-300000)+4500</f>
        <v>89500</v>
      </c>
      <c r="D10" s="14"/>
      <c r="E10" s="13"/>
      <c r="F10" s="13"/>
      <c r="G10" s="13"/>
      <c r="H10" s="13"/>
    </row>
    <row r="11" spans="1:10" s="12" customFormat="1">
      <c r="A11" s="24"/>
      <c r="B11" s="221" t="s">
        <v>13</v>
      </c>
      <c r="C11" s="14">
        <v>3000</v>
      </c>
      <c r="D11" s="14">
        <v>0</v>
      </c>
      <c r="E11" s="13"/>
      <c r="F11" s="13"/>
      <c r="G11" s="13"/>
      <c r="H11" s="13"/>
    </row>
    <row r="12" spans="1:10">
      <c r="B12" s="38" t="s">
        <v>14</v>
      </c>
      <c r="C12" s="17">
        <f>C8-C9+C10+C11</f>
        <v>685300</v>
      </c>
      <c r="D12" s="17">
        <f>D8-D9+D10+D11</f>
        <v>250800</v>
      </c>
      <c r="E12" s="17"/>
      <c r="I12" s="2"/>
      <c r="J12" s="23"/>
    </row>
    <row r="13" spans="1:10">
      <c r="B13" s="6" t="s">
        <v>6</v>
      </c>
      <c r="C13" s="17">
        <f>+C12*0.08</f>
        <v>54824</v>
      </c>
      <c r="D13" s="2">
        <f>+D12*0.08</f>
        <v>20064</v>
      </c>
      <c r="E13" s="17"/>
      <c r="F13" s="56" t="s">
        <v>5</v>
      </c>
      <c r="G13" s="219" t="s">
        <v>5</v>
      </c>
      <c r="I13" s="2"/>
      <c r="J13" s="23"/>
    </row>
    <row r="14" spans="1:10">
      <c r="B14" s="3" t="s">
        <v>15</v>
      </c>
      <c r="C14" s="2">
        <v>0</v>
      </c>
      <c r="D14" s="2">
        <v>0</v>
      </c>
      <c r="G14"/>
      <c r="H14" s="4"/>
    </row>
    <row r="15" spans="1:10">
      <c r="A15" s="26"/>
      <c r="B15" s="36" t="s">
        <v>16</v>
      </c>
      <c r="C15" s="2">
        <f>+C12-C13-C14</f>
        <v>630476</v>
      </c>
      <c r="D15" s="2">
        <f>+D12-D13-D14</f>
        <v>230736</v>
      </c>
      <c r="G15" s="219" t="s">
        <v>5</v>
      </c>
    </row>
    <row r="16" spans="1:10" ht="7.25" customHeight="1">
      <c r="A16" s="26"/>
      <c r="B16" s="3"/>
    </row>
    <row r="17" spans="1:12">
      <c r="A17" s="24"/>
      <c r="B17" s="3" t="s">
        <v>17</v>
      </c>
      <c r="C17">
        <v>0</v>
      </c>
      <c r="D17" s="2">
        <v>0</v>
      </c>
      <c r="E17" s="219" t="s">
        <v>182</v>
      </c>
      <c r="F17" s="17">
        <v>-126617</v>
      </c>
    </row>
    <row r="18" spans="1:12">
      <c r="A18" s="24"/>
      <c r="B18" t="s">
        <v>18</v>
      </c>
      <c r="C18" s="192" t="e">
        <f>F19/2</f>
        <v>#REF!</v>
      </c>
      <c r="D18" s="2" t="e">
        <f>C18</f>
        <v>#REF!</v>
      </c>
      <c r="E18" s="219" t="s">
        <v>183</v>
      </c>
      <c r="F18" s="219" t="e">
        <v>#REF!</v>
      </c>
    </row>
    <row r="19" spans="1:12">
      <c r="A19" s="24"/>
      <c r="B19" t="s">
        <v>19</v>
      </c>
      <c r="C19">
        <v>0</v>
      </c>
      <c r="D19"/>
      <c r="E19" s="219" t="s">
        <v>68</v>
      </c>
      <c r="F19" s="17" t="e">
        <f>F18+F17</f>
        <v>#REF!</v>
      </c>
      <c r="G19"/>
    </row>
    <row r="20" spans="1:12">
      <c r="A20" s="24"/>
      <c r="B20" s="3" t="s">
        <v>20</v>
      </c>
      <c r="C20" s="193" t="e">
        <f>SUM(C17:C19)</f>
        <v>#REF!</v>
      </c>
      <c r="D20" s="193" t="e">
        <f>SUM(D17:D19)</f>
        <v>#REF!</v>
      </c>
      <c r="F20" s="5"/>
    </row>
    <row r="21" spans="1:12">
      <c r="A21" s="24"/>
      <c r="C21" s="20" t="s">
        <v>21</v>
      </c>
      <c r="D21" s="14" t="s">
        <v>21</v>
      </c>
    </row>
    <row r="22" spans="1:12">
      <c r="A22" s="24"/>
      <c r="B22" s="6" t="s">
        <v>22</v>
      </c>
      <c r="C22" s="2">
        <f>MIN((C12)*0.0425,13600)</f>
        <v>13600</v>
      </c>
      <c r="D22" s="2">
        <f>MIN((D12-D14)*0.0425,13600)</f>
        <v>10659</v>
      </c>
      <c r="F22" s="2" t="s">
        <v>23</v>
      </c>
      <c r="I22" s="223"/>
    </row>
    <row r="23" spans="1:12">
      <c r="A23" s="24"/>
      <c r="B23" s="222" t="s">
        <v>24</v>
      </c>
      <c r="C23" s="32">
        <f>4*2454</f>
        <v>9816</v>
      </c>
      <c r="D23">
        <f>1339*12</f>
        <v>16068</v>
      </c>
      <c r="F23" s="17"/>
      <c r="H23" s="223" t="s">
        <v>25</v>
      </c>
      <c r="I23" s="35" t="s">
        <v>26</v>
      </c>
    </row>
    <row r="24" spans="1:12">
      <c r="B24" s="6" t="s">
        <v>27</v>
      </c>
      <c r="C24">
        <v>0</v>
      </c>
      <c r="D24" s="2">
        <v>0</v>
      </c>
      <c r="E24" s="219" t="s">
        <v>5</v>
      </c>
      <c r="H24" s="27" t="s">
        <v>28</v>
      </c>
      <c r="I24" s="35" t="s">
        <v>29</v>
      </c>
    </row>
    <row r="25" spans="1:12">
      <c r="B25" s="6" t="s">
        <v>30</v>
      </c>
      <c r="C25">
        <v>0</v>
      </c>
      <c r="D25">
        <v>0</v>
      </c>
      <c r="F25" s="17" t="s">
        <v>31</v>
      </c>
    </row>
    <row r="26" spans="1:12">
      <c r="B26" s="3" t="s">
        <v>32</v>
      </c>
      <c r="C26" s="33">
        <f>SUM(C22:C25)</f>
        <v>23416</v>
      </c>
      <c r="D26" s="33">
        <f>SUM(D22:D25)</f>
        <v>26727</v>
      </c>
    </row>
    <row r="27" spans="1:12">
      <c r="B27" s="36" t="s">
        <v>33</v>
      </c>
      <c r="C27" s="39" t="e">
        <f>+C15+C20-C26</f>
        <v>#REF!</v>
      </c>
      <c r="D27" s="39" t="e">
        <f>+D15+D20-D26</f>
        <v>#REF!</v>
      </c>
    </row>
    <row r="28" spans="1:12" ht="16">
      <c r="B28" s="3"/>
      <c r="D28"/>
      <c r="E28" s="228" t="s">
        <v>34</v>
      </c>
      <c r="F28" s="228"/>
      <c r="G28" s="228" t="s">
        <v>35</v>
      </c>
      <c r="H28" s="228"/>
    </row>
    <row r="29" spans="1:12" ht="16">
      <c r="A29" s="25" t="s">
        <v>5</v>
      </c>
      <c r="B29" s="22" t="s">
        <v>36</v>
      </c>
      <c r="C29" s="12"/>
      <c r="D29" s="12"/>
      <c r="E29" s="1" t="s">
        <v>3</v>
      </c>
      <c r="F29" s="1" t="s">
        <v>4</v>
      </c>
      <c r="G29" s="1" t="s">
        <v>3</v>
      </c>
      <c r="H29" s="1" t="s">
        <v>4</v>
      </c>
      <c r="I29" s="1" t="s">
        <v>5</v>
      </c>
      <c r="J29" s="14"/>
      <c r="K29" s="2"/>
    </row>
    <row r="30" spans="1:12" ht="26">
      <c r="B30" s="12"/>
      <c r="C30" s="20" t="s">
        <v>37</v>
      </c>
      <c r="D30" s="40" t="s">
        <v>38</v>
      </c>
      <c r="F30" s="14"/>
      <c r="G30" s="14"/>
      <c r="H30" s="14"/>
      <c r="J30" s="14"/>
      <c r="K30" s="2"/>
      <c r="L30" s="2"/>
    </row>
    <row r="31" spans="1:12">
      <c r="B31" t="s">
        <v>39</v>
      </c>
      <c r="C31" s="18">
        <v>3.6700000000000003E-2</v>
      </c>
      <c r="D31" s="16">
        <f>C5</f>
        <v>42900</v>
      </c>
      <c r="E31" s="2" t="e">
        <f>+C15+C20</f>
        <v>#REF!</v>
      </c>
      <c r="F31" s="2" t="e">
        <f>+D15+D20</f>
        <v>#REF!</v>
      </c>
      <c r="G31" s="2" t="e">
        <f t="shared" ref="G31:H33" si="0">+(E31-$D31)*$C31</f>
        <v>#REF!</v>
      </c>
      <c r="H31" s="2" t="e">
        <f t="shared" si="0"/>
        <v>#REF!</v>
      </c>
      <c r="I31" s="2"/>
      <c r="J31" s="219" t="s">
        <v>5</v>
      </c>
    </row>
    <row r="32" spans="1:12">
      <c r="B32" t="s">
        <v>40</v>
      </c>
      <c r="C32" s="18">
        <v>0.08</v>
      </c>
      <c r="D32" s="16">
        <f>+D31</f>
        <v>42900</v>
      </c>
      <c r="E32" s="2" t="e">
        <f>+C27</f>
        <v>#REF!</v>
      </c>
      <c r="F32" s="2" t="e">
        <f>+D27</f>
        <v>#REF!</v>
      </c>
      <c r="G32" s="2" t="e">
        <f t="shared" si="0"/>
        <v>#REF!</v>
      </c>
      <c r="H32" s="2" t="e">
        <f t="shared" si="0"/>
        <v>#REF!</v>
      </c>
      <c r="I32" s="2"/>
      <c r="J32" s="18"/>
    </row>
    <row r="33" spans="1:10">
      <c r="B33" t="s">
        <v>41</v>
      </c>
      <c r="C33" s="18">
        <v>0.23699999999999999</v>
      </c>
      <c r="D33" s="16">
        <f>+D32</f>
        <v>42900</v>
      </c>
      <c r="E33" s="2" t="e">
        <f>+C27</f>
        <v>#REF!</v>
      </c>
      <c r="F33" s="2" t="e">
        <f>+D27</f>
        <v>#REF!</v>
      </c>
      <c r="G33" s="2" t="e">
        <f t="shared" si="0"/>
        <v>#REF!</v>
      </c>
      <c r="H33" s="2" t="e">
        <f t="shared" si="0"/>
        <v>#REF!</v>
      </c>
      <c r="I33" s="2"/>
      <c r="J33" s="2"/>
    </row>
    <row r="34" spans="1:10">
      <c r="B34" t="s">
        <v>42</v>
      </c>
      <c r="C34" s="18">
        <v>0.15</v>
      </c>
      <c r="D34" s="17">
        <v>389900</v>
      </c>
      <c r="E34" s="2">
        <f>C15</f>
        <v>630476</v>
      </c>
      <c r="F34" s="2">
        <f>+D15</f>
        <v>230736</v>
      </c>
      <c r="G34" s="2">
        <f>+(E34-D34)*C34</f>
        <v>36086.400000000001</v>
      </c>
      <c r="H34" s="2">
        <f>MAX((F34-D34)*C34,0)</f>
        <v>0</v>
      </c>
      <c r="I34" s="2"/>
      <c r="J34" s="2"/>
    </row>
    <row r="35" spans="1:10">
      <c r="B35" t="s">
        <v>43</v>
      </c>
      <c r="C35" s="18">
        <f>IF(C56&gt;C6,C56-C6,0)</f>
        <v>0</v>
      </c>
      <c r="J35" s="2"/>
    </row>
    <row r="36" spans="1:10">
      <c r="B36" s="223" t="s">
        <v>44</v>
      </c>
      <c r="C36" s="18"/>
      <c r="G36" s="2" t="e">
        <f>SUM(G31:G35)</f>
        <v>#REF!</v>
      </c>
      <c r="H36" s="2" t="e">
        <f>SUM(H31:H35)</f>
        <v>#REF!</v>
      </c>
      <c r="J36" s="219" t="s">
        <v>5</v>
      </c>
    </row>
    <row r="37" spans="1:10">
      <c r="B37" t="s">
        <v>45</v>
      </c>
      <c r="C37" s="18"/>
      <c r="G37" s="2">
        <f>C13</f>
        <v>54824</v>
      </c>
      <c r="H37" s="2">
        <f>D13</f>
        <v>20064</v>
      </c>
      <c r="J37" s="2"/>
    </row>
    <row r="38" spans="1:10" ht="17" thickBot="1">
      <c r="B38" s="41" t="s">
        <v>46</v>
      </c>
      <c r="C38" s="18"/>
      <c r="G38" s="42" t="e">
        <f>G36+G37</f>
        <v>#REF!</v>
      </c>
      <c r="H38" s="42" t="e">
        <f>H36+H37</f>
        <v>#REF!</v>
      </c>
      <c r="J38" s="2"/>
    </row>
    <row r="39" spans="1:10" ht="17" thickTop="1">
      <c r="B39" s="184" t="s">
        <v>47</v>
      </c>
      <c r="C39" s="18"/>
      <c r="G39" s="189">
        <f>21525/2</f>
        <v>10762.5</v>
      </c>
      <c r="H39" s="189">
        <f>G39</f>
        <v>10762.5</v>
      </c>
      <c r="I39" s="223" t="s">
        <v>184</v>
      </c>
      <c r="J39" s="2"/>
    </row>
    <row r="40" spans="1:10" ht="16">
      <c r="B40" s="43" t="s">
        <v>48</v>
      </c>
      <c r="C40" s="44"/>
      <c r="D40" s="45"/>
      <c r="E40" s="45"/>
      <c r="F40" s="45"/>
      <c r="G40" s="46"/>
      <c r="H40" s="46">
        <v>1300</v>
      </c>
      <c r="I40" s="223" t="s">
        <v>49</v>
      </c>
      <c r="J40" s="2"/>
    </row>
    <row r="41" spans="1:10" ht="16">
      <c r="B41" s="47" t="s">
        <v>50</v>
      </c>
      <c r="C41" s="48"/>
      <c r="D41" s="49"/>
      <c r="E41" s="49"/>
      <c r="F41" s="49"/>
      <c r="G41" s="50" t="e">
        <f>G38-G40+G39</f>
        <v>#REF!</v>
      </c>
      <c r="H41" s="50" t="e">
        <f>H38-H40+H39</f>
        <v>#REF!</v>
      </c>
      <c r="I41" s="219" t="s">
        <v>51</v>
      </c>
      <c r="J41" s="2"/>
    </row>
    <row r="42" spans="1:10" ht="16">
      <c r="B42" s="47"/>
      <c r="C42" s="48"/>
      <c r="D42" s="49"/>
      <c r="E42" s="49"/>
      <c r="F42" s="49"/>
      <c r="G42" s="50"/>
      <c r="H42" s="50"/>
      <c r="J42" s="2"/>
    </row>
    <row r="43" spans="1:10" ht="16">
      <c r="B43" s="47"/>
      <c r="C43" s="48"/>
      <c r="D43" s="49"/>
      <c r="E43" s="49"/>
      <c r="F43" s="49"/>
      <c r="G43" s="50"/>
      <c r="H43" s="50"/>
      <c r="J43" s="2"/>
    </row>
    <row r="44" spans="1:10">
      <c r="I44" s="223"/>
      <c r="J44" s="2"/>
    </row>
    <row r="45" spans="1:10" ht="16">
      <c r="A45" s="25" t="s">
        <v>5</v>
      </c>
      <c r="B45" s="51" t="s">
        <v>52</v>
      </c>
      <c r="G45" s="52" t="s">
        <v>5</v>
      </c>
      <c r="H45" s="52" t="s">
        <v>5</v>
      </c>
      <c r="I45" s="53" t="s">
        <v>5</v>
      </c>
      <c r="J45" s="219" t="s">
        <v>5</v>
      </c>
    </row>
    <row r="46" spans="1:10" ht="16">
      <c r="B46" s="51"/>
      <c r="C46" s="223" t="s">
        <v>3</v>
      </c>
      <c r="D46" s="219" t="s">
        <v>4</v>
      </c>
      <c r="G46" s="52"/>
      <c r="H46" s="52"/>
      <c r="I46" s="53"/>
      <c r="J46" s="219"/>
    </row>
    <row r="47" spans="1:10" ht="16">
      <c r="B47" s="184" t="s">
        <v>53</v>
      </c>
      <c r="C47" s="2">
        <f>C8</f>
        <v>624000</v>
      </c>
      <c r="D47" s="2">
        <f>D8</f>
        <v>264000</v>
      </c>
      <c r="G47" s="52"/>
      <c r="H47" s="52"/>
      <c r="I47" s="53"/>
      <c r="J47" s="219"/>
    </row>
    <row r="48" spans="1:10" ht="16">
      <c r="B48" s="185" t="s">
        <v>54</v>
      </c>
      <c r="C48" s="2">
        <f>C9</f>
        <v>31200</v>
      </c>
      <c r="D48" s="2">
        <f>D9</f>
        <v>13200</v>
      </c>
      <c r="G48" s="52"/>
      <c r="H48" s="52"/>
      <c r="I48" s="53"/>
      <c r="J48" s="219"/>
    </row>
    <row r="49" spans="2:12" ht="16">
      <c r="B49" s="185" t="s">
        <v>55</v>
      </c>
      <c r="C49" s="2" t="e">
        <f>G41</f>
        <v>#REF!</v>
      </c>
      <c r="D49" s="2" t="e">
        <f>H41</f>
        <v>#REF!</v>
      </c>
      <c r="G49" s="52"/>
      <c r="H49" s="52"/>
      <c r="I49" s="53"/>
      <c r="J49" s="219"/>
    </row>
    <row r="50" spans="2:12" ht="16">
      <c r="B50" s="51" t="s">
        <v>56</v>
      </c>
      <c r="C50" s="2" t="e">
        <f>C47-C48-C49</f>
        <v>#REF!</v>
      </c>
      <c r="D50" s="2" t="e">
        <f>D47-D48-D49</f>
        <v>#REF!</v>
      </c>
      <c r="G50" s="52"/>
      <c r="H50" s="52"/>
      <c r="I50" s="53"/>
      <c r="J50" s="219"/>
    </row>
    <row r="51" spans="2:12" ht="16">
      <c r="B51" s="186" t="s">
        <v>57</v>
      </c>
      <c r="C51" s="188" t="e">
        <f>C50/12</f>
        <v>#REF!</v>
      </c>
      <c r="D51" s="188" t="e">
        <f>D50/12</f>
        <v>#REF!</v>
      </c>
      <c r="I51" s="54" t="s">
        <v>5</v>
      </c>
      <c r="J51" s="219" t="s">
        <v>5</v>
      </c>
    </row>
    <row r="52" spans="2:12" ht="16">
      <c r="B52" s="186"/>
      <c r="C52" s="187"/>
      <c r="D52" s="187"/>
      <c r="I52" s="54"/>
      <c r="J52" s="219"/>
    </row>
    <row r="53" spans="2:12">
      <c r="J53" s="219" t="s">
        <v>5</v>
      </c>
      <c r="K53" s="55"/>
    </row>
    <row r="54" spans="2:12">
      <c r="J54" s="219"/>
      <c r="K54" s="55"/>
    </row>
    <row r="55" spans="2:12">
      <c r="J55" s="219"/>
      <c r="K55" s="55"/>
    </row>
    <row r="56" spans="2:12">
      <c r="B56" s="222" t="s">
        <v>59</v>
      </c>
      <c r="C56" s="10">
        <f>C31+C32+C33+C34</f>
        <v>0.50370000000000004</v>
      </c>
      <c r="D56" s="219" t="s">
        <v>185</v>
      </c>
      <c r="E56" s="9"/>
      <c r="G56" s="225" t="s">
        <v>5</v>
      </c>
      <c r="H56" s="10"/>
      <c r="J56" s="219" t="s">
        <v>5</v>
      </c>
    </row>
    <row r="57" spans="2:12">
      <c r="B57" t="s">
        <v>6</v>
      </c>
      <c r="C57" s="18">
        <v>0.08</v>
      </c>
      <c r="G57" s="10"/>
      <c r="I57" s="2"/>
      <c r="K57" s="8"/>
    </row>
    <row r="58" spans="2:12" ht="18.75" customHeight="1">
      <c r="B58" s="223" t="s">
        <v>60</v>
      </c>
      <c r="C58" s="10">
        <f>SUM(C31:C33)</f>
        <v>0.35370000000000001</v>
      </c>
      <c r="D58" s="219" t="s">
        <v>5</v>
      </c>
      <c r="F58" s="219" t="s">
        <v>5</v>
      </c>
      <c r="G58" s="10"/>
    </row>
    <row r="59" spans="2:12">
      <c r="B59" s="223"/>
      <c r="C59" s="8" t="s">
        <v>5</v>
      </c>
      <c r="K59" s="8"/>
      <c r="L59" s="8"/>
    </row>
    <row r="60" spans="2:12" ht="13.5" customHeight="1">
      <c r="C60" s="7"/>
      <c r="G60" s="10"/>
    </row>
    <row r="61" spans="2:12">
      <c r="C61" s="2"/>
    </row>
    <row r="62" spans="2:12">
      <c r="C62" s="12" t="s">
        <v>61</v>
      </c>
      <c r="D62" s="12" t="s">
        <v>62</v>
      </c>
      <c r="E62" s="19" t="s">
        <v>63</v>
      </c>
      <c r="F62" s="15" t="s">
        <v>64</v>
      </c>
      <c r="G62" s="15" t="s">
        <v>65</v>
      </c>
      <c r="H62" s="13" t="s">
        <v>66</v>
      </c>
      <c r="K62" s="219" t="s">
        <v>5</v>
      </c>
    </row>
    <row r="63" spans="2:12">
      <c r="B63" s="22" t="s">
        <v>27</v>
      </c>
      <c r="C63" s="11">
        <v>1.9</v>
      </c>
      <c r="D63" s="9">
        <v>216</v>
      </c>
      <c r="E63" s="9">
        <v>0</v>
      </c>
      <c r="F63" s="9">
        <v>24</v>
      </c>
      <c r="G63" s="2">
        <f>IF(E63&gt;F63,MIN(E63,100)-F63,0)</f>
        <v>0</v>
      </c>
      <c r="H63" s="2">
        <f>+(D63*G63)*C63</f>
        <v>0</v>
      </c>
    </row>
    <row r="64" spans="2:12">
      <c r="B64" t="s">
        <v>67</v>
      </c>
      <c r="C64" s="11">
        <v>0.95</v>
      </c>
      <c r="D64" s="2">
        <f>+D63</f>
        <v>216</v>
      </c>
      <c r="E64" s="2">
        <f>MAX(E63-100,0)</f>
        <v>0</v>
      </c>
      <c r="F64" s="9"/>
      <c r="G64" s="2">
        <f>MAX(E64,0)</f>
        <v>0</v>
      </c>
      <c r="H64" s="2">
        <f>+(D64*G64)*C64</f>
        <v>0</v>
      </c>
    </row>
    <row r="65" spans="2:8">
      <c r="B65" t="s">
        <v>68</v>
      </c>
      <c r="C65" s="11"/>
      <c r="F65" s="9"/>
      <c r="H65" s="2">
        <f>+H63+H64</f>
        <v>0</v>
      </c>
    </row>
    <row r="66" spans="2:8" hidden="1">
      <c r="C66" s="2"/>
    </row>
    <row r="67" spans="2:8" hidden="1">
      <c r="C67" s="2"/>
    </row>
    <row r="68" spans="2:8" hidden="1">
      <c r="C68" s="2"/>
    </row>
    <row r="69" spans="2:8" hidden="1">
      <c r="C69" s="2"/>
      <c r="E69" s="8"/>
      <c r="F69" s="8"/>
    </row>
    <row r="70" spans="2:8" hidden="1">
      <c r="C70" s="2"/>
    </row>
    <row r="71" spans="2:8" hidden="1">
      <c r="C71" s="2"/>
      <c r="G71" s="34"/>
    </row>
    <row r="72" spans="2:8" hidden="1">
      <c r="C72" s="2"/>
    </row>
    <row r="73" spans="2:8" hidden="1">
      <c r="C73" s="2"/>
    </row>
    <row r="74" spans="2:8" hidden="1">
      <c r="C74" s="2"/>
    </row>
    <row r="75" spans="2:8" hidden="1">
      <c r="C75" s="2"/>
    </row>
    <row r="76" spans="2:8">
      <c r="B76" s="223" t="s">
        <v>69</v>
      </c>
      <c r="C76" s="2"/>
    </row>
    <row r="77" spans="2:8">
      <c r="C77" s="2"/>
    </row>
    <row r="78" spans="2:8">
      <c r="B78" s="35" t="s">
        <v>31</v>
      </c>
      <c r="C78" s="2"/>
    </row>
    <row r="79" spans="2:8">
      <c r="C79" s="2"/>
    </row>
    <row r="80" spans="2:8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</sheetData>
  <mergeCells count="2">
    <mergeCell ref="E28:F28"/>
    <mergeCell ref="G28:H28"/>
  </mergeCells>
  <pageMargins left="0.74803149606299213" right="0.74803149606299213" top="0.98425196850393704" bottom="0.98425196850393704" header="0" footer="0"/>
  <pageSetup paperSize="9" scale="48" orientation="landscape" horizontalDpi="1200" verticalDpi="12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I61"/>
  <sheetViews>
    <sheetView workbookViewId="0">
      <selection activeCell="B22" sqref="B22"/>
    </sheetView>
  </sheetViews>
  <sheetFormatPr baseColWidth="10" defaultColWidth="9.1640625" defaultRowHeight="13"/>
  <cols>
    <col min="1" max="1" width="11.5" style="160" customWidth="1"/>
    <col min="2" max="2" width="68.1640625" style="160" customWidth="1"/>
    <col min="3" max="3" width="17.1640625" style="160" customWidth="1"/>
    <col min="4" max="4" width="73.6640625" style="160" customWidth="1"/>
    <col min="5" max="5" width="11.5" style="160" customWidth="1"/>
    <col min="6" max="6" width="11.83203125" style="160" bestFit="1" customWidth="1"/>
    <col min="7" max="7" width="10.83203125" style="160" bestFit="1" customWidth="1"/>
    <col min="8" max="8" width="11.83203125" style="160" bestFit="1" customWidth="1"/>
    <col min="9" max="9" width="10.83203125" style="160" bestFit="1" customWidth="1"/>
    <col min="10" max="256" width="11.5" style="160" customWidth="1"/>
    <col min="257" max="16384" width="9.1640625" style="160"/>
  </cols>
  <sheetData>
    <row r="3" spans="1:3" ht="25">
      <c r="A3" s="183" t="s">
        <v>186</v>
      </c>
    </row>
    <row r="4" spans="1:3" ht="15">
      <c r="B4" s="175"/>
    </row>
    <row r="5" spans="1:3" ht="15">
      <c r="B5" s="182" t="s">
        <v>5</v>
      </c>
    </row>
    <row r="6" spans="1:3" ht="15">
      <c r="B6" s="198" t="s">
        <v>187</v>
      </c>
      <c r="C6" s="178"/>
    </row>
    <row r="7" spans="1:3" ht="15">
      <c r="B7" s="181" t="s">
        <v>188</v>
      </c>
      <c r="C7" s="178">
        <v>1552511</v>
      </c>
    </row>
    <row r="8" spans="1:3" ht="15">
      <c r="B8" s="181" t="s">
        <v>189</v>
      </c>
      <c r="C8" s="178">
        <v>200000</v>
      </c>
    </row>
    <row r="9" spans="1:3" ht="15">
      <c r="B9" s="181" t="s">
        <v>190</v>
      </c>
      <c r="C9" s="178"/>
    </row>
    <row r="10" spans="1:3" ht="15">
      <c r="B10" s="181" t="s">
        <v>191</v>
      </c>
      <c r="C10" s="178"/>
    </row>
    <row r="11" spans="1:3" ht="15">
      <c r="B11" s="199" t="s">
        <v>192</v>
      </c>
      <c r="C11" s="200">
        <f>C7-150000</f>
        <v>1402511</v>
      </c>
    </row>
    <row r="12" spans="1:3" ht="15">
      <c r="B12" s="181"/>
      <c r="C12" s="178"/>
    </row>
    <row r="13" spans="1:3" ht="15">
      <c r="B13" s="199" t="s">
        <v>193</v>
      </c>
      <c r="C13" s="178"/>
    </row>
    <row r="14" spans="1:3" ht="15">
      <c r="B14" s="181" t="s">
        <v>194</v>
      </c>
      <c r="C14" s="178">
        <v>4000</v>
      </c>
    </row>
    <row r="15" spans="1:3" ht="15">
      <c r="B15" s="181" t="s">
        <v>195</v>
      </c>
      <c r="C15" s="178">
        <v>1400</v>
      </c>
    </row>
    <row r="16" spans="1:3" ht="15">
      <c r="B16" s="181" t="s">
        <v>196</v>
      </c>
      <c r="C16" s="178">
        <f>0.015*C11</f>
        <v>21037.665000000001</v>
      </c>
    </row>
    <row r="17" spans="1:9" ht="15">
      <c r="B17" s="181" t="s">
        <v>68</v>
      </c>
      <c r="C17" s="178">
        <f>SUM(C14:C16)</f>
        <v>26437.665000000001</v>
      </c>
    </row>
    <row r="18" spans="1:9" ht="15">
      <c r="B18" s="181"/>
      <c r="C18" s="178"/>
    </row>
    <row r="19" spans="1:9" ht="15">
      <c r="B19" s="181"/>
      <c r="C19" s="178"/>
    </row>
    <row r="20" spans="1:9" ht="15">
      <c r="B20" s="175" t="s">
        <v>197</v>
      </c>
      <c r="C20" s="180">
        <v>0.05</v>
      </c>
      <c r="D20" s="160" t="s">
        <v>198</v>
      </c>
    </row>
    <row r="21" spans="1:9" ht="15">
      <c r="B21" s="175" t="s">
        <v>199</v>
      </c>
      <c r="C21" s="180">
        <f>C20/4</f>
        <v>1.2500000000000001E-2</v>
      </c>
      <c r="D21" s="179" t="s">
        <v>200</v>
      </c>
    </row>
    <row r="22" spans="1:9" ht="15">
      <c r="B22" s="175" t="s">
        <v>201</v>
      </c>
      <c r="C22" s="178">
        <v>30</v>
      </c>
      <c r="D22" s="175" t="s">
        <v>202</v>
      </c>
      <c r="F22" s="175" t="s">
        <v>5</v>
      </c>
    </row>
    <row r="23" spans="1:9" ht="15">
      <c r="B23" s="175" t="s">
        <v>203</v>
      </c>
      <c r="C23" s="178">
        <f>C22*4</f>
        <v>120</v>
      </c>
      <c r="D23" s="175" t="s">
        <v>204</v>
      </c>
    </row>
    <row r="24" spans="1:9" ht="15">
      <c r="B24" s="175"/>
    </row>
    <row r="25" spans="1:9" ht="16">
      <c r="B25" s="177" t="s">
        <v>205</v>
      </c>
    </row>
    <row r="26" spans="1:9" ht="15">
      <c r="B26" s="175" t="s">
        <v>206</v>
      </c>
      <c r="C26" s="176">
        <f>PMT(C20/4,C23,C11)</f>
        <v>-22627.40519812554</v>
      </c>
      <c r="D26" s="160" t="s">
        <v>207</v>
      </c>
    </row>
    <row r="27" spans="1:9" ht="15">
      <c r="B27" s="175"/>
    </row>
    <row r="29" spans="1:9">
      <c r="B29" s="170" t="s">
        <v>208</v>
      </c>
    </row>
    <row r="30" spans="1:9">
      <c r="A30" s="190" t="s">
        <v>5</v>
      </c>
      <c r="B30" s="160" t="s">
        <v>209</v>
      </c>
      <c r="D30" s="160" t="s">
        <v>5</v>
      </c>
      <c r="E30" s="160" t="s">
        <v>5</v>
      </c>
      <c r="F30" s="160" t="s">
        <v>5</v>
      </c>
      <c r="G30" s="160" t="s">
        <v>5</v>
      </c>
      <c r="H30" s="160" t="s">
        <v>210</v>
      </c>
      <c r="I30" s="160" t="s">
        <v>5</v>
      </c>
    </row>
    <row r="31" spans="1:9">
      <c r="A31" s="190"/>
      <c r="B31" s="160" t="s">
        <v>211</v>
      </c>
      <c r="C31" s="173" t="s">
        <v>212</v>
      </c>
      <c r="D31" s="174" t="s">
        <v>5</v>
      </c>
      <c r="E31" s="160" t="s">
        <v>5</v>
      </c>
      <c r="F31" s="173" t="s">
        <v>5</v>
      </c>
      <c r="G31" s="173" t="s">
        <v>5</v>
      </c>
      <c r="H31" s="173" t="s">
        <v>5</v>
      </c>
      <c r="I31" s="173" t="s">
        <v>5</v>
      </c>
    </row>
    <row r="32" spans="1:9">
      <c r="B32" s="167" t="s">
        <v>213</v>
      </c>
      <c r="C32" s="195">
        <f>_xll.AKKUM.RENTE(C20/4,C23,C11,1,4,0)</f>
        <v>-69740.15370841969</v>
      </c>
      <c r="D32" s="172" t="s">
        <v>214</v>
      </c>
      <c r="E32" s="160" t="s">
        <v>5</v>
      </c>
    </row>
    <row r="33" spans="2:6">
      <c r="B33" s="160" t="s">
        <v>215</v>
      </c>
      <c r="C33" s="226">
        <f>0.3404*C32</f>
        <v>-23739.548322346061</v>
      </c>
      <c r="D33" s="172" t="s">
        <v>5</v>
      </c>
      <c r="E33" s="160" t="s">
        <v>5</v>
      </c>
    </row>
    <row r="34" spans="2:6">
      <c r="B34" s="160" t="s">
        <v>216</v>
      </c>
      <c r="C34" s="226">
        <f>C32-C33</f>
        <v>-46000.605386073628</v>
      </c>
      <c r="D34" s="172"/>
    </row>
    <row r="35" spans="2:6">
      <c r="C35" s="172"/>
      <c r="D35" s="172"/>
    </row>
    <row r="36" spans="2:6">
      <c r="C36" s="172" t="s">
        <v>212</v>
      </c>
      <c r="D36" s="172" t="s">
        <v>217</v>
      </c>
    </row>
    <row r="37" spans="2:6" ht="16">
      <c r="B37" s="161" t="s">
        <v>218</v>
      </c>
      <c r="C37" s="201"/>
      <c r="E37" s="171"/>
      <c r="F37" s="171"/>
    </row>
    <row r="38" spans="2:6">
      <c r="B38" s="167" t="s">
        <v>219</v>
      </c>
      <c r="C38" s="202">
        <f>C34</f>
        <v>-46000.605386073628</v>
      </c>
      <c r="E38" s="171"/>
      <c r="F38" s="171"/>
    </row>
    <row r="39" spans="2:6">
      <c r="B39" s="167" t="s">
        <v>220</v>
      </c>
      <c r="C39" s="201">
        <f>4*C26-C32</f>
        <v>-20769.467084082469</v>
      </c>
      <c r="E39" s="171"/>
      <c r="F39" s="171"/>
    </row>
    <row r="40" spans="2:6">
      <c r="B40" s="160" t="s">
        <v>221</v>
      </c>
      <c r="C40" s="201">
        <f>C38+C39</f>
        <v>-66770.072470156098</v>
      </c>
      <c r="E40" s="171"/>
      <c r="F40" s="171"/>
    </row>
    <row r="41" spans="2:6">
      <c r="B41" s="203" t="s">
        <v>222</v>
      </c>
      <c r="C41" s="204">
        <f>C40/12</f>
        <v>-5564.1727058463412</v>
      </c>
      <c r="E41" s="171"/>
      <c r="F41" s="171"/>
    </row>
    <row r="42" spans="2:6">
      <c r="E42" s="171"/>
      <c r="F42" s="171"/>
    </row>
    <row r="43" spans="2:6">
      <c r="E43" s="171"/>
      <c r="F43" s="171"/>
    </row>
    <row r="44" spans="2:6">
      <c r="E44" s="171"/>
      <c r="F44" s="171"/>
    </row>
    <row r="46" spans="2:6" ht="16">
      <c r="B46" s="161"/>
      <c r="D46" s="170"/>
    </row>
    <row r="47" spans="2:6">
      <c r="B47" s="167"/>
      <c r="C47" s="166"/>
      <c r="D47" s="166"/>
    </row>
    <row r="48" spans="2:6">
      <c r="C48" s="166"/>
      <c r="D48" s="166"/>
    </row>
    <row r="49" spans="2:4">
      <c r="B49" s="169"/>
      <c r="C49" s="168"/>
      <c r="D49" s="166"/>
    </row>
    <row r="50" spans="2:4">
      <c r="B50" s="167"/>
      <c r="C50" s="166"/>
      <c r="D50" s="166"/>
    </row>
    <row r="51" spans="2:4">
      <c r="B51" s="165"/>
      <c r="C51" s="164"/>
      <c r="D51" s="164"/>
    </row>
    <row r="52" spans="2:4" ht="16">
      <c r="B52" s="163"/>
      <c r="C52" s="162"/>
      <c r="D52" s="162"/>
    </row>
    <row r="56" spans="2:4" ht="16">
      <c r="B56" s="161"/>
    </row>
    <row r="57" spans="2:4" ht="16">
      <c r="B57" s="161"/>
    </row>
    <row r="58" spans="2:4" ht="16">
      <c r="B58" s="161"/>
    </row>
    <row r="59" spans="2:4" ht="16">
      <c r="B59" s="161"/>
    </row>
    <row r="60" spans="2:4" ht="16">
      <c r="B60" s="161"/>
    </row>
    <row r="61" spans="2:4" ht="16">
      <c r="B61" s="161"/>
    </row>
  </sheetData>
  <pageMargins left="0.75" right="0.75" top="1" bottom="1" header="0" footer="0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T161"/>
  <sheetViews>
    <sheetView showGridLines="0" topLeftCell="A64" zoomScaleNormal="100" workbookViewId="0">
      <selection activeCell="B15" sqref="B15"/>
    </sheetView>
  </sheetViews>
  <sheetFormatPr baseColWidth="10" defaultColWidth="9.1640625" defaultRowHeight="13"/>
  <cols>
    <col min="1" max="1" width="28" style="57" customWidth="1"/>
    <col min="2" max="2" width="8.33203125" style="57" customWidth="1"/>
    <col min="3" max="3" width="9" style="57" customWidth="1"/>
    <col min="4" max="4" width="9.83203125" style="57" customWidth="1"/>
    <col min="5" max="5" width="10.83203125" style="57" customWidth="1"/>
    <col min="6" max="6" width="8.83203125" style="57" customWidth="1"/>
    <col min="7" max="7" width="8.1640625" style="57" customWidth="1"/>
    <col min="8" max="8" width="10.5" style="57" customWidth="1"/>
    <col min="9" max="9" width="8.33203125" style="57" customWidth="1"/>
    <col min="10" max="10" width="8.5" style="57" customWidth="1"/>
    <col min="11" max="11" width="8.83203125" style="57" customWidth="1"/>
    <col min="12" max="12" width="8.6640625" style="57" customWidth="1"/>
    <col min="13" max="13" width="8.83203125" style="57" customWidth="1"/>
    <col min="14" max="14" width="12.6640625" style="60" customWidth="1"/>
    <col min="15" max="33" width="11.5" style="59" customWidth="1"/>
    <col min="34" max="34" width="11.5" style="58" customWidth="1"/>
    <col min="35" max="256" width="11.5" style="57" customWidth="1"/>
    <col min="257" max="16384" width="9.1640625" style="57"/>
  </cols>
  <sheetData>
    <row r="1" spans="1:254" s="158" customFormat="1" ht="20">
      <c r="A1" s="159" t="s">
        <v>223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254" s="157" customForma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254" ht="16">
      <c r="A3" s="156" t="s">
        <v>71</v>
      </c>
      <c r="B3" s="155" t="s">
        <v>72</v>
      </c>
      <c r="C3" s="154" t="s">
        <v>73</v>
      </c>
      <c r="D3" s="154" t="s">
        <v>74</v>
      </c>
      <c r="E3" s="154" t="s">
        <v>75</v>
      </c>
      <c r="F3" s="154" t="s">
        <v>76</v>
      </c>
      <c r="G3" s="154" t="s">
        <v>77</v>
      </c>
      <c r="H3" s="154" t="s">
        <v>78</v>
      </c>
      <c r="I3" s="154" t="s">
        <v>79</v>
      </c>
      <c r="J3" s="154" t="s">
        <v>80</v>
      </c>
      <c r="K3" s="154" t="s">
        <v>81</v>
      </c>
      <c r="L3" s="154" t="s">
        <v>82</v>
      </c>
      <c r="M3" s="154" t="s">
        <v>83</v>
      </c>
      <c r="N3" s="153" t="s">
        <v>84</v>
      </c>
    </row>
    <row r="4" spans="1:254">
      <c r="A4" s="151" t="s">
        <v>224</v>
      </c>
      <c r="B4" s="101" t="e">
        <v>#REF!</v>
      </c>
      <c r="C4" s="100" t="e">
        <f t="shared" ref="C4:M5" si="0">B4</f>
        <v>#REF!</v>
      </c>
      <c r="D4" s="100" t="e">
        <f t="shared" si="0"/>
        <v>#REF!</v>
      </c>
      <c r="E4" s="100" t="e">
        <f t="shared" si="0"/>
        <v>#REF!</v>
      </c>
      <c r="F4" s="100" t="e">
        <f t="shared" si="0"/>
        <v>#REF!</v>
      </c>
      <c r="G4" s="100" t="e">
        <f t="shared" si="0"/>
        <v>#REF!</v>
      </c>
      <c r="H4" s="100" t="e">
        <f t="shared" si="0"/>
        <v>#REF!</v>
      </c>
      <c r="I4" s="100" t="e">
        <f t="shared" si="0"/>
        <v>#REF!</v>
      </c>
      <c r="J4" s="100" t="e">
        <f t="shared" si="0"/>
        <v>#REF!</v>
      </c>
      <c r="K4" s="100" t="e">
        <f t="shared" si="0"/>
        <v>#REF!</v>
      </c>
      <c r="L4" s="100" t="e">
        <f t="shared" si="0"/>
        <v>#REF!</v>
      </c>
      <c r="M4" s="100" t="e">
        <f t="shared" si="0"/>
        <v>#REF!</v>
      </c>
      <c r="N4" s="152" t="e">
        <f t="shared" ref="N4:N10" si="1">SUM(B4:M4)</f>
        <v>#REF!</v>
      </c>
    </row>
    <row r="5" spans="1:254">
      <c r="A5" s="151" t="s">
        <v>225</v>
      </c>
      <c r="B5" s="103" t="e">
        <v>#REF!</v>
      </c>
      <c r="C5" s="103" t="e">
        <f t="shared" si="0"/>
        <v>#REF!</v>
      </c>
      <c r="D5" s="103" t="e">
        <f t="shared" si="0"/>
        <v>#REF!</v>
      </c>
      <c r="E5" s="103" t="e">
        <f t="shared" si="0"/>
        <v>#REF!</v>
      </c>
      <c r="F5" s="103" t="e">
        <f t="shared" si="0"/>
        <v>#REF!</v>
      </c>
      <c r="G5" s="103" t="e">
        <f t="shared" si="0"/>
        <v>#REF!</v>
      </c>
      <c r="H5" s="103" t="e">
        <f t="shared" si="0"/>
        <v>#REF!</v>
      </c>
      <c r="I5" s="103" t="e">
        <f t="shared" si="0"/>
        <v>#REF!</v>
      </c>
      <c r="J5" s="103" t="e">
        <f t="shared" si="0"/>
        <v>#REF!</v>
      </c>
      <c r="K5" s="103" t="e">
        <f t="shared" si="0"/>
        <v>#REF!</v>
      </c>
      <c r="L5" s="103" t="e">
        <f t="shared" si="0"/>
        <v>#REF!</v>
      </c>
      <c r="M5" s="103" t="e">
        <f t="shared" si="0"/>
        <v>#REF!</v>
      </c>
      <c r="N5" s="150" t="e">
        <f t="shared" si="1"/>
        <v>#REF!</v>
      </c>
    </row>
    <row r="6" spans="1:254">
      <c r="A6" s="151" t="s">
        <v>87</v>
      </c>
      <c r="B6" s="101">
        <v>0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52">
        <f t="shared" si="1"/>
        <v>0</v>
      </c>
    </row>
    <row r="7" spans="1:254">
      <c r="A7" s="151" t="s">
        <v>88</v>
      </c>
      <c r="B7" s="103">
        <v>0</v>
      </c>
      <c r="C7" s="103">
        <v>0</v>
      </c>
      <c r="D7" s="103">
        <v>0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50">
        <f t="shared" si="1"/>
        <v>0</v>
      </c>
    </row>
    <row r="8" spans="1:254">
      <c r="A8" s="151" t="s">
        <v>89</v>
      </c>
      <c r="B8" s="101">
        <v>0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52">
        <f t="shared" si="1"/>
        <v>0</v>
      </c>
    </row>
    <row r="9" spans="1:254">
      <c r="A9" s="151" t="s">
        <v>90</v>
      </c>
      <c r="B9" s="103">
        <v>0</v>
      </c>
      <c r="C9" s="103">
        <v>0</v>
      </c>
      <c r="D9" s="103">
        <v>0</v>
      </c>
      <c r="E9" s="103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50">
        <f t="shared" si="1"/>
        <v>0</v>
      </c>
    </row>
    <row r="10" spans="1:254" s="94" customFormat="1" ht="16">
      <c r="A10" s="149" t="s">
        <v>91</v>
      </c>
      <c r="B10" s="111" t="e">
        <f t="shared" ref="B10:M10" si="2">SUM(B4:B9)</f>
        <v>#REF!</v>
      </c>
      <c r="C10" s="110" t="e">
        <f t="shared" si="2"/>
        <v>#REF!</v>
      </c>
      <c r="D10" s="110" t="e">
        <f t="shared" si="2"/>
        <v>#REF!</v>
      </c>
      <c r="E10" s="110" t="e">
        <f t="shared" si="2"/>
        <v>#REF!</v>
      </c>
      <c r="F10" s="110" t="e">
        <f t="shared" si="2"/>
        <v>#REF!</v>
      </c>
      <c r="G10" s="110" t="e">
        <f t="shared" si="2"/>
        <v>#REF!</v>
      </c>
      <c r="H10" s="110" t="e">
        <f t="shared" si="2"/>
        <v>#REF!</v>
      </c>
      <c r="I10" s="110" t="e">
        <f t="shared" si="2"/>
        <v>#REF!</v>
      </c>
      <c r="J10" s="110" t="e">
        <f t="shared" si="2"/>
        <v>#REF!</v>
      </c>
      <c r="K10" s="110" t="e">
        <f t="shared" si="2"/>
        <v>#REF!</v>
      </c>
      <c r="L10" s="110" t="e">
        <f t="shared" si="2"/>
        <v>#REF!</v>
      </c>
      <c r="M10" s="110" t="e">
        <f t="shared" si="2"/>
        <v>#REF!</v>
      </c>
      <c r="N10" s="148" t="e">
        <f t="shared" si="1"/>
        <v>#REF!</v>
      </c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95"/>
    </row>
    <row r="11" spans="1:254" s="116" customFormat="1" ht="12">
      <c r="A11" s="147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5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  <c r="HV11" s="144"/>
      <c r="HW11" s="144"/>
      <c r="HX11" s="144"/>
      <c r="HY11" s="144"/>
      <c r="HZ11" s="144"/>
      <c r="IA11" s="144"/>
      <c r="IB11" s="144"/>
      <c r="IC11" s="144"/>
      <c r="ID11" s="144"/>
      <c r="IE11" s="144"/>
      <c r="IF11" s="144"/>
      <c r="IG11" s="144"/>
      <c r="IH11" s="144"/>
      <c r="II11" s="144"/>
      <c r="IJ11" s="144"/>
      <c r="IK11" s="144"/>
      <c r="IL11" s="144"/>
      <c r="IM11" s="144"/>
      <c r="IN11" s="144"/>
      <c r="IO11" s="144"/>
      <c r="IP11" s="144"/>
      <c r="IQ11" s="144"/>
      <c r="IR11" s="144"/>
      <c r="IS11" s="144"/>
      <c r="IT11" s="144"/>
    </row>
    <row r="12" spans="1:254" s="59" customFormat="1">
      <c r="A12" s="143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1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40"/>
      <c r="FC12" s="140"/>
      <c r="FD12" s="140"/>
      <c r="FE12" s="140"/>
      <c r="FF12" s="140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0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140"/>
      <c r="GC12" s="140"/>
      <c r="GD12" s="140"/>
      <c r="GE12" s="140"/>
      <c r="GF12" s="140"/>
      <c r="GG12" s="140"/>
      <c r="GH12" s="140"/>
      <c r="GI12" s="140"/>
      <c r="GJ12" s="140"/>
      <c r="GK12" s="140"/>
      <c r="GL12" s="140"/>
      <c r="GM12" s="140"/>
      <c r="GN12" s="140"/>
      <c r="GO12" s="140"/>
      <c r="GP12" s="140"/>
      <c r="GQ12" s="140"/>
      <c r="GR12" s="140"/>
      <c r="GS12" s="140"/>
      <c r="GT12" s="140"/>
      <c r="GU12" s="140"/>
      <c r="GV12" s="140"/>
      <c r="GW12" s="140"/>
      <c r="GX12" s="140"/>
      <c r="GY12" s="140"/>
      <c r="GZ12" s="140"/>
      <c r="HA12" s="140"/>
      <c r="HB12" s="140"/>
      <c r="HC12" s="140"/>
      <c r="HD12" s="140"/>
      <c r="HE12" s="140"/>
      <c r="HF12" s="140"/>
      <c r="HG12" s="140"/>
      <c r="HH12" s="140"/>
      <c r="HI12" s="140"/>
      <c r="HJ12" s="140"/>
      <c r="HK12" s="140"/>
      <c r="HL12" s="140"/>
      <c r="HM12" s="140"/>
      <c r="HN12" s="140"/>
      <c r="HO12" s="140"/>
      <c r="HP12" s="140"/>
      <c r="HQ12" s="140"/>
      <c r="HR12" s="140"/>
      <c r="HS12" s="140"/>
      <c r="HT12" s="140"/>
      <c r="HU12" s="140"/>
      <c r="HV12" s="140"/>
      <c r="HW12" s="140"/>
      <c r="HX12" s="140"/>
      <c r="HY12" s="140"/>
      <c r="HZ12" s="140"/>
      <c r="IA12" s="140"/>
      <c r="IB12" s="140"/>
      <c r="IC12" s="140"/>
      <c r="ID12" s="140"/>
      <c r="IE12" s="140"/>
      <c r="IF12" s="140"/>
      <c r="IG12" s="140"/>
      <c r="IH12" s="140"/>
      <c r="II12" s="140"/>
      <c r="IJ12" s="140"/>
      <c r="IK12" s="140"/>
      <c r="IL12" s="140"/>
      <c r="IM12" s="140"/>
      <c r="IN12" s="140"/>
      <c r="IO12" s="140"/>
      <c r="IP12" s="140"/>
      <c r="IQ12" s="140"/>
      <c r="IR12" s="140"/>
      <c r="IS12" s="140"/>
      <c r="IT12" s="140"/>
    </row>
    <row r="13" spans="1:254" s="134" customFormat="1" ht="16">
      <c r="A13" s="139" t="s">
        <v>92</v>
      </c>
      <c r="B13" s="138" t="s">
        <v>72</v>
      </c>
      <c r="C13" s="137" t="s">
        <v>73</v>
      </c>
      <c r="D13" s="137" t="s">
        <v>74</v>
      </c>
      <c r="E13" s="137" t="s">
        <v>75</v>
      </c>
      <c r="F13" s="137" t="s">
        <v>76</v>
      </c>
      <c r="G13" s="137" t="s">
        <v>77</v>
      </c>
      <c r="H13" s="137" t="s">
        <v>78</v>
      </c>
      <c r="I13" s="137" t="s">
        <v>79</v>
      </c>
      <c r="J13" s="137" t="s">
        <v>80</v>
      </c>
      <c r="K13" s="137" t="s">
        <v>81</v>
      </c>
      <c r="L13" s="137" t="s">
        <v>82</v>
      </c>
      <c r="M13" s="137" t="s">
        <v>83</v>
      </c>
      <c r="N13" s="136" t="s">
        <v>84</v>
      </c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</row>
    <row r="14" spans="1:254">
      <c r="A14" s="98" t="s">
        <v>93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33"/>
    </row>
    <row r="15" spans="1:254">
      <c r="A15" s="102" t="s">
        <v>94</v>
      </c>
      <c r="B15" s="101">
        <f>176855/12</f>
        <v>14737.916666666666</v>
      </c>
      <c r="C15" s="100">
        <f t="shared" ref="C15:M16" si="3">B15</f>
        <v>14737.916666666666</v>
      </c>
      <c r="D15" s="100">
        <f t="shared" si="3"/>
        <v>14737.916666666666</v>
      </c>
      <c r="E15" s="100">
        <f t="shared" si="3"/>
        <v>14737.916666666666</v>
      </c>
      <c r="F15" s="100">
        <f t="shared" si="3"/>
        <v>14737.916666666666</v>
      </c>
      <c r="G15" s="100">
        <f t="shared" si="3"/>
        <v>14737.916666666666</v>
      </c>
      <c r="H15" s="100">
        <f t="shared" si="3"/>
        <v>14737.916666666666</v>
      </c>
      <c r="I15" s="100">
        <f t="shared" si="3"/>
        <v>14737.916666666666</v>
      </c>
      <c r="J15" s="100">
        <f t="shared" si="3"/>
        <v>14737.916666666666</v>
      </c>
      <c r="K15" s="100">
        <f t="shared" si="3"/>
        <v>14737.916666666666</v>
      </c>
      <c r="L15" s="100">
        <f t="shared" si="3"/>
        <v>14737.916666666666</v>
      </c>
      <c r="M15" s="100">
        <f t="shared" si="3"/>
        <v>14737.916666666666</v>
      </c>
      <c r="N15" s="124">
        <f t="shared" ref="N15:N26" si="4">SUM(B15:M15)</f>
        <v>176854.99999999997</v>
      </c>
    </row>
    <row r="16" spans="1:254">
      <c r="A16" s="102" t="s">
        <v>226</v>
      </c>
      <c r="B16" s="103" t="e">
        <v>#REF!</v>
      </c>
      <c r="C16" s="103" t="e">
        <f t="shared" si="3"/>
        <v>#REF!</v>
      </c>
      <c r="D16" s="103" t="e">
        <f t="shared" si="3"/>
        <v>#REF!</v>
      </c>
      <c r="E16" s="103" t="e">
        <f t="shared" si="3"/>
        <v>#REF!</v>
      </c>
      <c r="F16" s="103" t="e">
        <f t="shared" si="3"/>
        <v>#REF!</v>
      </c>
      <c r="G16" s="103" t="e">
        <f t="shared" si="3"/>
        <v>#REF!</v>
      </c>
      <c r="H16" s="103" t="e">
        <f t="shared" si="3"/>
        <v>#REF!</v>
      </c>
      <c r="I16" s="103" t="e">
        <f t="shared" si="3"/>
        <v>#REF!</v>
      </c>
      <c r="J16" s="103" t="e">
        <f t="shared" si="3"/>
        <v>#REF!</v>
      </c>
      <c r="K16" s="103" t="e">
        <f t="shared" si="3"/>
        <v>#REF!</v>
      </c>
      <c r="L16" s="103" t="e">
        <f t="shared" si="3"/>
        <v>#REF!</v>
      </c>
      <c r="M16" s="103" t="e">
        <f t="shared" si="3"/>
        <v>#REF!</v>
      </c>
      <c r="N16" s="123" t="e">
        <f t="shared" si="4"/>
        <v>#REF!</v>
      </c>
    </row>
    <row r="17" spans="1:34">
      <c r="A17" s="102" t="s">
        <v>96</v>
      </c>
      <c r="B17" s="101">
        <v>2043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100">
        <v>0</v>
      </c>
      <c r="N17" s="124">
        <f t="shared" si="4"/>
        <v>2043</v>
      </c>
    </row>
    <row r="18" spans="1:34">
      <c r="A18" s="102" t="s">
        <v>97</v>
      </c>
      <c r="B18" s="103">
        <f>26100/12</f>
        <v>2175</v>
      </c>
      <c r="C18" s="103">
        <f>B18</f>
        <v>2175</v>
      </c>
      <c r="D18" s="103">
        <f t="shared" ref="D18:M18" si="5">C18</f>
        <v>2175</v>
      </c>
      <c r="E18" s="103">
        <f t="shared" si="5"/>
        <v>2175</v>
      </c>
      <c r="F18" s="103">
        <f t="shared" si="5"/>
        <v>2175</v>
      </c>
      <c r="G18" s="103">
        <f t="shared" si="5"/>
        <v>2175</v>
      </c>
      <c r="H18" s="103">
        <f t="shared" si="5"/>
        <v>2175</v>
      </c>
      <c r="I18" s="103">
        <f t="shared" si="5"/>
        <v>2175</v>
      </c>
      <c r="J18" s="103">
        <f t="shared" si="5"/>
        <v>2175</v>
      </c>
      <c r="K18" s="103">
        <f t="shared" si="5"/>
        <v>2175</v>
      </c>
      <c r="L18" s="103">
        <f t="shared" si="5"/>
        <v>2175</v>
      </c>
      <c r="M18" s="103">
        <f t="shared" si="5"/>
        <v>2175</v>
      </c>
      <c r="N18" s="123">
        <f t="shared" si="4"/>
        <v>26100</v>
      </c>
    </row>
    <row r="19" spans="1:34">
      <c r="A19" s="102" t="s">
        <v>98</v>
      </c>
      <c r="B19" s="101">
        <f>(4090*1.5)/4</f>
        <v>1533.75</v>
      </c>
      <c r="C19" s="100">
        <v>0</v>
      </c>
      <c r="D19" s="100">
        <v>0</v>
      </c>
      <c r="E19" s="100">
        <f>B19</f>
        <v>1533.75</v>
      </c>
      <c r="F19" s="100">
        <v>0</v>
      </c>
      <c r="G19" s="100">
        <v>0</v>
      </c>
      <c r="H19" s="100">
        <f>E19</f>
        <v>1533.75</v>
      </c>
      <c r="I19" s="100">
        <v>0</v>
      </c>
      <c r="J19" s="100">
        <v>0</v>
      </c>
      <c r="K19" s="100">
        <f>H19</f>
        <v>1533.75</v>
      </c>
      <c r="L19" s="100">
        <v>0</v>
      </c>
      <c r="M19" s="100">
        <v>0</v>
      </c>
      <c r="N19" s="124">
        <f t="shared" si="4"/>
        <v>6135</v>
      </c>
      <c r="O19" s="59" t="s">
        <v>227</v>
      </c>
    </row>
    <row r="20" spans="1:34">
      <c r="A20" s="102" t="s">
        <v>99</v>
      </c>
      <c r="B20" s="103">
        <f>11581/12</f>
        <v>965.08333333333337</v>
      </c>
      <c r="C20" s="103">
        <f>B20</f>
        <v>965.08333333333337</v>
      </c>
      <c r="D20" s="103">
        <f t="shared" ref="D20:M20" si="6">C20</f>
        <v>965.08333333333337</v>
      </c>
      <c r="E20" s="103">
        <f t="shared" si="6"/>
        <v>965.08333333333337</v>
      </c>
      <c r="F20" s="103">
        <f t="shared" si="6"/>
        <v>965.08333333333337</v>
      </c>
      <c r="G20" s="103">
        <f t="shared" si="6"/>
        <v>965.08333333333337</v>
      </c>
      <c r="H20" s="103">
        <f t="shared" si="6"/>
        <v>965.08333333333337</v>
      </c>
      <c r="I20" s="103">
        <f t="shared" si="6"/>
        <v>965.08333333333337</v>
      </c>
      <c r="J20" s="103">
        <f t="shared" si="6"/>
        <v>965.08333333333337</v>
      </c>
      <c r="K20" s="103">
        <f t="shared" si="6"/>
        <v>965.08333333333337</v>
      </c>
      <c r="L20" s="103">
        <f t="shared" si="6"/>
        <v>965.08333333333337</v>
      </c>
      <c r="M20" s="103">
        <f t="shared" si="6"/>
        <v>965.08333333333337</v>
      </c>
      <c r="N20" s="123">
        <f t="shared" si="4"/>
        <v>11581.000000000002</v>
      </c>
    </row>
    <row r="21" spans="1:34">
      <c r="A21" s="102" t="s">
        <v>100</v>
      </c>
      <c r="B21" s="101">
        <f>18749/2</f>
        <v>9374.5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f>B21</f>
        <v>9374.5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99">
        <f t="shared" si="4"/>
        <v>18749</v>
      </c>
    </row>
    <row r="22" spans="1:34">
      <c r="A22" s="102" t="s">
        <v>101</v>
      </c>
      <c r="B22" s="103">
        <v>0</v>
      </c>
      <c r="C22" s="103">
        <f t="shared" ref="C22:M22" si="7">B22</f>
        <v>0</v>
      </c>
      <c r="D22" s="103">
        <f t="shared" si="7"/>
        <v>0</v>
      </c>
      <c r="E22" s="103">
        <f t="shared" si="7"/>
        <v>0</v>
      </c>
      <c r="F22" s="103">
        <f t="shared" si="7"/>
        <v>0</v>
      </c>
      <c r="G22" s="103">
        <f t="shared" si="7"/>
        <v>0</v>
      </c>
      <c r="H22" s="103">
        <f t="shared" si="7"/>
        <v>0</v>
      </c>
      <c r="I22" s="103">
        <f t="shared" si="7"/>
        <v>0</v>
      </c>
      <c r="J22" s="103">
        <f t="shared" si="7"/>
        <v>0</v>
      </c>
      <c r="K22" s="103">
        <f t="shared" si="7"/>
        <v>0</v>
      </c>
      <c r="L22" s="103">
        <f t="shared" si="7"/>
        <v>0</v>
      </c>
      <c r="M22" s="103">
        <f t="shared" si="7"/>
        <v>0</v>
      </c>
      <c r="N22" s="96">
        <f t="shared" si="4"/>
        <v>0</v>
      </c>
    </row>
    <row r="23" spans="1:34">
      <c r="A23" s="102" t="s">
        <v>102</v>
      </c>
      <c r="B23" s="101">
        <v>2350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0</v>
      </c>
      <c r="K23" s="100">
        <v>0</v>
      </c>
      <c r="L23" s="100">
        <v>0</v>
      </c>
      <c r="M23" s="100">
        <v>0</v>
      </c>
      <c r="N23" s="99">
        <f t="shared" si="4"/>
        <v>2350</v>
      </c>
    </row>
    <row r="24" spans="1:34">
      <c r="A24" s="102" t="s">
        <v>103</v>
      </c>
      <c r="B24" s="103">
        <v>1000</v>
      </c>
      <c r="C24" s="103">
        <f>B24</f>
        <v>1000</v>
      </c>
      <c r="D24" s="103">
        <f t="shared" ref="D24:M24" si="8">C24</f>
        <v>1000</v>
      </c>
      <c r="E24" s="103">
        <f t="shared" si="8"/>
        <v>1000</v>
      </c>
      <c r="F24" s="103">
        <f t="shared" si="8"/>
        <v>1000</v>
      </c>
      <c r="G24" s="103">
        <f t="shared" si="8"/>
        <v>1000</v>
      </c>
      <c r="H24" s="103">
        <f t="shared" si="8"/>
        <v>1000</v>
      </c>
      <c r="I24" s="103">
        <f t="shared" si="8"/>
        <v>1000</v>
      </c>
      <c r="J24" s="103">
        <f t="shared" si="8"/>
        <v>1000</v>
      </c>
      <c r="K24" s="103">
        <f t="shared" si="8"/>
        <v>1000</v>
      </c>
      <c r="L24" s="103">
        <f t="shared" si="8"/>
        <v>1000</v>
      </c>
      <c r="M24" s="103">
        <f t="shared" si="8"/>
        <v>1000</v>
      </c>
      <c r="N24" s="96">
        <f t="shared" si="4"/>
        <v>12000</v>
      </c>
      <c r="O24" s="194" t="s">
        <v>161</v>
      </c>
    </row>
    <row r="25" spans="1:34">
      <c r="A25" s="102" t="s">
        <v>104</v>
      </c>
      <c r="B25" s="101">
        <v>3997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99">
        <f t="shared" si="4"/>
        <v>3997</v>
      </c>
    </row>
    <row r="26" spans="1:34">
      <c r="A26" s="102" t="s">
        <v>90</v>
      </c>
      <c r="B26" s="103">
        <v>400</v>
      </c>
      <c r="C26" s="103">
        <v>0</v>
      </c>
      <c r="D26" s="103">
        <v>0</v>
      </c>
      <c r="E26" s="103">
        <v>0</v>
      </c>
      <c r="F26" s="103">
        <v>0</v>
      </c>
      <c r="G26" s="103">
        <v>0</v>
      </c>
      <c r="H26" s="103">
        <v>0</v>
      </c>
      <c r="I26" s="103">
        <v>0</v>
      </c>
      <c r="J26" s="103">
        <v>0</v>
      </c>
      <c r="K26" s="103">
        <v>0</v>
      </c>
      <c r="L26" s="103">
        <v>0</v>
      </c>
      <c r="M26" s="103">
        <v>0</v>
      </c>
      <c r="N26" s="96">
        <f t="shared" si="4"/>
        <v>400</v>
      </c>
    </row>
    <row r="27" spans="1:34" s="94" customFormat="1">
      <c r="A27" s="98" t="s">
        <v>105</v>
      </c>
      <c r="B27" s="122" t="e">
        <f t="shared" ref="B27:N27" si="9">SUM(B15:B26)</f>
        <v>#REF!</v>
      </c>
      <c r="C27" s="121" t="e">
        <f t="shared" si="9"/>
        <v>#REF!</v>
      </c>
      <c r="D27" s="121" t="e">
        <f t="shared" si="9"/>
        <v>#REF!</v>
      </c>
      <c r="E27" s="121" t="e">
        <f t="shared" si="9"/>
        <v>#REF!</v>
      </c>
      <c r="F27" s="121" t="e">
        <f t="shared" si="9"/>
        <v>#REF!</v>
      </c>
      <c r="G27" s="121" t="e">
        <f t="shared" si="9"/>
        <v>#REF!</v>
      </c>
      <c r="H27" s="121" t="e">
        <f t="shared" si="9"/>
        <v>#REF!</v>
      </c>
      <c r="I27" s="121" t="e">
        <f t="shared" si="9"/>
        <v>#REF!</v>
      </c>
      <c r="J27" s="121" t="e">
        <f t="shared" si="9"/>
        <v>#REF!</v>
      </c>
      <c r="K27" s="121" t="e">
        <f t="shared" si="9"/>
        <v>#REF!</v>
      </c>
      <c r="L27" s="121" t="e">
        <f t="shared" si="9"/>
        <v>#REF!</v>
      </c>
      <c r="M27" s="121" t="e">
        <f t="shared" si="9"/>
        <v>#REF!</v>
      </c>
      <c r="N27" s="120" t="e">
        <f t="shared" si="9"/>
        <v>#REF!</v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95"/>
    </row>
    <row r="28" spans="1:34" s="114" customFormat="1" ht="12">
      <c r="A28" s="108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2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5"/>
    </row>
    <row r="29" spans="1:34">
      <c r="A29" s="98" t="s">
        <v>106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4"/>
    </row>
    <row r="30" spans="1:34">
      <c r="A30" s="102" t="s">
        <v>107</v>
      </c>
      <c r="B30" s="132">
        <v>0</v>
      </c>
      <c r="C30" s="131">
        <v>0</v>
      </c>
      <c r="D30" s="131">
        <v>0</v>
      </c>
      <c r="E30" s="131">
        <v>0</v>
      </c>
      <c r="F30" s="131">
        <v>0</v>
      </c>
      <c r="G30" s="131">
        <v>0</v>
      </c>
      <c r="H30" s="131">
        <v>0</v>
      </c>
      <c r="I30" s="131">
        <v>0</v>
      </c>
      <c r="J30" s="131">
        <v>0</v>
      </c>
      <c r="K30" s="131">
        <v>0</v>
      </c>
      <c r="L30" s="131">
        <v>0</v>
      </c>
      <c r="M30" s="131">
        <v>0</v>
      </c>
      <c r="N30" s="130">
        <f t="shared" ref="N30:N36" si="10">SUM(B30:M30)</f>
        <v>0</v>
      </c>
    </row>
    <row r="31" spans="1:34">
      <c r="A31" s="102" t="s">
        <v>108</v>
      </c>
      <c r="B31" s="129">
        <v>0</v>
      </c>
      <c r="C31" s="129">
        <v>0</v>
      </c>
      <c r="D31" s="129">
        <v>0</v>
      </c>
      <c r="E31" s="129">
        <v>0</v>
      </c>
      <c r="F31" s="129">
        <v>0</v>
      </c>
      <c r="G31" s="129">
        <v>0</v>
      </c>
      <c r="H31" s="129">
        <v>0</v>
      </c>
      <c r="I31" s="129">
        <v>0</v>
      </c>
      <c r="J31" s="129">
        <v>0</v>
      </c>
      <c r="K31" s="129">
        <v>0</v>
      </c>
      <c r="L31" s="129">
        <v>0</v>
      </c>
      <c r="M31" s="129">
        <v>0</v>
      </c>
      <c r="N31" s="128">
        <f t="shared" si="10"/>
        <v>0</v>
      </c>
    </row>
    <row r="32" spans="1:34">
      <c r="A32" s="102" t="s">
        <v>109</v>
      </c>
      <c r="B32" s="127">
        <v>0</v>
      </c>
      <c r="C32" s="126">
        <f t="shared" ref="C32:M32" si="11">B32</f>
        <v>0</v>
      </c>
      <c r="D32" s="126">
        <f t="shared" si="11"/>
        <v>0</v>
      </c>
      <c r="E32" s="126">
        <f t="shared" si="11"/>
        <v>0</v>
      </c>
      <c r="F32" s="126">
        <f t="shared" si="11"/>
        <v>0</v>
      </c>
      <c r="G32" s="126">
        <f t="shared" si="11"/>
        <v>0</v>
      </c>
      <c r="H32" s="126">
        <f t="shared" si="11"/>
        <v>0</v>
      </c>
      <c r="I32" s="126">
        <f t="shared" si="11"/>
        <v>0</v>
      </c>
      <c r="J32" s="126">
        <f t="shared" si="11"/>
        <v>0</v>
      </c>
      <c r="K32" s="126">
        <f t="shared" si="11"/>
        <v>0</v>
      </c>
      <c r="L32" s="126">
        <f t="shared" si="11"/>
        <v>0</v>
      </c>
      <c r="M32" s="126">
        <f t="shared" si="11"/>
        <v>0</v>
      </c>
      <c r="N32" s="120">
        <f t="shared" si="10"/>
        <v>0</v>
      </c>
    </row>
    <row r="33" spans="1:34">
      <c r="A33" s="102" t="s">
        <v>110</v>
      </c>
      <c r="B33" s="125">
        <v>0</v>
      </c>
      <c r="C33" s="103">
        <v>0</v>
      </c>
      <c r="D33" s="103">
        <v>0</v>
      </c>
      <c r="E33" s="103">
        <v>0</v>
      </c>
      <c r="F33" s="103">
        <v>0</v>
      </c>
      <c r="G33" s="103">
        <v>0</v>
      </c>
      <c r="H33" s="103">
        <v>0</v>
      </c>
      <c r="I33" s="103">
        <v>0</v>
      </c>
      <c r="J33" s="103">
        <v>0</v>
      </c>
      <c r="K33" s="103">
        <v>0</v>
      </c>
      <c r="L33" s="103">
        <v>0</v>
      </c>
      <c r="M33" s="103">
        <v>0</v>
      </c>
      <c r="N33" s="96">
        <f t="shared" si="10"/>
        <v>0</v>
      </c>
    </row>
    <row r="34" spans="1:34">
      <c r="A34" s="102" t="s">
        <v>111</v>
      </c>
      <c r="B34" s="127">
        <v>0</v>
      </c>
      <c r="C34" s="126">
        <f t="shared" ref="C34:M34" si="12">B34</f>
        <v>0</v>
      </c>
      <c r="D34" s="126">
        <f t="shared" si="12"/>
        <v>0</v>
      </c>
      <c r="E34" s="126">
        <f t="shared" si="12"/>
        <v>0</v>
      </c>
      <c r="F34" s="126">
        <f t="shared" si="12"/>
        <v>0</v>
      </c>
      <c r="G34" s="126">
        <f t="shared" si="12"/>
        <v>0</v>
      </c>
      <c r="H34" s="126">
        <f t="shared" si="12"/>
        <v>0</v>
      </c>
      <c r="I34" s="126">
        <f t="shared" si="12"/>
        <v>0</v>
      </c>
      <c r="J34" s="126">
        <f t="shared" si="12"/>
        <v>0</v>
      </c>
      <c r="K34" s="126">
        <f t="shared" si="12"/>
        <v>0</v>
      </c>
      <c r="L34" s="126">
        <f t="shared" si="12"/>
        <v>0</v>
      </c>
      <c r="M34" s="126">
        <f t="shared" si="12"/>
        <v>0</v>
      </c>
      <c r="N34" s="120">
        <f t="shared" si="10"/>
        <v>0</v>
      </c>
    </row>
    <row r="35" spans="1:34">
      <c r="A35" s="102" t="s">
        <v>112</v>
      </c>
      <c r="B35" s="125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96">
        <f t="shared" si="10"/>
        <v>0</v>
      </c>
    </row>
    <row r="36" spans="1:34" s="94" customFormat="1">
      <c r="A36" s="98" t="s">
        <v>113</v>
      </c>
      <c r="B36" s="122">
        <f t="shared" ref="B36:M36" si="13">SUM(B30:B35)</f>
        <v>0</v>
      </c>
      <c r="C36" s="121">
        <f t="shared" si="13"/>
        <v>0</v>
      </c>
      <c r="D36" s="121">
        <f t="shared" si="13"/>
        <v>0</v>
      </c>
      <c r="E36" s="121">
        <f t="shared" si="13"/>
        <v>0</v>
      </c>
      <c r="F36" s="121">
        <f t="shared" si="13"/>
        <v>0</v>
      </c>
      <c r="G36" s="121">
        <f t="shared" si="13"/>
        <v>0</v>
      </c>
      <c r="H36" s="121">
        <f t="shared" si="13"/>
        <v>0</v>
      </c>
      <c r="I36" s="121">
        <f t="shared" si="13"/>
        <v>0</v>
      </c>
      <c r="J36" s="121">
        <f t="shared" si="13"/>
        <v>0</v>
      </c>
      <c r="K36" s="121">
        <f t="shared" si="13"/>
        <v>0</v>
      </c>
      <c r="L36" s="121">
        <f t="shared" si="13"/>
        <v>0</v>
      </c>
      <c r="M36" s="121">
        <f t="shared" si="13"/>
        <v>0</v>
      </c>
      <c r="N36" s="120">
        <f t="shared" si="10"/>
        <v>0</v>
      </c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95"/>
    </row>
    <row r="37" spans="1:34" s="114" customFormat="1" ht="12">
      <c r="A37" s="108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2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5"/>
    </row>
    <row r="38" spans="1:34">
      <c r="A38" s="98" t="s">
        <v>114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4"/>
    </row>
    <row r="39" spans="1:34">
      <c r="A39" s="102" t="s">
        <v>115</v>
      </c>
      <c r="B39" s="127">
        <v>0</v>
      </c>
      <c r="C39" s="126">
        <f t="shared" ref="C39:M39" si="14">B39</f>
        <v>0</v>
      </c>
      <c r="D39" s="126">
        <f t="shared" si="14"/>
        <v>0</v>
      </c>
      <c r="E39" s="126">
        <f t="shared" si="14"/>
        <v>0</v>
      </c>
      <c r="F39" s="126">
        <f t="shared" si="14"/>
        <v>0</v>
      </c>
      <c r="G39" s="126">
        <f t="shared" si="14"/>
        <v>0</v>
      </c>
      <c r="H39" s="126">
        <f t="shared" si="14"/>
        <v>0</v>
      </c>
      <c r="I39" s="126">
        <f t="shared" si="14"/>
        <v>0</v>
      </c>
      <c r="J39" s="126">
        <f t="shared" si="14"/>
        <v>0</v>
      </c>
      <c r="K39" s="126">
        <f t="shared" si="14"/>
        <v>0</v>
      </c>
      <c r="L39" s="126">
        <f t="shared" si="14"/>
        <v>0</v>
      </c>
      <c r="M39" s="126">
        <f t="shared" si="14"/>
        <v>0</v>
      </c>
      <c r="N39" s="120">
        <f>SUM(B39:M39)</f>
        <v>0</v>
      </c>
    </row>
    <row r="40" spans="1:34">
      <c r="A40" s="102" t="s">
        <v>90</v>
      </c>
      <c r="B40" s="125">
        <v>0</v>
      </c>
      <c r="C40" s="103">
        <v>0</v>
      </c>
      <c r="D40" s="103">
        <v>0</v>
      </c>
      <c r="E40" s="103">
        <v>0</v>
      </c>
      <c r="F40" s="103">
        <v>0</v>
      </c>
      <c r="G40" s="103">
        <v>0</v>
      </c>
      <c r="H40" s="103">
        <v>0</v>
      </c>
      <c r="I40" s="103">
        <v>0</v>
      </c>
      <c r="J40" s="103">
        <v>0</v>
      </c>
      <c r="K40" s="103">
        <v>0</v>
      </c>
      <c r="L40" s="103">
        <v>0</v>
      </c>
      <c r="M40" s="103">
        <v>0</v>
      </c>
      <c r="N40" s="96">
        <f>SUM(B40:M40)</f>
        <v>0</v>
      </c>
    </row>
    <row r="41" spans="1:34" s="94" customFormat="1">
      <c r="A41" s="98" t="s">
        <v>116</v>
      </c>
      <c r="B41" s="122">
        <f t="shared" ref="B41:M41" si="15">SUM(B39:B40)</f>
        <v>0</v>
      </c>
      <c r="C41" s="121">
        <f t="shared" si="15"/>
        <v>0</v>
      </c>
      <c r="D41" s="121">
        <f t="shared" si="15"/>
        <v>0</v>
      </c>
      <c r="E41" s="121">
        <f t="shared" si="15"/>
        <v>0</v>
      </c>
      <c r="F41" s="121">
        <f t="shared" si="15"/>
        <v>0</v>
      </c>
      <c r="G41" s="121">
        <f t="shared" si="15"/>
        <v>0</v>
      </c>
      <c r="H41" s="121">
        <f t="shared" si="15"/>
        <v>0</v>
      </c>
      <c r="I41" s="121">
        <f t="shared" si="15"/>
        <v>0</v>
      </c>
      <c r="J41" s="121">
        <f t="shared" si="15"/>
        <v>0</v>
      </c>
      <c r="K41" s="121">
        <f t="shared" si="15"/>
        <v>0</v>
      </c>
      <c r="L41" s="121">
        <f t="shared" si="15"/>
        <v>0</v>
      </c>
      <c r="M41" s="121">
        <f t="shared" si="15"/>
        <v>0</v>
      </c>
      <c r="N41" s="120">
        <f>SUM(B41:M41)</f>
        <v>0</v>
      </c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95"/>
    </row>
    <row r="42" spans="1:34" s="114" customFormat="1" ht="12">
      <c r="A42" s="108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2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5"/>
    </row>
    <row r="43" spans="1:34">
      <c r="A43" s="98" t="s">
        <v>117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4"/>
    </row>
    <row r="44" spans="1:34">
      <c r="A44" s="102" t="s">
        <v>118</v>
      </c>
      <c r="B44" s="101">
        <v>0</v>
      </c>
      <c r="C44" s="100">
        <f t="shared" ref="C44:M47" si="16">B44</f>
        <v>0</v>
      </c>
      <c r="D44" s="100">
        <f t="shared" si="16"/>
        <v>0</v>
      </c>
      <c r="E44" s="100">
        <f t="shared" si="16"/>
        <v>0</v>
      </c>
      <c r="F44" s="100">
        <f t="shared" si="16"/>
        <v>0</v>
      </c>
      <c r="G44" s="100">
        <f t="shared" si="16"/>
        <v>0</v>
      </c>
      <c r="H44" s="100">
        <f t="shared" si="16"/>
        <v>0</v>
      </c>
      <c r="I44" s="100">
        <f t="shared" si="16"/>
        <v>0</v>
      </c>
      <c r="J44" s="100">
        <f t="shared" si="16"/>
        <v>0</v>
      </c>
      <c r="K44" s="100">
        <f t="shared" si="16"/>
        <v>0</v>
      </c>
      <c r="L44" s="100">
        <f t="shared" si="16"/>
        <v>0</v>
      </c>
      <c r="M44" s="100">
        <f t="shared" si="16"/>
        <v>0</v>
      </c>
      <c r="N44" s="99">
        <f t="shared" ref="N44:N49" si="17">SUM(B44:M44)</f>
        <v>0</v>
      </c>
    </row>
    <row r="45" spans="1:34">
      <c r="A45" s="102" t="s">
        <v>119</v>
      </c>
      <c r="B45" s="103">
        <v>0</v>
      </c>
      <c r="C45" s="103">
        <f t="shared" si="16"/>
        <v>0</v>
      </c>
      <c r="D45" s="103">
        <f t="shared" si="16"/>
        <v>0</v>
      </c>
      <c r="E45" s="103">
        <f t="shared" si="16"/>
        <v>0</v>
      </c>
      <c r="F45" s="103">
        <f t="shared" si="16"/>
        <v>0</v>
      </c>
      <c r="G45" s="103">
        <f t="shared" si="16"/>
        <v>0</v>
      </c>
      <c r="H45" s="103">
        <f t="shared" si="16"/>
        <v>0</v>
      </c>
      <c r="I45" s="103">
        <f t="shared" si="16"/>
        <v>0</v>
      </c>
      <c r="J45" s="103">
        <f t="shared" si="16"/>
        <v>0</v>
      </c>
      <c r="K45" s="103">
        <f t="shared" si="16"/>
        <v>0</v>
      </c>
      <c r="L45" s="103">
        <f t="shared" si="16"/>
        <v>0</v>
      </c>
      <c r="M45" s="103">
        <f t="shared" si="16"/>
        <v>0</v>
      </c>
      <c r="N45" s="96">
        <f t="shared" si="17"/>
        <v>0</v>
      </c>
    </row>
    <row r="46" spans="1:34">
      <c r="A46" s="102" t="s">
        <v>120</v>
      </c>
      <c r="B46" s="101">
        <v>0</v>
      </c>
      <c r="C46" s="100">
        <f t="shared" si="16"/>
        <v>0</v>
      </c>
      <c r="D46" s="100">
        <f t="shared" si="16"/>
        <v>0</v>
      </c>
      <c r="E46" s="100">
        <f t="shared" si="16"/>
        <v>0</v>
      </c>
      <c r="F46" s="100">
        <f t="shared" si="16"/>
        <v>0</v>
      </c>
      <c r="G46" s="100">
        <f t="shared" si="16"/>
        <v>0</v>
      </c>
      <c r="H46" s="100">
        <f t="shared" si="16"/>
        <v>0</v>
      </c>
      <c r="I46" s="100">
        <f t="shared" si="16"/>
        <v>0</v>
      </c>
      <c r="J46" s="100">
        <f t="shared" si="16"/>
        <v>0</v>
      </c>
      <c r="K46" s="100">
        <f t="shared" si="16"/>
        <v>0</v>
      </c>
      <c r="L46" s="100">
        <f t="shared" si="16"/>
        <v>0</v>
      </c>
      <c r="M46" s="100">
        <f t="shared" si="16"/>
        <v>0</v>
      </c>
      <c r="N46" s="99">
        <f t="shared" si="17"/>
        <v>0</v>
      </c>
    </row>
    <row r="47" spans="1:34">
      <c r="A47" s="102" t="s">
        <v>121</v>
      </c>
      <c r="B47" s="103">
        <v>0</v>
      </c>
      <c r="C47" s="103">
        <f t="shared" si="16"/>
        <v>0</v>
      </c>
      <c r="D47" s="103">
        <f t="shared" si="16"/>
        <v>0</v>
      </c>
      <c r="E47" s="103">
        <f t="shared" si="16"/>
        <v>0</v>
      </c>
      <c r="F47" s="103">
        <f t="shared" si="16"/>
        <v>0</v>
      </c>
      <c r="G47" s="103">
        <f t="shared" si="16"/>
        <v>0</v>
      </c>
      <c r="H47" s="103">
        <f t="shared" si="16"/>
        <v>0</v>
      </c>
      <c r="I47" s="103">
        <f t="shared" si="16"/>
        <v>0</v>
      </c>
      <c r="J47" s="103">
        <f t="shared" si="16"/>
        <v>0</v>
      </c>
      <c r="K47" s="103">
        <f t="shared" si="16"/>
        <v>0</v>
      </c>
      <c r="L47" s="103">
        <f t="shared" si="16"/>
        <v>0</v>
      </c>
      <c r="M47" s="103">
        <f t="shared" si="16"/>
        <v>0</v>
      </c>
      <c r="N47" s="123">
        <f t="shared" si="17"/>
        <v>0</v>
      </c>
    </row>
    <row r="48" spans="1:34">
      <c r="A48" s="102" t="s">
        <v>122</v>
      </c>
      <c r="B48" s="101">
        <v>2200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24">
        <f t="shared" si="17"/>
        <v>2200</v>
      </c>
    </row>
    <row r="49" spans="1:34">
      <c r="A49" s="102" t="s">
        <v>90</v>
      </c>
      <c r="B49" s="103">
        <v>365</v>
      </c>
      <c r="C49" s="103">
        <f>B49</f>
        <v>365</v>
      </c>
      <c r="D49" s="103">
        <f t="shared" ref="D49:M49" si="18">C49</f>
        <v>365</v>
      </c>
      <c r="E49" s="103">
        <f t="shared" si="18"/>
        <v>365</v>
      </c>
      <c r="F49" s="103">
        <f t="shared" si="18"/>
        <v>365</v>
      </c>
      <c r="G49" s="103">
        <f t="shared" si="18"/>
        <v>365</v>
      </c>
      <c r="H49" s="103">
        <f t="shared" si="18"/>
        <v>365</v>
      </c>
      <c r="I49" s="103">
        <f t="shared" si="18"/>
        <v>365</v>
      </c>
      <c r="J49" s="103">
        <f t="shared" si="18"/>
        <v>365</v>
      </c>
      <c r="K49" s="103">
        <f t="shared" si="18"/>
        <v>365</v>
      </c>
      <c r="L49" s="103">
        <f t="shared" si="18"/>
        <v>365</v>
      </c>
      <c r="M49" s="103">
        <f t="shared" si="18"/>
        <v>365</v>
      </c>
      <c r="N49" s="123">
        <f t="shared" si="17"/>
        <v>4380</v>
      </c>
    </row>
    <row r="50" spans="1:34" s="94" customFormat="1">
      <c r="A50" s="98" t="s">
        <v>123</v>
      </c>
      <c r="B50" s="122">
        <f t="shared" ref="B50:N50" si="19">SUM(B44:B49)</f>
        <v>2565</v>
      </c>
      <c r="C50" s="121">
        <f t="shared" si="19"/>
        <v>365</v>
      </c>
      <c r="D50" s="121">
        <f t="shared" si="19"/>
        <v>365</v>
      </c>
      <c r="E50" s="121">
        <f t="shared" si="19"/>
        <v>365</v>
      </c>
      <c r="F50" s="121">
        <f t="shared" si="19"/>
        <v>365</v>
      </c>
      <c r="G50" s="121">
        <f t="shared" si="19"/>
        <v>365</v>
      </c>
      <c r="H50" s="121">
        <f t="shared" si="19"/>
        <v>365</v>
      </c>
      <c r="I50" s="121">
        <f t="shared" si="19"/>
        <v>365</v>
      </c>
      <c r="J50" s="121">
        <f t="shared" si="19"/>
        <v>365</v>
      </c>
      <c r="K50" s="121">
        <f t="shared" si="19"/>
        <v>365</v>
      </c>
      <c r="L50" s="121">
        <f t="shared" si="19"/>
        <v>365</v>
      </c>
      <c r="M50" s="121">
        <f t="shared" si="19"/>
        <v>365</v>
      </c>
      <c r="N50" s="120">
        <f t="shared" si="19"/>
        <v>6580</v>
      </c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95"/>
    </row>
    <row r="51" spans="1:34" s="114" customFormat="1" ht="12">
      <c r="A51" s="108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2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5"/>
    </row>
    <row r="52" spans="1:34">
      <c r="A52" s="98" t="s">
        <v>124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4"/>
    </row>
    <row r="53" spans="1:34">
      <c r="A53" s="102" t="s">
        <v>179</v>
      </c>
      <c r="B53" s="119">
        <v>2454</v>
      </c>
      <c r="C53" s="117" t="s">
        <v>5</v>
      </c>
      <c r="D53" s="117" t="s">
        <v>5</v>
      </c>
      <c r="E53" s="117">
        <f>B53</f>
        <v>2454</v>
      </c>
      <c r="F53" s="117" t="s">
        <v>5</v>
      </c>
      <c r="G53" s="117" t="s">
        <v>5</v>
      </c>
      <c r="H53" s="117">
        <f>E53</f>
        <v>2454</v>
      </c>
      <c r="I53" s="117" t="s">
        <v>5</v>
      </c>
      <c r="J53" s="117" t="s">
        <v>5</v>
      </c>
      <c r="K53" s="117">
        <f>H53</f>
        <v>2454</v>
      </c>
      <c r="L53" s="117" t="s">
        <v>5</v>
      </c>
      <c r="M53" s="117" t="s">
        <v>5</v>
      </c>
      <c r="N53" s="99">
        <f t="shared" ref="N53:N61" si="20">SUM(B53:M53)</f>
        <v>9816</v>
      </c>
    </row>
    <row r="54" spans="1:34">
      <c r="A54" s="102" t="s">
        <v>180</v>
      </c>
      <c r="B54" s="118">
        <v>1339</v>
      </c>
      <c r="C54" s="118">
        <f t="shared" ref="C54:M57" si="21">B54</f>
        <v>1339</v>
      </c>
      <c r="D54" s="118">
        <f t="shared" si="21"/>
        <v>1339</v>
      </c>
      <c r="E54" s="118">
        <f t="shared" si="21"/>
        <v>1339</v>
      </c>
      <c r="F54" s="118">
        <f t="shared" si="21"/>
        <v>1339</v>
      </c>
      <c r="G54" s="118">
        <f t="shared" si="21"/>
        <v>1339</v>
      </c>
      <c r="H54" s="118">
        <f t="shared" si="21"/>
        <v>1339</v>
      </c>
      <c r="I54" s="118">
        <f t="shared" si="21"/>
        <v>1339</v>
      </c>
      <c r="J54" s="118">
        <f t="shared" si="21"/>
        <v>1339</v>
      </c>
      <c r="K54" s="118">
        <f t="shared" si="21"/>
        <v>1339</v>
      </c>
      <c r="L54" s="118">
        <f t="shared" si="21"/>
        <v>1339</v>
      </c>
      <c r="M54" s="118">
        <f t="shared" si="21"/>
        <v>1339</v>
      </c>
      <c r="N54" s="96">
        <f t="shared" si="20"/>
        <v>16068</v>
      </c>
    </row>
    <row r="55" spans="1:34">
      <c r="A55" s="102" t="s">
        <v>126</v>
      </c>
      <c r="B55" s="119">
        <v>0</v>
      </c>
      <c r="C55" s="117">
        <f t="shared" si="21"/>
        <v>0</v>
      </c>
      <c r="D55" s="117">
        <f t="shared" si="21"/>
        <v>0</v>
      </c>
      <c r="E55" s="117">
        <f t="shared" si="21"/>
        <v>0</v>
      </c>
      <c r="F55" s="117">
        <f t="shared" si="21"/>
        <v>0</v>
      </c>
      <c r="G55" s="117">
        <f t="shared" si="21"/>
        <v>0</v>
      </c>
      <c r="H55" s="117">
        <f t="shared" si="21"/>
        <v>0</v>
      </c>
      <c r="I55" s="117">
        <f t="shared" si="21"/>
        <v>0</v>
      </c>
      <c r="J55" s="117">
        <f t="shared" si="21"/>
        <v>0</v>
      </c>
      <c r="K55" s="117">
        <f t="shared" si="21"/>
        <v>0</v>
      </c>
      <c r="L55" s="117">
        <f t="shared" si="21"/>
        <v>0</v>
      </c>
      <c r="M55" s="117">
        <f t="shared" si="21"/>
        <v>0</v>
      </c>
      <c r="N55" s="99">
        <f t="shared" si="20"/>
        <v>0</v>
      </c>
    </row>
    <row r="56" spans="1:34">
      <c r="A56" s="102" t="s">
        <v>126</v>
      </c>
      <c r="B56" s="118">
        <v>0</v>
      </c>
      <c r="C56" s="118">
        <f t="shared" si="21"/>
        <v>0</v>
      </c>
      <c r="D56" s="118">
        <f t="shared" si="21"/>
        <v>0</v>
      </c>
      <c r="E56" s="118">
        <f t="shared" si="21"/>
        <v>0</v>
      </c>
      <c r="F56" s="118">
        <f t="shared" si="21"/>
        <v>0</v>
      </c>
      <c r="G56" s="118">
        <f t="shared" si="21"/>
        <v>0</v>
      </c>
      <c r="H56" s="118">
        <f t="shared" si="21"/>
        <v>0</v>
      </c>
      <c r="I56" s="118">
        <f t="shared" si="21"/>
        <v>0</v>
      </c>
      <c r="J56" s="118">
        <f t="shared" si="21"/>
        <v>0</v>
      </c>
      <c r="K56" s="118">
        <f t="shared" si="21"/>
        <v>0</v>
      </c>
      <c r="L56" s="118">
        <f t="shared" si="21"/>
        <v>0</v>
      </c>
      <c r="M56" s="118">
        <f t="shared" si="21"/>
        <v>0</v>
      </c>
      <c r="N56" s="96">
        <f t="shared" si="20"/>
        <v>0</v>
      </c>
    </row>
    <row r="57" spans="1:34">
      <c r="A57" s="102" t="s">
        <v>127</v>
      </c>
      <c r="B57" s="119">
        <v>4345</v>
      </c>
      <c r="C57" s="117" t="s">
        <v>5</v>
      </c>
      <c r="D57" s="117" t="str">
        <f t="shared" si="21"/>
        <v xml:space="preserve"> </v>
      </c>
      <c r="E57" s="117" t="str">
        <f t="shared" si="21"/>
        <v xml:space="preserve"> </v>
      </c>
      <c r="F57" s="117" t="str">
        <f t="shared" si="21"/>
        <v xml:space="preserve"> </v>
      </c>
      <c r="G57" s="117" t="str">
        <f t="shared" si="21"/>
        <v xml:space="preserve"> </v>
      </c>
      <c r="H57" s="117" t="str">
        <f t="shared" si="21"/>
        <v xml:space="preserve"> </v>
      </c>
      <c r="I57" s="117" t="str">
        <f t="shared" si="21"/>
        <v xml:space="preserve"> </v>
      </c>
      <c r="J57" s="117" t="str">
        <f t="shared" si="21"/>
        <v xml:space="preserve"> </v>
      </c>
      <c r="K57" s="117" t="str">
        <f t="shared" si="21"/>
        <v xml:space="preserve"> </v>
      </c>
      <c r="L57" s="117" t="str">
        <f t="shared" si="21"/>
        <v xml:space="preserve"> </v>
      </c>
      <c r="M57" s="117" t="str">
        <f t="shared" si="21"/>
        <v xml:space="preserve"> </v>
      </c>
      <c r="N57" s="99">
        <f t="shared" si="20"/>
        <v>4345</v>
      </c>
    </row>
    <row r="58" spans="1:34">
      <c r="A58" s="102" t="s">
        <v>128</v>
      </c>
      <c r="B58" s="118">
        <v>0</v>
      </c>
      <c r="C58" s="118">
        <v>0</v>
      </c>
      <c r="D58" s="118">
        <v>0</v>
      </c>
      <c r="E58" s="118">
        <v>0</v>
      </c>
      <c r="F58" s="118">
        <v>0</v>
      </c>
      <c r="G58" s="118">
        <v>0</v>
      </c>
      <c r="H58" s="118">
        <v>0</v>
      </c>
      <c r="I58" s="118">
        <v>0</v>
      </c>
      <c r="J58" s="118">
        <v>0</v>
      </c>
      <c r="K58" s="118">
        <v>0</v>
      </c>
      <c r="L58" s="118">
        <v>0</v>
      </c>
      <c r="M58" s="118">
        <v>0</v>
      </c>
      <c r="N58" s="96">
        <f t="shared" si="20"/>
        <v>0</v>
      </c>
    </row>
    <row r="59" spans="1:34">
      <c r="A59" s="102" t="s">
        <v>129</v>
      </c>
      <c r="B59" s="119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99">
        <f t="shared" si="20"/>
        <v>0</v>
      </c>
    </row>
    <row r="60" spans="1:34">
      <c r="A60" s="102" t="s">
        <v>130</v>
      </c>
      <c r="B60" s="118">
        <v>0</v>
      </c>
      <c r="C60" s="118">
        <f t="shared" ref="C60:M60" si="22">B60</f>
        <v>0</v>
      </c>
      <c r="D60" s="118">
        <f t="shared" si="22"/>
        <v>0</v>
      </c>
      <c r="E60" s="118">
        <f t="shared" si="22"/>
        <v>0</v>
      </c>
      <c r="F60" s="118">
        <f t="shared" si="22"/>
        <v>0</v>
      </c>
      <c r="G60" s="118">
        <f t="shared" si="22"/>
        <v>0</v>
      </c>
      <c r="H60" s="118">
        <f t="shared" si="22"/>
        <v>0</v>
      </c>
      <c r="I60" s="118">
        <f t="shared" si="22"/>
        <v>0</v>
      </c>
      <c r="J60" s="118">
        <f t="shared" si="22"/>
        <v>0</v>
      </c>
      <c r="K60" s="118">
        <f t="shared" si="22"/>
        <v>0</v>
      </c>
      <c r="L60" s="118">
        <f t="shared" si="22"/>
        <v>0</v>
      </c>
      <c r="M60" s="118">
        <f t="shared" si="22"/>
        <v>0</v>
      </c>
      <c r="N60" s="96">
        <f t="shared" si="20"/>
        <v>0</v>
      </c>
    </row>
    <row r="61" spans="1:34">
      <c r="A61" s="102" t="s">
        <v>90</v>
      </c>
      <c r="B61" s="101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99">
        <f t="shared" si="20"/>
        <v>0</v>
      </c>
    </row>
    <row r="62" spans="1:34" s="94" customFormat="1">
      <c r="A62" s="98" t="s">
        <v>131</v>
      </c>
      <c r="B62" s="97">
        <f t="shared" ref="B62:N62" si="23">SUM(B53:B61)</f>
        <v>8138</v>
      </c>
      <c r="C62" s="97">
        <f t="shared" si="23"/>
        <v>1339</v>
      </c>
      <c r="D62" s="97">
        <f t="shared" si="23"/>
        <v>1339</v>
      </c>
      <c r="E62" s="97">
        <f t="shared" si="23"/>
        <v>3793</v>
      </c>
      <c r="F62" s="97">
        <f t="shared" si="23"/>
        <v>1339</v>
      </c>
      <c r="G62" s="97">
        <f t="shared" si="23"/>
        <v>1339</v>
      </c>
      <c r="H62" s="97">
        <f t="shared" si="23"/>
        <v>3793</v>
      </c>
      <c r="I62" s="97">
        <f t="shared" si="23"/>
        <v>1339</v>
      </c>
      <c r="J62" s="97">
        <f t="shared" si="23"/>
        <v>1339</v>
      </c>
      <c r="K62" s="97">
        <f t="shared" si="23"/>
        <v>3793</v>
      </c>
      <c r="L62" s="97">
        <f t="shared" si="23"/>
        <v>1339</v>
      </c>
      <c r="M62" s="97">
        <f t="shared" si="23"/>
        <v>1339</v>
      </c>
      <c r="N62" s="96">
        <f t="shared" si="23"/>
        <v>30229</v>
      </c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95"/>
    </row>
    <row r="63" spans="1:34" s="114" customFormat="1" ht="12">
      <c r="A63" s="108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2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5"/>
    </row>
    <row r="64" spans="1:34">
      <c r="A64" s="98" t="s">
        <v>132</v>
      </c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4"/>
    </row>
    <row r="65" spans="1:34">
      <c r="A65" s="102" t="s">
        <v>133</v>
      </c>
      <c r="B65" s="101">
        <v>0</v>
      </c>
      <c r="C65" s="100">
        <f t="shared" ref="C65:M67" si="24">B65</f>
        <v>0</v>
      </c>
      <c r="D65" s="100">
        <f t="shared" si="24"/>
        <v>0</v>
      </c>
      <c r="E65" s="100">
        <f t="shared" si="24"/>
        <v>0</v>
      </c>
      <c r="F65" s="100">
        <f t="shared" si="24"/>
        <v>0</v>
      </c>
      <c r="G65" s="100">
        <f t="shared" si="24"/>
        <v>0</v>
      </c>
      <c r="H65" s="100">
        <f t="shared" si="24"/>
        <v>0</v>
      </c>
      <c r="I65" s="100">
        <f t="shared" si="24"/>
        <v>0</v>
      </c>
      <c r="J65" s="100">
        <f t="shared" si="24"/>
        <v>0</v>
      </c>
      <c r="K65" s="100">
        <f t="shared" si="24"/>
        <v>0</v>
      </c>
      <c r="L65" s="100">
        <f t="shared" si="24"/>
        <v>0</v>
      </c>
      <c r="M65" s="100">
        <f t="shared" si="24"/>
        <v>0</v>
      </c>
      <c r="N65" s="99">
        <f>SUM(B65:M65)</f>
        <v>0</v>
      </c>
    </row>
    <row r="66" spans="1:34">
      <c r="A66" s="102" t="s">
        <v>134</v>
      </c>
      <c r="B66" s="103">
        <v>0</v>
      </c>
      <c r="C66" s="103">
        <f t="shared" si="24"/>
        <v>0</v>
      </c>
      <c r="D66" s="103">
        <f t="shared" si="24"/>
        <v>0</v>
      </c>
      <c r="E66" s="103">
        <f t="shared" si="24"/>
        <v>0</v>
      </c>
      <c r="F66" s="103">
        <f t="shared" si="24"/>
        <v>0</v>
      </c>
      <c r="G66" s="103">
        <f t="shared" si="24"/>
        <v>0</v>
      </c>
      <c r="H66" s="103">
        <f t="shared" si="24"/>
        <v>0</v>
      </c>
      <c r="I66" s="103">
        <f t="shared" si="24"/>
        <v>0</v>
      </c>
      <c r="J66" s="103">
        <f t="shared" si="24"/>
        <v>0</v>
      </c>
      <c r="K66" s="103">
        <f t="shared" si="24"/>
        <v>0</v>
      </c>
      <c r="L66" s="103">
        <f t="shared" si="24"/>
        <v>0</v>
      </c>
      <c r="M66" s="103">
        <f t="shared" si="24"/>
        <v>0</v>
      </c>
      <c r="N66" s="96">
        <f>SUM(B66:M66)</f>
        <v>0</v>
      </c>
    </row>
    <row r="67" spans="1:34">
      <c r="A67" s="102" t="s">
        <v>135</v>
      </c>
      <c r="B67" s="101">
        <v>0</v>
      </c>
      <c r="C67" s="100">
        <f t="shared" si="24"/>
        <v>0</v>
      </c>
      <c r="D67" s="100">
        <f t="shared" si="24"/>
        <v>0</v>
      </c>
      <c r="E67" s="100">
        <f t="shared" si="24"/>
        <v>0</v>
      </c>
      <c r="F67" s="100">
        <f t="shared" si="24"/>
        <v>0</v>
      </c>
      <c r="G67" s="100">
        <f t="shared" si="24"/>
        <v>0</v>
      </c>
      <c r="H67" s="100">
        <f t="shared" si="24"/>
        <v>0</v>
      </c>
      <c r="I67" s="100">
        <f t="shared" si="24"/>
        <v>0</v>
      </c>
      <c r="J67" s="100">
        <f t="shared" si="24"/>
        <v>0</v>
      </c>
      <c r="K67" s="100">
        <f t="shared" si="24"/>
        <v>0</v>
      </c>
      <c r="L67" s="100">
        <f t="shared" si="24"/>
        <v>0</v>
      </c>
      <c r="M67" s="100">
        <f t="shared" si="24"/>
        <v>0</v>
      </c>
      <c r="N67" s="99">
        <f>SUM(B67:M67)</f>
        <v>0</v>
      </c>
    </row>
    <row r="68" spans="1:34">
      <c r="A68" s="102" t="s">
        <v>136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96">
        <f>SUM(B68:M68)</f>
        <v>0</v>
      </c>
    </row>
    <row r="69" spans="1:34">
      <c r="A69" s="102" t="s">
        <v>90</v>
      </c>
      <c r="B69" s="101">
        <v>0</v>
      </c>
      <c r="C69" s="100">
        <v>0</v>
      </c>
      <c r="D69" s="100">
        <v>0</v>
      </c>
      <c r="E69" s="100">
        <v>0</v>
      </c>
      <c r="F69" s="100">
        <v>0</v>
      </c>
      <c r="G69" s="100">
        <v>0</v>
      </c>
      <c r="H69" s="100">
        <v>0</v>
      </c>
      <c r="I69" s="100">
        <v>0</v>
      </c>
      <c r="J69" s="100">
        <v>0</v>
      </c>
      <c r="K69" s="100">
        <v>0</v>
      </c>
      <c r="L69" s="100">
        <v>0</v>
      </c>
      <c r="M69" s="100">
        <v>0</v>
      </c>
      <c r="N69" s="99">
        <f>SUM(B69:M69)</f>
        <v>0</v>
      </c>
    </row>
    <row r="70" spans="1:34">
      <c r="A70" s="98" t="s">
        <v>137</v>
      </c>
      <c r="B70" s="97">
        <f t="shared" ref="B70:N70" si="25">SUM(B65:B69)</f>
        <v>0</v>
      </c>
      <c r="C70" s="97">
        <f t="shared" si="25"/>
        <v>0</v>
      </c>
      <c r="D70" s="97">
        <f t="shared" si="25"/>
        <v>0</v>
      </c>
      <c r="E70" s="97">
        <f t="shared" si="25"/>
        <v>0</v>
      </c>
      <c r="F70" s="97">
        <f t="shared" si="25"/>
        <v>0</v>
      </c>
      <c r="G70" s="97">
        <f t="shared" si="25"/>
        <v>0</v>
      </c>
      <c r="H70" s="97">
        <f t="shared" si="25"/>
        <v>0</v>
      </c>
      <c r="I70" s="97">
        <f t="shared" si="25"/>
        <v>0</v>
      </c>
      <c r="J70" s="97">
        <f t="shared" si="25"/>
        <v>0</v>
      </c>
      <c r="K70" s="97">
        <f t="shared" si="25"/>
        <v>0</v>
      </c>
      <c r="L70" s="97">
        <f t="shared" si="25"/>
        <v>0</v>
      </c>
      <c r="M70" s="97">
        <f t="shared" si="25"/>
        <v>0</v>
      </c>
      <c r="N70" s="96">
        <f t="shared" si="25"/>
        <v>0</v>
      </c>
    </row>
    <row r="71" spans="1:34" s="81" customFormat="1" ht="12">
      <c r="A71" s="108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2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2"/>
    </row>
    <row r="72" spans="1:34">
      <c r="A72" s="98" t="s">
        <v>138</v>
      </c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4"/>
    </row>
    <row r="73" spans="1:34">
      <c r="A73" s="102" t="s">
        <v>90</v>
      </c>
      <c r="B73" s="101">
        <v>0</v>
      </c>
      <c r="C73" s="100">
        <v>0</v>
      </c>
      <c r="D73" s="100">
        <v>0</v>
      </c>
      <c r="E73" s="100">
        <v>0</v>
      </c>
      <c r="F73" s="100">
        <v>0</v>
      </c>
      <c r="G73" s="100">
        <v>0</v>
      </c>
      <c r="H73" s="100">
        <v>0</v>
      </c>
      <c r="I73" s="100">
        <v>0</v>
      </c>
      <c r="J73" s="100">
        <v>0</v>
      </c>
      <c r="K73" s="100">
        <v>0</v>
      </c>
      <c r="L73" s="100">
        <v>0</v>
      </c>
      <c r="M73" s="100">
        <v>0</v>
      </c>
      <c r="N73" s="99">
        <f>SUM(B73:M73)</f>
        <v>0</v>
      </c>
    </row>
    <row r="74" spans="1:34">
      <c r="A74" s="102" t="s">
        <v>90</v>
      </c>
      <c r="B74" s="103">
        <v>0</v>
      </c>
      <c r="C74" s="103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>
        <v>0</v>
      </c>
      <c r="J74" s="103">
        <v>0</v>
      </c>
      <c r="K74" s="103">
        <v>0</v>
      </c>
      <c r="L74" s="103">
        <v>0</v>
      </c>
      <c r="M74" s="103">
        <v>0</v>
      </c>
      <c r="N74" s="96">
        <f>SUM(B74:M74)</f>
        <v>0</v>
      </c>
    </row>
    <row r="75" spans="1:34">
      <c r="A75" s="98" t="s">
        <v>139</v>
      </c>
      <c r="B75" s="111">
        <f t="shared" ref="B75:N75" si="26">SUM(B73:B74)</f>
        <v>0</v>
      </c>
      <c r="C75" s="110">
        <f t="shared" si="26"/>
        <v>0</v>
      </c>
      <c r="D75" s="110">
        <f t="shared" si="26"/>
        <v>0</v>
      </c>
      <c r="E75" s="110">
        <f t="shared" si="26"/>
        <v>0</v>
      </c>
      <c r="F75" s="110">
        <f t="shared" si="26"/>
        <v>0</v>
      </c>
      <c r="G75" s="110">
        <f t="shared" si="26"/>
        <v>0</v>
      </c>
      <c r="H75" s="110">
        <f t="shared" si="26"/>
        <v>0</v>
      </c>
      <c r="I75" s="110">
        <f t="shared" si="26"/>
        <v>0</v>
      </c>
      <c r="J75" s="110">
        <f t="shared" si="26"/>
        <v>0</v>
      </c>
      <c r="K75" s="110">
        <f t="shared" si="26"/>
        <v>0</v>
      </c>
      <c r="L75" s="110">
        <f t="shared" si="26"/>
        <v>0</v>
      </c>
      <c r="M75" s="110">
        <f t="shared" si="26"/>
        <v>0</v>
      </c>
      <c r="N75" s="109">
        <f t="shared" si="26"/>
        <v>0</v>
      </c>
    </row>
    <row r="76" spans="1:34" s="81" customFormat="1" ht="12">
      <c r="A76" s="108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6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2"/>
    </row>
    <row r="77" spans="1:34">
      <c r="A77" s="98" t="s">
        <v>90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4"/>
    </row>
    <row r="78" spans="1:34">
      <c r="A78" s="102" t="s">
        <v>140</v>
      </c>
      <c r="B78" s="101">
        <v>2000</v>
      </c>
      <c r="C78" s="100">
        <f>B78</f>
        <v>2000</v>
      </c>
      <c r="D78" s="100">
        <f t="shared" ref="D78:M78" si="27">C78</f>
        <v>2000</v>
      </c>
      <c r="E78" s="100">
        <f t="shared" si="27"/>
        <v>2000</v>
      </c>
      <c r="F78" s="100">
        <f t="shared" si="27"/>
        <v>2000</v>
      </c>
      <c r="G78" s="100">
        <f t="shared" si="27"/>
        <v>2000</v>
      </c>
      <c r="H78" s="100">
        <f t="shared" si="27"/>
        <v>2000</v>
      </c>
      <c r="I78" s="100">
        <f t="shared" si="27"/>
        <v>2000</v>
      </c>
      <c r="J78" s="100">
        <f t="shared" si="27"/>
        <v>2000</v>
      </c>
      <c r="K78" s="100">
        <f t="shared" si="27"/>
        <v>2000</v>
      </c>
      <c r="L78" s="100">
        <f t="shared" si="27"/>
        <v>2000</v>
      </c>
      <c r="M78" s="100">
        <f t="shared" si="27"/>
        <v>2000</v>
      </c>
      <c r="N78" s="99">
        <f>SUM(B78:M78)</f>
        <v>24000</v>
      </c>
    </row>
    <row r="79" spans="1:34">
      <c r="A79" s="102" t="s">
        <v>141</v>
      </c>
      <c r="B79" s="103">
        <v>0</v>
      </c>
      <c r="C79" s="103">
        <v>0</v>
      </c>
      <c r="D79" s="103">
        <v>0</v>
      </c>
      <c r="E79" s="103">
        <v>0</v>
      </c>
      <c r="F79" s="103">
        <v>0</v>
      </c>
      <c r="G79" s="103">
        <v>0</v>
      </c>
      <c r="H79" s="103">
        <v>0</v>
      </c>
      <c r="I79" s="103">
        <v>0</v>
      </c>
      <c r="J79" s="103">
        <v>0</v>
      </c>
      <c r="K79" s="103">
        <v>0</v>
      </c>
      <c r="L79" s="103">
        <v>0</v>
      </c>
      <c r="M79" s="103">
        <v>0</v>
      </c>
      <c r="N79" s="96">
        <f>SUM(B79:M79)</f>
        <v>0</v>
      </c>
    </row>
    <row r="80" spans="1:34">
      <c r="A80" s="102" t="s">
        <v>141</v>
      </c>
      <c r="B80" s="101">
        <v>0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99">
        <f>SUM(B80:M80)</f>
        <v>0</v>
      </c>
    </row>
    <row r="81" spans="1:34" s="94" customFormat="1">
      <c r="A81" s="98" t="s">
        <v>142</v>
      </c>
      <c r="B81" s="97">
        <f t="shared" ref="B81:N81" si="28">SUM(B78:B80)</f>
        <v>2000</v>
      </c>
      <c r="C81" s="97">
        <f t="shared" si="28"/>
        <v>2000</v>
      </c>
      <c r="D81" s="97">
        <f t="shared" si="28"/>
        <v>2000</v>
      </c>
      <c r="E81" s="97">
        <f t="shared" si="28"/>
        <v>2000</v>
      </c>
      <c r="F81" s="97">
        <f t="shared" si="28"/>
        <v>2000</v>
      </c>
      <c r="G81" s="97">
        <f t="shared" si="28"/>
        <v>2000</v>
      </c>
      <c r="H81" s="97">
        <f t="shared" si="28"/>
        <v>2000</v>
      </c>
      <c r="I81" s="97">
        <f t="shared" si="28"/>
        <v>2000</v>
      </c>
      <c r="J81" s="97">
        <f t="shared" si="28"/>
        <v>2000</v>
      </c>
      <c r="K81" s="97">
        <f t="shared" si="28"/>
        <v>2000</v>
      </c>
      <c r="L81" s="97">
        <f t="shared" si="28"/>
        <v>2000</v>
      </c>
      <c r="M81" s="97">
        <f t="shared" si="28"/>
        <v>2000</v>
      </c>
      <c r="N81" s="96">
        <f t="shared" si="28"/>
        <v>24000</v>
      </c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95"/>
    </row>
    <row r="82" spans="1:34" s="81" customFormat="1" ht="12">
      <c r="A82" s="93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1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2"/>
    </row>
    <row r="83" spans="1:34" ht="16">
      <c r="A83" s="90" t="s">
        <v>143</v>
      </c>
      <c r="B83" s="89" t="e">
        <f t="shared" ref="B83:N83" si="29">B27+B36+B41+B50+B62+B70+B75+B81</f>
        <v>#REF!</v>
      </c>
      <c r="C83" s="88" t="e">
        <f t="shared" si="29"/>
        <v>#REF!</v>
      </c>
      <c r="D83" s="88" t="e">
        <f t="shared" si="29"/>
        <v>#REF!</v>
      </c>
      <c r="E83" s="88" t="e">
        <f t="shared" si="29"/>
        <v>#REF!</v>
      </c>
      <c r="F83" s="88" t="e">
        <f t="shared" si="29"/>
        <v>#REF!</v>
      </c>
      <c r="G83" s="88" t="e">
        <f t="shared" si="29"/>
        <v>#REF!</v>
      </c>
      <c r="H83" s="88" t="e">
        <f t="shared" si="29"/>
        <v>#REF!</v>
      </c>
      <c r="I83" s="88" t="e">
        <f t="shared" si="29"/>
        <v>#REF!</v>
      </c>
      <c r="J83" s="88" t="e">
        <f t="shared" si="29"/>
        <v>#REF!</v>
      </c>
      <c r="K83" s="88" t="e">
        <f t="shared" si="29"/>
        <v>#REF!</v>
      </c>
      <c r="L83" s="88" t="e">
        <f t="shared" si="29"/>
        <v>#REF!</v>
      </c>
      <c r="M83" s="88" t="e">
        <f t="shared" si="29"/>
        <v>#REF!</v>
      </c>
      <c r="N83" s="87" t="e">
        <f t="shared" si="29"/>
        <v>#REF!</v>
      </c>
    </row>
    <row r="84" spans="1:34" s="81" customFormat="1" ht="12">
      <c r="A84" s="86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4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2"/>
    </row>
    <row r="85" spans="1:34" ht="14.25" customHeight="1">
      <c r="A85" s="80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</row>
    <row r="86" spans="1:34" ht="16">
      <c r="A86" s="78" t="s">
        <v>144</v>
      </c>
      <c r="B86" s="77" t="str">
        <f t="shared" ref="B86:N86" si="30">B3</f>
        <v>jan</v>
      </c>
      <c r="C86" s="76" t="str">
        <f t="shared" si="30"/>
        <v>feb</v>
      </c>
      <c r="D86" s="76" t="str">
        <f t="shared" si="30"/>
        <v>mar</v>
      </c>
      <c r="E86" s="76" t="str">
        <f t="shared" si="30"/>
        <v>apr</v>
      </c>
      <c r="F86" s="76" t="str">
        <f t="shared" si="30"/>
        <v>maj</v>
      </c>
      <c r="G86" s="76" t="str">
        <f t="shared" si="30"/>
        <v xml:space="preserve">juni </v>
      </c>
      <c r="H86" s="76" t="str">
        <f t="shared" si="30"/>
        <v>juli</v>
      </c>
      <c r="I86" s="76" t="str">
        <f t="shared" si="30"/>
        <v>aug</v>
      </c>
      <c r="J86" s="76" t="str">
        <f t="shared" si="30"/>
        <v>sept</v>
      </c>
      <c r="K86" s="76" t="str">
        <f t="shared" si="30"/>
        <v>okt</v>
      </c>
      <c r="L86" s="76" t="str">
        <f t="shared" si="30"/>
        <v>nov</v>
      </c>
      <c r="M86" s="76" t="str">
        <f t="shared" si="30"/>
        <v>dec</v>
      </c>
      <c r="N86" s="75" t="str">
        <f t="shared" si="30"/>
        <v>TOTAL</v>
      </c>
    </row>
    <row r="87" spans="1:34">
      <c r="A87" s="74" t="s">
        <v>145</v>
      </c>
      <c r="B87" s="73" t="e">
        <f t="shared" ref="B87:N87" si="31">SUM(B10-B83)</f>
        <v>#REF!</v>
      </c>
      <c r="C87" s="72" t="e">
        <f t="shared" si="31"/>
        <v>#REF!</v>
      </c>
      <c r="D87" s="72" t="e">
        <f t="shared" si="31"/>
        <v>#REF!</v>
      </c>
      <c r="E87" s="72" t="e">
        <f t="shared" si="31"/>
        <v>#REF!</v>
      </c>
      <c r="F87" s="72" t="e">
        <f t="shared" si="31"/>
        <v>#REF!</v>
      </c>
      <c r="G87" s="72" t="e">
        <f t="shared" si="31"/>
        <v>#REF!</v>
      </c>
      <c r="H87" s="72" t="e">
        <f t="shared" si="31"/>
        <v>#REF!</v>
      </c>
      <c r="I87" s="72" t="e">
        <f t="shared" si="31"/>
        <v>#REF!</v>
      </c>
      <c r="J87" s="72" t="e">
        <f t="shared" si="31"/>
        <v>#REF!</v>
      </c>
      <c r="K87" s="72" t="e">
        <f t="shared" si="31"/>
        <v>#REF!</v>
      </c>
      <c r="L87" s="72" t="e">
        <f t="shared" si="31"/>
        <v>#REF!</v>
      </c>
      <c r="M87" s="72" t="e">
        <f t="shared" si="31"/>
        <v>#REF!</v>
      </c>
      <c r="N87" s="71" t="e">
        <f t="shared" si="31"/>
        <v>#REF!</v>
      </c>
    </row>
    <row r="88" spans="1:34">
      <c r="A88" s="68" t="s">
        <v>146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69" t="e">
        <f>N87</f>
        <v>#REF!</v>
      </c>
    </row>
    <row r="89" spans="1:34">
      <c r="A89" s="68" t="s">
        <v>147</v>
      </c>
      <c r="B89" s="67" t="e">
        <f t="shared" ref="B89:M89" si="32">B87</f>
        <v>#REF!</v>
      </c>
      <c r="C89" s="66" t="e">
        <f t="shared" si="32"/>
        <v>#REF!</v>
      </c>
      <c r="D89" s="66" t="e">
        <f t="shared" si="32"/>
        <v>#REF!</v>
      </c>
      <c r="E89" s="66" t="e">
        <f t="shared" si="32"/>
        <v>#REF!</v>
      </c>
      <c r="F89" s="66" t="e">
        <f t="shared" si="32"/>
        <v>#REF!</v>
      </c>
      <c r="G89" s="66" t="e">
        <f t="shared" si="32"/>
        <v>#REF!</v>
      </c>
      <c r="H89" s="66" t="e">
        <f t="shared" si="32"/>
        <v>#REF!</v>
      </c>
      <c r="I89" s="66" t="e">
        <f t="shared" si="32"/>
        <v>#REF!</v>
      </c>
      <c r="J89" s="66" t="e">
        <f t="shared" si="32"/>
        <v>#REF!</v>
      </c>
      <c r="K89" s="66" t="e">
        <f t="shared" si="32"/>
        <v>#REF!</v>
      </c>
      <c r="L89" s="66" t="e">
        <f t="shared" si="32"/>
        <v>#REF!</v>
      </c>
      <c r="M89" s="66" t="e">
        <f t="shared" si="32"/>
        <v>#REF!</v>
      </c>
      <c r="N89" s="65" t="e">
        <f>N88/12</f>
        <v>#REF!</v>
      </c>
    </row>
    <row r="90" spans="1:34" s="59" customFormat="1">
      <c r="A90" s="64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2"/>
    </row>
    <row r="91" spans="1:34" s="59" customFormat="1">
      <c r="N91" s="61"/>
    </row>
    <row r="92" spans="1:34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61"/>
    </row>
    <row r="93" spans="1:34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61"/>
    </row>
    <row r="94" spans="1:3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61"/>
    </row>
    <row r="95" spans="1:34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61"/>
    </row>
    <row r="96" spans="1:34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61"/>
    </row>
    <row r="97" spans="1:14" s="57" customForma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61"/>
    </row>
    <row r="98" spans="1:14" s="57" customForma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61"/>
    </row>
    <row r="99" spans="1:14" s="57" customForma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61"/>
    </row>
    <row r="100" spans="1:14" s="57" customForma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61"/>
    </row>
    <row r="101" spans="1:14" s="57" customForma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61"/>
    </row>
    <row r="102" spans="1:14" s="57" customForma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61"/>
    </row>
    <row r="103" spans="1:14" s="57" customForma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61"/>
    </row>
    <row r="104" spans="1:14" s="57" customForma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61"/>
    </row>
    <row r="105" spans="1:14" s="57" customForma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61"/>
    </row>
    <row r="106" spans="1:14" s="57" customForma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61"/>
    </row>
    <row r="107" spans="1:14" s="57" customForma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61"/>
    </row>
    <row r="108" spans="1:14" s="57" customForma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61"/>
    </row>
    <row r="109" spans="1:14" s="57" customForma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61"/>
    </row>
    <row r="110" spans="1:14" s="57" customForma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61"/>
    </row>
    <row r="111" spans="1:14" s="57" customForma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61"/>
    </row>
    <row r="112" spans="1:14" s="57" customForma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61"/>
    </row>
    <row r="113" spans="1:14" s="57" customForma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61"/>
    </row>
    <row r="114" spans="1:14" s="57" customForma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61"/>
    </row>
    <row r="115" spans="1:14" s="57" customForma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61"/>
    </row>
    <row r="116" spans="1:14" s="57" customForma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61"/>
    </row>
    <row r="117" spans="1:14" s="57" customForma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61"/>
    </row>
    <row r="118" spans="1:14" s="57" customForma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61"/>
    </row>
    <row r="119" spans="1:14" s="57" customForma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61"/>
    </row>
    <row r="120" spans="1:14" s="57" customForma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61"/>
    </row>
    <row r="121" spans="1:14" s="57" customForma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61"/>
    </row>
    <row r="122" spans="1:14" s="57" customForma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61"/>
    </row>
    <row r="123" spans="1:14" s="57" customForma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61"/>
    </row>
    <row r="124" spans="1:14" s="57" customForma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61"/>
    </row>
    <row r="125" spans="1:14" s="57" customForma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61"/>
    </row>
    <row r="126" spans="1:14" s="57" customForma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61"/>
    </row>
    <row r="127" spans="1:14" s="57" customForma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61"/>
    </row>
    <row r="128" spans="1:14" s="57" customForma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61"/>
    </row>
    <row r="129" spans="1:14" s="57" customForma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61"/>
    </row>
    <row r="130" spans="1:14" s="57" customForma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61"/>
    </row>
    <row r="131" spans="1:14" s="57" customForma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61"/>
    </row>
    <row r="132" spans="1:14" s="57" customForma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61"/>
    </row>
    <row r="133" spans="1:14" s="57" customForma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61"/>
    </row>
    <row r="134" spans="1:14" s="57" customForma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61"/>
    </row>
    <row r="135" spans="1:14" s="57" customForma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61"/>
    </row>
    <row r="136" spans="1:14" s="57" customForma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61"/>
    </row>
    <row r="137" spans="1:14" s="57" customForma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61"/>
    </row>
    <row r="138" spans="1:14" s="57" customForma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61"/>
    </row>
    <row r="139" spans="1:14" s="57" customForma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61"/>
    </row>
    <row r="140" spans="1:14" s="57" customForma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61"/>
    </row>
    <row r="141" spans="1:14" s="57" customForma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61"/>
    </row>
    <row r="142" spans="1:14" s="57" customForma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61"/>
    </row>
    <row r="143" spans="1:14" s="57" customForma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61"/>
    </row>
    <row r="144" spans="1:14" s="57" customForma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61"/>
    </row>
    <row r="145" spans="1:14" s="57" customForma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61"/>
    </row>
    <row r="146" spans="1:14" s="57" customForma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61"/>
    </row>
    <row r="147" spans="1:14" s="57" customForma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61"/>
    </row>
    <row r="148" spans="1:14" s="57" customForma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61"/>
    </row>
    <row r="149" spans="1:14" s="57" customForma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61"/>
    </row>
    <row r="150" spans="1:14" s="57" customForma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61"/>
    </row>
    <row r="151" spans="1:14" s="57" customForma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61"/>
    </row>
    <row r="152" spans="1:14" s="57" customForma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61"/>
    </row>
    <row r="153" spans="1:14" s="57" customForma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61"/>
    </row>
    <row r="154" spans="1:14" s="57" customForma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61"/>
    </row>
    <row r="155" spans="1:14" s="57" customForma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61"/>
    </row>
    <row r="156" spans="1:14" s="57" customForma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61"/>
    </row>
    <row r="157" spans="1:14" s="57" customForma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61"/>
    </row>
    <row r="158" spans="1:14" s="57" customForma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61"/>
    </row>
    <row r="159" spans="1:14" s="57" customForma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61"/>
    </row>
    <row r="160" spans="1:14" s="57" customForma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61"/>
    </row>
    <row r="161" spans="1:14" s="57" customForma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61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70" orientation="portrait" cellComments="atEnd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T161"/>
  <sheetViews>
    <sheetView showGridLines="0" topLeftCell="A64" zoomScaleNormal="100" workbookViewId="0">
      <selection activeCell="N92" sqref="N92"/>
    </sheetView>
  </sheetViews>
  <sheetFormatPr baseColWidth="10" defaultColWidth="9.1640625" defaultRowHeight="13"/>
  <cols>
    <col min="1" max="1" width="28" style="57" customWidth="1"/>
    <col min="2" max="2" width="8.33203125" style="57" customWidth="1"/>
    <col min="3" max="3" width="9" style="57" customWidth="1"/>
    <col min="4" max="4" width="9.83203125" style="57" customWidth="1"/>
    <col min="5" max="5" width="10.83203125" style="57" customWidth="1"/>
    <col min="6" max="6" width="8.83203125" style="57" customWidth="1"/>
    <col min="7" max="7" width="8.1640625" style="57" customWidth="1"/>
    <col min="8" max="8" width="10.5" style="57" customWidth="1"/>
    <col min="9" max="9" width="8.33203125" style="57" customWidth="1"/>
    <col min="10" max="10" width="8.5" style="57" customWidth="1"/>
    <col min="11" max="11" width="8.83203125" style="57" customWidth="1"/>
    <col min="12" max="12" width="8.6640625" style="57" customWidth="1"/>
    <col min="13" max="13" width="8.83203125" style="57" customWidth="1"/>
    <col min="14" max="14" width="12.6640625" style="60" customWidth="1"/>
    <col min="15" max="33" width="11.5" style="59" customWidth="1"/>
    <col min="34" max="34" width="11.5" style="58" customWidth="1"/>
    <col min="35" max="256" width="11.5" style="57" customWidth="1"/>
    <col min="257" max="16384" width="9.1640625" style="57"/>
  </cols>
  <sheetData>
    <row r="1" spans="1:254" s="158" customFormat="1" ht="20">
      <c r="A1" s="159" t="s">
        <v>228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254" s="157" customForma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254" ht="16">
      <c r="A3" s="156" t="s">
        <v>71</v>
      </c>
      <c r="B3" s="155" t="s">
        <v>72</v>
      </c>
      <c r="C3" s="154" t="s">
        <v>73</v>
      </c>
      <c r="D3" s="154" t="s">
        <v>74</v>
      </c>
      <c r="E3" s="154" t="s">
        <v>75</v>
      </c>
      <c r="F3" s="154" t="s">
        <v>76</v>
      </c>
      <c r="G3" s="154" t="s">
        <v>77</v>
      </c>
      <c r="H3" s="154" t="s">
        <v>78</v>
      </c>
      <c r="I3" s="154" t="s">
        <v>79</v>
      </c>
      <c r="J3" s="154" t="s">
        <v>80</v>
      </c>
      <c r="K3" s="154" t="s">
        <v>81</v>
      </c>
      <c r="L3" s="154" t="s">
        <v>82</v>
      </c>
      <c r="M3" s="154" t="s">
        <v>83</v>
      </c>
      <c r="N3" s="153" t="s">
        <v>84</v>
      </c>
    </row>
    <row r="4" spans="1:254">
      <c r="A4" s="151" t="s">
        <v>224</v>
      </c>
      <c r="B4" s="101" t="e">
        <v>#REF!</v>
      </c>
      <c r="C4" s="100" t="e">
        <f t="shared" ref="C4:M5" si="0">B4</f>
        <v>#REF!</v>
      </c>
      <c r="D4" s="100" t="e">
        <f t="shared" si="0"/>
        <v>#REF!</v>
      </c>
      <c r="E4" s="100" t="e">
        <f t="shared" si="0"/>
        <v>#REF!</v>
      </c>
      <c r="F4" s="100" t="e">
        <f t="shared" si="0"/>
        <v>#REF!</v>
      </c>
      <c r="G4" s="100" t="e">
        <f t="shared" si="0"/>
        <v>#REF!</v>
      </c>
      <c r="H4" s="100" t="e">
        <f t="shared" si="0"/>
        <v>#REF!</v>
      </c>
      <c r="I4" s="100" t="e">
        <f t="shared" si="0"/>
        <v>#REF!</v>
      </c>
      <c r="J4" s="100" t="e">
        <f t="shared" si="0"/>
        <v>#REF!</v>
      </c>
      <c r="K4" s="100" t="e">
        <f t="shared" si="0"/>
        <v>#REF!</v>
      </c>
      <c r="L4" s="100" t="e">
        <f t="shared" si="0"/>
        <v>#REF!</v>
      </c>
      <c r="M4" s="100" t="e">
        <f t="shared" si="0"/>
        <v>#REF!</v>
      </c>
      <c r="N4" s="152" t="e">
        <f t="shared" ref="N4:N10" si="1">SUM(B4:M4)</f>
        <v>#REF!</v>
      </c>
    </row>
    <row r="5" spans="1:254">
      <c r="A5" s="151" t="s">
        <v>225</v>
      </c>
      <c r="B5" s="103" t="e">
        <v>#REF!</v>
      </c>
      <c r="C5" s="103" t="e">
        <f t="shared" si="0"/>
        <v>#REF!</v>
      </c>
      <c r="D5" s="103" t="e">
        <f t="shared" si="0"/>
        <v>#REF!</v>
      </c>
      <c r="E5" s="103" t="e">
        <f t="shared" si="0"/>
        <v>#REF!</v>
      </c>
      <c r="F5" s="103" t="e">
        <f t="shared" si="0"/>
        <v>#REF!</v>
      </c>
      <c r="G5" s="103" t="e">
        <f t="shared" si="0"/>
        <v>#REF!</v>
      </c>
      <c r="H5" s="103" t="e">
        <f t="shared" si="0"/>
        <v>#REF!</v>
      </c>
      <c r="I5" s="103" t="e">
        <f t="shared" si="0"/>
        <v>#REF!</v>
      </c>
      <c r="J5" s="103" t="e">
        <f t="shared" si="0"/>
        <v>#REF!</v>
      </c>
      <c r="K5" s="103" t="e">
        <f t="shared" si="0"/>
        <v>#REF!</v>
      </c>
      <c r="L5" s="103" t="e">
        <f t="shared" si="0"/>
        <v>#REF!</v>
      </c>
      <c r="M5" s="103" t="e">
        <f t="shared" si="0"/>
        <v>#REF!</v>
      </c>
      <c r="N5" s="150" t="e">
        <f t="shared" si="1"/>
        <v>#REF!</v>
      </c>
    </row>
    <row r="6" spans="1:254">
      <c r="A6" s="151" t="s">
        <v>87</v>
      </c>
      <c r="B6" s="101">
        <v>0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52">
        <f t="shared" si="1"/>
        <v>0</v>
      </c>
    </row>
    <row r="7" spans="1:254">
      <c r="A7" s="151" t="s">
        <v>88</v>
      </c>
      <c r="B7" s="103">
        <f>4247</f>
        <v>4247</v>
      </c>
      <c r="C7" s="103">
        <v>0</v>
      </c>
      <c r="D7" s="103">
        <v>0</v>
      </c>
      <c r="E7" s="103">
        <f>B7</f>
        <v>4247</v>
      </c>
      <c r="F7" s="103">
        <v>0</v>
      </c>
      <c r="G7" s="103">
        <v>0</v>
      </c>
      <c r="H7" s="103">
        <f>E7</f>
        <v>4247</v>
      </c>
      <c r="I7" s="103">
        <v>0</v>
      </c>
      <c r="J7" s="103">
        <v>0</v>
      </c>
      <c r="K7" s="103">
        <f>H7</f>
        <v>4247</v>
      </c>
      <c r="L7" s="103">
        <v>0</v>
      </c>
      <c r="M7" s="103">
        <v>0</v>
      </c>
      <c r="N7" s="150">
        <f t="shared" si="1"/>
        <v>16988</v>
      </c>
      <c r="O7" s="194" t="s">
        <v>229</v>
      </c>
    </row>
    <row r="8" spans="1:254">
      <c r="A8" s="151" t="s">
        <v>89</v>
      </c>
      <c r="B8" s="101">
        <v>0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52">
        <f t="shared" si="1"/>
        <v>0</v>
      </c>
    </row>
    <row r="9" spans="1:254">
      <c r="A9" s="151" t="s">
        <v>90</v>
      </c>
      <c r="B9" s="103">
        <v>0</v>
      </c>
      <c r="C9" s="103">
        <v>0</v>
      </c>
      <c r="D9" s="103">
        <v>0</v>
      </c>
      <c r="E9" s="103">
        <v>0</v>
      </c>
      <c r="F9" s="103">
        <v>0</v>
      </c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50">
        <f t="shared" si="1"/>
        <v>0</v>
      </c>
    </row>
    <row r="10" spans="1:254" s="94" customFormat="1" ht="16">
      <c r="A10" s="149" t="s">
        <v>91</v>
      </c>
      <c r="B10" s="111" t="e">
        <f t="shared" ref="B10:M10" si="2">SUM(B4:B9)</f>
        <v>#REF!</v>
      </c>
      <c r="C10" s="110" t="e">
        <f t="shared" si="2"/>
        <v>#REF!</v>
      </c>
      <c r="D10" s="110" t="e">
        <f t="shared" si="2"/>
        <v>#REF!</v>
      </c>
      <c r="E10" s="110" t="e">
        <f t="shared" si="2"/>
        <v>#REF!</v>
      </c>
      <c r="F10" s="110" t="e">
        <f t="shared" si="2"/>
        <v>#REF!</v>
      </c>
      <c r="G10" s="110" t="e">
        <f t="shared" si="2"/>
        <v>#REF!</v>
      </c>
      <c r="H10" s="110" t="e">
        <f t="shared" si="2"/>
        <v>#REF!</v>
      </c>
      <c r="I10" s="110" t="e">
        <f t="shared" si="2"/>
        <v>#REF!</v>
      </c>
      <c r="J10" s="110" t="e">
        <f t="shared" si="2"/>
        <v>#REF!</v>
      </c>
      <c r="K10" s="110" t="e">
        <f t="shared" si="2"/>
        <v>#REF!</v>
      </c>
      <c r="L10" s="110" t="e">
        <f t="shared" si="2"/>
        <v>#REF!</v>
      </c>
      <c r="M10" s="110" t="e">
        <f t="shared" si="2"/>
        <v>#REF!</v>
      </c>
      <c r="N10" s="148" t="e">
        <f t="shared" si="1"/>
        <v>#REF!</v>
      </c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95"/>
    </row>
    <row r="11" spans="1:254" s="116" customFormat="1" ht="12">
      <c r="A11" s="147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5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  <c r="CI11" s="144"/>
      <c r="CJ11" s="144"/>
      <c r="CK11" s="144"/>
      <c r="CL11" s="144"/>
      <c r="CM11" s="144"/>
      <c r="CN11" s="144"/>
      <c r="CO11" s="144"/>
      <c r="CP11" s="144"/>
      <c r="CQ11" s="144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  <c r="HV11" s="144"/>
      <c r="HW11" s="144"/>
      <c r="HX11" s="144"/>
      <c r="HY11" s="144"/>
      <c r="HZ11" s="144"/>
      <c r="IA11" s="144"/>
      <c r="IB11" s="144"/>
      <c r="IC11" s="144"/>
      <c r="ID11" s="144"/>
      <c r="IE11" s="144"/>
      <c r="IF11" s="144"/>
      <c r="IG11" s="144"/>
      <c r="IH11" s="144"/>
      <c r="II11" s="144"/>
      <c r="IJ11" s="144"/>
      <c r="IK11" s="144"/>
      <c r="IL11" s="144"/>
      <c r="IM11" s="144"/>
      <c r="IN11" s="144"/>
      <c r="IO11" s="144"/>
      <c r="IP11" s="144"/>
      <c r="IQ11" s="144"/>
      <c r="IR11" s="144"/>
      <c r="IS11" s="144"/>
      <c r="IT11" s="144"/>
    </row>
    <row r="12" spans="1:254" s="59" customFormat="1">
      <c r="A12" s="143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1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  <c r="ET12" s="140"/>
      <c r="EU12" s="140"/>
      <c r="EV12" s="140"/>
      <c r="EW12" s="140"/>
      <c r="EX12" s="140"/>
      <c r="EY12" s="140"/>
      <c r="EZ12" s="140"/>
      <c r="FA12" s="140"/>
      <c r="FB12" s="140"/>
      <c r="FC12" s="140"/>
      <c r="FD12" s="140"/>
      <c r="FE12" s="140"/>
      <c r="FF12" s="140"/>
      <c r="FG12" s="140"/>
      <c r="FH12" s="140"/>
      <c r="FI12" s="140"/>
      <c r="FJ12" s="140"/>
      <c r="FK12" s="140"/>
      <c r="FL12" s="140"/>
      <c r="FM12" s="140"/>
      <c r="FN12" s="140"/>
      <c r="FO12" s="140"/>
      <c r="FP12" s="140"/>
      <c r="FQ12" s="140"/>
      <c r="FR12" s="140"/>
      <c r="FS12" s="140"/>
      <c r="FT12" s="140"/>
      <c r="FU12" s="140"/>
      <c r="FV12" s="140"/>
      <c r="FW12" s="140"/>
      <c r="FX12" s="140"/>
      <c r="FY12" s="140"/>
      <c r="FZ12" s="140"/>
      <c r="GA12" s="140"/>
      <c r="GB12" s="140"/>
      <c r="GC12" s="140"/>
      <c r="GD12" s="140"/>
      <c r="GE12" s="140"/>
      <c r="GF12" s="140"/>
      <c r="GG12" s="140"/>
      <c r="GH12" s="140"/>
      <c r="GI12" s="140"/>
      <c r="GJ12" s="140"/>
      <c r="GK12" s="140"/>
      <c r="GL12" s="140"/>
      <c r="GM12" s="140"/>
      <c r="GN12" s="140"/>
      <c r="GO12" s="140"/>
      <c r="GP12" s="140"/>
      <c r="GQ12" s="140"/>
      <c r="GR12" s="140"/>
      <c r="GS12" s="140"/>
      <c r="GT12" s="140"/>
      <c r="GU12" s="140"/>
      <c r="GV12" s="140"/>
      <c r="GW12" s="140"/>
      <c r="GX12" s="140"/>
      <c r="GY12" s="140"/>
      <c r="GZ12" s="140"/>
      <c r="HA12" s="140"/>
      <c r="HB12" s="140"/>
      <c r="HC12" s="140"/>
      <c r="HD12" s="140"/>
      <c r="HE12" s="140"/>
      <c r="HF12" s="140"/>
      <c r="HG12" s="140"/>
      <c r="HH12" s="140"/>
      <c r="HI12" s="140"/>
      <c r="HJ12" s="140"/>
      <c r="HK12" s="140"/>
      <c r="HL12" s="140"/>
      <c r="HM12" s="140"/>
      <c r="HN12" s="140"/>
      <c r="HO12" s="140"/>
      <c r="HP12" s="140"/>
      <c r="HQ12" s="140"/>
      <c r="HR12" s="140"/>
      <c r="HS12" s="140"/>
      <c r="HT12" s="140"/>
      <c r="HU12" s="140"/>
      <c r="HV12" s="140"/>
      <c r="HW12" s="140"/>
      <c r="HX12" s="140"/>
      <c r="HY12" s="140"/>
      <c r="HZ12" s="140"/>
      <c r="IA12" s="140"/>
      <c r="IB12" s="140"/>
      <c r="IC12" s="140"/>
      <c r="ID12" s="140"/>
      <c r="IE12" s="140"/>
      <c r="IF12" s="140"/>
      <c r="IG12" s="140"/>
      <c r="IH12" s="140"/>
      <c r="II12" s="140"/>
      <c r="IJ12" s="140"/>
      <c r="IK12" s="140"/>
      <c r="IL12" s="140"/>
      <c r="IM12" s="140"/>
      <c r="IN12" s="140"/>
      <c r="IO12" s="140"/>
      <c r="IP12" s="140"/>
      <c r="IQ12" s="140"/>
      <c r="IR12" s="140"/>
      <c r="IS12" s="140"/>
      <c r="IT12" s="140"/>
    </row>
    <row r="13" spans="1:254" s="134" customFormat="1" ht="16">
      <c r="A13" s="139" t="s">
        <v>92</v>
      </c>
      <c r="B13" s="138" t="s">
        <v>72</v>
      </c>
      <c r="C13" s="137" t="s">
        <v>73</v>
      </c>
      <c r="D13" s="137" t="s">
        <v>74</v>
      </c>
      <c r="E13" s="137" t="s">
        <v>75</v>
      </c>
      <c r="F13" s="137" t="s">
        <v>76</v>
      </c>
      <c r="G13" s="137" t="s">
        <v>77</v>
      </c>
      <c r="H13" s="137" t="s">
        <v>78</v>
      </c>
      <c r="I13" s="137" t="s">
        <v>79</v>
      </c>
      <c r="J13" s="137" t="s">
        <v>80</v>
      </c>
      <c r="K13" s="137" t="s">
        <v>81</v>
      </c>
      <c r="L13" s="137" t="s">
        <v>82</v>
      </c>
      <c r="M13" s="137" t="s">
        <v>83</v>
      </c>
      <c r="N13" s="136" t="s">
        <v>84</v>
      </c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</row>
    <row r="14" spans="1:254">
      <c r="A14" s="98" t="s">
        <v>93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33"/>
    </row>
    <row r="15" spans="1:254">
      <c r="A15" s="102" t="s">
        <v>94</v>
      </c>
      <c r="B15" s="101">
        <f>176855/12</f>
        <v>14737.916666666666</v>
      </c>
      <c r="C15" s="100">
        <f t="shared" ref="C15:M16" si="3">B15</f>
        <v>14737.916666666666</v>
      </c>
      <c r="D15" s="100">
        <f t="shared" si="3"/>
        <v>14737.916666666666</v>
      </c>
      <c r="E15" s="100">
        <f t="shared" si="3"/>
        <v>14737.916666666666</v>
      </c>
      <c r="F15" s="100">
        <f t="shared" si="3"/>
        <v>14737.916666666666</v>
      </c>
      <c r="G15" s="100">
        <f t="shared" si="3"/>
        <v>14737.916666666666</v>
      </c>
      <c r="H15" s="100">
        <f t="shared" si="3"/>
        <v>14737.916666666666</v>
      </c>
      <c r="I15" s="100">
        <f t="shared" si="3"/>
        <v>14737.916666666666</v>
      </c>
      <c r="J15" s="100">
        <f t="shared" si="3"/>
        <v>14737.916666666666</v>
      </c>
      <c r="K15" s="100">
        <f t="shared" si="3"/>
        <v>14737.916666666666</v>
      </c>
      <c r="L15" s="100">
        <f t="shared" si="3"/>
        <v>14737.916666666666</v>
      </c>
      <c r="M15" s="100">
        <f t="shared" si="3"/>
        <v>14737.916666666666</v>
      </c>
      <c r="N15" s="124">
        <f t="shared" ref="N15:N26" si="4">SUM(B15:M15)</f>
        <v>176854.99999999997</v>
      </c>
    </row>
    <row r="16" spans="1:254">
      <c r="A16" s="102" t="s">
        <v>226</v>
      </c>
      <c r="B16" s="103" t="e">
        <v>#REF!</v>
      </c>
      <c r="C16" s="103" t="e">
        <f t="shared" si="3"/>
        <v>#REF!</v>
      </c>
      <c r="D16" s="103" t="e">
        <f t="shared" si="3"/>
        <v>#REF!</v>
      </c>
      <c r="E16" s="103" t="e">
        <f t="shared" si="3"/>
        <v>#REF!</v>
      </c>
      <c r="F16" s="103" t="e">
        <f t="shared" si="3"/>
        <v>#REF!</v>
      </c>
      <c r="G16" s="103" t="e">
        <f t="shared" si="3"/>
        <v>#REF!</v>
      </c>
      <c r="H16" s="103" t="e">
        <f t="shared" si="3"/>
        <v>#REF!</v>
      </c>
      <c r="I16" s="103" t="e">
        <f t="shared" si="3"/>
        <v>#REF!</v>
      </c>
      <c r="J16" s="103" t="e">
        <f t="shared" si="3"/>
        <v>#REF!</v>
      </c>
      <c r="K16" s="103" t="e">
        <f t="shared" si="3"/>
        <v>#REF!</v>
      </c>
      <c r="L16" s="103" t="e">
        <f t="shared" si="3"/>
        <v>#REF!</v>
      </c>
      <c r="M16" s="103" t="e">
        <f t="shared" si="3"/>
        <v>#REF!</v>
      </c>
      <c r="N16" s="123" t="e">
        <f t="shared" si="4"/>
        <v>#REF!</v>
      </c>
    </row>
    <row r="17" spans="1:34">
      <c r="A17" s="102" t="s">
        <v>96</v>
      </c>
      <c r="B17" s="101">
        <v>2043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100">
        <v>0</v>
      </c>
      <c r="N17" s="124">
        <f t="shared" si="4"/>
        <v>2043</v>
      </c>
    </row>
    <row r="18" spans="1:34">
      <c r="A18" s="102" t="s">
        <v>97</v>
      </c>
      <c r="B18" s="103">
        <f>26100/12</f>
        <v>2175</v>
      </c>
      <c r="C18" s="103">
        <f>B18</f>
        <v>2175</v>
      </c>
      <c r="D18" s="103">
        <f t="shared" ref="D18:M18" si="5">C18</f>
        <v>2175</v>
      </c>
      <c r="E18" s="103">
        <f t="shared" si="5"/>
        <v>2175</v>
      </c>
      <c r="F18" s="103">
        <f t="shared" si="5"/>
        <v>2175</v>
      </c>
      <c r="G18" s="103">
        <f t="shared" si="5"/>
        <v>2175</v>
      </c>
      <c r="H18" s="103">
        <f t="shared" si="5"/>
        <v>2175</v>
      </c>
      <c r="I18" s="103">
        <f t="shared" si="5"/>
        <v>2175</v>
      </c>
      <c r="J18" s="103">
        <f t="shared" si="5"/>
        <v>2175</v>
      </c>
      <c r="K18" s="103">
        <f t="shared" si="5"/>
        <v>2175</v>
      </c>
      <c r="L18" s="103">
        <f t="shared" si="5"/>
        <v>2175</v>
      </c>
      <c r="M18" s="103">
        <f t="shared" si="5"/>
        <v>2175</v>
      </c>
      <c r="N18" s="123">
        <f t="shared" si="4"/>
        <v>26100</v>
      </c>
    </row>
    <row r="19" spans="1:34">
      <c r="A19" s="102" t="s">
        <v>98</v>
      </c>
      <c r="B19" s="101">
        <f>(4090*1.5)/4</f>
        <v>1533.75</v>
      </c>
      <c r="C19" s="100">
        <v>0</v>
      </c>
      <c r="D19" s="100">
        <v>0</v>
      </c>
      <c r="E19" s="100">
        <f>B19</f>
        <v>1533.75</v>
      </c>
      <c r="F19" s="100">
        <v>0</v>
      </c>
      <c r="G19" s="100">
        <v>0</v>
      </c>
      <c r="H19" s="100">
        <f>E19</f>
        <v>1533.75</v>
      </c>
      <c r="I19" s="100">
        <v>0</v>
      </c>
      <c r="J19" s="100">
        <v>0</v>
      </c>
      <c r="K19" s="100">
        <f>H19</f>
        <v>1533.75</v>
      </c>
      <c r="L19" s="100">
        <v>0</v>
      </c>
      <c r="M19" s="100">
        <v>0</v>
      </c>
      <c r="N19" s="124">
        <f t="shared" si="4"/>
        <v>6135</v>
      </c>
      <c r="O19" s="59" t="s">
        <v>227</v>
      </c>
    </row>
    <row r="20" spans="1:34">
      <c r="A20" s="102" t="s">
        <v>99</v>
      </c>
      <c r="B20" s="103">
        <f>11581/12</f>
        <v>965.08333333333337</v>
      </c>
      <c r="C20" s="103">
        <f>B20</f>
        <v>965.08333333333337</v>
      </c>
      <c r="D20" s="103">
        <f t="shared" ref="D20:M20" si="6">C20</f>
        <v>965.08333333333337</v>
      </c>
      <c r="E20" s="103">
        <f t="shared" si="6"/>
        <v>965.08333333333337</v>
      </c>
      <c r="F20" s="103">
        <f t="shared" si="6"/>
        <v>965.08333333333337</v>
      </c>
      <c r="G20" s="103">
        <f t="shared" si="6"/>
        <v>965.08333333333337</v>
      </c>
      <c r="H20" s="103">
        <f t="shared" si="6"/>
        <v>965.08333333333337</v>
      </c>
      <c r="I20" s="103">
        <f t="shared" si="6"/>
        <v>965.08333333333337</v>
      </c>
      <c r="J20" s="103">
        <f t="shared" si="6"/>
        <v>965.08333333333337</v>
      </c>
      <c r="K20" s="103">
        <f t="shared" si="6"/>
        <v>965.08333333333337</v>
      </c>
      <c r="L20" s="103">
        <f t="shared" si="6"/>
        <v>965.08333333333337</v>
      </c>
      <c r="M20" s="103">
        <f t="shared" si="6"/>
        <v>965.08333333333337</v>
      </c>
      <c r="N20" s="123">
        <f t="shared" si="4"/>
        <v>11581.000000000002</v>
      </c>
    </row>
    <row r="21" spans="1:34">
      <c r="A21" s="102" t="s">
        <v>100</v>
      </c>
      <c r="B21" s="101">
        <f>18749/2</f>
        <v>9374.5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f>B21</f>
        <v>9374.5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99">
        <f t="shared" si="4"/>
        <v>18749</v>
      </c>
    </row>
    <row r="22" spans="1:34">
      <c r="A22" s="102" t="s">
        <v>101</v>
      </c>
      <c r="B22" s="103">
        <v>0</v>
      </c>
      <c r="C22" s="103">
        <f t="shared" ref="C22:M22" si="7">B22</f>
        <v>0</v>
      </c>
      <c r="D22" s="103">
        <f t="shared" si="7"/>
        <v>0</v>
      </c>
      <c r="E22" s="103">
        <f t="shared" si="7"/>
        <v>0</v>
      </c>
      <c r="F22" s="103">
        <f t="shared" si="7"/>
        <v>0</v>
      </c>
      <c r="G22" s="103">
        <f t="shared" si="7"/>
        <v>0</v>
      </c>
      <c r="H22" s="103">
        <f t="shared" si="7"/>
        <v>0</v>
      </c>
      <c r="I22" s="103">
        <f t="shared" si="7"/>
        <v>0</v>
      </c>
      <c r="J22" s="103">
        <f t="shared" si="7"/>
        <v>0</v>
      </c>
      <c r="K22" s="103">
        <f t="shared" si="7"/>
        <v>0</v>
      </c>
      <c r="L22" s="103">
        <f t="shared" si="7"/>
        <v>0</v>
      </c>
      <c r="M22" s="103">
        <f t="shared" si="7"/>
        <v>0</v>
      </c>
      <c r="N22" s="96">
        <f t="shared" si="4"/>
        <v>0</v>
      </c>
    </row>
    <row r="23" spans="1:34">
      <c r="A23" s="102" t="s">
        <v>102</v>
      </c>
      <c r="B23" s="101">
        <v>2350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0</v>
      </c>
      <c r="K23" s="100">
        <v>0</v>
      </c>
      <c r="L23" s="100">
        <v>0</v>
      </c>
      <c r="M23" s="100">
        <v>0</v>
      </c>
      <c r="N23" s="99">
        <f t="shared" si="4"/>
        <v>2350</v>
      </c>
    </row>
    <row r="24" spans="1:34">
      <c r="A24" s="102" t="s">
        <v>103</v>
      </c>
      <c r="B24" s="103">
        <v>1000</v>
      </c>
      <c r="C24" s="103">
        <f>B24</f>
        <v>1000</v>
      </c>
      <c r="D24" s="103">
        <f t="shared" ref="D24:M24" si="8">C24</f>
        <v>1000</v>
      </c>
      <c r="E24" s="103">
        <f t="shared" si="8"/>
        <v>1000</v>
      </c>
      <c r="F24" s="103">
        <f t="shared" si="8"/>
        <v>1000</v>
      </c>
      <c r="G24" s="103">
        <f t="shared" si="8"/>
        <v>1000</v>
      </c>
      <c r="H24" s="103">
        <f t="shared" si="8"/>
        <v>1000</v>
      </c>
      <c r="I24" s="103">
        <f t="shared" si="8"/>
        <v>1000</v>
      </c>
      <c r="J24" s="103">
        <f t="shared" si="8"/>
        <v>1000</v>
      </c>
      <c r="K24" s="103">
        <f t="shared" si="8"/>
        <v>1000</v>
      </c>
      <c r="L24" s="103">
        <f t="shared" si="8"/>
        <v>1000</v>
      </c>
      <c r="M24" s="103">
        <f t="shared" si="8"/>
        <v>1000</v>
      </c>
      <c r="N24" s="96">
        <f t="shared" si="4"/>
        <v>12000</v>
      </c>
      <c r="O24" s="194" t="s">
        <v>161</v>
      </c>
    </row>
    <row r="25" spans="1:34">
      <c r="A25" s="102" t="s">
        <v>104</v>
      </c>
      <c r="B25" s="101">
        <v>3997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99">
        <f t="shared" si="4"/>
        <v>3997</v>
      </c>
    </row>
    <row r="26" spans="1:34">
      <c r="A26" s="102" t="s">
        <v>90</v>
      </c>
      <c r="B26" s="103">
        <v>400</v>
      </c>
      <c r="C26" s="103">
        <v>0</v>
      </c>
      <c r="D26" s="103">
        <v>0</v>
      </c>
      <c r="E26" s="103">
        <v>0</v>
      </c>
      <c r="F26" s="103">
        <v>0</v>
      </c>
      <c r="G26" s="103">
        <v>0</v>
      </c>
      <c r="H26" s="103">
        <v>0</v>
      </c>
      <c r="I26" s="103">
        <v>0</v>
      </c>
      <c r="J26" s="103">
        <v>0</v>
      </c>
      <c r="K26" s="103">
        <v>0</v>
      </c>
      <c r="L26" s="103">
        <v>0</v>
      </c>
      <c r="M26" s="103">
        <v>0</v>
      </c>
      <c r="N26" s="96">
        <f t="shared" si="4"/>
        <v>400</v>
      </c>
    </row>
    <row r="27" spans="1:34" s="94" customFormat="1">
      <c r="A27" s="98" t="s">
        <v>105</v>
      </c>
      <c r="B27" s="122" t="e">
        <f t="shared" ref="B27:N27" si="9">SUM(B15:B26)</f>
        <v>#REF!</v>
      </c>
      <c r="C27" s="121" t="e">
        <f t="shared" si="9"/>
        <v>#REF!</v>
      </c>
      <c r="D27" s="121" t="e">
        <f t="shared" si="9"/>
        <v>#REF!</v>
      </c>
      <c r="E27" s="121" t="e">
        <f t="shared" si="9"/>
        <v>#REF!</v>
      </c>
      <c r="F27" s="121" t="e">
        <f t="shared" si="9"/>
        <v>#REF!</v>
      </c>
      <c r="G27" s="121" t="e">
        <f t="shared" si="9"/>
        <v>#REF!</v>
      </c>
      <c r="H27" s="121" t="e">
        <f t="shared" si="9"/>
        <v>#REF!</v>
      </c>
      <c r="I27" s="121" t="e">
        <f t="shared" si="9"/>
        <v>#REF!</v>
      </c>
      <c r="J27" s="121" t="e">
        <f t="shared" si="9"/>
        <v>#REF!</v>
      </c>
      <c r="K27" s="121" t="e">
        <f t="shared" si="9"/>
        <v>#REF!</v>
      </c>
      <c r="L27" s="121" t="e">
        <f t="shared" si="9"/>
        <v>#REF!</v>
      </c>
      <c r="M27" s="121" t="e">
        <f t="shared" si="9"/>
        <v>#REF!</v>
      </c>
      <c r="N27" s="120" t="e">
        <f t="shared" si="9"/>
        <v>#REF!</v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95"/>
    </row>
    <row r="28" spans="1:34" s="114" customFormat="1" ht="12">
      <c r="A28" s="108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2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5"/>
    </row>
    <row r="29" spans="1:34">
      <c r="A29" s="98" t="s">
        <v>106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4"/>
    </row>
    <row r="30" spans="1:34">
      <c r="A30" s="102" t="s">
        <v>107</v>
      </c>
      <c r="B30" s="132">
        <v>0</v>
      </c>
      <c r="C30" s="131">
        <v>0</v>
      </c>
      <c r="D30" s="131">
        <v>0</v>
      </c>
      <c r="E30" s="131">
        <v>0</v>
      </c>
      <c r="F30" s="131">
        <v>0</v>
      </c>
      <c r="G30" s="131">
        <v>0</v>
      </c>
      <c r="H30" s="131">
        <v>0</v>
      </c>
      <c r="I30" s="131">
        <v>0</v>
      </c>
      <c r="J30" s="131">
        <v>0</v>
      </c>
      <c r="K30" s="131">
        <v>0</v>
      </c>
      <c r="L30" s="131">
        <v>0</v>
      </c>
      <c r="M30" s="131">
        <v>0</v>
      </c>
      <c r="N30" s="130">
        <f t="shared" ref="N30:N36" si="10">SUM(B30:M30)</f>
        <v>0</v>
      </c>
    </row>
    <row r="31" spans="1:34">
      <c r="A31" s="102" t="s">
        <v>108</v>
      </c>
      <c r="B31" s="129">
        <v>0</v>
      </c>
      <c r="C31" s="129">
        <v>0</v>
      </c>
      <c r="D31" s="129">
        <v>0</v>
      </c>
      <c r="E31" s="129">
        <v>0</v>
      </c>
      <c r="F31" s="129">
        <v>0</v>
      </c>
      <c r="G31" s="129">
        <v>0</v>
      </c>
      <c r="H31" s="129">
        <v>0</v>
      </c>
      <c r="I31" s="129">
        <v>0</v>
      </c>
      <c r="J31" s="129">
        <v>0</v>
      </c>
      <c r="K31" s="129">
        <v>0</v>
      </c>
      <c r="L31" s="129">
        <v>0</v>
      </c>
      <c r="M31" s="129">
        <v>0</v>
      </c>
      <c r="N31" s="128">
        <f t="shared" si="10"/>
        <v>0</v>
      </c>
    </row>
    <row r="32" spans="1:34">
      <c r="A32" s="102" t="s">
        <v>109</v>
      </c>
      <c r="B32" s="127">
        <v>0</v>
      </c>
      <c r="C32" s="126">
        <f t="shared" ref="C32:M32" si="11">B32</f>
        <v>0</v>
      </c>
      <c r="D32" s="126">
        <f t="shared" si="11"/>
        <v>0</v>
      </c>
      <c r="E32" s="126">
        <f t="shared" si="11"/>
        <v>0</v>
      </c>
      <c r="F32" s="126">
        <f t="shared" si="11"/>
        <v>0</v>
      </c>
      <c r="G32" s="126">
        <f t="shared" si="11"/>
        <v>0</v>
      </c>
      <c r="H32" s="126">
        <f t="shared" si="11"/>
        <v>0</v>
      </c>
      <c r="I32" s="126">
        <f t="shared" si="11"/>
        <v>0</v>
      </c>
      <c r="J32" s="126">
        <f t="shared" si="11"/>
        <v>0</v>
      </c>
      <c r="K32" s="126">
        <f t="shared" si="11"/>
        <v>0</v>
      </c>
      <c r="L32" s="126">
        <f t="shared" si="11"/>
        <v>0</v>
      </c>
      <c r="M32" s="126">
        <f t="shared" si="11"/>
        <v>0</v>
      </c>
      <c r="N32" s="120">
        <f t="shared" si="10"/>
        <v>0</v>
      </c>
    </row>
    <row r="33" spans="1:34">
      <c r="A33" s="102" t="s">
        <v>110</v>
      </c>
      <c r="B33" s="125">
        <v>0</v>
      </c>
      <c r="C33" s="103">
        <v>0</v>
      </c>
      <c r="D33" s="103">
        <v>0</v>
      </c>
      <c r="E33" s="103">
        <v>0</v>
      </c>
      <c r="F33" s="103">
        <v>0</v>
      </c>
      <c r="G33" s="103">
        <v>0</v>
      </c>
      <c r="H33" s="103">
        <v>0</v>
      </c>
      <c r="I33" s="103">
        <v>0</v>
      </c>
      <c r="J33" s="103">
        <v>0</v>
      </c>
      <c r="K33" s="103">
        <v>0</v>
      </c>
      <c r="L33" s="103">
        <v>0</v>
      </c>
      <c r="M33" s="103">
        <v>0</v>
      </c>
      <c r="N33" s="96">
        <f t="shared" si="10"/>
        <v>0</v>
      </c>
    </row>
    <row r="34" spans="1:34">
      <c r="A34" s="102" t="s">
        <v>111</v>
      </c>
      <c r="B34" s="127">
        <v>0</v>
      </c>
      <c r="C34" s="126">
        <f t="shared" ref="C34:M34" si="12">B34</f>
        <v>0</v>
      </c>
      <c r="D34" s="126">
        <f t="shared" si="12"/>
        <v>0</v>
      </c>
      <c r="E34" s="126">
        <f t="shared" si="12"/>
        <v>0</v>
      </c>
      <c r="F34" s="126">
        <f t="shared" si="12"/>
        <v>0</v>
      </c>
      <c r="G34" s="126">
        <f t="shared" si="12"/>
        <v>0</v>
      </c>
      <c r="H34" s="126">
        <f t="shared" si="12"/>
        <v>0</v>
      </c>
      <c r="I34" s="126">
        <f t="shared" si="12"/>
        <v>0</v>
      </c>
      <c r="J34" s="126">
        <f t="shared" si="12"/>
        <v>0</v>
      </c>
      <c r="K34" s="126">
        <f t="shared" si="12"/>
        <v>0</v>
      </c>
      <c r="L34" s="126">
        <f t="shared" si="12"/>
        <v>0</v>
      </c>
      <c r="M34" s="126">
        <f t="shared" si="12"/>
        <v>0</v>
      </c>
      <c r="N34" s="120">
        <f t="shared" si="10"/>
        <v>0</v>
      </c>
    </row>
    <row r="35" spans="1:34">
      <c r="A35" s="102" t="s">
        <v>112</v>
      </c>
      <c r="B35" s="125">
        <v>0</v>
      </c>
      <c r="C35" s="103">
        <v>0</v>
      </c>
      <c r="D35" s="103">
        <v>0</v>
      </c>
      <c r="E35" s="103">
        <v>0</v>
      </c>
      <c r="F35" s="103">
        <v>0</v>
      </c>
      <c r="G35" s="103">
        <v>0</v>
      </c>
      <c r="H35" s="103">
        <v>0</v>
      </c>
      <c r="I35" s="103">
        <v>0</v>
      </c>
      <c r="J35" s="103">
        <v>0</v>
      </c>
      <c r="K35" s="103">
        <v>0</v>
      </c>
      <c r="L35" s="103">
        <v>0</v>
      </c>
      <c r="M35" s="103">
        <v>0</v>
      </c>
      <c r="N35" s="96">
        <f t="shared" si="10"/>
        <v>0</v>
      </c>
    </row>
    <row r="36" spans="1:34" s="94" customFormat="1">
      <c r="A36" s="98" t="s">
        <v>113</v>
      </c>
      <c r="B36" s="122">
        <f t="shared" ref="B36:M36" si="13">SUM(B30:B35)</f>
        <v>0</v>
      </c>
      <c r="C36" s="121">
        <f t="shared" si="13"/>
        <v>0</v>
      </c>
      <c r="D36" s="121">
        <f t="shared" si="13"/>
        <v>0</v>
      </c>
      <c r="E36" s="121">
        <f t="shared" si="13"/>
        <v>0</v>
      </c>
      <c r="F36" s="121">
        <f t="shared" si="13"/>
        <v>0</v>
      </c>
      <c r="G36" s="121">
        <f t="shared" si="13"/>
        <v>0</v>
      </c>
      <c r="H36" s="121">
        <f t="shared" si="13"/>
        <v>0</v>
      </c>
      <c r="I36" s="121">
        <f t="shared" si="13"/>
        <v>0</v>
      </c>
      <c r="J36" s="121">
        <f t="shared" si="13"/>
        <v>0</v>
      </c>
      <c r="K36" s="121">
        <f t="shared" si="13"/>
        <v>0</v>
      </c>
      <c r="L36" s="121">
        <f t="shared" si="13"/>
        <v>0</v>
      </c>
      <c r="M36" s="121">
        <f t="shared" si="13"/>
        <v>0</v>
      </c>
      <c r="N36" s="120">
        <f t="shared" si="10"/>
        <v>0</v>
      </c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95"/>
    </row>
    <row r="37" spans="1:34" s="114" customFormat="1" ht="12">
      <c r="A37" s="108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2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5"/>
    </row>
    <row r="38" spans="1:34">
      <c r="A38" s="98" t="s">
        <v>114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4"/>
    </row>
    <row r="39" spans="1:34">
      <c r="A39" s="102" t="s">
        <v>115</v>
      </c>
      <c r="B39" s="127">
        <v>0</v>
      </c>
      <c r="C39" s="126">
        <f t="shared" ref="C39:M39" si="14">B39</f>
        <v>0</v>
      </c>
      <c r="D39" s="126">
        <f t="shared" si="14"/>
        <v>0</v>
      </c>
      <c r="E39" s="126">
        <f t="shared" si="14"/>
        <v>0</v>
      </c>
      <c r="F39" s="126">
        <f t="shared" si="14"/>
        <v>0</v>
      </c>
      <c r="G39" s="126">
        <f t="shared" si="14"/>
        <v>0</v>
      </c>
      <c r="H39" s="126">
        <f t="shared" si="14"/>
        <v>0</v>
      </c>
      <c r="I39" s="126">
        <f t="shared" si="14"/>
        <v>0</v>
      </c>
      <c r="J39" s="126">
        <f t="shared" si="14"/>
        <v>0</v>
      </c>
      <c r="K39" s="126">
        <f t="shared" si="14"/>
        <v>0</v>
      </c>
      <c r="L39" s="126">
        <f t="shared" si="14"/>
        <v>0</v>
      </c>
      <c r="M39" s="126">
        <f t="shared" si="14"/>
        <v>0</v>
      </c>
      <c r="N39" s="120">
        <f>SUM(B39:M39)</f>
        <v>0</v>
      </c>
    </row>
    <row r="40" spans="1:34">
      <c r="A40" s="102" t="s">
        <v>90</v>
      </c>
      <c r="B40" s="125">
        <v>0</v>
      </c>
      <c r="C40" s="103">
        <v>0</v>
      </c>
      <c r="D40" s="103">
        <v>0</v>
      </c>
      <c r="E40" s="103">
        <v>0</v>
      </c>
      <c r="F40" s="103">
        <v>0</v>
      </c>
      <c r="G40" s="103">
        <v>0</v>
      </c>
      <c r="H40" s="103">
        <v>0</v>
      </c>
      <c r="I40" s="103">
        <v>0</v>
      </c>
      <c r="J40" s="103">
        <v>0</v>
      </c>
      <c r="K40" s="103">
        <v>0</v>
      </c>
      <c r="L40" s="103">
        <v>0</v>
      </c>
      <c r="M40" s="103">
        <v>0</v>
      </c>
      <c r="N40" s="96">
        <f>SUM(B40:M40)</f>
        <v>0</v>
      </c>
    </row>
    <row r="41" spans="1:34" s="94" customFormat="1">
      <c r="A41" s="98" t="s">
        <v>116</v>
      </c>
      <c r="B41" s="122">
        <f t="shared" ref="B41:M41" si="15">SUM(B39:B40)</f>
        <v>0</v>
      </c>
      <c r="C41" s="121">
        <f t="shared" si="15"/>
        <v>0</v>
      </c>
      <c r="D41" s="121">
        <f t="shared" si="15"/>
        <v>0</v>
      </c>
      <c r="E41" s="121">
        <f t="shared" si="15"/>
        <v>0</v>
      </c>
      <c r="F41" s="121">
        <f t="shared" si="15"/>
        <v>0</v>
      </c>
      <c r="G41" s="121">
        <f t="shared" si="15"/>
        <v>0</v>
      </c>
      <c r="H41" s="121">
        <f t="shared" si="15"/>
        <v>0</v>
      </c>
      <c r="I41" s="121">
        <f t="shared" si="15"/>
        <v>0</v>
      </c>
      <c r="J41" s="121">
        <f t="shared" si="15"/>
        <v>0</v>
      </c>
      <c r="K41" s="121">
        <f t="shared" si="15"/>
        <v>0</v>
      </c>
      <c r="L41" s="121">
        <f t="shared" si="15"/>
        <v>0</v>
      </c>
      <c r="M41" s="121">
        <f t="shared" si="15"/>
        <v>0</v>
      </c>
      <c r="N41" s="120">
        <f>SUM(B41:M41)</f>
        <v>0</v>
      </c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95"/>
    </row>
    <row r="42" spans="1:34" s="114" customFormat="1" ht="12">
      <c r="A42" s="108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2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5"/>
    </row>
    <row r="43" spans="1:34">
      <c r="A43" s="98" t="s">
        <v>117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4"/>
    </row>
    <row r="44" spans="1:34">
      <c r="A44" s="102" t="s">
        <v>118</v>
      </c>
      <c r="B44" s="101">
        <v>0</v>
      </c>
      <c r="C44" s="100">
        <f t="shared" ref="C44:M47" si="16">B44</f>
        <v>0</v>
      </c>
      <c r="D44" s="100">
        <f t="shared" si="16"/>
        <v>0</v>
      </c>
      <c r="E44" s="100">
        <f t="shared" si="16"/>
        <v>0</v>
      </c>
      <c r="F44" s="100">
        <f t="shared" si="16"/>
        <v>0</v>
      </c>
      <c r="G44" s="100">
        <f t="shared" si="16"/>
        <v>0</v>
      </c>
      <c r="H44" s="100">
        <f t="shared" si="16"/>
        <v>0</v>
      </c>
      <c r="I44" s="100">
        <f t="shared" si="16"/>
        <v>0</v>
      </c>
      <c r="J44" s="100">
        <f t="shared" si="16"/>
        <v>0</v>
      </c>
      <c r="K44" s="100">
        <f t="shared" si="16"/>
        <v>0</v>
      </c>
      <c r="L44" s="100">
        <f t="shared" si="16"/>
        <v>0</v>
      </c>
      <c r="M44" s="100">
        <f t="shared" si="16"/>
        <v>0</v>
      </c>
      <c r="N44" s="99">
        <f t="shared" ref="N44:N49" si="17">SUM(B44:M44)</f>
        <v>0</v>
      </c>
    </row>
    <row r="45" spans="1:34">
      <c r="A45" s="102" t="s">
        <v>119</v>
      </c>
      <c r="B45" s="103">
        <v>0</v>
      </c>
      <c r="C45" s="103">
        <f t="shared" si="16"/>
        <v>0</v>
      </c>
      <c r="D45" s="103">
        <f t="shared" si="16"/>
        <v>0</v>
      </c>
      <c r="E45" s="103">
        <f t="shared" si="16"/>
        <v>0</v>
      </c>
      <c r="F45" s="103">
        <f t="shared" si="16"/>
        <v>0</v>
      </c>
      <c r="G45" s="103">
        <f t="shared" si="16"/>
        <v>0</v>
      </c>
      <c r="H45" s="103">
        <f t="shared" si="16"/>
        <v>0</v>
      </c>
      <c r="I45" s="103">
        <f t="shared" si="16"/>
        <v>0</v>
      </c>
      <c r="J45" s="103">
        <f t="shared" si="16"/>
        <v>0</v>
      </c>
      <c r="K45" s="103">
        <f t="shared" si="16"/>
        <v>0</v>
      </c>
      <c r="L45" s="103">
        <f t="shared" si="16"/>
        <v>0</v>
      </c>
      <c r="M45" s="103">
        <f t="shared" si="16"/>
        <v>0</v>
      </c>
      <c r="N45" s="96">
        <f t="shared" si="17"/>
        <v>0</v>
      </c>
    </row>
    <row r="46" spans="1:34">
      <c r="A46" s="102" t="s">
        <v>120</v>
      </c>
      <c r="B46" s="101">
        <v>0</v>
      </c>
      <c r="C46" s="100">
        <f t="shared" si="16"/>
        <v>0</v>
      </c>
      <c r="D46" s="100">
        <f t="shared" si="16"/>
        <v>0</v>
      </c>
      <c r="E46" s="100">
        <f t="shared" si="16"/>
        <v>0</v>
      </c>
      <c r="F46" s="100">
        <f t="shared" si="16"/>
        <v>0</v>
      </c>
      <c r="G46" s="100">
        <f t="shared" si="16"/>
        <v>0</v>
      </c>
      <c r="H46" s="100">
        <f t="shared" si="16"/>
        <v>0</v>
      </c>
      <c r="I46" s="100">
        <f t="shared" si="16"/>
        <v>0</v>
      </c>
      <c r="J46" s="100">
        <f t="shared" si="16"/>
        <v>0</v>
      </c>
      <c r="K46" s="100">
        <f t="shared" si="16"/>
        <v>0</v>
      </c>
      <c r="L46" s="100">
        <f t="shared" si="16"/>
        <v>0</v>
      </c>
      <c r="M46" s="100">
        <f t="shared" si="16"/>
        <v>0</v>
      </c>
      <c r="N46" s="99">
        <f t="shared" si="17"/>
        <v>0</v>
      </c>
    </row>
    <row r="47" spans="1:34">
      <c r="A47" s="102" t="s">
        <v>121</v>
      </c>
      <c r="B47" s="103">
        <v>0</v>
      </c>
      <c r="C47" s="103">
        <f t="shared" si="16"/>
        <v>0</v>
      </c>
      <c r="D47" s="103">
        <f t="shared" si="16"/>
        <v>0</v>
      </c>
      <c r="E47" s="103">
        <f t="shared" si="16"/>
        <v>0</v>
      </c>
      <c r="F47" s="103">
        <f t="shared" si="16"/>
        <v>0</v>
      </c>
      <c r="G47" s="103">
        <f t="shared" si="16"/>
        <v>0</v>
      </c>
      <c r="H47" s="103">
        <f t="shared" si="16"/>
        <v>0</v>
      </c>
      <c r="I47" s="103">
        <f t="shared" si="16"/>
        <v>0</v>
      </c>
      <c r="J47" s="103">
        <f t="shared" si="16"/>
        <v>0</v>
      </c>
      <c r="K47" s="103">
        <f t="shared" si="16"/>
        <v>0</v>
      </c>
      <c r="L47" s="103">
        <f t="shared" si="16"/>
        <v>0</v>
      </c>
      <c r="M47" s="103">
        <f t="shared" si="16"/>
        <v>0</v>
      </c>
      <c r="N47" s="123">
        <f t="shared" si="17"/>
        <v>0</v>
      </c>
    </row>
    <row r="48" spans="1:34">
      <c r="A48" s="102" t="s">
        <v>122</v>
      </c>
      <c r="B48" s="101">
        <v>2200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24">
        <f t="shared" si="17"/>
        <v>2200</v>
      </c>
    </row>
    <row r="49" spans="1:34">
      <c r="A49" s="102" t="s">
        <v>90</v>
      </c>
      <c r="B49" s="103">
        <v>365</v>
      </c>
      <c r="C49" s="103">
        <f>B49</f>
        <v>365</v>
      </c>
      <c r="D49" s="103">
        <f t="shared" ref="D49:M49" si="18">C49</f>
        <v>365</v>
      </c>
      <c r="E49" s="103">
        <f t="shared" si="18"/>
        <v>365</v>
      </c>
      <c r="F49" s="103">
        <f t="shared" si="18"/>
        <v>365</v>
      </c>
      <c r="G49" s="103">
        <f t="shared" si="18"/>
        <v>365</v>
      </c>
      <c r="H49" s="103">
        <f t="shared" si="18"/>
        <v>365</v>
      </c>
      <c r="I49" s="103">
        <f t="shared" si="18"/>
        <v>365</v>
      </c>
      <c r="J49" s="103">
        <f t="shared" si="18"/>
        <v>365</v>
      </c>
      <c r="K49" s="103">
        <f t="shared" si="18"/>
        <v>365</v>
      </c>
      <c r="L49" s="103">
        <f t="shared" si="18"/>
        <v>365</v>
      </c>
      <c r="M49" s="103">
        <f t="shared" si="18"/>
        <v>365</v>
      </c>
      <c r="N49" s="123">
        <f t="shared" si="17"/>
        <v>4380</v>
      </c>
    </row>
    <row r="50" spans="1:34" s="94" customFormat="1">
      <c r="A50" s="98" t="s">
        <v>123</v>
      </c>
      <c r="B50" s="122">
        <f t="shared" ref="B50:N50" si="19">SUM(B44:B49)</f>
        <v>2565</v>
      </c>
      <c r="C50" s="121">
        <f t="shared" si="19"/>
        <v>365</v>
      </c>
      <c r="D50" s="121">
        <f t="shared" si="19"/>
        <v>365</v>
      </c>
      <c r="E50" s="121">
        <f t="shared" si="19"/>
        <v>365</v>
      </c>
      <c r="F50" s="121">
        <f t="shared" si="19"/>
        <v>365</v>
      </c>
      <c r="G50" s="121">
        <f t="shared" si="19"/>
        <v>365</v>
      </c>
      <c r="H50" s="121">
        <f t="shared" si="19"/>
        <v>365</v>
      </c>
      <c r="I50" s="121">
        <f t="shared" si="19"/>
        <v>365</v>
      </c>
      <c r="J50" s="121">
        <f t="shared" si="19"/>
        <v>365</v>
      </c>
      <c r="K50" s="121">
        <f t="shared" si="19"/>
        <v>365</v>
      </c>
      <c r="L50" s="121">
        <f t="shared" si="19"/>
        <v>365</v>
      </c>
      <c r="M50" s="121">
        <f t="shared" si="19"/>
        <v>365</v>
      </c>
      <c r="N50" s="120">
        <f t="shared" si="19"/>
        <v>6580</v>
      </c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95"/>
    </row>
    <row r="51" spans="1:34" s="114" customFormat="1" ht="12">
      <c r="A51" s="108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2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5"/>
    </row>
    <row r="52" spans="1:34">
      <c r="A52" s="98" t="s">
        <v>124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4"/>
    </row>
    <row r="53" spans="1:34">
      <c r="A53" s="102" t="s">
        <v>179</v>
      </c>
      <c r="B53" s="119">
        <v>2454</v>
      </c>
      <c r="C53" s="117" t="s">
        <v>5</v>
      </c>
      <c r="D53" s="117" t="s">
        <v>5</v>
      </c>
      <c r="E53" s="117">
        <f>B53</f>
        <v>2454</v>
      </c>
      <c r="F53" s="117" t="s">
        <v>5</v>
      </c>
      <c r="G53" s="117" t="s">
        <v>5</v>
      </c>
      <c r="H53" s="117">
        <f>E53</f>
        <v>2454</v>
      </c>
      <c r="I53" s="117" t="s">
        <v>5</v>
      </c>
      <c r="J53" s="117" t="s">
        <v>5</v>
      </c>
      <c r="K53" s="117">
        <f>H53</f>
        <v>2454</v>
      </c>
      <c r="L53" s="117" t="s">
        <v>5</v>
      </c>
      <c r="M53" s="117" t="s">
        <v>5</v>
      </c>
      <c r="N53" s="99">
        <f t="shared" ref="N53:N61" si="20">SUM(B53:M53)</f>
        <v>9816</v>
      </c>
    </row>
    <row r="54" spans="1:34">
      <c r="A54" s="102" t="s">
        <v>180</v>
      </c>
      <c r="B54" s="118">
        <v>1339</v>
      </c>
      <c r="C54" s="118">
        <f t="shared" ref="C54:M57" si="21">B54</f>
        <v>1339</v>
      </c>
      <c r="D54" s="118">
        <f t="shared" si="21"/>
        <v>1339</v>
      </c>
      <c r="E54" s="118">
        <f t="shared" si="21"/>
        <v>1339</v>
      </c>
      <c r="F54" s="118">
        <f t="shared" si="21"/>
        <v>1339</v>
      </c>
      <c r="G54" s="118">
        <f t="shared" si="21"/>
        <v>1339</v>
      </c>
      <c r="H54" s="118">
        <f t="shared" si="21"/>
        <v>1339</v>
      </c>
      <c r="I54" s="118">
        <f t="shared" si="21"/>
        <v>1339</v>
      </c>
      <c r="J54" s="118">
        <f t="shared" si="21"/>
        <v>1339</v>
      </c>
      <c r="K54" s="118">
        <f t="shared" si="21"/>
        <v>1339</v>
      </c>
      <c r="L54" s="118">
        <f t="shared" si="21"/>
        <v>1339</v>
      </c>
      <c r="M54" s="118">
        <f t="shared" si="21"/>
        <v>1339</v>
      </c>
      <c r="N54" s="96">
        <f t="shared" si="20"/>
        <v>16068</v>
      </c>
    </row>
    <row r="55" spans="1:34">
      <c r="A55" s="102" t="s">
        <v>126</v>
      </c>
      <c r="B55" s="119">
        <v>0</v>
      </c>
      <c r="C55" s="117">
        <f t="shared" si="21"/>
        <v>0</v>
      </c>
      <c r="D55" s="117">
        <f t="shared" si="21"/>
        <v>0</v>
      </c>
      <c r="E55" s="117">
        <f t="shared" si="21"/>
        <v>0</v>
      </c>
      <c r="F55" s="117">
        <f t="shared" si="21"/>
        <v>0</v>
      </c>
      <c r="G55" s="117">
        <f t="shared" si="21"/>
        <v>0</v>
      </c>
      <c r="H55" s="117">
        <f t="shared" si="21"/>
        <v>0</v>
      </c>
      <c r="I55" s="117">
        <f t="shared" si="21"/>
        <v>0</v>
      </c>
      <c r="J55" s="117">
        <f t="shared" si="21"/>
        <v>0</v>
      </c>
      <c r="K55" s="117">
        <f t="shared" si="21"/>
        <v>0</v>
      </c>
      <c r="L55" s="117">
        <f t="shared" si="21"/>
        <v>0</v>
      </c>
      <c r="M55" s="117">
        <f t="shared" si="21"/>
        <v>0</v>
      </c>
      <c r="N55" s="99">
        <f t="shared" si="20"/>
        <v>0</v>
      </c>
    </row>
    <row r="56" spans="1:34">
      <c r="A56" s="102" t="s">
        <v>126</v>
      </c>
      <c r="B56" s="118">
        <v>0</v>
      </c>
      <c r="C56" s="118">
        <f t="shared" si="21"/>
        <v>0</v>
      </c>
      <c r="D56" s="118">
        <f t="shared" si="21"/>
        <v>0</v>
      </c>
      <c r="E56" s="118">
        <f t="shared" si="21"/>
        <v>0</v>
      </c>
      <c r="F56" s="118">
        <f t="shared" si="21"/>
        <v>0</v>
      </c>
      <c r="G56" s="118">
        <f t="shared" si="21"/>
        <v>0</v>
      </c>
      <c r="H56" s="118">
        <f t="shared" si="21"/>
        <v>0</v>
      </c>
      <c r="I56" s="118">
        <f t="shared" si="21"/>
        <v>0</v>
      </c>
      <c r="J56" s="118">
        <f t="shared" si="21"/>
        <v>0</v>
      </c>
      <c r="K56" s="118">
        <f t="shared" si="21"/>
        <v>0</v>
      </c>
      <c r="L56" s="118">
        <f t="shared" si="21"/>
        <v>0</v>
      </c>
      <c r="M56" s="118">
        <f t="shared" si="21"/>
        <v>0</v>
      </c>
      <c r="N56" s="96">
        <f t="shared" si="20"/>
        <v>0</v>
      </c>
    </row>
    <row r="57" spans="1:34">
      <c r="A57" s="102" t="s">
        <v>127</v>
      </c>
      <c r="B57" s="119">
        <v>4345</v>
      </c>
      <c r="C57" s="117" t="s">
        <v>5</v>
      </c>
      <c r="D57" s="117" t="str">
        <f t="shared" si="21"/>
        <v xml:space="preserve"> </v>
      </c>
      <c r="E57" s="117" t="str">
        <f t="shared" si="21"/>
        <v xml:space="preserve"> </v>
      </c>
      <c r="F57" s="117" t="str">
        <f t="shared" si="21"/>
        <v xml:space="preserve"> </v>
      </c>
      <c r="G57" s="117" t="str">
        <f t="shared" si="21"/>
        <v xml:space="preserve"> </v>
      </c>
      <c r="H57" s="117" t="str">
        <f t="shared" si="21"/>
        <v xml:space="preserve"> </v>
      </c>
      <c r="I57" s="117" t="str">
        <f t="shared" si="21"/>
        <v xml:space="preserve"> </v>
      </c>
      <c r="J57" s="117" t="str">
        <f t="shared" si="21"/>
        <v xml:space="preserve"> </v>
      </c>
      <c r="K57" s="117" t="str">
        <f t="shared" si="21"/>
        <v xml:space="preserve"> </v>
      </c>
      <c r="L57" s="117" t="str">
        <f t="shared" si="21"/>
        <v xml:space="preserve"> </v>
      </c>
      <c r="M57" s="117" t="str">
        <f t="shared" si="21"/>
        <v xml:space="preserve"> </v>
      </c>
      <c r="N57" s="99">
        <f t="shared" si="20"/>
        <v>4345</v>
      </c>
    </row>
    <row r="58" spans="1:34">
      <c r="A58" s="102" t="s">
        <v>128</v>
      </c>
      <c r="B58" s="118">
        <v>0</v>
      </c>
      <c r="C58" s="118">
        <v>0</v>
      </c>
      <c r="D58" s="118">
        <v>0</v>
      </c>
      <c r="E58" s="118">
        <v>0</v>
      </c>
      <c r="F58" s="118">
        <v>0</v>
      </c>
      <c r="G58" s="118">
        <v>0</v>
      </c>
      <c r="H58" s="118">
        <v>0</v>
      </c>
      <c r="I58" s="118">
        <v>0</v>
      </c>
      <c r="J58" s="118">
        <v>0</v>
      </c>
      <c r="K58" s="118">
        <v>0</v>
      </c>
      <c r="L58" s="118">
        <v>0</v>
      </c>
      <c r="M58" s="118">
        <v>0</v>
      </c>
      <c r="N58" s="96">
        <f t="shared" si="20"/>
        <v>0</v>
      </c>
    </row>
    <row r="59" spans="1:34">
      <c r="A59" s="102" t="s">
        <v>129</v>
      </c>
      <c r="B59" s="119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99">
        <f t="shared" si="20"/>
        <v>0</v>
      </c>
    </row>
    <row r="60" spans="1:34">
      <c r="A60" s="102" t="s">
        <v>130</v>
      </c>
      <c r="B60" s="118">
        <v>0</v>
      </c>
      <c r="C60" s="118">
        <f t="shared" ref="C60:M60" si="22">B60</f>
        <v>0</v>
      </c>
      <c r="D60" s="118">
        <f t="shared" si="22"/>
        <v>0</v>
      </c>
      <c r="E60" s="118">
        <f t="shared" si="22"/>
        <v>0</v>
      </c>
      <c r="F60" s="118">
        <f t="shared" si="22"/>
        <v>0</v>
      </c>
      <c r="G60" s="118">
        <f t="shared" si="22"/>
        <v>0</v>
      </c>
      <c r="H60" s="118">
        <f t="shared" si="22"/>
        <v>0</v>
      </c>
      <c r="I60" s="118">
        <f t="shared" si="22"/>
        <v>0</v>
      </c>
      <c r="J60" s="118">
        <f t="shared" si="22"/>
        <v>0</v>
      </c>
      <c r="K60" s="118">
        <f t="shared" si="22"/>
        <v>0</v>
      </c>
      <c r="L60" s="118">
        <f t="shared" si="22"/>
        <v>0</v>
      </c>
      <c r="M60" s="118">
        <f t="shared" si="22"/>
        <v>0</v>
      </c>
      <c r="N60" s="96">
        <f t="shared" si="20"/>
        <v>0</v>
      </c>
    </row>
    <row r="61" spans="1:34">
      <c r="A61" s="102" t="s">
        <v>90</v>
      </c>
      <c r="B61" s="101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99">
        <f t="shared" si="20"/>
        <v>0</v>
      </c>
    </row>
    <row r="62" spans="1:34" s="94" customFormat="1">
      <c r="A62" s="98" t="s">
        <v>131</v>
      </c>
      <c r="B62" s="97">
        <f t="shared" ref="B62:N62" si="23">SUM(B53:B61)</f>
        <v>8138</v>
      </c>
      <c r="C62" s="97">
        <f t="shared" si="23"/>
        <v>1339</v>
      </c>
      <c r="D62" s="97">
        <f t="shared" si="23"/>
        <v>1339</v>
      </c>
      <c r="E62" s="97">
        <f t="shared" si="23"/>
        <v>3793</v>
      </c>
      <c r="F62" s="97">
        <f t="shared" si="23"/>
        <v>1339</v>
      </c>
      <c r="G62" s="97">
        <f t="shared" si="23"/>
        <v>1339</v>
      </c>
      <c r="H62" s="97">
        <f t="shared" si="23"/>
        <v>3793</v>
      </c>
      <c r="I62" s="97">
        <f t="shared" si="23"/>
        <v>1339</v>
      </c>
      <c r="J62" s="97">
        <f t="shared" si="23"/>
        <v>1339</v>
      </c>
      <c r="K62" s="97">
        <f t="shared" si="23"/>
        <v>3793</v>
      </c>
      <c r="L62" s="97">
        <f t="shared" si="23"/>
        <v>1339</v>
      </c>
      <c r="M62" s="97">
        <f t="shared" si="23"/>
        <v>1339</v>
      </c>
      <c r="N62" s="96">
        <f t="shared" si="23"/>
        <v>30229</v>
      </c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95"/>
    </row>
    <row r="63" spans="1:34" s="114" customFormat="1" ht="12">
      <c r="A63" s="108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2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5"/>
    </row>
    <row r="64" spans="1:34">
      <c r="A64" s="98" t="s">
        <v>132</v>
      </c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4"/>
    </row>
    <row r="65" spans="1:34">
      <c r="A65" s="102" t="s">
        <v>133</v>
      </c>
      <c r="B65" s="101">
        <v>0</v>
      </c>
      <c r="C65" s="100">
        <f t="shared" ref="C65:M67" si="24">B65</f>
        <v>0</v>
      </c>
      <c r="D65" s="100">
        <f t="shared" si="24"/>
        <v>0</v>
      </c>
      <c r="E65" s="100">
        <f t="shared" si="24"/>
        <v>0</v>
      </c>
      <c r="F65" s="100">
        <f t="shared" si="24"/>
        <v>0</v>
      </c>
      <c r="G65" s="100">
        <f t="shared" si="24"/>
        <v>0</v>
      </c>
      <c r="H65" s="100">
        <f t="shared" si="24"/>
        <v>0</v>
      </c>
      <c r="I65" s="100">
        <f t="shared" si="24"/>
        <v>0</v>
      </c>
      <c r="J65" s="100">
        <f t="shared" si="24"/>
        <v>0</v>
      </c>
      <c r="K65" s="100">
        <f t="shared" si="24"/>
        <v>0</v>
      </c>
      <c r="L65" s="100">
        <f t="shared" si="24"/>
        <v>0</v>
      </c>
      <c r="M65" s="100">
        <f t="shared" si="24"/>
        <v>0</v>
      </c>
      <c r="N65" s="99">
        <f>SUM(B65:M65)</f>
        <v>0</v>
      </c>
    </row>
    <row r="66" spans="1:34">
      <c r="A66" s="102" t="s">
        <v>134</v>
      </c>
      <c r="B66" s="103">
        <v>2945</v>
      </c>
      <c r="C66" s="103">
        <f t="shared" si="24"/>
        <v>2945</v>
      </c>
      <c r="D66" s="103">
        <f t="shared" si="24"/>
        <v>2945</v>
      </c>
      <c r="E66" s="103">
        <f t="shared" si="24"/>
        <v>2945</v>
      </c>
      <c r="F66" s="103">
        <f t="shared" si="24"/>
        <v>2945</v>
      </c>
      <c r="G66" s="103">
        <f t="shared" si="24"/>
        <v>2945</v>
      </c>
      <c r="H66" s="103">
        <f t="shared" si="24"/>
        <v>2945</v>
      </c>
      <c r="I66" s="103">
        <f t="shared" si="24"/>
        <v>2945</v>
      </c>
      <c r="J66" s="103">
        <f t="shared" si="24"/>
        <v>2945</v>
      </c>
      <c r="K66" s="103">
        <f t="shared" si="24"/>
        <v>2945</v>
      </c>
      <c r="L66" s="103">
        <f t="shared" si="24"/>
        <v>2945</v>
      </c>
      <c r="M66" s="103">
        <v>0</v>
      </c>
      <c r="N66" s="96">
        <f>SUM(B66:M66)</f>
        <v>32395</v>
      </c>
    </row>
    <row r="67" spans="1:34">
      <c r="A67" s="102" t="s">
        <v>135</v>
      </c>
      <c r="B67" s="101">
        <v>0</v>
      </c>
      <c r="C67" s="100">
        <f t="shared" si="24"/>
        <v>0</v>
      </c>
      <c r="D67" s="100">
        <f t="shared" si="24"/>
        <v>0</v>
      </c>
      <c r="E67" s="100">
        <f t="shared" si="24"/>
        <v>0</v>
      </c>
      <c r="F67" s="100">
        <f t="shared" si="24"/>
        <v>0</v>
      </c>
      <c r="G67" s="100">
        <f t="shared" si="24"/>
        <v>0</v>
      </c>
      <c r="H67" s="100">
        <f t="shared" si="24"/>
        <v>0</v>
      </c>
      <c r="I67" s="100">
        <f t="shared" si="24"/>
        <v>0</v>
      </c>
      <c r="J67" s="100">
        <f t="shared" si="24"/>
        <v>0</v>
      </c>
      <c r="K67" s="100">
        <f t="shared" si="24"/>
        <v>0</v>
      </c>
      <c r="L67" s="100">
        <f t="shared" si="24"/>
        <v>0</v>
      </c>
      <c r="M67" s="100">
        <f t="shared" si="24"/>
        <v>0</v>
      </c>
      <c r="N67" s="99">
        <f>SUM(B67:M67)</f>
        <v>0</v>
      </c>
    </row>
    <row r="68" spans="1:34">
      <c r="A68" s="102" t="s">
        <v>136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96">
        <f>SUM(B68:M68)</f>
        <v>0</v>
      </c>
    </row>
    <row r="69" spans="1:34">
      <c r="A69" s="102" t="s">
        <v>90</v>
      </c>
      <c r="B69" s="101">
        <v>0</v>
      </c>
      <c r="C69" s="100">
        <v>0</v>
      </c>
      <c r="D69" s="100">
        <v>0</v>
      </c>
      <c r="E69" s="100">
        <v>0</v>
      </c>
      <c r="F69" s="100">
        <v>0</v>
      </c>
      <c r="G69" s="100">
        <v>0</v>
      </c>
      <c r="H69" s="100">
        <v>0</v>
      </c>
      <c r="I69" s="100">
        <v>0</v>
      </c>
      <c r="J69" s="100">
        <v>0</v>
      </c>
      <c r="K69" s="100">
        <v>0</v>
      </c>
      <c r="L69" s="100">
        <v>0</v>
      </c>
      <c r="M69" s="100">
        <v>0</v>
      </c>
      <c r="N69" s="99">
        <f>SUM(B69:M69)</f>
        <v>0</v>
      </c>
    </row>
    <row r="70" spans="1:34">
      <c r="A70" s="98" t="s">
        <v>137</v>
      </c>
      <c r="B70" s="97">
        <f t="shared" ref="B70:N70" si="25">SUM(B65:B69)</f>
        <v>2945</v>
      </c>
      <c r="C70" s="97">
        <f t="shared" si="25"/>
        <v>2945</v>
      </c>
      <c r="D70" s="97">
        <f t="shared" si="25"/>
        <v>2945</v>
      </c>
      <c r="E70" s="97">
        <f t="shared" si="25"/>
        <v>2945</v>
      </c>
      <c r="F70" s="97">
        <f t="shared" si="25"/>
        <v>2945</v>
      </c>
      <c r="G70" s="97">
        <f t="shared" si="25"/>
        <v>2945</v>
      </c>
      <c r="H70" s="97">
        <f t="shared" si="25"/>
        <v>2945</v>
      </c>
      <c r="I70" s="97">
        <f t="shared" si="25"/>
        <v>2945</v>
      </c>
      <c r="J70" s="97">
        <f t="shared" si="25"/>
        <v>2945</v>
      </c>
      <c r="K70" s="97">
        <f t="shared" si="25"/>
        <v>2945</v>
      </c>
      <c r="L70" s="97">
        <f t="shared" si="25"/>
        <v>2945</v>
      </c>
      <c r="M70" s="97">
        <f t="shared" si="25"/>
        <v>0</v>
      </c>
      <c r="N70" s="96">
        <f t="shared" si="25"/>
        <v>32395</v>
      </c>
    </row>
    <row r="71" spans="1:34" s="81" customFormat="1" ht="12">
      <c r="A71" s="108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2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2"/>
    </row>
    <row r="72" spans="1:34">
      <c r="A72" s="98" t="s">
        <v>138</v>
      </c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4"/>
    </row>
    <row r="73" spans="1:34">
      <c r="A73" s="102" t="s">
        <v>90</v>
      </c>
      <c r="B73" s="101">
        <v>0</v>
      </c>
      <c r="C73" s="100">
        <v>0</v>
      </c>
      <c r="D73" s="100">
        <v>0</v>
      </c>
      <c r="E73" s="100">
        <v>0</v>
      </c>
      <c r="F73" s="100">
        <v>0</v>
      </c>
      <c r="G73" s="100">
        <v>0</v>
      </c>
      <c r="H73" s="100">
        <v>0</v>
      </c>
      <c r="I73" s="100">
        <v>0</v>
      </c>
      <c r="J73" s="100">
        <v>0</v>
      </c>
      <c r="K73" s="100">
        <v>0</v>
      </c>
      <c r="L73" s="100">
        <v>0</v>
      </c>
      <c r="M73" s="100">
        <v>0</v>
      </c>
      <c r="N73" s="99">
        <f>SUM(B73:M73)</f>
        <v>0</v>
      </c>
    </row>
    <row r="74" spans="1:34">
      <c r="A74" s="102" t="s">
        <v>90</v>
      </c>
      <c r="B74" s="103">
        <v>0</v>
      </c>
      <c r="C74" s="103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>
        <v>0</v>
      </c>
      <c r="J74" s="103">
        <v>0</v>
      </c>
      <c r="K74" s="103">
        <v>0</v>
      </c>
      <c r="L74" s="103">
        <v>0</v>
      </c>
      <c r="M74" s="103">
        <v>0</v>
      </c>
      <c r="N74" s="96">
        <f>SUM(B74:M74)</f>
        <v>0</v>
      </c>
    </row>
    <row r="75" spans="1:34">
      <c r="A75" s="98" t="s">
        <v>139</v>
      </c>
      <c r="B75" s="111">
        <f t="shared" ref="B75:N75" si="26">SUM(B73:B74)</f>
        <v>0</v>
      </c>
      <c r="C75" s="110">
        <f t="shared" si="26"/>
        <v>0</v>
      </c>
      <c r="D75" s="110">
        <f t="shared" si="26"/>
        <v>0</v>
      </c>
      <c r="E75" s="110">
        <f t="shared" si="26"/>
        <v>0</v>
      </c>
      <c r="F75" s="110">
        <f t="shared" si="26"/>
        <v>0</v>
      </c>
      <c r="G75" s="110">
        <f t="shared" si="26"/>
        <v>0</v>
      </c>
      <c r="H75" s="110">
        <f t="shared" si="26"/>
        <v>0</v>
      </c>
      <c r="I75" s="110">
        <f t="shared" si="26"/>
        <v>0</v>
      </c>
      <c r="J75" s="110">
        <f t="shared" si="26"/>
        <v>0</v>
      </c>
      <c r="K75" s="110">
        <f t="shared" si="26"/>
        <v>0</v>
      </c>
      <c r="L75" s="110">
        <f t="shared" si="26"/>
        <v>0</v>
      </c>
      <c r="M75" s="110">
        <f t="shared" si="26"/>
        <v>0</v>
      </c>
      <c r="N75" s="109">
        <f t="shared" si="26"/>
        <v>0</v>
      </c>
    </row>
    <row r="76" spans="1:34" s="81" customFormat="1" ht="12">
      <c r="A76" s="108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6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2"/>
    </row>
    <row r="77" spans="1:34">
      <c r="A77" s="98" t="s">
        <v>90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4"/>
    </row>
    <row r="78" spans="1:34">
      <c r="A78" s="102" t="s">
        <v>140</v>
      </c>
      <c r="B78" s="101">
        <v>2000</v>
      </c>
      <c r="C78" s="100">
        <f>B78</f>
        <v>2000</v>
      </c>
      <c r="D78" s="100">
        <f t="shared" ref="D78:M78" si="27">C78</f>
        <v>2000</v>
      </c>
      <c r="E78" s="100">
        <f t="shared" si="27"/>
        <v>2000</v>
      </c>
      <c r="F78" s="100">
        <f t="shared" si="27"/>
        <v>2000</v>
      </c>
      <c r="G78" s="100">
        <f t="shared" si="27"/>
        <v>2000</v>
      </c>
      <c r="H78" s="100">
        <f t="shared" si="27"/>
        <v>2000</v>
      </c>
      <c r="I78" s="100">
        <f t="shared" si="27"/>
        <v>2000</v>
      </c>
      <c r="J78" s="100">
        <f t="shared" si="27"/>
        <v>2000</v>
      </c>
      <c r="K78" s="100">
        <f t="shared" si="27"/>
        <v>2000</v>
      </c>
      <c r="L78" s="100">
        <f t="shared" si="27"/>
        <v>2000</v>
      </c>
      <c r="M78" s="100">
        <f t="shared" si="27"/>
        <v>2000</v>
      </c>
      <c r="N78" s="99">
        <f>SUM(B78:M78)</f>
        <v>24000</v>
      </c>
    </row>
    <row r="79" spans="1:34">
      <c r="A79" s="102" t="s">
        <v>141</v>
      </c>
      <c r="B79" s="103">
        <v>0</v>
      </c>
      <c r="C79" s="103">
        <v>0</v>
      </c>
      <c r="D79" s="103">
        <v>0</v>
      </c>
      <c r="E79" s="103">
        <v>0</v>
      </c>
      <c r="F79" s="103">
        <v>0</v>
      </c>
      <c r="G79" s="103">
        <v>0</v>
      </c>
      <c r="H79" s="103">
        <v>0</v>
      </c>
      <c r="I79" s="103">
        <v>0</v>
      </c>
      <c r="J79" s="103">
        <v>0</v>
      </c>
      <c r="K79" s="103">
        <v>0</v>
      </c>
      <c r="L79" s="103">
        <v>0</v>
      </c>
      <c r="M79" s="103">
        <v>0</v>
      </c>
      <c r="N79" s="96">
        <f>SUM(B79:M79)</f>
        <v>0</v>
      </c>
    </row>
    <row r="80" spans="1:34">
      <c r="A80" s="102" t="s">
        <v>141</v>
      </c>
      <c r="B80" s="101">
        <v>0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99">
        <f>SUM(B80:M80)</f>
        <v>0</v>
      </c>
    </row>
    <row r="81" spans="1:34" s="94" customFormat="1">
      <c r="A81" s="98" t="s">
        <v>142</v>
      </c>
      <c r="B81" s="97">
        <f t="shared" ref="B81:N81" si="28">SUM(B78:B80)</f>
        <v>2000</v>
      </c>
      <c r="C81" s="97">
        <f t="shared" si="28"/>
        <v>2000</v>
      </c>
      <c r="D81" s="97">
        <f t="shared" si="28"/>
        <v>2000</v>
      </c>
      <c r="E81" s="97">
        <f t="shared" si="28"/>
        <v>2000</v>
      </c>
      <c r="F81" s="97">
        <f t="shared" si="28"/>
        <v>2000</v>
      </c>
      <c r="G81" s="97">
        <f t="shared" si="28"/>
        <v>2000</v>
      </c>
      <c r="H81" s="97">
        <f t="shared" si="28"/>
        <v>2000</v>
      </c>
      <c r="I81" s="97">
        <f t="shared" si="28"/>
        <v>2000</v>
      </c>
      <c r="J81" s="97">
        <f t="shared" si="28"/>
        <v>2000</v>
      </c>
      <c r="K81" s="97">
        <f t="shared" si="28"/>
        <v>2000</v>
      </c>
      <c r="L81" s="97">
        <f t="shared" si="28"/>
        <v>2000</v>
      </c>
      <c r="M81" s="97">
        <f t="shared" si="28"/>
        <v>2000</v>
      </c>
      <c r="N81" s="96">
        <f t="shared" si="28"/>
        <v>24000</v>
      </c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95"/>
    </row>
    <row r="82" spans="1:34" s="81" customFormat="1" ht="12">
      <c r="A82" s="93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1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2"/>
    </row>
    <row r="83" spans="1:34" ht="16">
      <c r="A83" s="90" t="s">
        <v>143</v>
      </c>
      <c r="B83" s="89" t="e">
        <f t="shared" ref="B83:N83" si="29">B27+B36+B41+B50+B62+B70+B75+B81</f>
        <v>#REF!</v>
      </c>
      <c r="C83" s="88" t="e">
        <f t="shared" si="29"/>
        <v>#REF!</v>
      </c>
      <c r="D83" s="88" t="e">
        <f t="shared" si="29"/>
        <v>#REF!</v>
      </c>
      <c r="E83" s="88" t="e">
        <f t="shared" si="29"/>
        <v>#REF!</v>
      </c>
      <c r="F83" s="88" t="e">
        <f t="shared" si="29"/>
        <v>#REF!</v>
      </c>
      <c r="G83" s="88" t="e">
        <f t="shared" si="29"/>
        <v>#REF!</v>
      </c>
      <c r="H83" s="88" t="e">
        <f t="shared" si="29"/>
        <v>#REF!</v>
      </c>
      <c r="I83" s="88" t="e">
        <f t="shared" si="29"/>
        <v>#REF!</v>
      </c>
      <c r="J83" s="88" t="e">
        <f t="shared" si="29"/>
        <v>#REF!</v>
      </c>
      <c r="K83" s="88" t="e">
        <f t="shared" si="29"/>
        <v>#REF!</v>
      </c>
      <c r="L83" s="88" t="e">
        <f t="shared" si="29"/>
        <v>#REF!</v>
      </c>
      <c r="M83" s="88" t="e">
        <f t="shared" si="29"/>
        <v>#REF!</v>
      </c>
      <c r="N83" s="87" t="e">
        <f t="shared" si="29"/>
        <v>#REF!</v>
      </c>
    </row>
    <row r="84" spans="1:34" s="81" customFormat="1" ht="12">
      <c r="A84" s="86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4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2"/>
    </row>
    <row r="85" spans="1:34" ht="14.25" customHeight="1">
      <c r="A85" s="80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</row>
    <row r="86" spans="1:34" ht="16">
      <c r="A86" s="78" t="s">
        <v>144</v>
      </c>
      <c r="B86" s="77" t="str">
        <f t="shared" ref="B86:N86" si="30">B3</f>
        <v>jan</v>
      </c>
      <c r="C86" s="76" t="str">
        <f t="shared" si="30"/>
        <v>feb</v>
      </c>
      <c r="D86" s="76" t="str">
        <f t="shared" si="30"/>
        <v>mar</v>
      </c>
      <c r="E86" s="76" t="str">
        <f t="shared" si="30"/>
        <v>apr</v>
      </c>
      <c r="F86" s="76" t="str">
        <f t="shared" si="30"/>
        <v>maj</v>
      </c>
      <c r="G86" s="76" t="str">
        <f t="shared" si="30"/>
        <v xml:space="preserve">juni </v>
      </c>
      <c r="H86" s="76" t="str">
        <f t="shared" si="30"/>
        <v>juli</v>
      </c>
      <c r="I86" s="76" t="str">
        <f t="shared" si="30"/>
        <v>aug</v>
      </c>
      <c r="J86" s="76" t="str">
        <f t="shared" si="30"/>
        <v>sept</v>
      </c>
      <c r="K86" s="76" t="str">
        <f t="shared" si="30"/>
        <v>okt</v>
      </c>
      <c r="L86" s="76" t="str">
        <f t="shared" si="30"/>
        <v>nov</v>
      </c>
      <c r="M86" s="76" t="str">
        <f t="shared" si="30"/>
        <v>dec</v>
      </c>
      <c r="N86" s="75" t="str">
        <f t="shared" si="30"/>
        <v>TOTAL</v>
      </c>
    </row>
    <row r="87" spans="1:34">
      <c r="A87" s="74" t="s">
        <v>145</v>
      </c>
      <c r="B87" s="73" t="e">
        <f t="shared" ref="B87:N87" si="31">SUM(B10-B83)</f>
        <v>#REF!</v>
      </c>
      <c r="C87" s="72" t="e">
        <f t="shared" si="31"/>
        <v>#REF!</v>
      </c>
      <c r="D87" s="72" t="e">
        <f t="shared" si="31"/>
        <v>#REF!</v>
      </c>
      <c r="E87" s="72" t="e">
        <f t="shared" si="31"/>
        <v>#REF!</v>
      </c>
      <c r="F87" s="72" t="e">
        <f t="shared" si="31"/>
        <v>#REF!</v>
      </c>
      <c r="G87" s="72" t="e">
        <f t="shared" si="31"/>
        <v>#REF!</v>
      </c>
      <c r="H87" s="72" t="e">
        <f t="shared" si="31"/>
        <v>#REF!</v>
      </c>
      <c r="I87" s="72" t="e">
        <f t="shared" si="31"/>
        <v>#REF!</v>
      </c>
      <c r="J87" s="72" t="e">
        <f t="shared" si="31"/>
        <v>#REF!</v>
      </c>
      <c r="K87" s="72" t="e">
        <f t="shared" si="31"/>
        <v>#REF!</v>
      </c>
      <c r="L87" s="72" t="e">
        <f t="shared" si="31"/>
        <v>#REF!</v>
      </c>
      <c r="M87" s="72" t="e">
        <f t="shared" si="31"/>
        <v>#REF!</v>
      </c>
      <c r="N87" s="71" t="e">
        <f t="shared" si="31"/>
        <v>#REF!</v>
      </c>
    </row>
    <row r="88" spans="1:34">
      <c r="A88" s="68" t="s">
        <v>146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69" t="e">
        <f>N87</f>
        <v>#REF!</v>
      </c>
    </row>
    <row r="89" spans="1:34">
      <c r="A89" s="68" t="s">
        <v>147</v>
      </c>
      <c r="B89" s="67" t="e">
        <f t="shared" ref="B89:M89" si="32">B87</f>
        <v>#REF!</v>
      </c>
      <c r="C89" s="66" t="e">
        <f t="shared" si="32"/>
        <v>#REF!</v>
      </c>
      <c r="D89" s="66" t="e">
        <f t="shared" si="32"/>
        <v>#REF!</v>
      </c>
      <c r="E89" s="66" t="e">
        <f t="shared" si="32"/>
        <v>#REF!</v>
      </c>
      <c r="F89" s="66" t="e">
        <f t="shared" si="32"/>
        <v>#REF!</v>
      </c>
      <c r="G89" s="66" t="e">
        <f t="shared" si="32"/>
        <v>#REF!</v>
      </c>
      <c r="H89" s="66" t="e">
        <f t="shared" si="32"/>
        <v>#REF!</v>
      </c>
      <c r="I89" s="66" t="e">
        <f t="shared" si="32"/>
        <v>#REF!</v>
      </c>
      <c r="J89" s="66" t="e">
        <f t="shared" si="32"/>
        <v>#REF!</v>
      </c>
      <c r="K89" s="66" t="e">
        <f t="shared" si="32"/>
        <v>#REF!</v>
      </c>
      <c r="L89" s="66" t="e">
        <f t="shared" si="32"/>
        <v>#REF!</v>
      </c>
      <c r="M89" s="66" t="e">
        <f t="shared" si="32"/>
        <v>#REF!</v>
      </c>
      <c r="N89" s="65" t="e">
        <f>N88/12</f>
        <v>#REF!</v>
      </c>
    </row>
    <row r="90" spans="1:34" s="59" customFormat="1">
      <c r="A90" s="64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2"/>
    </row>
    <row r="91" spans="1:34" s="59" customFormat="1">
      <c r="N91" s="61"/>
    </row>
    <row r="92" spans="1:34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61"/>
    </row>
    <row r="93" spans="1:34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61"/>
    </row>
    <row r="94" spans="1:3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61"/>
    </row>
    <row r="95" spans="1:34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61"/>
    </row>
    <row r="96" spans="1:34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61"/>
    </row>
    <row r="97" spans="1:14" s="57" customForma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61"/>
    </row>
    <row r="98" spans="1:14" s="57" customForma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61"/>
    </row>
    <row r="99" spans="1:14" s="57" customForma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61"/>
    </row>
    <row r="100" spans="1:14" s="57" customForma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61"/>
    </row>
    <row r="101" spans="1:14" s="57" customForma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61"/>
    </row>
    <row r="102" spans="1:14" s="57" customForma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61"/>
    </row>
    <row r="103" spans="1:14" s="57" customForma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61"/>
    </row>
    <row r="104" spans="1:14" s="57" customForma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61"/>
    </row>
    <row r="105" spans="1:14" s="57" customForma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61"/>
    </row>
    <row r="106" spans="1:14" s="57" customForma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61"/>
    </row>
    <row r="107" spans="1:14" s="57" customForma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61"/>
    </row>
    <row r="108" spans="1:14" s="57" customForma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61"/>
    </row>
    <row r="109" spans="1:14" s="57" customForma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61"/>
    </row>
    <row r="110" spans="1:14" s="57" customForma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61"/>
    </row>
    <row r="111" spans="1:14" s="57" customForma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61"/>
    </row>
    <row r="112" spans="1:14" s="57" customForma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61"/>
    </row>
    <row r="113" spans="1:14" s="57" customForma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61"/>
    </row>
    <row r="114" spans="1:14" s="57" customForma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61"/>
    </row>
    <row r="115" spans="1:14" s="57" customForma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61"/>
    </row>
    <row r="116" spans="1:14" s="57" customForma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61"/>
    </row>
    <row r="117" spans="1:14" s="57" customForma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61"/>
    </row>
    <row r="118" spans="1:14" s="57" customForma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61"/>
    </row>
    <row r="119" spans="1:14" s="57" customForma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61"/>
    </row>
    <row r="120" spans="1:14" s="57" customForma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61"/>
    </row>
    <row r="121" spans="1:14" s="57" customForma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61"/>
    </row>
    <row r="122" spans="1:14" s="57" customForma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61"/>
    </row>
    <row r="123" spans="1:14" s="57" customForma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61"/>
    </row>
    <row r="124" spans="1:14" s="57" customForma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61"/>
    </row>
    <row r="125" spans="1:14" s="57" customForma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61"/>
    </row>
    <row r="126" spans="1:14" s="57" customForma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61"/>
    </row>
    <row r="127" spans="1:14" s="57" customForma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61"/>
    </row>
    <row r="128" spans="1:14" s="57" customForma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61"/>
    </row>
    <row r="129" spans="1:14" s="57" customForma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61"/>
    </row>
    <row r="130" spans="1:14" s="57" customForma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61"/>
    </row>
    <row r="131" spans="1:14" s="57" customForma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61"/>
    </row>
    <row r="132" spans="1:14" s="57" customForma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61"/>
    </row>
    <row r="133" spans="1:14" s="57" customForma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61"/>
    </row>
    <row r="134" spans="1:14" s="57" customForma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61"/>
    </row>
    <row r="135" spans="1:14" s="57" customForma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61"/>
    </row>
    <row r="136" spans="1:14" s="57" customForma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61"/>
    </row>
    <row r="137" spans="1:14" s="57" customForma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61"/>
    </row>
    <row r="138" spans="1:14" s="57" customForma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61"/>
    </row>
    <row r="139" spans="1:14" s="57" customForma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61"/>
    </row>
    <row r="140" spans="1:14" s="57" customForma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61"/>
    </row>
    <row r="141" spans="1:14" s="57" customForma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61"/>
    </row>
    <row r="142" spans="1:14" s="57" customForma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61"/>
    </row>
    <row r="143" spans="1:14" s="57" customForma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61"/>
    </row>
    <row r="144" spans="1:14" s="57" customForma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61"/>
    </row>
    <row r="145" spans="1:14" s="57" customForma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61"/>
    </row>
    <row r="146" spans="1:14" s="57" customForma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61"/>
    </row>
    <row r="147" spans="1:14" s="57" customForma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61"/>
    </row>
    <row r="148" spans="1:14" s="57" customForma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61"/>
    </row>
    <row r="149" spans="1:14" s="57" customForma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61"/>
    </row>
    <row r="150" spans="1:14" s="57" customForma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61"/>
    </row>
    <row r="151" spans="1:14" s="57" customForma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61"/>
    </row>
    <row r="152" spans="1:14" s="57" customForma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61"/>
    </row>
    <row r="153" spans="1:14" s="57" customForma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61"/>
    </row>
    <row r="154" spans="1:14" s="57" customForma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61"/>
    </row>
    <row r="155" spans="1:14" s="57" customForma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61"/>
    </row>
    <row r="156" spans="1:14" s="57" customForma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61"/>
    </row>
    <row r="157" spans="1:14" s="57" customForma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61"/>
    </row>
    <row r="158" spans="1:14" s="57" customForma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61"/>
    </row>
    <row r="159" spans="1:14" s="57" customForma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61"/>
    </row>
    <row r="160" spans="1:14" s="57" customForma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61"/>
    </row>
    <row r="161" spans="1:14" s="57" customForma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61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70" orientation="portrait" cellComments="atEnd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Flow xmlns="c7e2ecf6-e361-4159-9367-86aa4c26842f" xsi:nil="true"/>
    <Subjekt xmlns="c7e2ecf6-e361-4159-9367-86aa4c26842f" xsi:nil="true"/>
    <TaxCatchAll xmlns="c3c11eb6-de36-4131-bab2-6a22847efc48" xsi:nil="true"/>
    <lcf76f155ced4ddcb4097134ff3c332f xmlns="c7e2ecf6-e361-4159-9367-86aa4c2684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DF35E9-479E-47A0-8A51-8933F78CE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F6F03F-0A26-4A10-95F6-8F3FED2EBB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8554E7-87B6-4739-A5E8-F680612A33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7e2ecf6-e361-4159-9367-86aa4c26842f"/>
    <ds:schemaRef ds:uri="c3c11eb6-de36-4131-bab2-6a22847efc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skat og indkomst efter skat </vt:lpstr>
      <vt:lpstr>Rådighedsbeløb - nu</vt:lpstr>
      <vt:lpstr>Lån - andelsbolig</vt:lpstr>
      <vt:lpstr>Rådighedsbeløb - Andel</vt:lpstr>
      <vt:lpstr>skat og indkomst  ved boligkøb</vt:lpstr>
      <vt:lpstr>Ejer - Kristiansminde 21</vt:lpstr>
      <vt:lpstr>Budget og råd. - boligkøb </vt:lpstr>
      <vt:lpstr>Budget og råd boligkøb+BØRN</vt:lpstr>
    </vt:vector>
  </TitlesOfParts>
  <Manager/>
  <Company>vl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hjb</dc:creator>
  <cp:keywords/>
  <dc:description/>
  <cp:lastModifiedBy>Thomas Petersen</cp:lastModifiedBy>
  <cp:revision/>
  <dcterms:created xsi:type="dcterms:W3CDTF">2006-01-31T12:05:50Z</dcterms:created>
  <dcterms:modified xsi:type="dcterms:W3CDTF">2025-02-16T12:59:48Z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0x010100A42150DA7EBAE146A0008195A4976989</vt:lpwstr>
  </property>
  <property fmtid="{D5CDD505-2E9C-101B-9397-08002B2CF9AE}" pid="4" name="MediaServiceImageTags">
    <vt:lpwstr/>
  </property>
</Properties>
</file>